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usorla\Downloads\"/>
    </mc:Choice>
  </mc:AlternateContent>
  <xr:revisionPtr revIDLastSave="0" documentId="13_ncr:1_{15D1C143-ABD4-49A3-A462-2CC62AD09445}" xr6:coauthVersionLast="36" xr6:coauthVersionMax="36" xr10:uidLastSave="{00000000-0000-0000-0000-000000000000}"/>
  <bookViews>
    <workbookView xWindow="0" yWindow="0" windowWidth="22260" windowHeight="12650" activeTab="2" xr2:uid="{00000000-000D-0000-FFFF-FFFF00000000}"/>
  </bookViews>
  <sheets>
    <sheet name="Report" sheetId="5" r:id="rId1"/>
    <sheet name="Data" sheetId="8" r:id="rId2"/>
    <sheet name="Form" sheetId="1" r:id="rId3"/>
    <sheet name="เวลาหยุด" sheetId="9" r:id="rId4"/>
    <sheet name="APlan" sheetId="2" r:id="rId5"/>
    <sheet name="ACuring" sheetId="7" r:id="rId6"/>
    <sheet name="DProduct" sheetId="3" r:id="rId7"/>
  </sheets>
  <definedNames>
    <definedName name="_xlnm._FilterDatabase" localSheetId="4" hidden="1">APlan!$L$1:$L$158</definedName>
    <definedName name="_xlcn.WorksheetConnection_PIS_โรงงานครอบพี่เด่น.xlsmview_ActivePlan1" hidden="1">view_ActivePlan[]</definedName>
    <definedName name="Calendar_Plan">Table_view_ActivePlan_1[StartTime]</definedName>
    <definedName name="ExternalData_1" localSheetId="5" hidden="1">ACuring!$A$1:$W$2720</definedName>
    <definedName name="ExternalData_1" localSheetId="4" hidden="1">APlan!$A$1:$N$158</definedName>
    <definedName name="Product_Plan">DProduct!$F$2:$F$11</definedName>
    <definedName name="view_ActivePlan_1" localSheetId="6" hidden="1">DProduct!$G$1:$G$43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iew_ActivePlan" name="view_ActivePlan" connection="WorksheetConnection_PIS_โรงงานครอบพี่เด่น.xlsm!view_ActivePlan"/>
        </x15:modelTables>
        <x15:extLst>
          <ext xmlns:x16="http://schemas.microsoft.com/office/spreadsheetml/2014/11/main" uri="{9835A34E-60A6-4A7C-AAB8-D5F71C897F49}">
            <x16:modelTimeGroupings>
              <x16:modelTimeGrouping tableName="view_ActivePlan" columnName="StartTime" columnId="StartTime">
                <x16:calculatedTimeColumn columnName="StartTime (Month Index)" columnId="StartTime (Month Index)" contentType="monthsindex" isSelected="1"/>
                <x16:calculatedTimeColumn columnName="StartTime (Month)" columnId="StartTime (Month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P8" i="1" l="1"/>
  <c r="F1" i="3"/>
  <c r="C7" i="9"/>
  <c r="D7" i="9"/>
  <c r="E7" i="9"/>
  <c r="F7" i="9"/>
  <c r="G7" i="9"/>
  <c r="H7" i="9"/>
  <c r="B7" i="9"/>
  <c r="S68" i="1" l="1"/>
  <c r="I68" i="1"/>
  <c r="F69" i="1"/>
  <c r="F70" i="1"/>
  <c r="F71" i="1"/>
  <c r="F72" i="1"/>
  <c r="F73" i="1"/>
  <c r="F74" i="1"/>
  <c r="F75" i="1"/>
  <c r="F76" i="1"/>
  <c r="F77" i="1"/>
  <c r="F68" i="1"/>
  <c r="D8" i="1"/>
  <c r="C8" i="1" s="1"/>
  <c r="Q8" i="1" s="1"/>
  <c r="B9" i="1"/>
  <c r="B10" i="1"/>
  <c r="B11" i="1"/>
  <c r="B12" i="1"/>
  <c r="B13" i="1"/>
  <c r="B14" i="1"/>
  <c r="B15" i="1"/>
  <c r="B16" i="1"/>
  <c r="B17" i="1"/>
  <c r="B8" i="1"/>
  <c r="P9" i="1"/>
  <c r="P10" i="1"/>
  <c r="P11" i="1"/>
  <c r="P12" i="1"/>
  <c r="P13" i="1"/>
  <c r="P14" i="1"/>
  <c r="P15" i="1"/>
  <c r="P16" i="1"/>
  <c r="P17" i="1"/>
  <c r="D9" i="1"/>
  <c r="C9" i="1" s="1"/>
  <c r="Q9" i="1" s="1"/>
  <c r="D10" i="1"/>
  <c r="C10" i="1" s="1"/>
  <c r="Q10" i="1" s="1"/>
  <c r="D11" i="1"/>
  <c r="C11" i="1" s="1"/>
  <c r="Q11" i="1" s="1"/>
  <c r="D12" i="1"/>
  <c r="C12" i="1" s="1"/>
  <c r="Q12" i="1" s="1"/>
  <c r="D13" i="1"/>
  <c r="C13" i="1" s="1"/>
  <c r="Q13" i="1" s="1"/>
  <c r="D14" i="1"/>
  <c r="C14" i="1" s="1"/>
  <c r="Q14" i="1" s="1"/>
  <c r="D15" i="1"/>
  <c r="C15" i="1" s="1"/>
  <c r="Q15" i="1" s="1"/>
  <c r="D16" i="1"/>
  <c r="C16" i="1" s="1"/>
  <c r="Q16" i="1" s="1"/>
  <c r="D17" i="1"/>
  <c r="C17" i="1" s="1"/>
  <c r="Q17" i="1" s="1"/>
  <c r="F2" i="3"/>
  <c r="F8" i="3" l="1"/>
  <c r="F6" i="3"/>
  <c r="F10" i="3"/>
  <c r="F5" i="3"/>
  <c r="F11" i="3"/>
  <c r="F7" i="3"/>
  <c r="F9" i="3"/>
  <c r="F3" i="3"/>
  <c r="F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C1114A-00D4-4961-BE58-13BCF291BBA6}" keepAlive="1" name="ModelConnection_view_ActivePlan_1" description="Data Model" type="5" refreshedVersion="6" minRefreshableVersion="5" saveData="1">
    <dbPr connection="Data Model Connection" command="view_ActivePlan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FBF780C2-8831-4E73-A3DB-7A6D040DB04D}" keepAlive="1" name="Query - view_ActivePlan" description="Connection to the 'view_ActivePlan' query in the workbook." type="5" refreshedVersion="6" background="1" saveData="1">
    <dbPr connection="Provider=Microsoft.Mashup.OleDb.1;Data Source=$Workbook$;Location=view_ActivePlan;Extended Properties=&quot;&quot;" command="SELECT * FROM [view_ActivePlan]"/>
  </connection>
  <connection id="3" xr16:uid="{37673411-F744-4FA1-AE92-840EB6E691FF}" keepAlive="1" name="Query - View_PIS_LockInventory_6260" description="Connection to the 'View_PIS_LockInventory_6260' query in the workbook." type="5" refreshedVersion="6" background="1" saveData="1">
    <dbPr connection="Provider=Microsoft.Mashup.OleDb.1;Data Source=$Workbook$;Location=View_PIS_LockInventory_6260;Extended Properties=&quot;&quot;" command="SELECT * FROM [View_PIS_LockInventory_6260]"/>
  </connection>
  <connection id="4" xr16:uid="{1A57FDD9-9E40-4484-93D4-042EE7173215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32F35611-B3A4-4151-BBCC-1C9AE2ADD100}" name="WorksheetConnection_PIS_โรงงานครอบพี่เด่น.xlsm!view_ActivePlan" type="102" refreshedVersion="6" minRefreshableVersion="5">
    <extLst>
      <ext xmlns:x15="http://schemas.microsoft.com/office/spreadsheetml/2010/11/main" uri="{DE250136-89BD-433C-8126-D09CA5730AF9}">
        <x15:connection id="view_ActivePlan" autoDelete="1">
          <x15:rangePr sourceName="_xlcn.WorksheetConnection_PIS_โรงงานครอบพี่เด่น.xlsmview_ActivePlan1"/>
        </x15:connection>
      </ext>
    </extLst>
  </connection>
</connections>
</file>

<file path=xl/sharedStrings.xml><?xml version="1.0" encoding="utf-8"?>
<sst xmlns="http://schemas.openxmlformats.org/spreadsheetml/2006/main" count="31680" uniqueCount="5150">
  <si>
    <t>Company</t>
  </si>
  <si>
    <t>Plant</t>
  </si>
  <si>
    <t>Shift</t>
  </si>
  <si>
    <t>PlanWeek</t>
  </si>
  <si>
    <t>VersionNo</t>
  </si>
  <si>
    <t>PlanName</t>
  </si>
  <si>
    <t>Machine</t>
  </si>
  <si>
    <t>MaterialCode</t>
  </si>
  <si>
    <t>MaterialName</t>
  </si>
  <si>
    <t>PlanWeight</t>
  </si>
  <si>
    <t>PlanCount</t>
  </si>
  <si>
    <t>StartTime</t>
  </si>
  <si>
    <t>Duration</t>
  </si>
  <si>
    <t>OperationCode</t>
  </si>
  <si>
    <t>CRTC</t>
  </si>
  <si>
    <t>30A1</t>
  </si>
  <si>
    <t>1</t>
  </si>
  <si>
    <t>00</t>
  </si>
  <si>
    <t>Neustile-F</t>
  </si>
  <si>
    <t>a</t>
  </si>
  <si>
    <t>SB2-4</t>
  </si>
  <si>
    <t>SB2-2</t>
  </si>
  <si>
    <t>SB2-1</t>
  </si>
  <si>
    <t>MTS020</t>
  </si>
  <si>
    <t>MTS021</t>
  </si>
  <si>
    <t>SB2-3</t>
  </si>
  <si>
    <t>ZCB40200XSHIELLX11</t>
  </si>
  <si>
    <t xml:space="preserve">ครอบตะเข้สันเพรสทีจ มิดไนท์ เกรย์*N     </t>
  </si>
  <si>
    <t>MTS022</t>
  </si>
  <si>
    <t>ZCB40600XSHIELLX11</t>
  </si>
  <si>
    <t xml:space="preserve">ครอบปิดจั่วเพรสทีจ มิดไนท์ เกรย์*N      </t>
  </si>
  <si>
    <t>MTS023</t>
  </si>
  <si>
    <t>MTS024</t>
  </si>
  <si>
    <t>MTS025</t>
  </si>
  <si>
    <t>ZCB30005STDA000A11</t>
  </si>
  <si>
    <t>ครอบโค้งหางมน สีเทาปีกนางนวล</t>
  </si>
  <si>
    <t>MTS026</t>
  </si>
  <si>
    <t>ZCB40100XSHIELLX11</t>
  </si>
  <si>
    <t xml:space="preserve">ครอบสันหลังคาเพรสทีจ มิดไนท์ เกรย์*N    </t>
  </si>
  <si>
    <t>MTS027</t>
  </si>
  <si>
    <t>MTS028</t>
  </si>
  <si>
    <t>MTS029</t>
  </si>
  <si>
    <t>MTS030</t>
  </si>
  <si>
    <t>MTS031</t>
  </si>
  <si>
    <t>MTS032</t>
  </si>
  <si>
    <t>ZCB40100XSHIELLX05</t>
  </si>
  <si>
    <t xml:space="preserve">ครอบสันหลังคาเพรสทีจ ดาร์ก เกรย์*N      </t>
  </si>
  <si>
    <t>MTS033</t>
  </si>
  <si>
    <t>ZCB40300XSHIELLX05</t>
  </si>
  <si>
    <t xml:space="preserve">ครอบข้าง_SEAMLESS ดาร์ก เกรย์*N         </t>
  </si>
  <si>
    <t>MTS034</t>
  </si>
  <si>
    <t>ZCB40200XSHIELLX05</t>
  </si>
  <si>
    <t xml:space="preserve">ครอบตะเข้สันเพรสทีจ ดาร์ก เกรย์*N       </t>
  </si>
  <si>
    <t>MTS035</t>
  </si>
  <si>
    <t>MTS036</t>
  </si>
  <si>
    <t>MTS037</t>
  </si>
  <si>
    <t>MTS038</t>
  </si>
  <si>
    <t>03</t>
  </si>
  <si>
    <t>Oriental-T</t>
  </si>
  <si>
    <t>ZCB40100XSHIELLX07</t>
  </si>
  <si>
    <t xml:space="preserve">ครอบสันหลังคาเพรสทีจ เคลาดี้ เกรย์*N    </t>
  </si>
  <si>
    <t>ZCB40200XSHIELLX07</t>
  </si>
  <si>
    <t xml:space="preserve">ครอบตะเข้สันเพรสทีจ เคลาดี้ เกรย์*N     </t>
  </si>
  <si>
    <t>ZCB40200XSHIELLX08</t>
  </si>
  <si>
    <t xml:space="preserve">ครอบตะเข้สันเพรสทีจ มิดไนท์บลู*N        </t>
  </si>
  <si>
    <t>ZCB40900XSHIELLX11</t>
  </si>
  <si>
    <t xml:space="preserve">ครอบข้างผนังเพรสทีจ มิดไนท์ เกรย์*N     </t>
  </si>
  <si>
    <t>ZCB40900XSHIELLX05</t>
  </si>
  <si>
    <t xml:space="preserve">ครอบข้างผนังเพรสทีจ ดาร์ก เกรย์*N       </t>
  </si>
  <si>
    <t>ZCB40600XSHIELLX05</t>
  </si>
  <si>
    <t xml:space="preserve">ครอบปิดจั่วเพรสทีจ ดาร์ก เกรย์*N        </t>
  </si>
  <si>
    <t>ZCB40100XSHIELLX08</t>
  </si>
  <si>
    <t xml:space="preserve">ครอบสันหลังคาเพรสทีจ มิดไนท์บลู*N       </t>
  </si>
  <si>
    <t>ZCB30004STDA000A11</t>
  </si>
  <si>
    <t>ครอบโค้งปิดจั่ว สีเทาปีกนางนวล</t>
  </si>
  <si>
    <t>ZCB30003STDA000A11</t>
  </si>
  <si>
    <t>ครอบข้างปิดชาย สีเทาปีกนางนวล</t>
  </si>
  <si>
    <t>ZCB30007STDA000A11</t>
  </si>
  <si>
    <t>ครอบโค้ง 3 ทาง สีเทาปีกนางนวล</t>
  </si>
  <si>
    <t>ZCB30005STDA000A14</t>
  </si>
  <si>
    <t>ครอบโค้งหางมน สีน้ำตาลโอ๊คแดง</t>
  </si>
  <si>
    <t>ZCB30004STDA000A14</t>
  </si>
  <si>
    <t>ครอบโค้งปิดจั่ว สีน้ำตาลโอ๊คแดง</t>
  </si>
  <si>
    <t>ZCB30003STDA000A14</t>
  </si>
  <si>
    <t>ครอบข้างปิดชาย สีน้ำตาลโอ๊คแดง</t>
  </si>
  <si>
    <t>MTS039</t>
  </si>
  <si>
    <t>ZCB30007STDA000A14</t>
  </si>
  <si>
    <t>ครอบโค้ง 3 ทาง สีน้ำตาลโอ๊คแดง</t>
  </si>
  <si>
    <t>MTS040</t>
  </si>
  <si>
    <t>MTS041</t>
  </si>
  <si>
    <t>MTS042</t>
  </si>
  <si>
    <t>MTS043</t>
  </si>
  <si>
    <t>MTS044</t>
  </si>
  <si>
    <t>MTS045</t>
  </si>
  <si>
    <t>MTS046</t>
  </si>
  <si>
    <t>MTS047</t>
  </si>
  <si>
    <t>MTS048</t>
  </si>
  <si>
    <t>MTS049</t>
  </si>
  <si>
    <t>MTS050</t>
  </si>
  <si>
    <t>MTS051</t>
  </si>
  <si>
    <t>ZCB30004STDA000A02</t>
  </si>
  <si>
    <t>ครอบโค้งปิดจั่ว สีแดงกุหลาบ</t>
  </si>
  <si>
    <t>MTS052</t>
  </si>
  <si>
    <t>MTS053</t>
  </si>
  <si>
    <t>MTS054</t>
  </si>
  <si>
    <t>MTS055</t>
  </si>
  <si>
    <t>MTS056</t>
  </si>
  <si>
    <t>ZCB30006STDA000A11</t>
  </si>
  <si>
    <t>ครอบโค้ง 2 ทาง สีเทาปีกนางนวล</t>
  </si>
  <si>
    <t>MTS057</t>
  </si>
  <si>
    <t>ZCB30009STDA000A11</t>
  </si>
  <si>
    <t>ครอบข้างผนัง สีเทาปีกนางนวล</t>
  </si>
  <si>
    <t>ZCB40200XSHIELLX03</t>
  </si>
  <si>
    <t xml:space="preserve">ครอบตะเข้สันเพรสทีจ ช็อคโก้ บราวน์*N    </t>
  </si>
  <si>
    <t>MTS058</t>
  </si>
  <si>
    <t>MTS059</t>
  </si>
  <si>
    <t>MTS060</t>
  </si>
  <si>
    <t>2026W21</t>
  </si>
  <si>
    <t>01</t>
  </si>
  <si>
    <t>Oriental-F</t>
  </si>
  <si>
    <t>2026W22</t>
  </si>
  <si>
    <t>02</t>
  </si>
  <si>
    <t>ZCB40600XSHIELLX08</t>
  </si>
  <si>
    <t xml:space="preserve">ครอบปิดจั่วเพรสทีจ มิดไนท์บลู*N         </t>
  </si>
  <si>
    <t>2026W23</t>
  </si>
  <si>
    <t>ZCB30006STDA000A14</t>
  </si>
  <si>
    <t>ครอบโค้ง 2 ทาง สีน้ำตาลโอ๊คแดง</t>
  </si>
  <si>
    <t>ZCB40500XSHIELLX11</t>
  </si>
  <si>
    <t>ครอบปิดปลายตะเข้สันเพรสทีจ มิดไนท์เกรย์*</t>
  </si>
  <si>
    <t>ZCB40100XSHIELLX12</t>
  </si>
  <si>
    <t xml:space="preserve">ครอบสันหลังคาเพรสทีจ โกลเด้น บราวน์*N   </t>
  </si>
  <si>
    <t>ZCB40200XSHIELLX12</t>
  </si>
  <si>
    <t xml:space="preserve">ครอบตะเข้สันเพรสทีจ โกลเด้น บราวน์*N    </t>
  </si>
  <si>
    <t>2026W24</t>
  </si>
  <si>
    <t>ZCBT3001PREA000T06</t>
  </si>
  <si>
    <t>ครอบสันหลังคาดูร่าวัน เทาบารมี</t>
  </si>
  <si>
    <t>ZCBT3003PREA000T06</t>
  </si>
  <si>
    <t>ครอบปั้นลม ดูร่าวัน เทาบารมี</t>
  </si>
  <si>
    <t>ZCBT3002PREA000T06</t>
  </si>
  <si>
    <t>ครอบตะเข้สัน ดูร่าวัน เทาบารมี</t>
  </si>
  <si>
    <t>ZCB40500XSHIELLX08</t>
  </si>
  <si>
    <t xml:space="preserve">ครอบปิดปลายตะเข้สันเพรสทีจ มิดไนท์บลู*N </t>
  </si>
  <si>
    <t>ZCB40900XSHIELLX08</t>
  </si>
  <si>
    <t xml:space="preserve">ครอบข้างผนังเพรสทีจ มิดไนท์บลู*N        </t>
  </si>
  <si>
    <t>ZCB40300XSHIELLX11</t>
  </si>
  <si>
    <t xml:space="preserve">ครอบข้าง_SEAMLESS มิดไนท์ เกรย์*N       </t>
  </si>
  <si>
    <t>Date</t>
  </si>
  <si>
    <t>2026W25</t>
  </si>
  <si>
    <t>ZCB40100XSHIELLX03</t>
  </si>
  <si>
    <t xml:space="preserve">ครอบสันหลังคาเพรสทีจ ช็อคโก้ บราวน์*N   </t>
  </si>
  <si>
    <t>ZCB40600XSHIELLX03</t>
  </si>
  <si>
    <t xml:space="preserve">ครอบปิดจั่วเพรสทีจ ช็อคโก้ บราวน์*N     </t>
  </si>
  <si>
    <t>ZCB40400XSHIELLX07</t>
  </si>
  <si>
    <t>ครอบข้างปิดปลาย_SEAMLESS เคลาดี้ เกรย์*N</t>
  </si>
  <si>
    <t>ZCB30009STDA000A14</t>
  </si>
  <si>
    <t>ครอบข้างผนัง สีน้ำตาลโอ๊คแดง</t>
  </si>
  <si>
    <t>Neustile Fitting</t>
  </si>
  <si>
    <t>Oriental Fitting</t>
  </si>
  <si>
    <t>Oriental Tile</t>
  </si>
  <si>
    <t>Round Ridge</t>
  </si>
  <si>
    <t>Spacial Ridge</t>
  </si>
  <si>
    <t>Barge</t>
  </si>
  <si>
    <t>Product</t>
  </si>
  <si>
    <t>F1</t>
  </si>
  <si>
    <t>F2</t>
  </si>
  <si>
    <t>F3</t>
  </si>
  <si>
    <t>F4</t>
  </si>
  <si>
    <t>F5</t>
  </si>
  <si>
    <t>F6</t>
  </si>
  <si>
    <t>F7</t>
  </si>
  <si>
    <t>F8</t>
  </si>
  <si>
    <t>เครื่องจักร</t>
  </si>
  <si>
    <t>แผนผลิต</t>
  </si>
  <si>
    <t>ความเร็วเครื่องจักร</t>
  </si>
  <si>
    <t>ZCB30004</t>
  </si>
  <si>
    <t>ZCB30001</t>
  </si>
  <si>
    <t>ZCB30002</t>
  </si>
  <si>
    <t>ZCB30003</t>
  </si>
  <si>
    <t>ZCB30005</t>
  </si>
  <si>
    <t>ZCB30006</t>
  </si>
  <si>
    <t>ZCB30007</t>
  </si>
  <si>
    <t>ZCB30008</t>
  </si>
  <si>
    <t>ZCB30009</t>
  </si>
  <si>
    <t>ZCB30010</t>
  </si>
  <si>
    <t>Counter</t>
  </si>
  <si>
    <t>Curing</t>
  </si>
  <si>
    <t>เวลาเริ่ม</t>
  </si>
  <si>
    <t>เวลาหยุด</t>
  </si>
  <si>
    <t>TotalWorkingTime</t>
  </si>
  <si>
    <t>PlanStop</t>
  </si>
  <si>
    <t>BreakDown</t>
  </si>
  <si>
    <t>SMDT</t>
  </si>
  <si>
    <t>IDLE</t>
  </si>
  <si>
    <t>รายงานผลเทียบแผน (ฝั่งเปียก)</t>
  </si>
  <si>
    <t>Lot</t>
  </si>
  <si>
    <t>รายงานยอดแกะ (ฝั่งแห้ง)</t>
  </si>
  <si>
    <t>ยอดการใช้วัตถุดิบ</t>
  </si>
  <si>
    <t>Waste Generate</t>
  </si>
  <si>
    <t>CompanyCode</t>
  </si>
  <si>
    <t>MaterialThai</t>
  </si>
  <si>
    <t>MaterialEng</t>
  </si>
  <si>
    <t>ProductionOrder</t>
  </si>
  <si>
    <t>ProdOrderDate</t>
  </si>
  <si>
    <t>LotNumber</t>
  </si>
  <si>
    <t>Status</t>
  </si>
  <si>
    <t>Reason</t>
  </si>
  <si>
    <t>สาเหตุเบื้องต้น</t>
  </si>
  <si>
    <t>Remaining</t>
  </si>
  <si>
    <t>UnitCode</t>
  </si>
  <si>
    <t>DryWeight</t>
  </si>
  <si>
    <t>LockID</t>
  </si>
  <si>
    <t>Remark</t>
  </si>
  <si>
    <t>หน่วยงานที่เปลี่ยนสถานะ</t>
  </si>
  <si>
    <t>เครื่องจักรที่เปลี่ยนสถานะ</t>
  </si>
  <si>
    <t>StatusUpdate</t>
  </si>
  <si>
    <t>กะที่แกะ</t>
  </si>
  <si>
    <t>EffectiveDate</t>
  </si>
  <si>
    <t>ZCB30001SPEE000B12</t>
  </si>
  <si>
    <t>ครอบสันโค้ง สีเงินไททาเนี่ยม</t>
  </si>
  <si>
    <t>SCG CONCRETE ROUND RIDGE SILVER TITANIUM</t>
  </si>
  <si>
    <t>260109-1-30A1-SB2-1</t>
  </si>
  <si>
    <t>H690101</t>
  </si>
  <si>
    <t>PC</t>
  </si>
  <si>
    <t>ZCB30001SPESC00S11</t>
  </si>
  <si>
    <t>ครอบสันโค้ง สีคลาสสิค บลู</t>
  </si>
  <si>
    <t>SCG CONCRETE ROUND RIDGE CLASSIC BLUE</t>
  </si>
  <si>
    <t>260110-1-30A1-SB2-1</t>
  </si>
  <si>
    <t>H690102</t>
  </si>
  <si>
    <t>ZCB30001STDA000A14</t>
  </si>
  <si>
    <t>ครอบสันโค้ง สีน้ำตาลโอ๊คแดง</t>
  </si>
  <si>
    <t>SCG CONCRETE ROUND RIDGE BROWN OAK</t>
  </si>
  <si>
    <t>260110-2-30A1-SB2-1</t>
  </si>
  <si>
    <t>H690103</t>
  </si>
  <si>
    <t>2</t>
  </si>
  <si>
    <t>ZCB30001STDA000A11</t>
  </si>
  <si>
    <t>ครอบสันโค้ง สีเทาปีกนางนวล</t>
  </si>
  <si>
    <t>SCG CONCRETE ROUND RIDGE SEAGULL GREY</t>
  </si>
  <si>
    <t>260112-1-30A1-SB2-1</t>
  </si>
  <si>
    <t>H690105</t>
  </si>
  <si>
    <t>260114-1-30A1-SB2-1</t>
  </si>
  <si>
    <t>H690107</t>
  </si>
  <si>
    <t>260113-1-30A1-SB2-1</t>
  </si>
  <si>
    <t>H690106</t>
  </si>
  <si>
    <t>260115-1-30A1-SB2-1</t>
  </si>
  <si>
    <t>H690108</t>
  </si>
  <si>
    <t>260116-1-30A1-SB2-1</t>
  </si>
  <si>
    <t>H690109</t>
  </si>
  <si>
    <t>260117-1-30A1-SB2-1</t>
  </si>
  <si>
    <t>H690110</t>
  </si>
  <si>
    <t>260123-1-30A1-SB2-1</t>
  </si>
  <si>
    <t>H690116</t>
  </si>
  <si>
    <t>260124-1-30A1-SB2-1</t>
  </si>
  <si>
    <t>H690117</t>
  </si>
  <si>
    <t>260122-1-30A1-SB2-1</t>
  </si>
  <si>
    <t>H690115</t>
  </si>
  <si>
    <t>260119-1-30A1-SB2-1</t>
  </si>
  <si>
    <t>H690111</t>
  </si>
  <si>
    <t>260120-1-30A1-SB2-1</t>
  </si>
  <si>
    <t>H690112</t>
  </si>
  <si>
    <t>260126-1-30A1-SB2-1</t>
  </si>
  <si>
    <t>H690118</t>
  </si>
  <si>
    <t>260127-1-30A1-SB2-1</t>
  </si>
  <si>
    <t>H690119</t>
  </si>
  <si>
    <t>260128-1-30A1-SB2-1</t>
  </si>
  <si>
    <t>H690121</t>
  </si>
  <si>
    <t>260130-1-30A1-SB2-1</t>
  </si>
  <si>
    <t>H690123</t>
  </si>
  <si>
    <t>260202-1-30A1-SB2-1</t>
  </si>
  <si>
    <t>H690201</t>
  </si>
  <si>
    <t>260204-1-30A1-SB2-1</t>
  </si>
  <si>
    <t>H690204</t>
  </si>
  <si>
    <t>260206-1-30A1-SB2-1</t>
  </si>
  <si>
    <t>H690206</t>
  </si>
  <si>
    <t>260205-1-30A1-SB2-1</t>
  </si>
  <si>
    <t>H690205</t>
  </si>
  <si>
    <t>260210-1-30A1-SB2-1</t>
  </si>
  <si>
    <t>H690209</t>
  </si>
  <si>
    <t>ZCB30001SPEE000B17</t>
  </si>
  <si>
    <t>ครอบสันโค้ง สีเทาแทนทาลัม</t>
  </si>
  <si>
    <t>SCG CONCRETE ROUND RIDGE TANTALUM GREY</t>
  </si>
  <si>
    <t>260211-1-30A1-SB2-1</t>
  </si>
  <si>
    <t>H690210</t>
  </si>
  <si>
    <t>260212-1-30A1-SB2-1</t>
  </si>
  <si>
    <t>H690211</t>
  </si>
  <si>
    <t>260213-1-30A1-SB2-1</t>
  </si>
  <si>
    <t>H690212</t>
  </si>
  <si>
    <t>260216-1-30A1-SB2-1</t>
  </si>
  <si>
    <t>H690214</t>
  </si>
  <si>
    <t>260214-1-30A1-SB2-1</t>
  </si>
  <si>
    <t>H690213</t>
  </si>
  <si>
    <t>260217-1-30A1-SB2-1</t>
  </si>
  <si>
    <t>H690215</t>
  </si>
  <si>
    <t>260218-1-30A1-SB2-1</t>
  </si>
  <si>
    <t>H690216</t>
  </si>
  <si>
    <t>260219-1-30A1-SB2-1</t>
  </si>
  <si>
    <t>H690217</t>
  </si>
  <si>
    <t>260220-1-30A1-SB2-1</t>
  </si>
  <si>
    <t>H690218</t>
  </si>
  <si>
    <t>260221-1-30A1-SB2-1</t>
  </si>
  <si>
    <t>H690219</t>
  </si>
  <si>
    <t>260223-1-30A1-SB2-1</t>
  </si>
  <si>
    <t>H690220</t>
  </si>
  <si>
    <t>260226-1-30A1-SB2-1</t>
  </si>
  <si>
    <t>H690227</t>
  </si>
  <si>
    <t>260304-1-30A1-SB2-1</t>
  </si>
  <si>
    <t>H690301</t>
  </si>
  <si>
    <t>260305-1-30A1-SB2-1</t>
  </si>
  <si>
    <t>H690302</t>
  </si>
  <si>
    <t>260306-1-30A1-SB2-1</t>
  </si>
  <si>
    <t>H690303</t>
  </si>
  <si>
    <t>260310-1-30A1-SB2-1</t>
  </si>
  <si>
    <t>H690307</t>
  </si>
  <si>
    <t>260311-1-30A1-SB2-1</t>
  </si>
  <si>
    <t>H690308</t>
  </si>
  <si>
    <t>260312-1-30A1-SB2-1</t>
  </si>
  <si>
    <t>H690309</t>
  </si>
  <si>
    <t>260313-1-30A1-SB2-1</t>
  </si>
  <si>
    <t>H690310</t>
  </si>
  <si>
    <t>260316-1-30A1-SB2-1</t>
  </si>
  <si>
    <t>H690311</t>
  </si>
  <si>
    <t>ZCB30002STDA000A11</t>
  </si>
  <si>
    <t>ครอบข้าง สีเทาปีกนางนวล</t>
  </si>
  <si>
    <t>SCG CONCRETE BARGE SEAGULL GREY</t>
  </si>
  <si>
    <t>260105-1-30A1-SB2-4</t>
  </si>
  <si>
    <t>G690101</t>
  </si>
  <si>
    <t>260106-1-30A1-SB2-4</t>
  </si>
  <si>
    <t>G690102</t>
  </si>
  <si>
    <t>ZCB30002STDA000A14</t>
  </si>
  <si>
    <t>ครอบข้าง สีน้ำตาลโอ๊คแดง</t>
  </si>
  <si>
    <t>SCG CONCRETE BARGE BROWN OAK</t>
  </si>
  <si>
    <t>260112-1-30A1-SB2-4</t>
  </si>
  <si>
    <t>G690103</t>
  </si>
  <si>
    <t>260114-1-30A1-SB2-4</t>
  </si>
  <si>
    <t>G690106</t>
  </si>
  <si>
    <t>260119-1-30A1-SB2-4</t>
  </si>
  <si>
    <t>G690108</t>
  </si>
  <si>
    <t>260120-1-30A1-SB2-4</t>
  </si>
  <si>
    <t>G690109</t>
  </si>
  <si>
    <t>260128-1-30A1-SB2-4</t>
  </si>
  <si>
    <t>G690110</t>
  </si>
  <si>
    <t>260129-1-30A1-SB2-4</t>
  </si>
  <si>
    <t>G690111</t>
  </si>
  <si>
    <t>260130-1-30A1-SB2-4</t>
  </si>
  <si>
    <t>G690113</t>
  </si>
  <si>
    <t>ZCB30002SPEGEO0G51</t>
  </si>
  <si>
    <t>ครอบข้าง สีลิกไนต์ เกรย์</t>
  </si>
  <si>
    <t>SCG CONCRETE BARGE LIGNITE GREY</t>
  </si>
  <si>
    <t>G690112</t>
  </si>
  <si>
    <t>260131-1-30A1-SB2-4</t>
  </si>
  <si>
    <t>G690114</t>
  </si>
  <si>
    <t>260209-1-30A1-SB2-4</t>
  </si>
  <si>
    <t>G690201</t>
  </si>
  <si>
    <t>260113-1-30A1-SB2-4</t>
  </si>
  <si>
    <t>G690104</t>
  </si>
  <si>
    <t>ZCB30002SPEA000B11</t>
  </si>
  <si>
    <t>ครอบข้าง สีเขียวอินทนิล</t>
  </si>
  <si>
    <t>SCG CONCRETE BARGE MYRTLE GREEN</t>
  </si>
  <si>
    <t>G690105</t>
  </si>
  <si>
    <t>260210-1-30A1-SB2-4</t>
  </si>
  <si>
    <t>G690202</t>
  </si>
  <si>
    <t>ZCBNTTILXSHMAINX03</t>
  </si>
  <si>
    <t>กระเบื้องผืนหลังคา สีบราวน์แอช XS HB</t>
  </si>
  <si>
    <t>SCG NEU XS HB MAIN TILE BA</t>
  </si>
  <si>
    <t>260107-1-30A1-SB2-2</t>
  </si>
  <si>
    <t>A690101</t>
  </si>
  <si>
    <t>ZCBNTTILXSHMAINX07</t>
  </si>
  <si>
    <t>กระเบื้องผืนหลังคา สีเกรย์ซเลท XS HB</t>
  </si>
  <si>
    <t>SCG NEU XS HB MAIN TILE GS</t>
  </si>
  <si>
    <t>260108-1-30A1-SB2-2</t>
  </si>
  <si>
    <t>A690102</t>
  </si>
  <si>
    <t>260109-1-30A1-SB2-2</t>
  </si>
  <si>
    <t>A690103</t>
  </si>
  <si>
    <t>260110-1-30A1-SB2-2</t>
  </si>
  <si>
    <t>A690104</t>
  </si>
  <si>
    <t>260115-1-30A1-SB2-2</t>
  </si>
  <si>
    <t>A690105</t>
  </si>
  <si>
    <t>260116-1-30A1-SB2-2</t>
  </si>
  <si>
    <t>A690106</t>
  </si>
  <si>
    <t>260117-1-30A1-SB2-2</t>
  </si>
  <si>
    <t>A690107</t>
  </si>
  <si>
    <t>ZCBNTTILXSHMAINX08</t>
  </si>
  <si>
    <t>กระเบื้องผืนหลังคา สีดาร์คบราวน์ XS HB</t>
  </si>
  <si>
    <t>SCG NEU XS HB MAIN TILE DARK BROWN</t>
  </si>
  <si>
    <t>260122-1-30A1-SB2-2</t>
  </si>
  <si>
    <t>A690108</t>
  </si>
  <si>
    <t>A690109</t>
  </si>
  <si>
    <t>260123-1-30A1-SB2-2</t>
  </si>
  <si>
    <t>A690110</t>
  </si>
  <si>
    <t>260124-1-30A1-SB2-2</t>
  </si>
  <si>
    <t>A690111</t>
  </si>
  <si>
    <t>260126-1-30A1-SB2-2</t>
  </si>
  <si>
    <t>A690112</t>
  </si>
  <si>
    <t>260127-1-30A1-SB2-2</t>
  </si>
  <si>
    <t>A690113</t>
  </si>
  <si>
    <t>260212-1-30A1-SB2-2</t>
  </si>
  <si>
    <t>A690201</t>
  </si>
  <si>
    <t>ZCBNTTILXSHMAINX01</t>
  </si>
  <si>
    <t>กระเบื้องผืนหลังคา สีเกรย์แกรนิต XS HB</t>
  </si>
  <si>
    <t>SCG NEU XS HB MAIN TILE GG</t>
  </si>
  <si>
    <t>260213-1-30A1-SB2-2</t>
  </si>
  <si>
    <t>A690202</t>
  </si>
  <si>
    <t>ZCBNTTILTREMAINT05</t>
  </si>
  <si>
    <t>กระเบื้องผืนหลังคา สีดำแบล็คสตีล**MTO</t>
  </si>
  <si>
    <t>NEUSTILE MAIN TILE BLACK</t>
  </si>
  <si>
    <t>A690203</t>
  </si>
  <si>
    <t>260214-1-30A1-SB2-2</t>
  </si>
  <si>
    <t>A690204</t>
  </si>
  <si>
    <t>ZCBNTTILXSHMAINX04</t>
  </si>
  <si>
    <t>กระเบื้องผืนหลังคา สีวูดเดนร็อก XS HB</t>
  </si>
  <si>
    <t>SCG NEU XS HB MAIN TILE WR</t>
  </si>
  <si>
    <t>260216-1-30A1-SB2-2</t>
  </si>
  <si>
    <t>A690205</t>
  </si>
  <si>
    <t>260223-1-30A1-SB2-2</t>
  </si>
  <si>
    <t>A690206</t>
  </si>
  <si>
    <t>260224-1-30A1-SB2-2</t>
  </si>
  <si>
    <t>A690207</t>
  </si>
  <si>
    <t>260302-1-30A1-SB2-2</t>
  </si>
  <si>
    <t>A690301</t>
  </si>
  <si>
    <t>ZCBNTTILXSHTOP0X01</t>
  </si>
  <si>
    <t>กระเบื้องสันหลังคา สีเกรย์แกรนิต XS HB</t>
  </si>
  <si>
    <t>SCG NEU XS HB TOP TILE GG</t>
  </si>
  <si>
    <t>A690301/TOP</t>
  </si>
  <si>
    <t>260303-1-30A1-SB2-2</t>
  </si>
  <si>
    <t>A690302</t>
  </si>
  <si>
    <t>ZCBNTTILXSHTOP0X07</t>
  </si>
  <si>
    <t>กระเบื้องสันหลังคา สีเกรย์ซเลท XS HB</t>
  </si>
  <si>
    <t>SCG NEU XS HB TOP TILE GS</t>
  </si>
  <si>
    <t>A690302/TOP</t>
  </si>
  <si>
    <t>260304-1-30A1-SB2-2</t>
  </si>
  <si>
    <t>A690303</t>
  </si>
  <si>
    <t>A690303/TOP</t>
  </si>
  <si>
    <t>260305-1-30A1-SB2-2</t>
  </si>
  <si>
    <t>A690304</t>
  </si>
  <si>
    <t>A690305</t>
  </si>
  <si>
    <t>260317-1-30A1-SB2-2</t>
  </si>
  <si>
    <t>A690306</t>
  </si>
  <si>
    <t>A690306/TOP</t>
  </si>
  <si>
    <t>260318-1-30A1-SB2-2</t>
  </si>
  <si>
    <t>A690307</t>
  </si>
  <si>
    <t>A690307/TOP</t>
  </si>
  <si>
    <t>260319-1-30A1-SB2-2</t>
  </si>
  <si>
    <t>A690308</t>
  </si>
  <si>
    <t>A690308/TOP</t>
  </si>
  <si>
    <t>260320-1-30A1-SB2-2</t>
  </si>
  <si>
    <t>A690309</t>
  </si>
  <si>
    <t>ZCBNTTILXSHTOP0X04</t>
  </si>
  <si>
    <t>กระเบื้องสันหลังคา สีวูดเดนร็อก XS HB</t>
  </si>
  <si>
    <t>SCG NEU XS HB TOP TILE WR</t>
  </si>
  <si>
    <t>A690309/TOP</t>
  </si>
  <si>
    <t>260323-1-30A1-SB2-2</t>
  </si>
  <si>
    <t>A690310</t>
  </si>
  <si>
    <t>ZCBNTTILXSHTOP0X03</t>
  </si>
  <si>
    <t>กระเบื้องสันหลังคา สีบราวน์แอช XS HB</t>
  </si>
  <si>
    <t>SCG NEU XS HB TOP TILE BA</t>
  </si>
  <si>
    <t>A690310/TOP</t>
  </si>
  <si>
    <t>260324-1-30A1-SB2-2</t>
  </si>
  <si>
    <t>A690311</t>
  </si>
  <si>
    <t>A690311/TOP</t>
  </si>
  <si>
    <t>260325-1-30A1-SB2-2</t>
  </si>
  <si>
    <t>A690312</t>
  </si>
  <si>
    <t>260326-1-30A1-SB2-2</t>
  </si>
  <si>
    <t>A690313</t>
  </si>
  <si>
    <t>ZCBNTTILSTYMAINS05</t>
  </si>
  <si>
    <t>กระเบื้องผืนหลังคา สีน้ำเงินมารีน**MTO</t>
  </si>
  <si>
    <t>NEUSTILE MAIN TILE MARINE</t>
  </si>
  <si>
    <t>260327-1-30A1-SB2-2</t>
  </si>
  <si>
    <t>A690314</t>
  </si>
  <si>
    <t>260328-1-30A1-SB2-2</t>
  </si>
  <si>
    <t>A690315</t>
  </si>
  <si>
    <t>A690316</t>
  </si>
  <si>
    <t>260402-1-30A1-SB2-2</t>
  </si>
  <si>
    <t>A690401</t>
  </si>
  <si>
    <t>260403-1-30A1-SB2-2</t>
  </si>
  <si>
    <t>A690402</t>
  </si>
  <si>
    <t>A690402/TOP</t>
  </si>
  <si>
    <t>260404-1-30A1-SB2-2</t>
  </si>
  <si>
    <t>A690403</t>
  </si>
  <si>
    <t>A690403/TOP</t>
  </si>
  <si>
    <t>260408-1-30A1-SB2-2</t>
  </si>
  <si>
    <t>A690404</t>
  </si>
  <si>
    <t>260409-1-30A1-SB2-2</t>
  </si>
  <si>
    <t>A690405</t>
  </si>
  <si>
    <t>260410-1-30A1-SB2-2</t>
  </si>
  <si>
    <t>A690406</t>
  </si>
  <si>
    <t>260411-1-30A1-SB2-2</t>
  </si>
  <si>
    <t>A690407</t>
  </si>
  <si>
    <t>260416-1-30A1-SB2-2</t>
  </si>
  <si>
    <t>A690408</t>
  </si>
  <si>
    <t>260424-1-30A1-SB2-2</t>
  </si>
  <si>
    <t>A690409</t>
  </si>
  <si>
    <t>A690409/TOP</t>
  </si>
  <si>
    <t>260427-1-30A1-SB2-2</t>
  </si>
  <si>
    <t>A690410</t>
  </si>
  <si>
    <t>A690410/TOP</t>
  </si>
  <si>
    <t>260428-1-30A1-SB2-2</t>
  </si>
  <si>
    <t>A690411</t>
  </si>
  <si>
    <t>A690411/TOP</t>
  </si>
  <si>
    <t>3031</t>
  </si>
  <si>
    <t>ZCB20XSHIED4000X05</t>
  </si>
  <si>
    <t>กระเบื้องเพรสทีจ ดาร์ก เกรย์</t>
  </si>
  <si>
    <t>PRESTIGE TILE DARK GREY</t>
  </si>
  <si>
    <t>SB1-2</t>
  </si>
  <si>
    <t>260105-1-3031-SB1-2</t>
  </si>
  <si>
    <t>7690101XP</t>
  </si>
  <si>
    <t>ZCB20XSHIED4000L01</t>
  </si>
  <si>
    <t>กระเบื้องหลังคาคอนกรีตเอสซีจี รุ่นเพรสทีจ เอ็กซ์ชิลด์ สลิม ดาร์ก เกรย์</t>
  </si>
  <si>
    <t>PRESTIGE XSHIELD SLIM TILE DARK GREY</t>
  </si>
  <si>
    <t>7690102XP</t>
  </si>
  <si>
    <t>260105-2-3031-SB1-2</t>
  </si>
  <si>
    <t>7690103XP</t>
  </si>
  <si>
    <t>260106-1-3031-SB1-2</t>
  </si>
  <si>
    <t>7690104XP</t>
  </si>
  <si>
    <t>7690105XP</t>
  </si>
  <si>
    <t>260106-2-3031-SB1-2</t>
  </si>
  <si>
    <t>7690106XP</t>
  </si>
  <si>
    <t>ZCB20NATA004000N34</t>
  </si>
  <si>
    <t>กระเบื้องเพรสทีจ มิดไนท์ เกรย์*P</t>
  </si>
  <si>
    <t>PRESTIGE TILE Midnight Grey*P</t>
  </si>
  <si>
    <t>260107-1-3031-SB1-2</t>
  </si>
  <si>
    <t>7690107P</t>
  </si>
  <si>
    <t>7690108XP</t>
  </si>
  <si>
    <t>ZCB20XSHIED4000X04</t>
  </si>
  <si>
    <t>กระเบื้องเพรสทีจ ไอวอรี่ เกรย์</t>
  </si>
  <si>
    <t>PRESTIGE TILE IVORY GREY</t>
  </si>
  <si>
    <t>260107-2-3031-SB1-2</t>
  </si>
  <si>
    <t>7690109XP</t>
  </si>
  <si>
    <t>260108-1-3031-SB1-2</t>
  </si>
  <si>
    <t>7690110XP</t>
  </si>
  <si>
    <t>7690111XP</t>
  </si>
  <si>
    <t>260108-2-3031-SB1-2</t>
  </si>
  <si>
    <t>7690112P</t>
  </si>
  <si>
    <t>ZCB20XSHIED4000X08</t>
  </si>
  <si>
    <t>กระเบื้องเพรสทีจ มิดไนท์ บลู</t>
  </si>
  <si>
    <t>PRESTIGE TILE MIDNIGHT BLUE</t>
  </si>
  <si>
    <t>260109-1-3031-SB1-2</t>
  </si>
  <si>
    <t>7690113XP</t>
  </si>
  <si>
    <t>ZCB20XSHIED4000L07</t>
  </si>
  <si>
    <t>กระเบื้องเพรสทีจ สลิม มิดไนท์บลู</t>
  </si>
  <si>
    <t>PRESTIGE SLIM TILE MIDNIGHTBLUE</t>
  </si>
  <si>
    <t>7690114XP</t>
  </si>
  <si>
    <t>260109-2-3031-SB1-2</t>
  </si>
  <si>
    <t>7690115XP</t>
  </si>
  <si>
    <t>ZCB20NATA004000N35</t>
  </si>
  <si>
    <t>กระเบื้องเพรสทีจ คลาสิก เกรย์*P</t>
  </si>
  <si>
    <t>PRESTIGE TILE Classic Grey*P</t>
  </si>
  <si>
    <t>7690116P</t>
  </si>
  <si>
    <t>260110-1-3031-SB1-2</t>
  </si>
  <si>
    <t>7690117XP</t>
  </si>
  <si>
    <t>260110-2-3031-SB1-2</t>
  </si>
  <si>
    <t>7690118XP</t>
  </si>
  <si>
    <t>260112-2-3031-SB1-2</t>
  </si>
  <si>
    <t>7690119XP</t>
  </si>
  <si>
    <t>ZCB20XSHIED4000X03</t>
  </si>
  <si>
    <t>กระเบื้องเพรสทีจ ช็อคโก้ บราวน์</t>
  </si>
  <si>
    <t>PRESTIGE TILE CHOCO BROWN</t>
  </si>
  <si>
    <t>260113-1-3031-SB1-2</t>
  </si>
  <si>
    <t>7690120XP</t>
  </si>
  <si>
    <t>ZCB20XSHIED4000L02</t>
  </si>
  <si>
    <t>กระเบื้องหลังคาคอนกรีตเอสซีจี รุ่นเพรสทีจ เอ็กซ์ชิลด์ สลิม สี ช็อคโก้ บราวน์</t>
  </si>
  <si>
    <t>PRESTIGE XSHIELD SLIM TILE CHOCO BROWN</t>
  </si>
  <si>
    <t>7690121XP</t>
  </si>
  <si>
    <t>ZCB20NATA004000N41</t>
  </si>
  <si>
    <t>กระเบื้องเพรสทีจ มิสที เกรย์*P</t>
  </si>
  <si>
    <t>260113-2-3031-SB1-2</t>
  </si>
  <si>
    <t>7690122P</t>
  </si>
  <si>
    <t>260114-1-3031-SB1-2</t>
  </si>
  <si>
    <t>7690123XP</t>
  </si>
  <si>
    <t>7690124XP</t>
  </si>
  <si>
    <t>260114-2-3031-SB1-2</t>
  </si>
  <si>
    <t>7690125XP</t>
  </si>
  <si>
    <t>ZCBT1PREA001DU0T05</t>
  </si>
  <si>
    <t>กระเบื้องคอนกรีต ดูร่าวัน น้ำตาลมั่งมี</t>
  </si>
  <si>
    <t>DURAONE TILE MUNGMEE BROWN</t>
  </si>
  <si>
    <t>7690126P</t>
  </si>
  <si>
    <t>260115-1-3031-SB1-2</t>
  </si>
  <si>
    <t>7690127XP</t>
  </si>
  <si>
    <t>7690128XP</t>
  </si>
  <si>
    <t>260115-2-3031-SB1-2</t>
  </si>
  <si>
    <t>7690129XP</t>
  </si>
  <si>
    <t>260116-1-3031-SB1-2</t>
  </si>
  <si>
    <t>7690130XP</t>
  </si>
  <si>
    <t>ZCB20XSHIED40EXL10</t>
  </si>
  <si>
    <t>กระเบื้องหลังคาทรูแฟลต SCG ออร์นิคแบล็ค</t>
  </si>
  <si>
    <t>SCG True Flat Onyx Black</t>
  </si>
  <si>
    <t>7690131XP</t>
  </si>
  <si>
    <t>kg</t>
  </si>
  <si>
    <t>ZCB20XSHIED4000X06</t>
  </si>
  <si>
    <t>กระเบื้องเพรสทีจ ออเบิน บราวน์</t>
  </si>
  <si>
    <t>PRESTIGE TILE AUBURN BROWN</t>
  </si>
  <si>
    <t>260116-2-3031-SB1-2</t>
  </si>
  <si>
    <t>7690132XP</t>
  </si>
  <si>
    <t>7690133P</t>
  </si>
  <si>
    <t>260117-1-3031-SB1-2</t>
  </si>
  <si>
    <t>7690134XP</t>
  </si>
  <si>
    <t>260117-2-3031-SB1-2</t>
  </si>
  <si>
    <t>7690135P</t>
  </si>
  <si>
    <t>260119-1-3031-SB1-2</t>
  </si>
  <si>
    <t>7690136XP</t>
  </si>
  <si>
    <t>ZCB20XSHIED4000L08</t>
  </si>
  <si>
    <t>กระเบื้องเพรสทีจ สลิม ไอโวรี่ เกรย์</t>
  </si>
  <si>
    <t>PRESTIGE SLIM TILE IVORY GREY</t>
  </si>
  <si>
    <t>7690137XP</t>
  </si>
  <si>
    <t>260119-2-3031-SB1-2</t>
  </si>
  <si>
    <t>7690138XP</t>
  </si>
  <si>
    <t>7680139P</t>
  </si>
  <si>
    <t>260120-1-3031-SB1-2</t>
  </si>
  <si>
    <t>7690140XP</t>
  </si>
  <si>
    <t>7690141XP</t>
  </si>
  <si>
    <t>260120-2-3031-SB1-2</t>
  </si>
  <si>
    <t>7690142XP</t>
  </si>
  <si>
    <t>260121-1-3031-SB1-2</t>
  </si>
  <si>
    <t>7690143P</t>
  </si>
  <si>
    <t>7690144XP</t>
  </si>
  <si>
    <t>260121-2-3031-SB1-2</t>
  </si>
  <si>
    <t>7690145XP</t>
  </si>
  <si>
    <t>ZCB20XSHIED4000X07</t>
  </si>
  <si>
    <t>กระเบื้องเพรสทีจ เคลาดี เกรย์</t>
  </si>
  <si>
    <t>PRESTIGE TILE CLOUDY GREY</t>
  </si>
  <si>
    <t>260122-1-3031-SB1-2</t>
  </si>
  <si>
    <t>7690146XP</t>
  </si>
  <si>
    <t>7690147XP</t>
  </si>
  <si>
    <t>260122-2-3031-SB1-2</t>
  </si>
  <si>
    <t>7690148P</t>
  </si>
  <si>
    <t>260123-2-3031-SB1-2</t>
  </si>
  <si>
    <t>7690149P</t>
  </si>
  <si>
    <t>7690150XP</t>
  </si>
  <si>
    <t>260123-1-3031-SB1-2</t>
  </si>
  <si>
    <t>7690151XP</t>
  </si>
  <si>
    <t>7680152XP</t>
  </si>
  <si>
    <t>260124-2-3031-SB1-2</t>
  </si>
  <si>
    <t>7690153XP</t>
  </si>
  <si>
    <t>260126-2-3031-SB1-2</t>
  </si>
  <si>
    <t>7690154XP</t>
  </si>
  <si>
    <t>260127-1-3031-SB1-2</t>
  </si>
  <si>
    <t>7690155P</t>
  </si>
  <si>
    <t>7690156XP</t>
  </si>
  <si>
    <t>260127-2-3031-SB1-2</t>
  </si>
  <si>
    <t>7690157XP</t>
  </si>
  <si>
    <t>260128-1-3031-SB1-2</t>
  </si>
  <si>
    <t>7690158XP</t>
  </si>
  <si>
    <t>7690159XP</t>
  </si>
  <si>
    <t>ZCB10SPESCP1000S08</t>
  </si>
  <si>
    <t>ก/บ คอนกรีตSCG C สมูทพลัส+ สีชาโดว์ เกรย์</t>
  </si>
  <si>
    <t>SCG CONCRETE C SMOOTH PLUS+ SHADOW GREY</t>
  </si>
  <si>
    <t>SB1-1</t>
  </si>
  <si>
    <t>260105-1-3031-SB1-1</t>
  </si>
  <si>
    <t>3690101SP</t>
  </si>
  <si>
    <t>ZCB10SPEE002000B12</t>
  </si>
  <si>
    <t>ก/บ คอนกรีตSCG นีโอคลาสสีเงินไททาเนี่ยม</t>
  </si>
  <si>
    <t>SCG CONCRETE NEOCLASS SILVER TITANIUM</t>
  </si>
  <si>
    <t>3690102P</t>
  </si>
  <si>
    <t>ZCB10STDA001000A11</t>
  </si>
  <si>
    <t>ก/บ คอนกรีตSCGเซ็น สีเทาปีกนางนวล</t>
  </si>
  <si>
    <t>SCG CONCRETE CEN SEAGULL GREY</t>
  </si>
  <si>
    <t>260105-2-3031-SB1-1</t>
  </si>
  <si>
    <t>3690103P</t>
  </si>
  <si>
    <t>260106-1-3031-SB1-1</t>
  </si>
  <si>
    <t>3690104P</t>
  </si>
  <si>
    <t>ZCB10SPEGEO2000G51</t>
  </si>
  <si>
    <t>ก/บ คอนกรีตSCG จีโอสไตล์ สีลิกไนต์ เกรย์</t>
  </si>
  <si>
    <t>SCG CONCRETE GEO STYLE LIGNITE GREY</t>
  </si>
  <si>
    <t>3690105P</t>
  </si>
  <si>
    <t>ZCB10SPESCP1000S07</t>
  </si>
  <si>
    <t>ก/บ คอนกรีตSCG C สมูทพลัส+ สีคูล เกรย์</t>
  </si>
  <si>
    <t>SCG CONCRETE C SMOOTH PLUS+ COOL GREY</t>
  </si>
  <si>
    <t>260107-1-3031-SB1-1</t>
  </si>
  <si>
    <t>3690106SP</t>
  </si>
  <si>
    <t>ZCB10STDA002000A14</t>
  </si>
  <si>
    <t>ก/บ คอนกรีตSCGเอลาบา สีน้ำตาลโอ๊คแดง</t>
  </si>
  <si>
    <t>SCG CONCRETE ELABANA BROWN OAK</t>
  </si>
  <si>
    <t>3690107P</t>
  </si>
  <si>
    <t>ZCB10SPESC01000S08</t>
  </si>
  <si>
    <t>ก/บ คอนกรีตSCG C สมูทคูล สีชาโดว์ เกรย์</t>
  </si>
  <si>
    <t>SCG CONCRETE C SMOOTH COOL SHADOW GREY</t>
  </si>
  <si>
    <t>260107-2-3031-SB1-1</t>
  </si>
  <si>
    <t>3690108P</t>
  </si>
  <si>
    <t>260108-1-3031-SB1-1</t>
  </si>
  <si>
    <t>3690109P</t>
  </si>
  <si>
    <t>ZCBT1SPEB001DU0T03</t>
  </si>
  <si>
    <t>ก/บคอนกรีตดูร่าลอนเศรษฐี ส้มรุ่งอรุณ</t>
  </si>
  <si>
    <t>260108-2-3031-SB1-1</t>
  </si>
  <si>
    <t>3690110P</t>
  </si>
  <si>
    <t>ZCBT1SPEB001DU0T04</t>
  </si>
  <si>
    <t>ก/บคอนกรีตดูร่าลอนเศรษฐี เทามงคล</t>
  </si>
  <si>
    <t>3690111P</t>
  </si>
  <si>
    <t>260109-1-3031-SB1-1</t>
  </si>
  <si>
    <t>3690112SP</t>
  </si>
  <si>
    <t>3690113P</t>
  </si>
  <si>
    <t>260109-2-3031-SB1-1</t>
  </si>
  <si>
    <t>3690114P</t>
  </si>
  <si>
    <t>260110-1-3031-SB1-1</t>
  </si>
  <si>
    <t>3690115P</t>
  </si>
  <si>
    <t>ZCB10SPESCP1000S09</t>
  </si>
  <si>
    <t>ก/บ คอนกรีตSCG C สมูทพลัส+ สีแกรนิตบราวน์</t>
  </si>
  <si>
    <t>SCG CONCRETE C SMOOTH PLUS+ GRANITEBROWN</t>
  </si>
  <si>
    <t>260112-1-3031-SB1-1</t>
  </si>
  <si>
    <t>3690116SP</t>
  </si>
  <si>
    <t>ZCB10STDZ002000A12</t>
  </si>
  <si>
    <t>ก/บคอนกรีตSCG E แดงกุหลาบ*P</t>
  </si>
  <si>
    <t>SCG CC ELA RED *P</t>
  </si>
  <si>
    <t>3690117P</t>
  </si>
  <si>
    <t>260112-2-3031-SB1-1</t>
  </si>
  <si>
    <t>3690118P</t>
  </si>
  <si>
    <t>260113-1-3031-SB1-1</t>
  </si>
  <si>
    <t>3690119P</t>
  </si>
  <si>
    <t>3690120P</t>
  </si>
  <si>
    <t>260114-1-3031-SB1-1</t>
  </si>
  <si>
    <t>3690121SP</t>
  </si>
  <si>
    <t>3690122P</t>
  </si>
  <si>
    <t>260114-2-3031-SB1-1</t>
  </si>
  <si>
    <t>3690123P</t>
  </si>
  <si>
    <t>ZCB10SPESC01000S11</t>
  </si>
  <si>
    <t>ก/บ คอนกรีตSCG C สมูทคูล สีคลาสสิค บลู</t>
  </si>
  <si>
    <t>SCG CONCRETE C SMOOTH COOL CLASSIC BLUE</t>
  </si>
  <si>
    <t>260115-1-3031-SB1-1</t>
  </si>
  <si>
    <t>3690124P</t>
  </si>
  <si>
    <t>ZCB10SPEA002000F06</t>
  </si>
  <si>
    <t>ก/บหลังคาซีแพคSCG E น้ำเงินรุ่งเรือง</t>
  </si>
  <si>
    <t>SCG CC ELA OCEAN BLUE</t>
  </si>
  <si>
    <t>3690125P</t>
  </si>
  <si>
    <t>3690126P</t>
  </si>
  <si>
    <t>260116-1-3031-SB1-1</t>
  </si>
  <si>
    <t>3690127SP</t>
  </si>
  <si>
    <t>260116-2-3031-SB1-1</t>
  </si>
  <si>
    <t>3690128P</t>
  </si>
  <si>
    <t>ZCB10SPESC01000S15</t>
  </si>
  <si>
    <t>ก/บ คอนกรีตSCG C สมูทคูล สีแอชเกรย์</t>
  </si>
  <si>
    <t>SCG CONCRETE C SMOOTH COOL ASH GREY</t>
  </si>
  <si>
    <t>3690129P</t>
  </si>
  <si>
    <t>ZCBT1STDA001DU0T01</t>
  </si>
  <si>
    <t>ก/บคอนกรีตดูร่าลอนเศรษฐี แดงมหาลาภ</t>
  </si>
  <si>
    <t>DURACTSetti curve Red Mahalarp</t>
  </si>
  <si>
    <t>260119-2-3031-SB1-1</t>
  </si>
  <si>
    <t>3690130P</t>
  </si>
  <si>
    <t>3690131P</t>
  </si>
  <si>
    <t>260120-1-3031-SB1-1</t>
  </si>
  <si>
    <t>3690132SP</t>
  </si>
  <si>
    <t>ZCB10STDB002000A13</t>
  </si>
  <si>
    <t>ก/บ คอนกรีตSCGเอลาบานา สีอิฐอำไพ*P</t>
  </si>
  <si>
    <t>SCG CONCRETE ELABANA TAWNY BRICK*P</t>
  </si>
  <si>
    <t>3690133P</t>
  </si>
  <si>
    <t>260120-2-3031-SB1-1</t>
  </si>
  <si>
    <t>3690134P</t>
  </si>
  <si>
    <t>260121-1-3031-SB1-1</t>
  </si>
  <si>
    <t>3690135P</t>
  </si>
  <si>
    <t>3690136P</t>
  </si>
  <si>
    <t>260122-1-3031-SB1-1</t>
  </si>
  <si>
    <t>3690137SP</t>
  </si>
  <si>
    <t>260122-2-3031-SB1-1</t>
  </si>
  <si>
    <t>3690138P</t>
  </si>
  <si>
    <t>ZCB10STDA001000A12</t>
  </si>
  <si>
    <t>ก/บคอนกรีตSCG C แดงกุหลาบ</t>
  </si>
  <si>
    <t>SCG CC CEN RED</t>
  </si>
  <si>
    <t>260123-1-3031-SB1-1</t>
  </si>
  <si>
    <t>3690139P</t>
  </si>
  <si>
    <t>260123-2-3031-SB1-1</t>
  </si>
  <si>
    <t>3690140P</t>
  </si>
  <si>
    <t>ZCBT1STDA001DU0T02</t>
  </si>
  <si>
    <t>ก/บคอนกรีตดูร่าลอนเศรษฐี น้ำตาลสัมฤทธิ์</t>
  </si>
  <si>
    <t>DURACTSetti curve Brown Sumrit</t>
  </si>
  <si>
    <t>3690141P</t>
  </si>
  <si>
    <t>260124-1-3031-SB1-1</t>
  </si>
  <si>
    <t>3690142SP</t>
  </si>
  <si>
    <t>260126-1-3031-SB1-1</t>
  </si>
  <si>
    <t>3690143SP</t>
  </si>
  <si>
    <t>ZCB10SPEA002000B11</t>
  </si>
  <si>
    <t>ก/บ คอนกรีตSCGเอลาบานา สีเขียวอินทนิล</t>
  </si>
  <si>
    <t>SCG CONCRETE ELABANA MYRTLE GREEN</t>
  </si>
  <si>
    <t>3690144P</t>
  </si>
  <si>
    <t>3690145P</t>
  </si>
  <si>
    <t>260126-2-3031-SB1-1</t>
  </si>
  <si>
    <t>3690146P</t>
  </si>
  <si>
    <t>ZCB10SPEGEO2000G53</t>
  </si>
  <si>
    <t>ก/บ คอนกรีตSCG จีโอสไตล์ สีเอิร์ธ สโตน</t>
  </si>
  <si>
    <t>SCG CONCRETE GEO STYLE EARTH STONE</t>
  </si>
  <si>
    <t>260127-1-3031-SB1-1</t>
  </si>
  <si>
    <t>3690147P</t>
  </si>
  <si>
    <t>ZCB10SPEE002000B17</t>
  </si>
  <si>
    <t>ก/บ คอนกรีตSCGรุ่นนีโอคลาสสีเทาแทนทาลัม</t>
  </si>
  <si>
    <t>SCG CONCRETE NEOCLASS TANTALUM GREY</t>
  </si>
  <si>
    <t>3690148P</t>
  </si>
  <si>
    <t>ZCB10SPESC01000S13</t>
  </si>
  <si>
    <t>ก/บ คอนกรีตSCG C สมูทคูล สีเรด บริค</t>
  </si>
  <si>
    <t>SCG CONCRETE C SMOOTH COOL RED BRICK</t>
  </si>
  <si>
    <t>260127-2-3031-SB1-1</t>
  </si>
  <si>
    <t>3690149P</t>
  </si>
  <si>
    <t>3690150P</t>
  </si>
  <si>
    <t>260128-1-3031-SB1-1</t>
  </si>
  <si>
    <t>3690151SP</t>
  </si>
  <si>
    <t>260128-2-3031-SB1-1</t>
  </si>
  <si>
    <t>3690152P</t>
  </si>
  <si>
    <t>ZCB10SPESC01000S14</t>
  </si>
  <si>
    <t>ก/บ คอนกรีตSCG C สมูทคูล สีทีค บราวน์</t>
  </si>
  <si>
    <t>SCG CONCRETE C SMOOTH COOL TEAK BROWN</t>
  </si>
  <si>
    <t>3690153P</t>
  </si>
  <si>
    <t>260129-1-3031-SB1-1</t>
  </si>
  <si>
    <t>3690154P</t>
  </si>
  <si>
    <t>260129-2-3031-SB1-1</t>
  </si>
  <si>
    <t>3690155P</t>
  </si>
  <si>
    <t>260130-1-3031-SB1-1</t>
  </si>
  <si>
    <t>3690157P</t>
  </si>
  <si>
    <t>3690156SP</t>
  </si>
  <si>
    <t>260130-2-3031-SB1-1</t>
  </si>
  <si>
    <t>3690158P</t>
  </si>
  <si>
    <t>260131-1-3031-SB1-1</t>
  </si>
  <si>
    <t>3690159SP</t>
  </si>
  <si>
    <t>260202-2-3031-SB1-1</t>
  </si>
  <si>
    <t>3690201P</t>
  </si>
  <si>
    <t>260203-1-3031-SB1-1</t>
  </si>
  <si>
    <t>3690202SP</t>
  </si>
  <si>
    <t>3690203P</t>
  </si>
  <si>
    <t>ZCB10SPEE001000B18</t>
  </si>
  <si>
    <t>ก/บ คอนกรีตSCG สีเทาเมอร์คิวรี่</t>
  </si>
  <si>
    <t>SCG CONCRETE C MERCURY GREY</t>
  </si>
  <si>
    <t>260203-2-3031-SB1-1</t>
  </si>
  <si>
    <t>3690204P</t>
  </si>
  <si>
    <t>ZCB10SPEC002000C11</t>
  </si>
  <si>
    <t>ก/บ คอนกรีตSCG รุ่นคอนแทรซ สีประกายทอง*P</t>
  </si>
  <si>
    <t>SCG CONCRETE CONTRAZZ GOLD FLASHED*P</t>
  </si>
  <si>
    <t>260204-1-3031-SB1-1</t>
  </si>
  <si>
    <t>3690205P</t>
  </si>
  <si>
    <t>ZCB10SPEC002000C15</t>
  </si>
  <si>
    <t>ก/บ คอนกรีตSCG รุ่นคอนแทรซ สีประกายโกเมน*P</t>
  </si>
  <si>
    <t>SCG CONCRETE CONTRAZZ GARNET FLASHED*P</t>
  </si>
  <si>
    <t>3690206P</t>
  </si>
  <si>
    <t>260204-2-3031-SB1-1</t>
  </si>
  <si>
    <t>3690207P</t>
  </si>
  <si>
    <t>260205-1-3031-SB1-1</t>
  </si>
  <si>
    <t>3690208SP</t>
  </si>
  <si>
    <t>3690209P</t>
  </si>
  <si>
    <t>260205-2-3031-SB1-1</t>
  </si>
  <si>
    <t>3690210P</t>
  </si>
  <si>
    <t>ZCB10SPEGEO2000G52</t>
  </si>
  <si>
    <t>ก/บ คอนกรีตSCG จีโอสไตล สีดาร์ค คอปเปอร์</t>
  </si>
  <si>
    <t>SCG CONCRETE GEOO STYLE DARK COPPER</t>
  </si>
  <si>
    <t>260206-1-3031-SB1-1</t>
  </si>
  <si>
    <t>3690211P</t>
  </si>
  <si>
    <t>3690212P</t>
  </si>
  <si>
    <t>260206-2-3031-SB1-1</t>
  </si>
  <si>
    <t>3690213P</t>
  </si>
  <si>
    <t>260207-1-3031-SB1-1</t>
  </si>
  <si>
    <t>3690214SP</t>
  </si>
  <si>
    <t>260209-1-3031-SB1-1</t>
  </si>
  <si>
    <t>3690215SP</t>
  </si>
  <si>
    <t>3690216P</t>
  </si>
  <si>
    <t>260209-2-3031-SB1-1</t>
  </si>
  <si>
    <t>3690217P</t>
  </si>
  <si>
    <t>3690218P</t>
  </si>
  <si>
    <t>260210-2-3031-SB1-1</t>
  </si>
  <si>
    <t>3690220P</t>
  </si>
  <si>
    <t>260210-1-3031-SB1-1</t>
  </si>
  <si>
    <t>3690219P</t>
  </si>
  <si>
    <t>260211-1-3031-SB1-1</t>
  </si>
  <si>
    <t>3690221SP</t>
  </si>
  <si>
    <t>3690222P</t>
  </si>
  <si>
    <t>260211-2-3031-SB1-1</t>
  </si>
  <si>
    <t>3690223P</t>
  </si>
  <si>
    <t>260212-1-3031-SB1-1</t>
  </si>
  <si>
    <t>3690224SP</t>
  </si>
  <si>
    <t>260212-2-3031-SB1-1</t>
  </si>
  <si>
    <t>3690225P</t>
  </si>
  <si>
    <t>260213-1-3031-SB1-1</t>
  </si>
  <si>
    <t>3690226SP</t>
  </si>
  <si>
    <t>3690227P</t>
  </si>
  <si>
    <t>260213-2-3031-SB1-1</t>
  </si>
  <si>
    <t>3690228P</t>
  </si>
  <si>
    <t>ZCB20XSHIED4000X09</t>
  </si>
  <si>
    <t>กระเบื้องเพรสทีจ ดีพ ฟอร์เรสท์</t>
  </si>
  <si>
    <t>PRESTIGE TILE DEEP FOREST</t>
  </si>
  <si>
    <t>260128-2-3031-SB1-2</t>
  </si>
  <si>
    <t>7690160XP</t>
  </si>
  <si>
    <t>260129-1-3031-SB1-2</t>
  </si>
  <si>
    <t>7690161P</t>
  </si>
  <si>
    <t>7690162XP</t>
  </si>
  <si>
    <t>260129-2-3031-SB1-2</t>
  </si>
  <si>
    <t>7690163P</t>
  </si>
  <si>
    <t>7690164XP</t>
  </si>
  <si>
    <t>260130-2-3031-SB1-2</t>
  </si>
  <si>
    <t>7690167XP</t>
  </si>
  <si>
    <t>7690168XP</t>
  </si>
  <si>
    <t>ZCB20NATA004000N48</t>
  </si>
  <si>
    <t xml:space="preserve">กระเบื้อง เพรสทีจ สีเทามิราเคิล </t>
  </si>
  <si>
    <t>PRESTIGE TILE MIRACLE GREY</t>
  </si>
  <si>
    <t>260130-1-3031-SB1-2</t>
  </si>
  <si>
    <t>7690165P</t>
  </si>
  <si>
    <t>7690166XP</t>
  </si>
  <si>
    <t>260214-1-3031-SB1-1</t>
  </si>
  <si>
    <t>3690229P</t>
  </si>
  <si>
    <t>260216-2-3031-SB1-1</t>
  </si>
  <si>
    <t>3690230P</t>
  </si>
  <si>
    <t>260131-1-3031-SB1-2</t>
  </si>
  <si>
    <t>7690169XP</t>
  </si>
  <si>
    <t>3690231P</t>
  </si>
  <si>
    <t>260217-1-3031-SB1-1</t>
  </si>
  <si>
    <t>3690232SP</t>
  </si>
  <si>
    <t>260131-2-3031-SB1-2</t>
  </si>
  <si>
    <t>7690170XP</t>
  </si>
  <si>
    <t>260202-1-3031-SB1-2</t>
  </si>
  <si>
    <t>7690201XP</t>
  </si>
  <si>
    <t>ZCB20XSHIED4000L05</t>
  </si>
  <si>
    <t>กระเบื้องเพรสทีจ สลิม เคลาดี้ เกรย์</t>
  </si>
  <si>
    <t>PRESTIGE SLIM TILE CLOUDY GREY</t>
  </si>
  <si>
    <t>7690202XP</t>
  </si>
  <si>
    <t>3690233P</t>
  </si>
  <si>
    <t>260217-2-3031-SB1-1</t>
  </si>
  <si>
    <t>3690234P</t>
  </si>
  <si>
    <t>260202-2-3031-SB1-2</t>
  </si>
  <si>
    <t>7690203P</t>
  </si>
  <si>
    <t>260203-1-3031-SB1-2</t>
  </si>
  <si>
    <t>7690204XP</t>
  </si>
  <si>
    <t>260218-2-3031-SB1-1</t>
  </si>
  <si>
    <t>3690236P</t>
  </si>
  <si>
    <t>3690237P</t>
  </si>
  <si>
    <t>260203-2-3031-SB1-2</t>
  </si>
  <si>
    <t>7690205XP</t>
  </si>
  <si>
    <t>260204-1-3031-SB1-2</t>
  </si>
  <si>
    <t>7690206XP</t>
  </si>
  <si>
    <t>260218-1-3031-SB1-1</t>
  </si>
  <si>
    <t>3690235SP</t>
  </si>
  <si>
    <t>260219-1-3031-SB1-1</t>
  </si>
  <si>
    <t>3690238SP</t>
  </si>
  <si>
    <t>3690239P</t>
  </si>
  <si>
    <t>7690207XP</t>
  </si>
  <si>
    <t>260219-2-3031-SB1-1</t>
  </si>
  <si>
    <t>3690240P</t>
  </si>
  <si>
    <t>260220-1-3031-SB1-1</t>
  </si>
  <si>
    <t>3690241SP</t>
  </si>
  <si>
    <t>260204-2-3031-SB1-2</t>
  </si>
  <si>
    <t>7690208XP</t>
  </si>
  <si>
    <t>260205-1-3031-SB1-2</t>
  </si>
  <si>
    <t>7690209XP</t>
  </si>
  <si>
    <t>7690210XP</t>
  </si>
  <si>
    <t>ZCB10SPEC002000C12</t>
  </si>
  <si>
    <t>ก/บ คอนกรีตSCG รุ่นคอนแทรซ สีประกายตะวัน*P</t>
  </si>
  <si>
    <t>SCG CONCRETE CONTRAZZ RED FLASHED*P</t>
  </si>
  <si>
    <t>260220-2-3031-SB1-1</t>
  </si>
  <si>
    <t>3690242P</t>
  </si>
  <si>
    <t>3690243P</t>
  </si>
  <si>
    <t>260221-1-3031-SB1-1</t>
  </si>
  <si>
    <t>3690244SP</t>
  </si>
  <si>
    <t>ZCB20XSHIED4000X01</t>
  </si>
  <si>
    <t>กระเบื้องเพรสทีจ ฮาร์โมนี่ เคลย์</t>
  </si>
  <si>
    <t>PRESTIGE TILE HARMONY CLAY</t>
  </si>
  <si>
    <t>260205-2-3031-SB1-2</t>
  </si>
  <si>
    <t>7690211XP</t>
  </si>
  <si>
    <t>260206-1-3031-SB1-2</t>
  </si>
  <si>
    <t>7690212P</t>
  </si>
  <si>
    <t>260223-1-3031-SB1-1</t>
  </si>
  <si>
    <t>3690245SP</t>
  </si>
  <si>
    <t>7690213XP</t>
  </si>
  <si>
    <t>260206-2-3031-SB1-2</t>
  </si>
  <si>
    <t>7690214XP</t>
  </si>
  <si>
    <t>260207-2-3031-SB1-2</t>
  </si>
  <si>
    <t>7690215XP</t>
  </si>
  <si>
    <t>260223-2-3031-SB1-1</t>
  </si>
  <si>
    <t>3690246P</t>
  </si>
  <si>
    <t>3690247P</t>
  </si>
  <si>
    <t>260224-1-3031-SB1-1</t>
  </si>
  <si>
    <t>3690248SP</t>
  </si>
  <si>
    <t>260207-1-3031-SB1-2</t>
  </si>
  <si>
    <t>7690216XP</t>
  </si>
  <si>
    <t>260209-2-3031-SB1-2</t>
  </si>
  <si>
    <t>7690217P</t>
  </si>
  <si>
    <t>260224-2-3031-SB1-1</t>
  </si>
  <si>
    <t>3690249P</t>
  </si>
  <si>
    <t>3690250P</t>
  </si>
  <si>
    <t>260225-1-3031-SB1-1</t>
  </si>
  <si>
    <t>3690251SP</t>
  </si>
  <si>
    <t>7690218P</t>
  </si>
  <si>
    <t>260210-1-3031-SB1-2</t>
  </si>
  <si>
    <t>7690220P</t>
  </si>
  <si>
    <t>3690252P</t>
  </si>
  <si>
    <t>260225-2-3031-SB1-1</t>
  </si>
  <si>
    <t>3690253P</t>
  </si>
  <si>
    <t>260226-1-3031-SB1-1</t>
  </si>
  <si>
    <t>3690254SP</t>
  </si>
  <si>
    <t>7680219XP</t>
  </si>
  <si>
    <t>ZCB20NATA004000N33</t>
  </si>
  <si>
    <t>กระเบื้องเพรสทีจ โกลเด้น บราวน์*P</t>
  </si>
  <si>
    <t>PRESTIGE TILE Golden Brown*P</t>
  </si>
  <si>
    <t>260210-2-3031-SB1-2</t>
  </si>
  <si>
    <t>7690221P</t>
  </si>
  <si>
    <t>260211-1-3031-SB1-2</t>
  </si>
  <si>
    <t>7690222XP</t>
  </si>
  <si>
    <t>7690223XP</t>
  </si>
  <si>
    <t>260226-2-3031-SB1-1</t>
  </si>
  <si>
    <t>3690255P</t>
  </si>
  <si>
    <t>260227-1-3031-SB1-1</t>
  </si>
  <si>
    <t>3690256SP</t>
  </si>
  <si>
    <t>3690257P</t>
  </si>
  <si>
    <t>260211-2-3031-SB1-2</t>
  </si>
  <si>
    <t>7690224XP</t>
  </si>
  <si>
    <t>7690225P</t>
  </si>
  <si>
    <t>260212-1-3031-SB1-2</t>
  </si>
  <si>
    <t>7690226P</t>
  </si>
  <si>
    <t>7690227XP</t>
  </si>
  <si>
    <t>260227-2-3031-SB1-1</t>
  </si>
  <si>
    <t>3690258P</t>
  </si>
  <si>
    <t>260228-1-3031-SB1-1</t>
  </si>
  <si>
    <t>3690259SP</t>
  </si>
  <si>
    <t>260212-2-3031-SB1-2</t>
  </si>
  <si>
    <t>7690228XP</t>
  </si>
  <si>
    <t>ZCB20NATB004000N37</t>
  </si>
  <si>
    <t>กระเบื้องเพรสทีจ พิวเตอร์ เกรย์*P</t>
  </si>
  <si>
    <t>PRESTIGE TILE PEWTER GREY*P</t>
  </si>
  <si>
    <t>260213-1-3031-SB1-2</t>
  </si>
  <si>
    <t>7690229P</t>
  </si>
  <si>
    <t>7690230XP</t>
  </si>
  <si>
    <t>260213-2-3031-SB1-2</t>
  </si>
  <si>
    <t>7690231XP</t>
  </si>
  <si>
    <t>260228-2-3031-SB1-1</t>
  </si>
  <si>
    <t>3690260P</t>
  </si>
  <si>
    <t>3690261P</t>
  </si>
  <si>
    <t>260302-2-3031-SB1-1</t>
  </si>
  <si>
    <t>3690301SP</t>
  </si>
  <si>
    <t>7690232P</t>
  </si>
  <si>
    <t>3690302P</t>
  </si>
  <si>
    <t>260303-1-3031-SB1-1</t>
  </si>
  <si>
    <t>3690303SP</t>
  </si>
  <si>
    <t>260214-1-3031-SB1-2</t>
  </si>
  <si>
    <t>7690233XP</t>
  </si>
  <si>
    <t>260214-2-3031-SB1-2</t>
  </si>
  <si>
    <t>7690234XP</t>
  </si>
  <si>
    <t>260216-1-3031-SB1-2</t>
  </si>
  <si>
    <t>7690235P</t>
  </si>
  <si>
    <t>7690236XP</t>
  </si>
  <si>
    <t>260303-2-3031-SB1-1</t>
  </si>
  <si>
    <t>3690304P</t>
  </si>
  <si>
    <t>3690305P</t>
  </si>
  <si>
    <t>260304-1-3031-SB1-1</t>
  </si>
  <si>
    <t>3690308SP</t>
  </si>
  <si>
    <t>7690237XP</t>
  </si>
  <si>
    <t>ZCB10SPESCP1000S14</t>
  </si>
  <si>
    <t>ก/บ คอนกรีตSCG C สมูทพลัส+ สีทีค บราวน์</t>
  </si>
  <si>
    <t>SCG CONCRETE C SMOOTH PLUS+ TEAK BROWN</t>
  </si>
  <si>
    <t>3690306SP</t>
  </si>
  <si>
    <t>ZCB10SPESCP1000S15</t>
  </si>
  <si>
    <t>ก/บ คอนกรีตSCG C สมูทพลัส+ สีแอชเกรย์</t>
  </si>
  <si>
    <t>SCG CONCRETE C SMOOTH PLUS+ ASH GREY</t>
  </si>
  <si>
    <t>3690307SP</t>
  </si>
  <si>
    <t>260304-2-3031-SB1-1</t>
  </si>
  <si>
    <t>3690309P</t>
  </si>
  <si>
    <t>260216-2-3031-SB1-2</t>
  </si>
  <si>
    <t>7690238XP</t>
  </si>
  <si>
    <t>260217-1-3031-SB1-2</t>
  </si>
  <si>
    <t>7690239P</t>
  </si>
  <si>
    <t>7690240XP</t>
  </si>
  <si>
    <t>3690310P</t>
  </si>
  <si>
    <t>260305-1-3031-SB1-1</t>
  </si>
  <si>
    <t>3690311SP</t>
  </si>
  <si>
    <t>260305-2-3031-SB1-1</t>
  </si>
  <si>
    <t>3690312P</t>
  </si>
  <si>
    <t>260217-2-3031-SB1-2</t>
  </si>
  <si>
    <t>7690241XP</t>
  </si>
  <si>
    <t>260218-1-3031-SB1-2</t>
  </si>
  <si>
    <t>7690242XP</t>
  </si>
  <si>
    <t>260306-1-3031-SB1-1</t>
  </si>
  <si>
    <t>3690313SP</t>
  </si>
  <si>
    <t>ZCB10STDA002000A18</t>
  </si>
  <si>
    <t xml:space="preserve">ก/บ คอนกรีตSCG สีน้ำตาลจูปิเตอร์ </t>
  </si>
  <si>
    <t>SCG CONCRETE E JUPITER BROWN</t>
  </si>
  <si>
    <t>3690314P</t>
  </si>
  <si>
    <t>3690315P</t>
  </si>
  <si>
    <t>7690243XP</t>
  </si>
  <si>
    <t>260306-2-3031-SB1-1</t>
  </si>
  <si>
    <t>3690316P</t>
  </si>
  <si>
    <t>260307-1-3031-SB1-1</t>
  </si>
  <si>
    <t>3690317SP</t>
  </si>
  <si>
    <t>260218-2-3031-SB1-2</t>
  </si>
  <si>
    <t>7690244XP</t>
  </si>
  <si>
    <t>260219-1-3031-SB1-2</t>
  </si>
  <si>
    <t>7690245P</t>
  </si>
  <si>
    <t>7690246XP</t>
  </si>
  <si>
    <t>260307-2-3031-SB1-1</t>
  </si>
  <si>
    <t>3690318P</t>
  </si>
  <si>
    <t>260309-1-3031-SB1-1</t>
  </si>
  <si>
    <t>3690319SP</t>
  </si>
  <si>
    <t>3690320P</t>
  </si>
  <si>
    <t>260219-2-3031-SB1-2</t>
  </si>
  <si>
    <t>7690247P</t>
  </si>
  <si>
    <t>260220-1-3031-SB1-2</t>
  </si>
  <si>
    <t>7690248P</t>
  </si>
  <si>
    <t>7690249XP</t>
  </si>
  <si>
    <t>3690321P</t>
  </si>
  <si>
    <t>260309-2-3031-SB1-1</t>
  </si>
  <si>
    <t>3690322P</t>
  </si>
  <si>
    <t>260310-1-3031-SB1-1</t>
  </si>
  <si>
    <t>3690323SP</t>
  </si>
  <si>
    <t>260220-2-3031-SB1-2</t>
  </si>
  <si>
    <t>7690250XP</t>
  </si>
  <si>
    <t>260221-1-3031-SB1-2</t>
  </si>
  <si>
    <t>7690251XP</t>
  </si>
  <si>
    <t>7690252XP</t>
  </si>
  <si>
    <t>260310-2-3031-SB1-1</t>
  </si>
  <si>
    <t>3690324P</t>
  </si>
  <si>
    <t>3690325P</t>
  </si>
  <si>
    <t>260311-1-3031-SB1-1</t>
  </si>
  <si>
    <t>3690326SP</t>
  </si>
  <si>
    <t>260221-2-3031-SB1-2</t>
  </si>
  <si>
    <t>7690253XP</t>
  </si>
  <si>
    <t>260223-2-3031-SB1-2</t>
  </si>
  <si>
    <t>7690254P</t>
  </si>
  <si>
    <t>260224-1-3031-SB1-2</t>
  </si>
  <si>
    <t>7690255P</t>
  </si>
  <si>
    <t>7690256XP</t>
  </si>
  <si>
    <t>7690257XP</t>
  </si>
  <si>
    <t>260224-2-3031-SB1-2</t>
  </si>
  <si>
    <t>7690258XP</t>
  </si>
  <si>
    <t>260311-2-3031-SB1-1</t>
  </si>
  <si>
    <t>3690327P</t>
  </si>
  <si>
    <t>3690328P</t>
  </si>
  <si>
    <t>3690329P</t>
  </si>
  <si>
    <t>260225-1-3031-SB1-2</t>
  </si>
  <si>
    <t>7690259XP</t>
  </si>
  <si>
    <t>7690260XP</t>
  </si>
  <si>
    <t>260225-2-3031-SB1-2</t>
  </si>
  <si>
    <t>7690261XP</t>
  </si>
  <si>
    <t>7690262P</t>
  </si>
  <si>
    <t>260226-1-3031-SB1-2</t>
  </si>
  <si>
    <t>7690263P</t>
  </si>
  <si>
    <t>260312-1-3031-SB1-1</t>
  </si>
  <si>
    <t>3690330P</t>
  </si>
  <si>
    <t>3690331P</t>
  </si>
  <si>
    <t>260312-2-3031-SB1-1</t>
  </si>
  <si>
    <t>3690332P</t>
  </si>
  <si>
    <t>7690264XP</t>
  </si>
  <si>
    <t>260313-1-3031-SB1-1</t>
  </si>
  <si>
    <t>3690333SP</t>
  </si>
  <si>
    <t>3690334P</t>
  </si>
  <si>
    <t>260313-2-3031-SB1-1</t>
  </si>
  <si>
    <t>3690335P</t>
  </si>
  <si>
    <t>260226-2-3031-SB1-2</t>
  </si>
  <si>
    <t>7690265P</t>
  </si>
  <si>
    <t>260227-1-3031-SB1-2</t>
  </si>
  <si>
    <t>7690266P</t>
  </si>
  <si>
    <t>7690267XP</t>
  </si>
  <si>
    <t>260314-1-3031-SB1-1</t>
  </si>
  <si>
    <t>3690336SP</t>
  </si>
  <si>
    <t>3690337P</t>
  </si>
  <si>
    <t>260227-2-3031-SB1-2</t>
  </si>
  <si>
    <t>7690268P</t>
  </si>
  <si>
    <t>260228-1-3031-SB1-2</t>
  </si>
  <si>
    <t>7690269XP</t>
  </si>
  <si>
    <t>260316-2-3031-SB1-1</t>
  </si>
  <si>
    <t>3690338SP</t>
  </si>
  <si>
    <t>3690339P</t>
  </si>
  <si>
    <t>7690270XP</t>
  </si>
  <si>
    <t>260228-2-3031-SB1-2</t>
  </si>
  <si>
    <t>7690271XP</t>
  </si>
  <si>
    <t>260302-1-3031-SB1-2</t>
  </si>
  <si>
    <t>7690301P</t>
  </si>
  <si>
    <t>3690340P</t>
  </si>
  <si>
    <t>260317-2-3031-SB1-1</t>
  </si>
  <si>
    <t>3690344P</t>
  </si>
  <si>
    <t>3690345P</t>
  </si>
  <si>
    <t>ZCB20XSHIED4000L03</t>
  </si>
  <si>
    <t>กระเบื้องเพรสทีจ สลิม มิดไนท์ เกรย์</t>
  </si>
  <si>
    <t>PRESTIGE SLIM TILE MIDNIGHT GREY</t>
  </si>
  <si>
    <t>7690302P</t>
  </si>
  <si>
    <t>ZCB10SPESCP1000S13</t>
  </si>
  <si>
    <t>ก/บ คอนกรีตSCG C สมูทพลัส+ สีเรด บริค</t>
  </si>
  <si>
    <t>SCG CONCRETE C SMOOTH PLUS+ RED BRICK</t>
  </si>
  <si>
    <t>260317-1-3031-SB1-1</t>
  </si>
  <si>
    <t>3690341SP</t>
  </si>
  <si>
    <t>ZCB10SPESCP1000S11</t>
  </si>
  <si>
    <t>ก/บ คอนกรีตSCG C สมูทพลัส+ สีคลาสสิค บลู</t>
  </si>
  <si>
    <t>SCG CONCRETE C SMOOTH PLUS+ CLASSIC BLUE</t>
  </si>
  <si>
    <t>3690342SP</t>
  </si>
  <si>
    <t>3690343SP</t>
  </si>
  <si>
    <t>260302-2-3031-SB1-2</t>
  </si>
  <si>
    <t>7690303P</t>
  </si>
  <si>
    <t>260303-1-3031-SB1-2</t>
  </si>
  <si>
    <t>7690304XP</t>
  </si>
  <si>
    <t>260318-1-3031-SB1-1</t>
  </si>
  <si>
    <t>3690346SP</t>
  </si>
  <si>
    <t>260318-2-3031-SB1-1</t>
  </si>
  <si>
    <t>3690347P</t>
  </si>
  <si>
    <t>7690305XP</t>
  </si>
  <si>
    <t>260303-2-3031-SB1-2</t>
  </si>
  <si>
    <t>7690306XP</t>
  </si>
  <si>
    <t>260319-1-3031-SB1-1</t>
  </si>
  <si>
    <t>3690348SP</t>
  </si>
  <si>
    <t>3690349P</t>
  </si>
  <si>
    <t>260319-2-3031-SB1-1</t>
  </si>
  <si>
    <t>3690350P</t>
  </si>
  <si>
    <t>260304-1-3031-SB1-2</t>
  </si>
  <si>
    <t>7690307P</t>
  </si>
  <si>
    <t>260320-1-3031-SB1-1</t>
  </si>
  <si>
    <t>3690351SP</t>
  </si>
  <si>
    <t>260320-2-3031-SB1-1</t>
  </si>
  <si>
    <t>3690352P</t>
  </si>
  <si>
    <t>260321-1-3031-SB1-1</t>
  </si>
  <si>
    <t>3690353SP</t>
  </si>
  <si>
    <t>7690308P</t>
  </si>
  <si>
    <t>260304-2-3031-SB1-2</t>
  </si>
  <si>
    <t>7690309XP</t>
  </si>
  <si>
    <t>260305-1-3031-SB1-2</t>
  </si>
  <si>
    <t>7690310P</t>
  </si>
  <si>
    <t>260305-2-3031-SB1-2</t>
  </si>
  <si>
    <t>7690311P</t>
  </si>
  <si>
    <t>260321-2-3031-SB1-1</t>
  </si>
  <si>
    <t>3690354P</t>
  </si>
  <si>
    <t>260323-1-3031-SB1-1</t>
  </si>
  <si>
    <t>3690355SP</t>
  </si>
  <si>
    <t>3690356P</t>
  </si>
  <si>
    <t>260323-2-3031-SB1-1</t>
  </si>
  <si>
    <t>3690357P</t>
  </si>
  <si>
    <t>260324-1-3031-SB1-1</t>
  </si>
  <si>
    <t>3690358P</t>
  </si>
  <si>
    <t>260324-2-3031-SB1-1</t>
  </si>
  <si>
    <t>3690359P</t>
  </si>
  <si>
    <t>7690312P</t>
  </si>
  <si>
    <t>260306-1-3031-SB1-2</t>
  </si>
  <si>
    <t>7690313P</t>
  </si>
  <si>
    <t>7690314XP</t>
  </si>
  <si>
    <t>260306-2-3031-SB1-2</t>
  </si>
  <si>
    <t>7690315XP</t>
  </si>
  <si>
    <t>260325-1-3031-SB1-1</t>
  </si>
  <si>
    <t>3690360SP</t>
  </si>
  <si>
    <t>3690361P</t>
  </si>
  <si>
    <t>3690362P</t>
  </si>
  <si>
    <t>260307-1-3031-SB1-2</t>
  </si>
  <si>
    <t>7690316XP</t>
  </si>
  <si>
    <t>260325-2-3031-SB1-1</t>
  </si>
  <si>
    <t>3690363P</t>
  </si>
  <si>
    <t>260326-1-3031-SB1-1</t>
  </si>
  <si>
    <t>3690364P</t>
  </si>
  <si>
    <t>7690317XP</t>
  </si>
  <si>
    <t>260307-2-3031-SB1-2</t>
  </si>
  <si>
    <t>7690318XP</t>
  </si>
  <si>
    <t>260326-2-3031-SB1-1</t>
  </si>
  <si>
    <t>3690365P</t>
  </si>
  <si>
    <t>ZCB10SPEA002000F07</t>
  </si>
  <si>
    <t>ก/บหลังคาซีแพคSCG E น้ำเงิน เอพี</t>
  </si>
  <si>
    <t>SCG CC ELA AP BLUE</t>
  </si>
  <si>
    <t>3690366P</t>
  </si>
  <si>
    <t>260327-1-3031-SB1-1</t>
  </si>
  <si>
    <t>3690367SP</t>
  </si>
  <si>
    <t>260309-2-3031-SB1-2</t>
  </si>
  <si>
    <t>7690319XP</t>
  </si>
  <si>
    <t>260310-1-3031-SB1-2</t>
  </si>
  <si>
    <t>7690320XP</t>
  </si>
  <si>
    <t>3690368P</t>
  </si>
  <si>
    <t>ZCB10STDA002000A19</t>
  </si>
  <si>
    <t>ก/บ คอนกรีตSCG สีแดงเรดซัน</t>
  </si>
  <si>
    <t>SCG CONCRETE E RED SUN</t>
  </si>
  <si>
    <t>3690369P</t>
  </si>
  <si>
    <t>260327-2-3031-SB1-1</t>
  </si>
  <si>
    <t>3690370P</t>
  </si>
  <si>
    <t>7690321XP</t>
  </si>
  <si>
    <t>260310-2-3031-SB1-2</t>
  </si>
  <si>
    <t>7690322P</t>
  </si>
  <si>
    <t>260311-1-3031-SB1-2</t>
  </si>
  <si>
    <t>7690323P</t>
  </si>
  <si>
    <t>7690324XP</t>
  </si>
  <si>
    <t>ZCB10STDZ002000A11</t>
  </si>
  <si>
    <t>ก/บ คอนกรีตSCGเอลา สีเทาปีกนางนวลพิเศษ</t>
  </si>
  <si>
    <t>SCG CONCRETE ELABANA SEAGULL GREY**MTO</t>
  </si>
  <si>
    <t>260328-1-3031-SB1-1</t>
  </si>
  <si>
    <t>3690371P</t>
  </si>
  <si>
    <t>260328-2-3031-SB1-1</t>
  </si>
  <si>
    <t>3690372P</t>
  </si>
  <si>
    <t>260330-2-3031-SB1-1</t>
  </si>
  <si>
    <t>3690373SP</t>
  </si>
  <si>
    <t>260311-2-3031-SB1-2</t>
  </si>
  <si>
    <t>7690325XP</t>
  </si>
  <si>
    <t>3690374P</t>
  </si>
  <si>
    <t>260331-2-3031-SB1-1</t>
  </si>
  <si>
    <t>3690376P</t>
  </si>
  <si>
    <t>3690377P</t>
  </si>
  <si>
    <t>260312-1-3031-SB1-2</t>
  </si>
  <si>
    <t>7690326P</t>
  </si>
  <si>
    <t>7690327XP</t>
  </si>
  <si>
    <t>260331-1-3031-SB1-1</t>
  </si>
  <si>
    <t>3690375P</t>
  </si>
  <si>
    <t>260312-2-3031-SB1-2</t>
  </si>
  <si>
    <t>7690328XP</t>
  </si>
  <si>
    <t>260401-1-3031-SB1-1</t>
  </si>
  <si>
    <t>3690401SP</t>
  </si>
  <si>
    <t>260313-1-3031-SB1-2</t>
  </si>
  <si>
    <t>7690329P</t>
  </si>
  <si>
    <t>7690330XP</t>
  </si>
  <si>
    <t>260401-2-3031-SB1-1</t>
  </si>
  <si>
    <t>3690402P</t>
  </si>
  <si>
    <t>3690403P</t>
  </si>
  <si>
    <t>260313-2-3031-SB1-2</t>
  </si>
  <si>
    <t>7690331XP</t>
  </si>
  <si>
    <t>260314-1-3031-SB1-2</t>
  </si>
  <si>
    <t>7690332XP</t>
  </si>
  <si>
    <t>260402-1-3031-SB1-1</t>
  </si>
  <si>
    <t>3690404P</t>
  </si>
  <si>
    <t>3690405P</t>
  </si>
  <si>
    <t>7690333XP</t>
  </si>
  <si>
    <t>260314-2-3031-SB1-2</t>
  </si>
  <si>
    <t>7690334XP</t>
  </si>
  <si>
    <t>260316-1-3031-SB1-2</t>
  </si>
  <si>
    <t>7690335XP</t>
  </si>
  <si>
    <t>260402-2-3031-SB1-1</t>
  </si>
  <si>
    <t>3690406P</t>
  </si>
  <si>
    <t>3690407P</t>
  </si>
  <si>
    <t>260403-1-3031-SB1-1</t>
  </si>
  <si>
    <t>3690408SP</t>
  </si>
  <si>
    <t>7690336XP</t>
  </si>
  <si>
    <t>260316-2-3031-SB1-2</t>
  </si>
  <si>
    <t>7690337XP</t>
  </si>
  <si>
    <t>3690409P</t>
  </si>
  <si>
    <t>260403-2-3031-SB1-1</t>
  </si>
  <si>
    <t>3690410P</t>
  </si>
  <si>
    <t>260404-1-3031-SB1-1</t>
  </si>
  <si>
    <t>3690411P</t>
  </si>
  <si>
    <t>260317-1-3031-SB1-2</t>
  </si>
  <si>
    <t>7690338P</t>
  </si>
  <si>
    <t>7690339XP</t>
  </si>
  <si>
    <t>260404-2-3031-SB1-1</t>
  </si>
  <si>
    <t>3690412SP</t>
  </si>
  <si>
    <t>260406-1-3031-SB1-1</t>
  </si>
  <si>
    <t>3690413SP</t>
  </si>
  <si>
    <t>260317-2-3031-SB1-2</t>
  </si>
  <si>
    <t>7690340XP</t>
  </si>
  <si>
    <t>260406-2-3031-SB1-1</t>
  </si>
  <si>
    <t>3690414P</t>
  </si>
  <si>
    <t>260407-1-3031-SB1-1</t>
  </si>
  <si>
    <t>3690415SP</t>
  </si>
  <si>
    <t>260318-1-3031-SB1-2</t>
  </si>
  <si>
    <t>7690341P</t>
  </si>
  <si>
    <t>7690342XP</t>
  </si>
  <si>
    <t>3690416P</t>
  </si>
  <si>
    <t>260407-2-3031-SB1-1</t>
  </si>
  <si>
    <t>3690417P</t>
  </si>
  <si>
    <t>ZCB20XSHIED4000L06</t>
  </si>
  <si>
    <t>กระเบื้องเพรสทีจ สลิม ไอริส บราวน์</t>
  </si>
  <si>
    <t>PRESTIGE SLIM TILE IRIS BROWN</t>
  </si>
  <si>
    <t>7690343XP</t>
  </si>
  <si>
    <t>260318-2-3031-SB1-2</t>
  </si>
  <si>
    <t>7690344P</t>
  </si>
  <si>
    <t>ZCB20XSHIED4000X10</t>
  </si>
  <si>
    <t>กระเบื้องเพรสทีจ ไอริส บราวน์</t>
  </si>
  <si>
    <t>PRESTIGE TILE IRIS BROWN</t>
  </si>
  <si>
    <t>260319-1-3031-SB1-2</t>
  </si>
  <si>
    <t>7690345XP</t>
  </si>
  <si>
    <t>7690346P</t>
  </si>
  <si>
    <t>260408-1-3031-SB1-1</t>
  </si>
  <si>
    <t>3690418P</t>
  </si>
  <si>
    <t>260408-2-3031-SB1-1</t>
  </si>
  <si>
    <t>3690419SP</t>
  </si>
  <si>
    <t>7690347XP</t>
  </si>
  <si>
    <t>260319-2-3031-SB1-2</t>
  </si>
  <si>
    <t>7690348XP</t>
  </si>
  <si>
    <t>260320-1-3031-SB1-2</t>
  </si>
  <si>
    <t>7690349P</t>
  </si>
  <si>
    <t>260409-1-3031-SB1-1</t>
  </si>
  <si>
    <t>3690420P</t>
  </si>
  <si>
    <t>3690421P</t>
  </si>
  <si>
    <t>260409-2-3031-SB1-1</t>
  </si>
  <si>
    <t>3690422P</t>
  </si>
  <si>
    <t>7690350XP</t>
  </si>
  <si>
    <t>260410-1-3031-SB1-1</t>
  </si>
  <si>
    <t>3690423SP</t>
  </si>
  <si>
    <t>3690424P</t>
  </si>
  <si>
    <t>260320-2-3031-SB1-2</t>
  </si>
  <si>
    <t>7690351XP</t>
  </si>
  <si>
    <t>7690352P</t>
  </si>
  <si>
    <t>3690425P</t>
  </si>
  <si>
    <t>260321-1-3031-SB1-2</t>
  </si>
  <si>
    <t>7690353XP</t>
  </si>
  <si>
    <t>260410-2-3031-SB1-1</t>
  </si>
  <si>
    <t>3690426P</t>
  </si>
  <si>
    <t>260411-1-3031-SB1-1</t>
  </si>
  <si>
    <t>3690427P</t>
  </si>
  <si>
    <t>260411-2-3031-SB1-1</t>
  </si>
  <si>
    <t>3690428SP</t>
  </si>
  <si>
    <t>7690354XP</t>
  </si>
  <si>
    <t>260321-2-3031-SB1-2</t>
  </si>
  <si>
    <t>7690355XP</t>
  </si>
  <si>
    <t>260416-1-3031-SB1-1</t>
  </si>
  <si>
    <t>3690429SP</t>
  </si>
  <si>
    <t>260323-2-3031-SB1-2</t>
  </si>
  <si>
    <t>7690356P</t>
  </si>
  <si>
    <t>260324-1-3031-SB1-2</t>
  </si>
  <si>
    <t>7690357P</t>
  </si>
  <si>
    <t>3690430P</t>
  </si>
  <si>
    <t>7690358XP</t>
  </si>
  <si>
    <t>260324-2-3031-SB1-2</t>
  </si>
  <si>
    <t>7690359XP</t>
  </si>
  <si>
    <t>260416-2-3031-SB1-1</t>
  </si>
  <si>
    <t>3690431P</t>
  </si>
  <si>
    <t>260417-1-3031-SB1-1</t>
  </si>
  <si>
    <t>3690432P</t>
  </si>
  <si>
    <t>ZCBT1PREA001DU0T06</t>
  </si>
  <si>
    <t>กระเบื้องคอนกรีต ดูร่าวัน เทาบารมี</t>
  </si>
  <si>
    <t>DURAONE TILE BARAMEE GREY</t>
  </si>
  <si>
    <t>7690360P</t>
  </si>
  <si>
    <t>260325-1-3031-SB1-2</t>
  </si>
  <si>
    <t>7690361P</t>
  </si>
  <si>
    <t>3690433SP</t>
  </si>
  <si>
    <t>7690362XP</t>
  </si>
  <si>
    <t>260325-2-3031-SB1-2</t>
  </si>
  <si>
    <t>7690363XP</t>
  </si>
  <si>
    <t>260417-2-3031-SB1-1</t>
  </si>
  <si>
    <t>3690434P</t>
  </si>
  <si>
    <t>260418-1-3031-SB1-1</t>
  </si>
  <si>
    <t>3690435SP</t>
  </si>
  <si>
    <t>260326-1-3031-SB1-2</t>
  </si>
  <si>
    <t>7690364P</t>
  </si>
  <si>
    <t>7690365XP</t>
  </si>
  <si>
    <t>260326-2-3031-SB1-2</t>
  </si>
  <si>
    <t>7690366XP</t>
  </si>
  <si>
    <t>260327-1-3031-SB1-2</t>
  </si>
  <si>
    <t>7690367P</t>
  </si>
  <si>
    <t>7690368XP</t>
  </si>
  <si>
    <t>260327-2-3031-SB1-2</t>
  </si>
  <si>
    <t>7690369XP</t>
  </si>
  <si>
    <t>260328-1-3031-SB1-2</t>
  </si>
  <si>
    <t>7690370XP</t>
  </si>
  <si>
    <t>7690371XP</t>
  </si>
  <si>
    <t>260328-2-3031-SB1-2</t>
  </si>
  <si>
    <t>7690372XP</t>
  </si>
  <si>
    <t>260330-1-3031-SB1-2</t>
  </si>
  <si>
    <t>7690373P</t>
  </si>
  <si>
    <t>7690374XP</t>
  </si>
  <si>
    <t>260330-2-3031-SB1-2</t>
  </si>
  <si>
    <t>7690375XP</t>
  </si>
  <si>
    <t>260331-1-3031-SB1-2</t>
  </si>
  <si>
    <t>7690376P</t>
  </si>
  <si>
    <t>7690377XP</t>
  </si>
  <si>
    <t>260331-2-3031-SB1-2</t>
  </si>
  <si>
    <t>7690378XP</t>
  </si>
  <si>
    <t>260401-1-3031-SB1-2</t>
  </si>
  <si>
    <t>7690401P</t>
  </si>
  <si>
    <t>7690402XP</t>
  </si>
  <si>
    <t>260401-2-3031-SB1-2</t>
  </si>
  <si>
    <t>7690403XP</t>
  </si>
  <si>
    <t>260402-1-3031-SB1-2</t>
  </si>
  <si>
    <t>7690404P</t>
  </si>
  <si>
    <t>7690405XP</t>
  </si>
  <si>
    <t>260402-2-3031-SB1-2</t>
  </si>
  <si>
    <t>7690406XP</t>
  </si>
  <si>
    <t>260403-1-3031-SB1-2</t>
  </si>
  <si>
    <t>7690407XP</t>
  </si>
  <si>
    <t>7690408XP</t>
  </si>
  <si>
    <t>260403-2-3031-SB1-2</t>
  </si>
  <si>
    <t>7690409P</t>
  </si>
  <si>
    <t>260404-1-3031-SB1-2</t>
  </si>
  <si>
    <t>7690410XP</t>
  </si>
  <si>
    <t>7690411XP</t>
  </si>
  <si>
    <t>260404-2-3031-SB1-2</t>
  </si>
  <si>
    <t>7690412XP</t>
  </si>
  <si>
    <t>260406-2-3031-SB1-2</t>
  </si>
  <si>
    <t>7690413P</t>
  </si>
  <si>
    <t>260407-1-3031-SB1-2</t>
  </si>
  <si>
    <t>7690414P</t>
  </si>
  <si>
    <t>7690415XP</t>
  </si>
  <si>
    <t>260407-2-3031-SB1-2</t>
  </si>
  <si>
    <t>7690416P</t>
  </si>
  <si>
    <t>260408-1-3031-SB1-2</t>
  </si>
  <si>
    <t>7690417P</t>
  </si>
  <si>
    <t>7690418XP</t>
  </si>
  <si>
    <t>260408-2-3031-SB1-2</t>
  </si>
  <si>
    <t>7690419P</t>
  </si>
  <si>
    <t>260409-1-3031-SB1-2</t>
  </si>
  <si>
    <t>7690420P</t>
  </si>
  <si>
    <t>7690421XP</t>
  </si>
  <si>
    <t>260409-2-3031-SB1-2</t>
  </si>
  <si>
    <t>7690422XP</t>
  </si>
  <si>
    <t>7690423P</t>
  </si>
  <si>
    <t>260410-1-3031-SB1-2</t>
  </si>
  <si>
    <t>7690424XP</t>
  </si>
  <si>
    <t>7690425XP</t>
  </si>
  <si>
    <t>260410-2-3031-SB1-2</t>
  </si>
  <si>
    <t>7690426P</t>
  </si>
  <si>
    <t>260411-1-3031-SB1-2</t>
  </si>
  <si>
    <t>7690427XP</t>
  </si>
  <si>
    <t>7690428XP</t>
  </si>
  <si>
    <t>260411-2-3031-SB1-2</t>
  </si>
  <si>
    <t>7690429XP</t>
  </si>
  <si>
    <t>260416-1-3031-SB1-2</t>
  </si>
  <si>
    <t>7690430P</t>
  </si>
  <si>
    <t>7690431Xp</t>
  </si>
  <si>
    <t>260416-2-3031-SB1-2</t>
  </si>
  <si>
    <t>7690432XP</t>
  </si>
  <si>
    <t>260417-1-3031-SB1-2</t>
  </si>
  <si>
    <t>7690433P</t>
  </si>
  <si>
    <t>7690434XP</t>
  </si>
  <si>
    <t>260417-2-3031-SB1-2</t>
  </si>
  <si>
    <t>7690435P</t>
  </si>
  <si>
    <t>7690436XP</t>
  </si>
  <si>
    <t>260418-1-3031-SB1-2</t>
  </si>
  <si>
    <t>7690437XP</t>
  </si>
  <si>
    <t>7690438XP</t>
  </si>
  <si>
    <t>260418-2-3031-SB1-2</t>
  </si>
  <si>
    <t>7690439XP</t>
  </si>
  <si>
    <t>260420-1-3031-SB1-2</t>
  </si>
  <si>
    <t>7690440P</t>
  </si>
  <si>
    <t>7690441XP</t>
  </si>
  <si>
    <t>260420-2-3031-SB1-2</t>
  </si>
  <si>
    <t>7690442P</t>
  </si>
  <si>
    <t>260421-1-3031-SB1-2</t>
  </si>
  <si>
    <t>7690443XP</t>
  </si>
  <si>
    <t>7690444XP</t>
  </si>
  <si>
    <t>260421-2-3031-SB1-2</t>
  </si>
  <si>
    <t>7690445XP</t>
  </si>
  <si>
    <t>260422-1-3031-SB1-2</t>
  </si>
  <si>
    <t>7690446XP</t>
  </si>
  <si>
    <t>7690447XP</t>
  </si>
  <si>
    <t>260422-2-3031-SB1-2</t>
  </si>
  <si>
    <t>7690448P</t>
  </si>
  <si>
    <t>260423-1-3031-SB1-2</t>
  </si>
  <si>
    <t>7690449P</t>
  </si>
  <si>
    <t>7690450XP</t>
  </si>
  <si>
    <t>260423-2-3031-SB1-2</t>
  </si>
  <si>
    <t>7690451XP</t>
  </si>
  <si>
    <t>260424-2-3031-SB1-2</t>
  </si>
  <si>
    <t>7690452XP</t>
  </si>
  <si>
    <t>7690453XP</t>
  </si>
  <si>
    <t>260425-1-3031-SB1-2</t>
  </si>
  <si>
    <t>7690454XP</t>
  </si>
  <si>
    <t>7690455XP</t>
  </si>
  <si>
    <t>260425-2-3031-SB1-2</t>
  </si>
  <si>
    <t>7690456XP</t>
  </si>
  <si>
    <t>260427-1-3031-SB1-2</t>
  </si>
  <si>
    <t>7690457XP</t>
  </si>
  <si>
    <t>7690458XP</t>
  </si>
  <si>
    <t>260427-2-3031-SB1-2</t>
  </si>
  <si>
    <t>7690459P</t>
  </si>
  <si>
    <t>260428-1-3031-SB1-2</t>
  </si>
  <si>
    <t>7690460P</t>
  </si>
  <si>
    <t>7690461XP</t>
  </si>
  <si>
    <t>260428-2-3031-SB1-2</t>
  </si>
  <si>
    <t>7690462P</t>
  </si>
  <si>
    <t>260429-1-3031-SB1-2</t>
  </si>
  <si>
    <t>7690463XP</t>
  </si>
  <si>
    <t>7690464P</t>
  </si>
  <si>
    <t>260429-2-3031-SB1-2</t>
  </si>
  <si>
    <t>7690465XP</t>
  </si>
  <si>
    <t>7690466P</t>
  </si>
  <si>
    <t>260430-1-3031-SB1-2</t>
  </si>
  <si>
    <t>7690467XP</t>
  </si>
  <si>
    <t>7690468XP</t>
  </si>
  <si>
    <t>260430-2-3031-SB1-2</t>
  </si>
  <si>
    <t>7690469XP</t>
  </si>
  <si>
    <t>260502-1-3031-SB1-2</t>
  </si>
  <si>
    <t>7690501XP</t>
  </si>
  <si>
    <t>7690502XP</t>
  </si>
  <si>
    <t>260502-2-3031-SB1-2</t>
  </si>
  <si>
    <t>7690503XP</t>
  </si>
  <si>
    <t>260504-1-3031-SB1-2</t>
  </si>
  <si>
    <t>7690504XP</t>
  </si>
  <si>
    <t>7690505XP</t>
  </si>
  <si>
    <t>260504-2-3031-SB1-2</t>
  </si>
  <si>
    <t>7690506XP</t>
  </si>
  <si>
    <t>ZCB20XSHIED40EXL11</t>
  </si>
  <si>
    <t>กระเบื้องหลังคาทรูแฟลต SCG ขาวปุยนุ่น</t>
  </si>
  <si>
    <t>SCG True Flat Cotton White</t>
  </si>
  <si>
    <t>260505-1-3031-SB1-2</t>
  </si>
  <si>
    <t>7690507P</t>
  </si>
  <si>
    <t>260505-2-3031-SB1-2</t>
  </si>
  <si>
    <t>7690508P</t>
  </si>
  <si>
    <t>260506-1-3031-SB1-2</t>
  </si>
  <si>
    <t>7690509P</t>
  </si>
  <si>
    <t>7690510XP</t>
  </si>
  <si>
    <t>260506-2-3031-SB1-2</t>
  </si>
  <si>
    <t>7690511P</t>
  </si>
  <si>
    <t>260507-1-3031-SB1-2</t>
  </si>
  <si>
    <t>7690512P</t>
  </si>
  <si>
    <t>7690513XP</t>
  </si>
  <si>
    <t>260507-2-3031-SB1-2</t>
  </si>
  <si>
    <t>7690514P</t>
  </si>
  <si>
    <t>260508-1-3031-SB1-2</t>
  </si>
  <si>
    <t>7690515P</t>
  </si>
  <si>
    <t>7690516XP</t>
  </si>
  <si>
    <t>260508-2-3031-SB1-2</t>
  </si>
  <si>
    <t>7690517XP</t>
  </si>
  <si>
    <t>7690518P</t>
  </si>
  <si>
    <t>260509-1-3031-SB1-2</t>
  </si>
  <si>
    <t>7690519XP</t>
  </si>
  <si>
    <t>7690520XP</t>
  </si>
  <si>
    <t>260509-2-3031-SB1-2</t>
  </si>
  <si>
    <t>7690521XP</t>
  </si>
  <si>
    <t>260511-1-3031-SB1-2</t>
  </si>
  <si>
    <t>7690522P</t>
  </si>
  <si>
    <t>7690523XP</t>
  </si>
  <si>
    <t>260511-2-3031-SB1-2</t>
  </si>
  <si>
    <t>7690524XP</t>
  </si>
  <si>
    <t>7690525P</t>
  </si>
  <si>
    <t>260512-1-3031-SB1-2</t>
  </si>
  <si>
    <t>7690526XP</t>
  </si>
  <si>
    <t>7690527XP</t>
  </si>
  <si>
    <t>260512-2-3031-SB1-2</t>
  </si>
  <si>
    <t>7690528XP</t>
  </si>
  <si>
    <t>260513-1-3031-SB1-2</t>
  </si>
  <si>
    <t>7690529XP</t>
  </si>
  <si>
    <t>7690530XP</t>
  </si>
  <si>
    <t>260513-2-3031-SB1-2</t>
  </si>
  <si>
    <t>7690531XP</t>
  </si>
  <si>
    <t>260514-1-3031-SB1-2</t>
  </si>
  <si>
    <t>7690532P</t>
  </si>
  <si>
    <t>7690533XP</t>
  </si>
  <si>
    <t>260514-2-3031-SB1-2</t>
  </si>
  <si>
    <t>7690534XP</t>
  </si>
  <si>
    <t>260515-1-3031-SB1-2</t>
  </si>
  <si>
    <t>7690535P</t>
  </si>
  <si>
    <t>7690536XP</t>
  </si>
  <si>
    <t>260515-2-3031-SB1-2</t>
  </si>
  <si>
    <t>7690537XP</t>
  </si>
  <si>
    <t>7690538P</t>
  </si>
  <si>
    <t>260516-1-3031-SB1-2</t>
  </si>
  <si>
    <t>7690539XP</t>
  </si>
  <si>
    <t>7690540XP</t>
  </si>
  <si>
    <t>260516-2-3031-SB1-2</t>
  </si>
  <si>
    <t>7690541XP</t>
  </si>
  <si>
    <t>260518-2-3031-SB1-2</t>
  </si>
  <si>
    <t>7690542P</t>
  </si>
  <si>
    <t>260519-1-3031-SB1-2</t>
  </si>
  <si>
    <t>7690543XP</t>
  </si>
  <si>
    <t>7690544XP</t>
  </si>
  <si>
    <t>260519-2-3031-SB1-2</t>
  </si>
  <si>
    <t>7690545XP</t>
  </si>
  <si>
    <t>7690546P</t>
  </si>
  <si>
    <t>260520-1-3031-SB1-2</t>
  </si>
  <si>
    <t>7690547P</t>
  </si>
  <si>
    <t>7690548XP</t>
  </si>
  <si>
    <t>260520-2-3031-SB1-2</t>
  </si>
  <si>
    <t>7690549P</t>
  </si>
  <si>
    <t>260521-1-3031-SB1-2</t>
  </si>
  <si>
    <t>7690550XP</t>
  </si>
  <si>
    <t>7690551XP</t>
  </si>
  <si>
    <t>260521-2-3031-SB1-2</t>
  </si>
  <si>
    <t>7690552XP</t>
  </si>
  <si>
    <t>260522-1-3031-SB1-2</t>
  </si>
  <si>
    <t>7690553XP</t>
  </si>
  <si>
    <t>7690554XP</t>
  </si>
  <si>
    <t>260522-2-3031-SB1-2</t>
  </si>
  <si>
    <t>7690555P</t>
  </si>
  <si>
    <t>260523-1-3031-SB1-2</t>
  </si>
  <si>
    <t>7690556XP</t>
  </si>
  <si>
    <t>7690557XP</t>
  </si>
  <si>
    <t>260523-2-3031-SB1-2</t>
  </si>
  <si>
    <t>7690558XP</t>
  </si>
  <si>
    <t>260525-1-3031-SB1-2</t>
  </si>
  <si>
    <t>7690559XP</t>
  </si>
  <si>
    <t>ZCB20XSHIED40EXL05</t>
  </si>
  <si>
    <t>กระเบื้องหลังคาทรูแฟลต SCG ดาร์ค เกรย์</t>
  </si>
  <si>
    <t>SCG True Flat Dark Grey</t>
  </si>
  <si>
    <t>7690560XP</t>
  </si>
  <si>
    <t>260525-2-3031-SB1-2</t>
  </si>
  <si>
    <t>7690561XP</t>
  </si>
  <si>
    <t>260526-1-3031-SB1-2</t>
  </si>
  <si>
    <t>7690562XP</t>
  </si>
  <si>
    <t>7690563P</t>
  </si>
  <si>
    <t>260526-2-3031-SB1-2</t>
  </si>
  <si>
    <t>7690564XP</t>
  </si>
  <si>
    <t>7690565XP</t>
  </si>
  <si>
    <t>260527-1-3031-SB1-2</t>
  </si>
  <si>
    <t>7690566XP</t>
  </si>
  <si>
    <t>7690567XP</t>
  </si>
  <si>
    <t>260527-2-3031-SB1-2</t>
  </si>
  <si>
    <t>7690568XP</t>
  </si>
  <si>
    <t>7690569P</t>
  </si>
  <si>
    <t>260528-1-3031-SB1-2</t>
  </si>
  <si>
    <t>7690570XP</t>
  </si>
  <si>
    <t>7690571XP</t>
  </si>
  <si>
    <t>260528-2-3031-SB1-2</t>
  </si>
  <si>
    <t>7690572XP</t>
  </si>
  <si>
    <t>7690573P</t>
  </si>
  <si>
    <t>260320-1-30A1-SB2-1</t>
  </si>
  <si>
    <t xml:space="preserve"> H690315</t>
  </si>
  <si>
    <t>260323-1-30A1-SB2-1</t>
  </si>
  <si>
    <t>H690317</t>
  </si>
  <si>
    <t>260324-1-30A1-SB2-1</t>
  </si>
  <si>
    <t>H690318</t>
  </si>
  <si>
    <t>260325-1-30A1-SB2-1</t>
  </si>
  <si>
    <t>H690319</t>
  </si>
  <si>
    <t>ZCBT3001SPEB000T04</t>
  </si>
  <si>
    <t>ครอบสันโค้งดูร่าลอนเศรษฐี เทามงคล</t>
  </si>
  <si>
    <t>DURACTSetti ROUND RIDGE Grey Mongkol</t>
  </si>
  <si>
    <t>260326-1-30A1-SB2-1</t>
  </si>
  <si>
    <t>H690320</t>
  </si>
  <si>
    <t>260401-1-30A1-SB2-1</t>
  </si>
  <si>
    <t>H690401</t>
  </si>
  <si>
    <t>260401-2-30A1-SB2-1</t>
  </si>
  <si>
    <t>H690402</t>
  </si>
  <si>
    <t>260402-1-30A1-SB2-1</t>
  </si>
  <si>
    <t>H690403</t>
  </si>
  <si>
    <t>260403-1-30A1-SB2-1</t>
  </si>
  <si>
    <t>H690404</t>
  </si>
  <si>
    <t>260404-1-30A1-SB2-1</t>
  </si>
  <si>
    <t>H690406</t>
  </si>
  <si>
    <t>260406-1-30A1-SB2-1</t>
  </si>
  <si>
    <t>H690407</t>
  </si>
  <si>
    <t>260407-1-30A1-SB2-1</t>
  </si>
  <si>
    <t>H690408</t>
  </si>
  <si>
    <t>ZCB30001STDA000A02</t>
  </si>
  <si>
    <t>ครอบสันโค้ง สีแดงกุหลาบ</t>
  </si>
  <si>
    <t>SCG CONCRETE ROUND RIDGE RED</t>
  </si>
  <si>
    <t>260409-1-30A1-SB2-1</t>
  </si>
  <si>
    <t>H690410</t>
  </si>
  <si>
    <t>260409-2-30A1-SB2-1</t>
  </si>
  <si>
    <t>H690411</t>
  </si>
  <si>
    <t>260410-1-30A1-SB2-1</t>
  </si>
  <si>
    <t>H690413</t>
  </si>
  <si>
    <t>260425-1-30A1-SB2-1</t>
  </si>
  <si>
    <t>H690424</t>
  </si>
  <si>
    <t>260427-1-30A1-SB2-1</t>
  </si>
  <si>
    <t>H690425</t>
  </si>
  <si>
    <t>260421-1-30A1-SB2-1</t>
  </si>
  <si>
    <t>H690419</t>
  </si>
  <si>
    <t>260423-1-30A1-SB2-1</t>
  </si>
  <si>
    <t>H690422</t>
  </si>
  <si>
    <t>260428-1-30A1-SB2-1</t>
  </si>
  <si>
    <t>H690426</t>
  </si>
  <si>
    <t>260422-1-30A1-SB2-1</t>
  </si>
  <si>
    <t>H690421</t>
  </si>
  <si>
    <t>260429-1-30A1-SB2-1</t>
  </si>
  <si>
    <t>H690427</t>
  </si>
  <si>
    <t>260505-1-30A1-SB2-1</t>
  </si>
  <si>
    <t>H690504</t>
  </si>
  <si>
    <t>260504-1-30A1-SB2-1</t>
  </si>
  <si>
    <t>H690502</t>
  </si>
  <si>
    <t>260506-1-30A1-SB2-1</t>
  </si>
  <si>
    <t>H690505</t>
  </si>
  <si>
    <t>260507-1-30A1-SB2-1</t>
  </si>
  <si>
    <t>H690506</t>
  </si>
  <si>
    <t>260515-1-30A1-SB2-1</t>
  </si>
  <si>
    <t>H690511</t>
  </si>
  <si>
    <t>260518-1-30A1-SB2-1</t>
  </si>
  <si>
    <t>H690513</t>
  </si>
  <si>
    <t>260514-1-30A1-SB2-1</t>
  </si>
  <si>
    <t>H690510</t>
  </si>
  <si>
    <t>260519-1-30A1-SB2-1</t>
  </si>
  <si>
    <t>H690514</t>
  </si>
  <si>
    <t>260520-1-30A1-SB2-1</t>
  </si>
  <si>
    <t>H690515</t>
  </si>
  <si>
    <t>260521-1-30A1-SB2-1</t>
  </si>
  <si>
    <t>H690516</t>
  </si>
  <si>
    <t>260523-1-30A1-SB2-1</t>
  </si>
  <si>
    <t>H690519</t>
  </si>
  <si>
    <t>260525-1-30A1-SB2-1</t>
  </si>
  <si>
    <t>H690520</t>
  </si>
  <si>
    <t>260527-1-30A1-SB2-1</t>
  </si>
  <si>
    <t>H690522</t>
  </si>
  <si>
    <t>260528-1-30A1-SB2-1</t>
  </si>
  <si>
    <t>H690523</t>
  </si>
  <si>
    <t>260529-1-30A1-SB2-1</t>
  </si>
  <si>
    <t>H690525</t>
  </si>
  <si>
    <t>260530-1-30A1-SB2-1</t>
  </si>
  <si>
    <t>H690526</t>
  </si>
  <si>
    <t>260606-1-30A1-SB2-1</t>
  </si>
  <si>
    <t>H690606</t>
  </si>
  <si>
    <t>260608-1-30A1-SB2-1</t>
  </si>
  <si>
    <t>H690608</t>
  </si>
  <si>
    <t>260610-1-30A1-SB2-1</t>
  </si>
  <si>
    <t>H690613</t>
  </si>
  <si>
    <t>260611-1-30A1-SB2-1</t>
  </si>
  <si>
    <t>H690614</t>
  </si>
  <si>
    <t>260612-1-30A1-SB2-1</t>
  </si>
  <si>
    <t>H690615</t>
  </si>
  <si>
    <t>260613-1-30A1-SB2-1</t>
  </si>
  <si>
    <t>H690616</t>
  </si>
  <si>
    <t>260617-1-30A1-SB2-1</t>
  </si>
  <si>
    <t>H690618</t>
  </si>
  <si>
    <t>260618-1-30A1-SB2-1</t>
  </si>
  <si>
    <t>H690620</t>
  </si>
  <si>
    <t>260620-1-30A1-SB2-1</t>
  </si>
  <si>
    <t>H690622</t>
  </si>
  <si>
    <t>260622-1-30A1-SB2-1</t>
  </si>
  <si>
    <t>H690624</t>
  </si>
  <si>
    <t>260529-1-3031-SB1-2</t>
  </si>
  <si>
    <t>7690574XP</t>
  </si>
  <si>
    <t>7690575XP</t>
  </si>
  <si>
    <t>260529-2-3031-SB1-2</t>
  </si>
  <si>
    <t>7690576XP</t>
  </si>
  <si>
    <t>7690577P</t>
  </si>
  <si>
    <t>260530-1-3031-SB1-2</t>
  </si>
  <si>
    <t>7690578XP</t>
  </si>
  <si>
    <t>7690579XP</t>
  </si>
  <si>
    <t>260530-2-3031-SB1-2</t>
  </si>
  <si>
    <t>7690580XP</t>
  </si>
  <si>
    <t>260601-1-3031-SB1-2</t>
  </si>
  <si>
    <t>7690601XP</t>
  </si>
  <si>
    <t>7690602XP</t>
  </si>
  <si>
    <t>260601-2-3031-SB1-2</t>
  </si>
  <si>
    <t>7690603XP</t>
  </si>
  <si>
    <t>260602-2-3031-SB1-2</t>
  </si>
  <si>
    <t>7690604P</t>
  </si>
  <si>
    <t>260603-1-3031-SB1-2</t>
  </si>
  <si>
    <t>7690605XP</t>
  </si>
  <si>
    <t>7690606XP</t>
  </si>
  <si>
    <t>260604-1-3031-SB1-2</t>
  </si>
  <si>
    <t>7690607P</t>
  </si>
  <si>
    <t>7690608XP</t>
  </si>
  <si>
    <t>260604-2-3031-SB1-2</t>
  </si>
  <si>
    <t>7690609P</t>
  </si>
  <si>
    <t>260605-1-3031-SB1-2</t>
  </si>
  <si>
    <t>7690610P</t>
  </si>
  <si>
    <t>7690611XP</t>
  </si>
  <si>
    <t>260605-2-3031-SB1-2</t>
  </si>
  <si>
    <t>7690612XP</t>
  </si>
  <si>
    <t>260606-1-3031-SB1-2</t>
  </si>
  <si>
    <t>7690613XP</t>
  </si>
  <si>
    <t>7690614XP</t>
  </si>
  <si>
    <t>260606-2-3031-SB1-2</t>
  </si>
  <si>
    <t>7690615XP</t>
  </si>
  <si>
    <t>260608-1-3031-SB1-2</t>
  </si>
  <si>
    <t>7690616P</t>
  </si>
  <si>
    <t>7690617XP</t>
  </si>
  <si>
    <t>260608-2-3031-SB1-2</t>
  </si>
  <si>
    <t>7690618P</t>
  </si>
  <si>
    <t>260609-1-3031-SB1-2</t>
  </si>
  <si>
    <t>7690619XP</t>
  </si>
  <si>
    <t>7690620XP</t>
  </si>
  <si>
    <t>260609-2-3031-SB1-2</t>
  </si>
  <si>
    <t>7690621XP</t>
  </si>
  <si>
    <t>7690622P</t>
  </si>
  <si>
    <t>260610-1-3031-SB1-2</t>
  </si>
  <si>
    <t>7690623P</t>
  </si>
  <si>
    <t>260610-2-3031-SB1-2</t>
  </si>
  <si>
    <t>7690624XP</t>
  </si>
  <si>
    <t>260418-2-3031-SB1-1</t>
  </si>
  <si>
    <t>3690436P</t>
  </si>
  <si>
    <t>7690625XP</t>
  </si>
  <si>
    <t>260420-1-3031-SB1-1</t>
  </si>
  <si>
    <t>3690437SP</t>
  </si>
  <si>
    <t>3690438P</t>
  </si>
  <si>
    <t>7690626P</t>
  </si>
  <si>
    <t>260611-1-3031-SB1-2</t>
  </si>
  <si>
    <t>7690627P</t>
  </si>
  <si>
    <t>260420-2-3031-SB1-1</t>
  </si>
  <si>
    <t>3690439P</t>
  </si>
  <si>
    <t>260421-1-3031-SB1-1</t>
  </si>
  <si>
    <t>3690440P</t>
  </si>
  <si>
    <t>7690628XP</t>
  </si>
  <si>
    <t>3690441SP</t>
  </si>
  <si>
    <t>260421-2-3031-SB1-1</t>
  </si>
  <si>
    <t>3690442P</t>
  </si>
  <si>
    <t>260611-2-3031-SB1-2</t>
  </si>
  <si>
    <t>7690629XP</t>
  </si>
  <si>
    <t>260612-1-3031-SB1-2</t>
  </si>
  <si>
    <t>7690630XP</t>
  </si>
  <si>
    <t>260422-1-3031-SB1-1</t>
  </si>
  <si>
    <t>3690443SP</t>
  </si>
  <si>
    <t>260612-2-3031-SB1-2</t>
  </si>
  <si>
    <t>7690631XP</t>
  </si>
  <si>
    <t>3690444P</t>
  </si>
  <si>
    <t>260422-2-3031-SB1-1</t>
  </si>
  <si>
    <t>3690445P</t>
  </si>
  <si>
    <t>260423-1-3031-SB1-1</t>
  </si>
  <si>
    <t>3690446P</t>
  </si>
  <si>
    <t>7690632P</t>
  </si>
  <si>
    <t>260423-2-3031-SB1-1</t>
  </si>
  <si>
    <t>3690447SP</t>
  </si>
  <si>
    <t>260613-1-3031-SB1-2</t>
  </si>
  <si>
    <t>7690633XP</t>
  </si>
  <si>
    <t>3690448P</t>
  </si>
  <si>
    <t>7690634XP</t>
  </si>
  <si>
    <t>260613-2-3031-SB1-2</t>
  </si>
  <si>
    <t>7690635XP</t>
  </si>
  <si>
    <t>ZCB10SPEE001000A11</t>
  </si>
  <si>
    <t>กระเบื้องหลังคาเจเวล SCG C เทาปีกนางนวล</t>
  </si>
  <si>
    <t>SCG Jewel C Seagull Grey</t>
  </si>
  <si>
    <t>260424-1-3031-SB1-1</t>
  </si>
  <si>
    <t>3690449P</t>
  </si>
  <si>
    <t>3690450P</t>
  </si>
  <si>
    <t>3690451P</t>
  </si>
  <si>
    <t>260615-2-3031-SB1-2</t>
  </si>
  <si>
    <t>7690636P</t>
  </si>
  <si>
    <t>260616-1-3031-SB1-2</t>
  </si>
  <si>
    <t>7690637XP</t>
  </si>
  <si>
    <t>260425-1-3031-SB1-1</t>
  </si>
  <si>
    <t>3690452SP</t>
  </si>
  <si>
    <t>260425-2-3031-SB1-1</t>
  </si>
  <si>
    <t>3690453P</t>
  </si>
  <si>
    <t>7690638XP</t>
  </si>
  <si>
    <t>260427-1-3031-SB1-1</t>
  </si>
  <si>
    <t>3690454SP</t>
  </si>
  <si>
    <t>260616-2-3031-SB1-2</t>
  </si>
  <si>
    <t>7690639XP</t>
  </si>
  <si>
    <t>7690640P</t>
  </si>
  <si>
    <t>3690455P</t>
  </si>
  <si>
    <t>260427-2-3031-SB1-1</t>
  </si>
  <si>
    <t>3690457P</t>
  </si>
  <si>
    <t>ZCB10SPEE001000S14</t>
  </si>
  <si>
    <t>กระเบื้องหลังคาเจเวล SCG C ทีค บราวน์</t>
  </si>
  <si>
    <t>SCG Jewel C Teak Brown</t>
  </si>
  <si>
    <t>3690456P</t>
  </si>
  <si>
    <t>260617-1-3031-SB1-2</t>
  </si>
  <si>
    <t>7690641P</t>
  </si>
  <si>
    <t>7690642XP</t>
  </si>
  <si>
    <t>260617-2-3031-SB1-2</t>
  </si>
  <si>
    <t>7690643P</t>
  </si>
  <si>
    <t>7690644XP</t>
  </si>
  <si>
    <t>260428-1-3031-SB1-1</t>
  </si>
  <si>
    <t>3690458P</t>
  </si>
  <si>
    <t>3690459SP</t>
  </si>
  <si>
    <t>260618-1-3031-SB1-2</t>
  </si>
  <si>
    <t>7690645P</t>
  </si>
  <si>
    <t>260428-2-3031-SB1-1</t>
  </si>
  <si>
    <t>3690460P</t>
  </si>
  <si>
    <t>260429-1-3031-SB1-1</t>
  </si>
  <si>
    <t>3690461SP</t>
  </si>
  <si>
    <t>7690646XP</t>
  </si>
  <si>
    <t>260618-2-3031-SB1-2</t>
  </si>
  <si>
    <t>7690647XP</t>
  </si>
  <si>
    <t>7690648P</t>
  </si>
  <si>
    <t>3690462P</t>
  </si>
  <si>
    <t>260429-2-3031-SB1-1</t>
  </si>
  <si>
    <t>3690463P</t>
  </si>
  <si>
    <t>260430-1-3031-SB1-1</t>
  </si>
  <si>
    <t>3690464P</t>
  </si>
  <si>
    <t>260619-1-3031-SB1-2</t>
  </si>
  <si>
    <t>7690649P</t>
  </si>
  <si>
    <t>3690465SP</t>
  </si>
  <si>
    <t>7690650XP</t>
  </si>
  <si>
    <t>260619-2-3031-SB1-2</t>
  </si>
  <si>
    <t>7690651XP</t>
  </si>
  <si>
    <t>260430-2-3031-SB1-1</t>
  </si>
  <si>
    <t>3690466P</t>
  </si>
  <si>
    <t>3690467P</t>
  </si>
  <si>
    <t>260620-1-3031-SB1-2</t>
  </si>
  <si>
    <t>7690652XP</t>
  </si>
  <si>
    <t>7690653XP</t>
  </si>
  <si>
    <t>260502-1-3031-SB1-1</t>
  </si>
  <si>
    <t>3690501P</t>
  </si>
  <si>
    <t>260502-2-3031-SB1-1</t>
  </si>
  <si>
    <t>3690502P</t>
  </si>
  <si>
    <t>260620-2-3031-SB1-2</t>
  </si>
  <si>
    <t>7690654XP</t>
  </si>
  <si>
    <t>ZCB10SPEE001000B20</t>
  </si>
  <si>
    <t>กระเบื้องหลังคาเจเวล SCG C ขาวปุยนุ่น</t>
  </si>
  <si>
    <t>SCG Jewel C Cotton White</t>
  </si>
  <si>
    <t>260504-1-3031-SB1-1</t>
  </si>
  <si>
    <t>3690503P</t>
  </si>
  <si>
    <t>ZCB10SPEE001000B12</t>
  </si>
  <si>
    <t>กระเบื้องหลังคาเจเวล SCG C เงินไททาเนี่ยม</t>
  </si>
  <si>
    <t>SCG Jewel C Titanium</t>
  </si>
  <si>
    <t>3690504P</t>
  </si>
  <si>
    <t>260622-1-3031-SB1-2</t>
  </si>
  <si>
    <t>7690655P</t>
  </si>
  <si>
    <t>260504-2-3031-SB1-1</t>
  </si>
  <si>
    <t>3690505P</t>
  </si>
  <si>
    <t>260505-1-3031-SB1-1</t>
  </si>
  <si>
    <t>3690506SP</t>
  </si>
  <si>
    <t>7690656XP</t>
  </si>
  <si>
    <t>260622-2-3031-SB1-2</t>
  </si>
  <si>
    <t>7690657XP</t>
  </si>
  <si>
    <t>3690507P</t>
  </si>
  <si>
    <t>260623-1-3031-SB1-2</t>
  </si>
  <si>
    <t>7690658XP</t>
  </si>
  <si>
    <t>7690659XP</t>
  </si>
  <si>
    <t>260505-2-3031-SB1-1</t>
  </si>
  <si>
    <t>3690508P</t>
  </si>
  <si>
    <t>260506-1-3031-SB1-1</t>
  </si>
  <si>
    <t>3690509P</t>
  </si>
  <si>
    <t>3690510SP</t>
  </si>
  <si>
    <t>260623-2-3031-SB1-2</t>
  </si>
  <si>
    <t>7690660P</t>
  </si>
  <si>
    <t>260624-1-3031-SB1-2</t>
  </si>
  <si>
    <t>7690661XP</t>
  </si>
  <si>
    <t>7690662XP</t>
  </si>
  <si>
    <t>260506-2-3031-SB1-1</t>
  </si>
  <si>
    <t>3690511P</t>
  </si>
  <si>
    <t>260507-1-3031-SB1-1</t>
  </si>
  <si>
    <t>3690512SP</t>
  </si>
  <si>
    <t>260624-2-3031-SB1-2</t>
  </si>
  <si>
    <t>7690663XP</t>
  </si>
  <si>
    <t>260625-1-3031-SB1-2</t>
  </si>
  <si>
    <t>7690664P</t>
  </si>
  <si>
    <t>3690513P</t>
  </si>
  <si>
    <t>260507-2-3031-SB1-1</t>
  </si>
  <si>
    <t>3690514P</t>
  </si>
  <si>
    <t>260508-1-3031-SB1-1</t>
  </si>
  <si>
    <t>3690515P</t>
  </si>
  <si>
    <t>7690665XP</t>
  </si>
  <si>
    <t>3690516SP</t>
  </si>
  <si>
    <t>3690517P</t>
  </si>
  <si>
    <t>260625-2-3031-SB1-2</t>
  </si>
  <si>
    <t>7690666XP</t>
  </si>
  <si>
    <t>260508-2-3031-SB1-1</t>
  </si>
  <si>
    <t>3690518P</t>
  </si>
  <si>
    <t>260626-1-3031-SB1-2</t>
  </si>
  <si>
    <t>7690667P</t>
  </si>
  <si>
    <t>7690668XP</t>
  </si>
  <si>
    <t>260509-1-3031-SB1-1</t>
  </si>
  <si>
    <t>3690519P</t>
  </si>
  <si>
    <t>260509-2-3031-SB1-1</t>
  </si>
  <si>
    <t>3690520P</t>
  </si>
  <si>
    <t>260626-2-3031-SB1-2</t>
  </si>
  <si>
    <t>7690669XP</t>
  </si>
  <si>
    <t>260627-1-3031-SB1-2</t>
  </si>
  <si>
    <t>7690670XP</t>
  </si>
  <si>
    <t>260511-2-3031-SB1-1</t>
  </si>
  <si>
    <t>3690521SP</t>
  </si>
  <si>
    <t>7690671XP</t>
  </si>
  <si>
    <t>3690522P</t>
  </si>
  <si>
    <t>260512-1-3031-SB1-1</t>
  </si>
  <si>
    <t>3690523SP</t>
  </si>
  <si>
    <t>260627-2-3031-SB1-2</t>
  </si>
  <si>
    <t>7690672XP</t>
  </si>
  <si>
    <t>260629-2-3031-SB1-2</t>
  </si>
  <si>
    <t>7690673P</t>
  </si>
  <si>
    <t>3690524P</t>
  </si>
  <si>
    <t>260512-2-3031-SB1-1</t>
  </si>
  <si>
    <t>3690525P</t>
  </si>
  <si>
    <t>260630-1-3031-SB1-2</t>
  </si>
  <si>
    <t>7690674P</t>
  </si>
  <si>
    <t>ZCB10STDZ002000A02</t>
  </si>
  <si>
    <t>ก/บคอนกรีตSCG E ปลายมน แดงกุหลาบ EX</t>
  </si>
  <si>
    <t>SCG CC ELA RED ROUND NOSE EX</t>
  </si>
  <si>
    <t>260513-1-3031-SB1-1</t>
  </si>
  <si>
    <t>3690526P</t>
  </si>
  <si>
    <t>3690527SP</t>
  </si>
  <si>
    <t>260513-2-3031-SB1-1</t>
  </si>
  <si>
    <t>3690528P</t>
  </si>
  <si>
    <t>7690675XP</t>
  </si>
  <si>
    <t>260630-2-3031-SB1-2</t>
  </si>
  <si>
    <t>7690676XP</t>
  </si>
  <si>
    <t>260514-1-3031-SB1-1</t>
  </si>
  <si>
    <t>3690529P</t>
  </si>
  <si>
    <t>3690530P</t>
  </si>
  <si>
    <t>260701-1-3031-SB1-2</t>
  </si>
  <si>
    <t>7690701XP</t>
  </si>
  <si>
    <t>260514-2-3031-SB1-1</t>
  </si>
  <si>
    <t>3690531P</t>
  </si>
  <si>
    <t>7690702XP</t>
  </si>
  <si>
    <t>260701-2-3031-SB1-2</t>
  </si>
  <si>
    <t>7690703P</t>
  </si>
  <si>
    <t>260515-1-3031-SB1-1</t>
  </si>
  <si>
    <t>3690532P</t>
  </si>
  <si>
    <t>3690533P</t>
  </si>
  <si>
    <t>260702-1-3031-SB1-2</t>
  </si>
  <si>
    <t>7690704XP</t>
  </si>
  <si>
    <t>260515-2-3031-SB1-1</t>
  </si>
  <si>
    <t>3690534P</t>
  </si>
  <si>
    <t>260516-1-3031-SB1-1</t>
  </si>
  <si>
    <t>3690535SP</t>
  </si>
  <si>
    <t>7690705XP</t>
  </si>
  <si>
    <t>260702-2-3031-SB1-2</t>
  </si>
  <si>
    <t>7690706P</t>
  </si>
  <si>
    <t>260516-2-3031-SB1-1</t>
  </si>
  <si>
    <t>3690536P</t>
  </si>
  <si>
    <t>260518-1-3031-SB1-1</t>
  </si>
  <si>
    <t>3690538P</t>
  </si>
  <si>
    <t>ZCB10SPEE001000B21</t>
  </si>
  <si>
    <t>กระเบื้องหลังคาเจเวล SCG C ชาโดว์ เกรย์</t>
  </si>
  <si>
    <t>SCG Jewel C Shadow Grey</t>
  </si>
  <si>
    <t>3690537P</t>
  </si>
  <si>
    <t>260703-1-3031-SB1-2</t>
  </si>
  <si>
    <t>7690707XP</t>
  </si>
  <si>
    <t>7690708XP</t>
  </si>
  <si>
    <t>260518-2-3031-SB1-1</t>
  </si>
  <si>
    <t>3690539P</t>
  </si>
  <si>
    <t>260519-1-3031-SB1-1</t>
  </si>
  <si>
    <t>3690540P</t>
  </si>
  <si>
    <t>260703-2-3031-SB1-2</t>
  </si>
  <si>
    <t>7690709XP</t>
  </si>
  <si>
    <t>7690710P</t>
  </si>
  <si>
    <t>260519-2-3031-SB1-1</t>
  </si>
  <si>
    <t>3690541SP</t>
  </si>
  <si>
    <t>260704-1-3031-SB1-2</t>
  </si>
  <si>
    <t>7690711XP</t>
  </si>
  <si>
    <t>7690712XP</t>
  </si>
  <si>
    <t>260704-2-3031-SB1-2</t>
  </si>
  <si>
    <t>7690713XP</t>
  </si>
  <si>
    <t>3690542P</t>
  </si>
  <si>
    <t>260520-1-3031-SB1-1</t>
  </si>
  <si>
    <t>3690543SP</t>
  </si>
  <si>
    <t>3690544P</t>
  </si>
  <si>
    <t>260520-2-3031-SB1-1</t>
  </si>
  <si>
    <t>3690545P</t>
  </si>
  <si>
    <t>260521-1-3031-SB1-1</t>
  </si>
  <si>
    <t>3690546P</t>
  </si>
  <si>
    <t>260521-2-3031-SB1-1</t>
  </si>
  <si>
    <t>3690547P</t>
  </si>
  <si>
    <t>260522-1-3031-SB1-1</t>
  </si>
  <si>
    <t>3690548P</t>
  </si>
  <si>
    <t>260522-2-3031-SB1-1</t>
  </si>
  <si>
    <t>3690549SP</t>
  </si>
  <si>
    <t>3690550SP</t>
  </si>
  <si>
    <t>3690551P</t>
  </si>
  <si>
    <t>260523-1-3031-SB1-1</t>
  </si>
  <si>
    <t>3690552SP</t>
  </si>
  <si>
    <t>3690553P</t>
  </si>
  <si>
    <t>260523-2-3031-SB1-1</t>
  </si>
  <si>
    <t>3690554P</t>
  </si>
  <si>
    <t>260525-2-3031-SB1-1</t>
  </si>
  <si>
    <t>3690555SP</t>
  </si>
  <si>
    <t>3690556P</t>
  </si>
  <si>
    <t>3690557P</t>
  </si>
  <si>
    <t>260526-1-3031-SB1-1</t>
  </si>
  <si>
    <t>3690558P</t>
  </si>
  <si>
    <t>ZCB10SPEE002000B23</t>
  </si>
  <si>
    <t>กระเบื้องหลังคาซาดี้ SCG E จีโอลิกไนต์เกรย์</t>
  </si>
  <si>
    <t>SCG Sadie E GEO STYLE LIGNITE GREY</t>
  </si>
  <si>
    <t>3690559P</t>
  </si>
  <si>
    <t>260526-2-3031-SB1-1</t>
  </si>
  <si>
    <t>3690560P</t>
  </si>
  <si>
    <t>260527-1-3031-SB1-1</t>
  </si>
  <si>
    <t>3690561P</t>
  </si>
  <si>
    <t>3690563SP</t>
  </si>
  <si>
    <t>ZCB10SPEE002000B22</t>
  </si>
  <si>
    <t>กระเบื้องหลังคาซาดี้ SCG E เทาปีกนางนวล</t>
  </si>
  <si>
    <t>SCG Sadie E Seagull Grey</t>
  </si>
  <si>
    <t>3690562P</t>
  </si>
  <si>
    <t>260527-2-3031-SB1-1</t>
  </si>
  <si>
    <t>3690564P</t>
  </si>
  <si>
    <t>260528-1-3031-SB1-1</t>
  </si>
  <si>
    <t>3690565SP</t>
  </si>
  <si>
    <t>260528-2-3031-SB1-1</t>
  </si>
  <si>
    <t>3690566P</t>
  </si>
  <si>
    <t>3690567P</t>
  </si>
  <si>
    <t>3690568P</t>
  </si>
  <si>
    <t>260529-1-3031-SB1-1</t>
  </si>
  <si>
    <t>3690569P</t>
  </si>
  <si>
    <t>3690570SP</t>
  </si>
  <si>
    <t>3690571SP</t>
  </si>
  <si>
    <t>260529-2-3031-SB1-1</t>
  </si>
  <si>
    <t>3690572P</t>
  </si>
  <si>
    <t>260530-1-3031-SB1-1</t>
  </si>
  <si>
    <t>3690573P</t>
  </si>
  <si>
    <t>260530-2-3031-SB1-1</t>
  </si>
  <si>
    <t>3690574P</t>
  </si>
  <si>
    <t>3690575P</t>
  </si>
  <si>
    <t>260601-1-3031-SB1-1</t>
  </si>
  <si>
    <t>3690601SP</t>
  </si>
  <si>
    <t>260601-2-3031-SB1-1</t>
  </si>
  <si>
    <t>3690602P</t>
  </si>
  <si>
    <t>260602-1-3031-SB1-1</t>
  </si>
  <si>
    <t>3690603SP</t>
  </si>
  <si>
    <t>ZCBT1SPEB001DU0T10</t>
  </si>
  <si>
    <t>ก/บ ดูร่าวันลอนรุ่นXtra เทามหามงคล</t>
  </si>
  <si>
    <t>3690604P</t>
  </si>
  <si>
    <t>3690605P</t>
  </si>
  <si>
    <t>260602-2-3031-SB1-1</t>
  </si>
  <si>
    <t>3690606P</t>
  </si>
  <si>
    <t>260603-1-3031-SB1-1</t>
  </si>
  <si>
    <t>3690607P</t>
  </si>
  <si>
    <t>260603-2-3031-SB1-1</t>
  </si>
  <si>
    <t>3690608SP</t>
  </si>
  <si>
    <t>260604-1-3031-SB1-1</t>
  </si>
  <si>
    <t>3690609P</t>
  </si>
  <si>
    <t>3690610P</t>
  </si>
  <si>
    <t>3690611P</t>
  </si>
  <si>
    <t>260604-2-3031-SB1-1</t>
  </si>
  <si>
    <t>3690612P</t>
  </si>
  <si>
    <t>260605-1-3031-SB1-1</t>
  </si>
  <si>
    <t>3690613P</t>
  </si>
  <si>
    <t>3690614P</t>
  </si>
  <si>
    <t>ZCB10SPEE001000B19</t>
  </si>
  <si>
    <t>กระเบื้องหลังคาเจเวล SCG C ออร์นิคแบล็ค</t>
  </si>
  <si>
    <t>SCG Jewel C Onyx Black</t>
  </si>
  <si>
    <t>260605-2-3031-SB1-1</t>
  </si>
  <si>
    <t>3690615P</t>
  </si>
  <si>
    <t>3690616P</t>
  </si>
  <si>
    <t>260606-1-3031-SB1-1</t>
  </si>
  <si>
    <t>3690617P</t>
  </si>
  <si>
    <t>ZCB10SPEE002000B19</t>
  </si>
  <si>
    <t>กระเบื้องหลังคาซาดี้ SCG E ออร์นิคแบล็ค</t>
  </si>
  <si>
    <t>SCG Sadie E Onyx Black</t>
  </si>
  <si>
    <t>260606-2-3031-SB1-1</t>
  </si>
  <si>
    <t>3690618P</t>
  </si>
  <si>
    <t>3690619P</t>
  </si>
  <si>
    <t>260608-2-3031-SB1-1</t>
  </si>
  <si>
    <t>3690620SP</t>
  </si>
  <si>
    <t>3690621P</t>
  </si>
  <si>
    <t>260609-1-3031-SB1-1</t>
  </si>
  <si>
    <t>3690622SP</t>
  </si>
  <si>
    <t>ZCBT1SPEB001DU0T11</t>
  </si>
  <si>
    <t>ก/บ ดูร่าวันลอนรุ่นXtra เทามหาทรัพย์</t>
  </si>
  <si>
    <t>3690623P</t>
  </si>
  <si>
    <t>260609-2-3031-SB1-1</t>
  </si>
  <si>
    <t>3690624P</t>
  </si>
  <si>
    <t>3690625P</t>
  </si>
  <si>
    <t>260610-1-3031-SB1-1</t>
  </si>
  <si>
    <t>3690626P</t>
  </si>
  <si>
    <t>3690627P</t>
  </si>
  <si>
    <t>260610-2-3031-SB1-1</t>
  </si>
  <si>
    <t>3690628SP</t>
  </si>
  <si>
    <t>260611-1-3031-SB1-1</t>
  </si>
  <si>
    <t>3690629P</t>
  </si>
  <si>
    <t>3690630P</t>
  </si>
  <si>
    <t>260611-2-3031-SB1-1</t>
  </si>
  <si>
    <t>3690631P</t>
  </si>
  <si>
    <t>260612-1-3031-SB1-1</t>
  </si>
  <si>
    <t>3690632P</t>
  </si>
  <si>
    <t>260612-2-3031-SB1-1</t>
  </si>
  <si>
    <t>3690633P</t>
  </si>
  <si>
    <t>3690634SP</t>
  </si>
  <si>
    <t>260613-1-3031-SB1-1</t>
  </si>
  <si>
    <t>3690635P</t>
  </si>
  <si>
    <t>260613-2-3031-SB1-1</t>
  </si>
  <si>
    <t>3690636P</t>
  </si>
  <si>
    <t>260615-1-3031-SB1-1</t>
  </si>
  <si>
    <t>3690637P</t>
  </si>
  <si>
    <t>3690638P</t>
  </si>
  <si>
    <t>260615-2-3031-SB1-1</t>
  </si>
  <si>
    <t>3690639P</t>
  </si>
  <si>
    <t>3690640P</t>
  </si>
  <si>
    <t>260616-1-3031-SB1-1</t>
  </si>
  <si>
    <t>3690641P</t>
  </si>
  <si>
    <t>3690642P</t>
  </si>
  <si>
    <t>260616-2-3031-SB1-1</t>
  </si>
  <si>
    <t>3690643P</t>
  </si>
  <si>
    <t>3690644P</t>
  </si>
  <si>
    <t>260617-1-3031-SB1-1</t>
  </si>
  <si>
    <t>3690645P</t>
  </si>
  <si>
    <t>3690646P</t>
  </si>
  <si>
    <t>ZCBNTTILK00MAINK13</t>
  </si>
  <si>
    <t>กระเบื้องผืนหลังคา โอเรียนทอล บริค**MTO</t>
  </si>
  <si>
    <t>ORIENTAL MAIN TILE BRICK</t>
  </si>
  <si>
    <t>260107-1-30A1-Oriental-T</t>
  </si>
  <si>
    <t>B23690102</t>
  </si>
  <si>
    <t>ZCBNTTILK00MAINK12</t>
  </si>
  <si>
    <t>กระเบื้องผืนหลังคา โอเรียนทอล สีเพิร์ล</t>
  </si>
  <si>
    <t>ORIENTAL MAIN TILE PEARL</t>
  </si>
  <si>
    <t>260601-2-30A1-Oriental-T</t>
  </si>
  <si>
    <t>B12690601</t>
  </si>
  <si>
    <t>260602-2-30A1-Oriental-T</t>
  </si>
  <si>
    <t>B12690602</t>
  </si>
  <si>
    <t>260603-2-30A1-Oriental-T</t>
  </si>
  <si>
    <t>B12690603</t>
  </si>
  <si>
    <t>ZCBNTTILK00EAVEK12</t>
  </si>
  <si>
    <t>กระเบื้องเชิงชาย โอเรียนทอล เพิร์ล</t>
  </si>
  <si>
    <t>ORIENTAL EAVE TILEPEARL</t>
  </si>
  <si>
    <t>B14690603</t>
  </si>
  <si>
    <t>260605-2-30A1-Oriental-T</t>
  </si>
  <si>
    <t>B12690604</t>
  </si>
  <si>
    <t>B14690604</t>
  </si>
  <si>
    <t>260606-2-30A1-Oriental-T</t>
  </si>
  <si>
    <t>B12690605</t>
  </si>
  <si>
    <t>B14690605</t>
  </si>
  <si>
    <t>260609-1-30A1-Oriental-T</t>
  </si>
  <si>
    <t>B12690606</t>
  </si>
  <si>
    <t>B14690606</t>
  </si>
  <si>
    <t>260612-1-30A1-Oriental-T</t>
  </si>
  <si>
    <t>B12690607</t>
  </si>
  <si>
    <t>B14690607</t>
  </si>
  <si>
    <t>260613-1-30A1-Oriental-T</t>
  </si>
  <si>
    <t>B12690608</t>
  </si>
  <si>
    <t>B14690608</t>
  </si>
  <si>
    <t>260625-1-30A1-Oriental-T</t>
  </si>
  <si>
    <t>B12690615</t>
  </si>
  <si>
    <t>B14690615</t>
  </si>
  <si>
    <t>ZCBNTFITK003000K02</t>
  </si>
  <si>
    <t>ครอบปั้นลม โอเรียนทอล เพิร์ล</t>
  </si>
  <si>
    <t>SCG NEU VERGE ORIENTAL PEARL</t>
  </si>
  <si>
    <t>260601-2-30A1-Oriental-F</t>
  </si>
  <si>
    <t>B19690601</t>
  </si>
  <si>
    <t>ZCBNTFITK008000K02</t>
  </si>
  <si>
    <t>ครอบหัวก/บนิวสไตล์ โอเรียนทอลเพิร์ล</t>
  </si>
  <si>
    <t>SCG NEU WALL RIDGE ORIENTAL PEARL</t>
  </si>
  <si>
    <t>260602-2-30A1-Oriental-F</t>
  </si>
  <si>
    <t>B21690602</t>
  </si>
  <si>
    <t>ZCBNTTILXSHEAVEX04</t>
  </si>
  <si>
    <t>กระเบื้องเชิงชาย สีวูดเดนร็อก XS HB</t>
  </si>
  <si>
    <t>SCG NEU XS HB EAVES TILE WR</t>
  </si>
  <si>
    <t>260616-1-30A1-Neustile-F</t>
  </si>
  <si>
    <t>B01690609</t>
  </si>
  <si>
    <t>ZCBNTFITXSH2000X04</t>
  </si>
  <si>
    <t>ครอบตะเข้สัน สีวูดเดนร็อก XS HB</t>
  </si>
  <si>
    <t>SCG NEU XS HB ANGLE HIP WR</t>
  </si>
  <si>
    <t>B04690609</t>
  </si>
  <si>
    <t>ZCBNTFITXSH7000X04</t>
  </si>
  <si>
    <t>ครอบข้างผนัง สีวูดเดนร็อก XS HB</t>
  </si>
  <si>
    <t>SCG NEU XS HB WALL VERGE WR</t>
  </si>
  <si>
    <t>B11690609</t>
  </si>
  <si>
    <t>ZCBNTTILXSHEAVEX07</t>
  </si>
  <si>
    <t>กระเบื้องเชิงชาย สีเกรย์ซเลท XS HB</t>
  </si>
  <si>
    <t>SCG NEU XS HB EAVES TILE GS</t>
  </si>
  <si>
    <t>260617-1-30A1-Neustile-F</t>
  </si>
  <si>
    <t>B01690610</t>
  </si>
  <si>
    <t>ZCBNTFITXSH1000X07</t>
  </si>
  <si>
    <t>ครอบสันหลังคา สีเกรย์ซเลท XS HB</t>
  </si>
  <si>
    <t>SCG NEU XS HB ANGLE RIDGE GS</t>
  </si>
  <si>
    <t>B02690610</t>
  </si>
  <si>
    <t>ZCBNTFITXSH2000X07</t>
  </si>
  <si>
    <t>ครอบตะเข้สัน สีเกรย์ซเลท XS HB</t>
  </si>
  <si>
    <t>SCG NEU XS HB ANGLE HIP GS</t>
  </si>
  <si>
    <t>B04690610</t>
  </si>
  <si>
    <t>ZCBNTTILXSHEAVEX01</t>
  </si>
  <si>
    <t>กระเบื้องเชิงชาย สีเกรย์แกรนิต XS HB</t>
  </si>
  <si>
    <t>SCG NEU XS HB EAVES TILE GG</t>
  </si>
  <si>
    <t>260618-1-30A1-Neustile-F</t>
  </si>
  <si>
    <t>B01690611</t>
  </si>
  <si>
    <t>ZCBNTFITXSH1000X01</t>
  </si>
  <si>
    <t>ครอบสันหลังคา สีเกรย์แกรนิต XS HB</t>
  </si>
  <si>
    <t>SCG NEU XS HB ANGLE RIDGE GG</t>
  </si>
  <si>
    <t>B02690611</t>
  </si>
  <si>
    <t>ZCBNTFITXSH2000X01</t>
  </si>
  <si>
    <t>ครอบตะเข้สัน สีเกรย์แกรนิต XS HB</t>
  </si>
  <si>
    <t>SCG NEU XS HB ANGLE HIP GG</t>
  </si>
  <si>
    <t>B04690611</t>
  </si>
  <si>
    <t>ZCBNTFITXSH5000X01</t>
  </si>
  <si>
    <t>ครอบปิดปลายตะเข้ สีเกรย์แกรนิต XS HB</t>
  </si>
  <si>
    <t>SCG NEU XS HB ANGLE HIP END GG</t>
  </si>
  <si>
    <t>B05690611</t>
  </si>
  <si>
    <t>260620-1-30A1-Neustile-F</t>
  </si>
  <si>
    <t>B01690612</t>
  </si>
  <si>
    <t>B02690612</t>
  </si>
  <si>
    <t>B04690612</t>
  </si>
  <si>
    <t>260622-1-30A1-Neustile-F</t>
  </si>
  <si>
    <t>B01690613</t>
  </si>
  <si>
    <t>B02690613</t>
  </si>
  <si>
    <t>B04690613</t>
  </si>
  <si>
    <t>260623-1-30A1-Neustile-F</t>
  </si>
  <si>
    <t>B01690614</t>
  </si>
  <si>
    <t>B04690614</t>
  </si>
  <si>
    <t>ZCBNTFITXSH3001X07</t>
  </si>
  <si>
    <t>ครอบข้าง_SEAMLESS สีเกรย์ซเลท XSHB</t>
  </si>
  <si>
    <t>SCG NEU SEAMLESS VERGE GREY SLATE</t>
  </si>
  <si>
    <t>B0869061</t>
  </si>
  <si>
    <t>260429-1-30A1-SB2-2</t>
  </si>
  <si>
    <t>A690412</t>
  </si>
  <si>
    <t>ZCBNTTILXSHTOP0X08</t>
  </si>
  <si>
    <t>กระเบื้องสันหลังคา สีดาร์คบราวน์ XS HB</t>
  </si>
  <si>
    <t>SCG NEU XS HB TOP TILE DARK BROWN</t>
  </si>
  <si>
    <t>A690412/TOP</t>
  </si>
  <si>
    <t>260430-1-30A1-SB2-2</t>
  </si>
  <si>
    <t>A690413</t>
  </si>
  <si>
    <t>A690413/TOP</t>
  </si>
  <si>
    <t>260506-1-30A1-SB2-2</t>
  </si>
  <si>
    <t>A690501</t>
  </si>
  <si>
    <t>A690501/TOP</t>
  </si>
  <si>
    <t>260507-1-30A1-SB2-2</t>
  </si>
  <si>
    <t>A690502</t>
  </si>
  <si>
    <t>A690502/TOP</t>
  </si>
  <si>
    <t>260508-1-30A1-SB2-2</t>
  </si>
  <si>
    <t>A690503</t>
  </si>
  <si>
    <t>A690504</t>
  </si>
  <si>
    <t>260509-1-30A1-SB2-2</t>
  </si>
  <si>
    <t>A690505</t>
  </si>
  <si>
    <t>260518-1-30A1-SB2-2</t>
  </si>
  <si>
    <t>A690506</t>
  </si>
  <si>
    <t>A690506/TOP</t>
  </si>
  <si>
    <t>260519-1-30A1-SB2-2</t>
  </si>
  <si>
    <t>A690507</t>
  </si>
  <si>
    <t>A690507/TOP</t>
  </si>
  <si>
    <t>260520-1-30A1-SB2-2</t>
  </si>
  <si>
    <t>A690508</t>
  </si>
  <si>
    <t>260521-1-30A1-SB2-2</t>
  </si>
  <si>
    <t>A690509</t>
  </si>
  <si>
    <t>260522-1-30A1-SB2-2</t>
  </si>
  <si>
    <t>A690510</t>
  </si>
  <si>
    <t>260523-1-30A1-SB2-2</t>
  </si>
  <si>
    <t>A690511</t>
  </si>
  <si>
    <t>260525-1-30A1-SB2-2</t>
  </si>
  <si>
    <t>A690512</t>
  </si>
  <si>
    <t>A690512/TOP</t>
  </si>
  <si>
    <t>260526-1-30A1-SB2-2</t>
  </si>
  <si>
    <t>A690513</t>
  </si>
  <si>
    <t>A690513/TOP</t>
  </si>
  <si>
    <t>260527-1-30A1-SB2-2</t>
  </si>
  <si>
    <t>A690514</t>
  </si>
  <si>
    <t>260528-1-30A1-SB2-2</t>
  </si>
  <si>
    <t>A690515</t>
  </si>
  <si>
    <t>260601-1-30A1-SB2-2</t>
  </si>
  <si>
    <t>A690601</t>
  </si>
  <si>
    <t>260602-1-30A1-SB2-2</t>
  </si>
  <si>
    <t>A690602</t>
  </si>
  <si>
    <t>260603-1-30A1-SB2-2</t>
  </si>
  <si>
    <t>A690603</t>
  </si>
  <si>
    <t>260604-1-30A1-SB2-2</t>
  </si>
  <si>
    <t>A690604</t>
  </si>
  <si>
    <t>260608-1-30A1-SB2-2</t>
  </si>
  <si>
    <t>A690605</t>
  </si>
  <si>
    <t>A690606</t>
  </si>
  <si>
    <t>A690606/TOP</t>
  </si>
  <si>
    <t>260609-1-30A1-SB2-2</t>
  </si>
  <si>
    <t>A690607</t>
  </si>
  <si>
    <t>A690607/TOP</t>
  </si>
  <si>
    <t>260610-1-30A1-SB2-2</t>
  </si>
  <si>
    <t>A690608</t>
  </si>
  <si>
    <t>A690608/TOP</t>
  </si>
  <si>
    <t>260611-1-30A1-SB2-2</t>
  </si>
  <si>
    <t>A690609</t>
  </si>
  <si>
    <t>A690609/TOP</t>
  </si>
  <si>
    <t>260617-1-30A1-SB2-2</t>
  </si>
  <si>
    <t>A690610</t>
  </si>
  <si>
    <t>260618-1-30A1-SB2-2</t>
  </si>
  <si>
    <t>A690611</t>
  </si>
  <si>
    <t>260619-1-30A1-SB2-2</t>
  </si>
  <si>
    <t>A690612</t>
  </si>
  <si>
    <t>A690612/TOP</t>
  </si>
  <si>
    <t>260620-1-30A1-SB2-2</t>
  </si>
  <si>
    <t>A690613</t>
  </si>
  <si>
    <t>A690613/TOP</t>
  </si>
  <si>
    <t>260622-1-30A1-SB2-2</t>
  </si>
  <si>
    <t>A690614</t>
  </si>
  <si>
    <t>A690614/TOP</t>
  </si>
  <si>
    <t>260623-1-30A1-SB2-2</t>
  </si>
  <si>
    <t>A690615</t>
  </si>
  <si>
    <t>A690615/TOP</t>
  </si>
  <si>
    <t>260624-1-30A1-SB2-2</t>
  </si>
  <si>
    <t>A690616</t>
  </si>
  <si>
    <t>A690616/TOP</t>
  </si>
  <si>
    <t>260625-1-30A1-SB2-2</t>
  </si>
  <si>
    <t>A690617</t>
  </si>
  <si>
    <t>A690617/TOP</t>
  </si>
  <si>
    <t>260629-1-30A1-SB2-2</t>
  </si>
  <si>
    <t>A690618</t>
  </si>
  <si>
    <t>3081</t>
  </si>
  <si>
    <t>NR-1</t>
  </si>
  <si>
    <t>260105-1-3081-NR-1</t>
  </si>
  <si>
    <t>9690101P</t>
  </si>
  <si>
    <t>260106-1-3081-NR-1</t>
  </si>
  <si>
    <t>9690102P</t>
  </si>
  <si>
    <t>9690103P</t>
  </si>
  <si>
    <t>9690104P</t>
  </si>
  <si>
    <t>260107-1-3081-NR-1</t>
  </si>
  <si>
    <t>9690105P</t>
  </si>
  <si>
    <t>9690106P</t>
  </si>
  <si>
    <t>9690107P</t>
  </si>
  <si>
    <t>260108-1-3081-NR-1</t>
  </si>
  <si>
    <t>9690108P</t>
  </si>
  <si>
    <t>9690109P</t>
  </si>
  <si>
    <t>ZCB10STDZ001000191</t>
  </si>
  <si>
    <t>ก/บ คอนกรีตSCG สีเทาภัทรา</t>
  </si>
  <si>
    <t>SCG CONCRETE PHATTA GREY</t>
  </si>
  <si>
    <t>9690110P</t>
  </si>
  <si>
    <t>9690111P</t>
  </si>
  <si>
    <t>260112-1-3081-NR-1</t>
  </si>
  <si>
    <t>9690112P</t>
  </si>
  <si>
    <t>9690113P</t>
  </si>
  <si>
    <t>3041</t>
  </si>
  <si>
    <t>CB-1</t>
  </si>
  <si>
    <t>260105-1-3041-CB-1</t>
  </si>
  <si>
    <t>4690101P</t>
  </si>
  <si>
    <t>260106-1-3041-CB-1</t>
  </si>
  <si>
    <t>4690102P</t>
  </si>
  <si>
    <t>9690114P</t>
  </si>
  <si>
    <t>9690115P</t>
  </si>
  <si>
    <t>260107-1-3041-CB-1</t>
  </si>
  <si>
    <t>4690103P</t>
  </si>
  <si>
    <t>260113-1-3081-NR-1</t>
  </si>
  <si>
    <t>9690116P</t>
  </si>
  <si>
    <t>9690117P</t>
  </si>
  <si>
    <t>260108-1-3041-CB-1</t>
  </si>
  <si>
    <t>4690104P</t>
  </si>
  <si>
    <t>9690118P</t>
  </si>
  <si>
    <t>260114-1-3081-NR-1</t>
  </si>
  <si>
    <t>9690119P</t>
  </si>
  <si>
    <t>9690120P</t>
  </si>
  <si>
    <t>260109-1-3041-CB-1</t>
  </si>
  <si>
    <t>4690105P</t>
  </si>
  <si>
    <t>4690106P</t>
  </si>
  <si>
    <t>260112-1-3041-CB-1</t>
  </si>
  <si>
    <t>4690107P</t>
  </si>
  <si>
    <t>260113-1-3041-CB-1</t>
  </si>
  <si>
    <t>4690108P</t>
  </si>
  <si>
    <t>9690121P</t>
  </si>
  <si>
    <t>260115-1-3081-NR-1</t>
  </si>
  <si>
    <t>9690122P</t>
  </si>
  <si>
    <t>260114-1-3041-CB-1</t>
  </si>
  <si>
    <t>4690109P</t>
  </si>
  <si>
    <t>9690123P</t>
  </si>
  <si>
    <t>9690124P</t>
  </si>
  <si>
    <t>260115-1-3041-CB-1</t>
  </si>
  <si>
    <t>4690110P</t>
  </si>
  <si>
    <t>260116-1-3041-CB-1</t>
  </si>
  <si>
    <t>4690111P</t>
  </si>
  <si>
    <t>260119-1-3081-NR-1</t>
  </si>
  <si>
    <t>9690125P</t>
  </si>
  <si>
    <t>9690126P</t>
  </si>
  <si>
    <t>ZCB10STDZ002000195</t>
  </si>
  <si>
    <t>ก/บ คอนกรีตSCG สีเทาคชา</t>
  </si>
  <si>
    <t>SCG CONCRETE KACHA GREY*MTO</t>
  </si>
  <si>
    <t>9690127P</t>
  </si>
  <si>
    <t>260117-1-3041-CB-1</t>
  </si>
  <si>
    <t>4690112P</t>
  </si>
  <si>
    <t>9690128P</t>
  </si>
  <si>
    <t>260119-2-3041-CB-1</t>
  </si>
  <si>
    <t>4690113P</t>
  </si>
  <si>
    <t>260120-1-3041-CB-1</t>
  </si>
  <si>
    <t>4690114P</t>
  </si>
  <si>
    <t>260120-1-3081-NR-1</t>
  </si>
  <si>
    <t>9690129P</t>
  </si>
  <si>
    <t>9690130P</t>
  </si>
  <si>
    <t>260121-1-3041-CB-1</t>
  </si>
  <si>
    <t>4690115P</t>
  </si>
  <si>
    <t>9690131P</t>
  </si>
  <si>
    <t>260122-1-3081-NR-1</t>
  </si>
  <si>
    <t>9690132P</t>
  </si>
  <si>
    <t>260122-1-3041-CB-1</t>
  </si>
  <si>
    <t>4690116P</t>
  </si>
  <si>
    <t>260123-1-3041-CB-1</t>
  </si>
  <si>
    <t>4690117P</t>
  </si>
  <si>
    <t>9690133P</t>
  </si>
  <si>
    <t>9690134P</t>
  </si>
  <si>
    <t>260126-1-3041-CB-1</t>
  </si>
  <si>
    <t>4690118P</t>
  </si>
  <si>
    <t>260127-1-3041-CB-1</t>
  </si>
  <si>
    <t>4690119P</t>
  </si>
  <si>
    <t>260123-1-3081-NR-1</t>
  </si>
  <si>
    <t>9690135P</t>
  </si>
  <si>
    <t>260128-1-3041-CB-1</t>
  </si>
  <si>
    <t>4690120P</t>
  </si>
  <si>
    <t>9690136P</t>
  </si>
  <si>
    <t>9690137P</t>
  </si>
  <si>
    <t>260129-1-3041-CB-1</t>
  </si>
  <si>
    <t>4690121P</t>
  </si>
  <si>
    <t>260130-1-3041-CB-1</t>
  </si>
  <si>
    <t>4690122P</t>
  </si>
  <si>
    <t>260126-1-3081-NR-1</t>
  </si>
  <si>
    <t>9690138P</t>
  </si>
  <si>
    <t>9690139P</t>
  </si>
  <si>
    <t>9690140P</t>
  </si>
  <si>
    <t>260127-1-3081-NR-1</t>
  </si>
  <si>
    <t>9690141P</t>
  </si>
  <si>
    <t>9690142P</t>
  </si>
  <si>
    <t>260202-1-3041-CB-1</t>
  </si>
  <si>
    <t>4690201P</t>
  </si>
  <si>
    <t>4690202P</t>
  </si>
  <si>
    <t>260203-1-3041-CB-1</t>
  </si>
  <si>
    <t>4690203P</t>
  </si>
  <si>
    <t>9690143P</t>
  </si>
  <si>
    <t>260128-1-3081-NR-1</t>
  </si>
  <si>
    <t>9690144P</t>
  </si>
  <si>
    <t>4690204P</t>
  </si>
  <si>
    <t>260204-1-3041-CB-1</t>
  </si>
  <si>
    <t>4690205P</t>
  </si>
  <si>
    <t>260205-1-3041-CB-1</t>
  </si>
  <si>
    <t>4690206P</t>
  </si>
  <si>
    <t>9690145P</t>
  </si>
  <si>
    <t>9690146P</t>
  </si>
  <si>
    <t>260206-1-3041-CB-1</t>
  </si>
  <si>
    <t>4690207P</t>
  </si>
  <si>
    <t>260129-1-3081-NR-1</t>
  </si>
  <si>
    <t>9690447P</t>
  </si>
  <si>
    <t>9690148P</t>
  </si>
  <si>
    <t>260209-1-3041-CB-1</t>
  </si>
  <si>
    <t>4690208P</t>
  </si>
  <si>
    <t>9690149P</t>
  </si>
  <si>
    <t>260130-1-3081-NR-1</t>
  </si>
  <si>
    <t>9690150P</t>
  </si>
  <si>
    <t>260210-1-3041-CB-1</t>
  </si>
  <si>
    <t>4690209P</t>
  </si>
  <si>
    <t>260202-1-3081-NR-1</t>
  </si>
  <si>
    <t>9690201P</t>
  </si>
  <si>
    <t>260211-1-3041-CB-1</t>
  </si>
  <si>
    <t>4690210P</t>
  </si>
  <si>
    <t>260212-1-3041-CB-1</t>
  </si>
  <si>
    <t>4690211P</t>
  </si>
  <si>
    <t>9690202P</t>
  </si>
  <si>
    <t>9690203P</t>
  </si>
  <si>
    <t>260213-1-3041-CB-1</t>
  </si>
  <si>
    <t>4690212P</t>
  </si>
  <si>
    <t>9690204P</t>
  </si>
  <si>
    <t>260203-1-3081-NR-1</t>
  </si>
  <si>
    <t>9690205P</t>
  </si>
  <si>
    <t>9690206P</t>
  </si>
  <si>
    <t>260214-1-3041-CB-1</t>
  </si>
  <si>
    <t>4690213P</t>
  </si>
  <si>
    <t>9690207P</t>
  </si>
  <si>
    <t>260204-1-3081-NR-1</t>
  </si>
  <si>
    <t>9690208P</t>
  </si>
  <si>
    <t>260216-2-3041-CB-1</t>
  </si>
  <si>
    <t>4690214P</t>
  </si>
  <si>
    <t>260217-1-3041-CB-1</t>
  </si>
  <si>
    <t>4690215P</t>
  </si>
  <si>
    <t>9690209P</t>
  </si>
  <si>
    <t>9690210P</t>
  </si>
  <si>
    <t>4690216P</t>
  </si>
  <si>
    <t>260218-1-3041-CB-1</t>
  </si>
  <si>
    <t>4690217P</t>
  </si>
  <si>
    <t>9690211P</t>
  </si>
  <si>
    <t>260219-1-3041-CB-1</t>
  </si>
  <si>
    <t>4690218P</t>
  </si>
  <si>
    <t>260220-1-3041-CB-1</t>
  </si>
  <si>
    <t>4690219P</t>
  </si>
  <si>
    <t>260205-1-3081-NR-1</t>
  </si>
  <si>
    <t>9690212P</t>
  </si>
  <si>
    <t>9690213P</t>
  </si>
  <si>
    <t>9690214P</t>
  </si>
  <si>
    <t>260221-1-3041-CB-1</t>
  </si>
  <si>
    <t>4690220P</t>
  </si>
  <si>
    <t>260223-1-3041-CB-1</t>
  </si>
  <si>
    <t>4690221P</t>
  </si>
  <si>
    <t>4690222P</t>
  </si>
  <si>
    <t>260224-1-3041-CB-1</t>
  </si>
  <si>
    <t>4690223P</t>
  </si>
  <si>
    <t>260225-1-3041-CB-1</t>
  </si>
  <si>
    <t>4690224P</t>
  </si>
  <si>
    <t>260226-1-3041-CB-1</t>
  </si>
  <si>
    <t>4690225P</t>
  </si>
  <si>
    <t>260209-1-3081-NR-1</t>
  </si>
  <si>
    <t>9690215P</t>
  </si>
  <si>
    <t>9690216P</t>
  </si>
  <si>
    <t>260227-1-3041-CB-1</t>
  </si>
  <si>
    <t>4690226P</t>
  </si>
  <si>
    <t>260228-1-3041-CB-1</t>
  </si>
  <si>
    <t>4690227P</t>
  </si>
  <si>
    <t>9690217P</t>
  </si>
  <si>
    <t>260210-1-3081-NR-1</t>
  </si>
  <si>
    <t>9690218P</t>
  </si>
  <si>
    <t>260302-1-3041-CB-1</t>
  </si>
  <si>
    <t>4690301P</t>
  </si>
  <si>
    <t>260303-1-3041-CB-1</t>
  </si>
  <si>
    <t>4690302P</t>
  </si>
  <si>
    <t>9690219P</t>
  </si>
  <si>
    <t>9690220P</t>
  </si>
  <si>
    <t>260304-1-3041-CB-1</t>
  </si>
  <si>
    <t>4690303P</t>
  </si>
  <si>
    <t>260211-1-3081-NR-1</t>
  </si>
  <si>
    <t>9690221P</t>
  </si>
  <si>
    <t>9690222P</t>
  </si>
  <si>
    <t>260305-1-3041-CB-1</t>
  </si>
  <si>
    <t>4690304P</t>
  </si>
  <si>
    <t>260306-1-3041-CB-1</t>
  </si>
  <si>
    <t>4690305P</t>
  </si>
  <si>
    <t>9690223P</t>
  </si>
  <si>
    <t>260212-1-3081-NR-1</t>
  </si>
  <si>
    <t>9690224P</t>
  </si>
  <si>
    <t>260307-1-3041-CB-1</t>
  </si>
  <si>
    <t>4690306P</t>
  </si>
  <si>
    <t>260309-1-3041-CB-1</t>
  </si>
  <si>
    <t>4690307P</t>
  </si>
  <si>
    <t>9690225P</t>
  </si>
  <si>
    <t>9690226P</t>
  </si>
  <si>
    <t>260310-1-3041-CB-1</t>
  </si>
  <si>
    <t>4690308P</t>
  </si>
  <si>
    <t>9690227P</t>
  </si>
  <si>
    <t>260311-1-3041-CB-1</t>
  </si>
  <si>
    <t>4690309P</t>
  </si>
  <si>
    <t>260312-1-3041-CB-1</t>
  </si>
  <si>
    <t>4690310P</t>
  </si>
  <si>
    <t>260217-1-3081-NR-1</t>
  </si>
  <si>
    <t>9690228P</t>
  </si>
  <si>
    <t>9690229P</t>
  </si>
  <si>
    <t>9690230P</t>
  </si>
  <si>
    <t>260313-1-3041-CB-1</t>
  </si>
  <si>
    <t>4690311P</t>
  </si>
  <si>
    <t>260318-1-3041-CB-1</t>
  </si>
  <si>
    <t>4690312P</t>
  </si>
  <si>
    <t>9690231P</t>
  </si>
  <si>
    <t>260218-1-3081-NR-1</t>
  </si>
  <si>
    <t>9690232P</t>
  </si>
  <si>
    <t>260319-1-3041-CB-1</t>
  </si>
  <si>
    <t>4690313P</t>
  </si>
  <si>
    <t>9690233P</t>
  </si>
  <si>
    <t>9690234P</t>
  </si>
  <si>
    <t>260320-1-3041-CB-1</t>
  </si>
  <si>
    <t>4690314P</t>
  </si>
  <si>
    <t>260219-1-3081-NR-1</t>
  </si>
  <si>
    <t>9690235P</t>
  </si>
  <si>
    <t>9690236P</t>
  </si>
  <si>
    <t>260321-1-3041-CB-1</t>
  </si>
  <si>
    <t>4690315P</t>
  </si>
  <si>
    <t>260323-1-3041-CB-1</t>
  </si>
  <si>
    <t>4690316P</t>
  </si>
  <si>
    <t>9690237P</t>
  </si>
  <si>
    <t>260223-1-3081-NR-1</t>
  </si>
  <si>
    <t>9690238P</t>
  </si>
  <si>
    <t>260324-1-3041-CB-1</t>
  </si>
  <si>
    <t>4690317P</t>
  </si>
  <si>
    <t>9690239P</t>
  </si>
  <si>
    <t>9690240P</t>
  </si>
  <si>
    <t>260325-1-3041-CB-1</t>
  </si>
  <si>
    <t>4690318P</t>
  </si>
  <si>
    <t>260224-1-3081-NR-1</t>
  </si>
  <si>
    <t>9690241P</t>
  </si>
  <si>
    <t>9690242P</t>
  </si>
  <si>
    <t>260326-1-3041-CB-1</t>
  </si>
  <si>
    <t>4690319P</t>
  </si>
  <si>
    <t>9690243P</t>
  </si>
  <si>
    <t>260327-1-3041-CB-1</t>
  </si>
  <si>
    <t>4690320P</t>
  </si>
  <si>
    <t>260331-1-3041-CB-1</t>
  </si>
  <si>
    <t>4690321P</t>
  </si>
  <si>
    <t>260401-1-3041-CB-1</t>
  </si>
  <si>
    <t>4690401P</t>
  </si>
  <si>
    <t>260402-1-3041-CB-1</t>
  </si>
  <si>
    <t>4690402P</t>
  </si>
  <si>
    <t>260403-1-3041-CB-1</t>
  </si>
  <si>
    <t>4690403P</t>
  </si>
  <si>
    <t>260225-1-3081-NR-1</t>
  </si>
  <si>
    <t>9690244P</t>
  </si>
  <si>
    <t>9690245P</t>
  </si>
  <si>
    <t>9690246P</t>
  </si>
  <si>
    <t>4690404P</t>
  </si>
  <si>
    <t>260404-1-3041-CB-1</t>
  </si>
  <si>
    <t>4690405P</t>
  </si>
  <si>
    <t>260406-1-3041-CB-1</t>
  </si>
  <si>
    <t>4690406P</t>
  </si>
  <si>
    <t>260226-1-3081-NR-1</t>
  </si>
  <si>
    <t>9690247P</t>
  </si>
  <si>
    <t>9690248P</t>
  </si>
  <si>
    <t>260407-1-3041-CB-1</t>
  </si>
  <si>
    <t>4690407P</t>
  </si>
  <si>
    <t>260408-1-3041-CB-1</t>
  </si>
  <si>
    <t>4690408P</t>
  </si>
  <si>
    <t>260409-1-3041-CB-1</t>
  </si>
  <si>
    <t>4690409P</t>
  </si>
  <si>
    <t>260410-1-3041-CB-1</t>
  </si>
  <si>
    <t>4690410P</t>
  </si>
  <si>
    <t>260411-1-3041-CB-1</t>
  </si>
  <si>
    <t>4690411P</t>
  </si>
  <si>
    <t>9690249P</t>
  </si>
  <si>
    <t>9690250P</t>
  </si>
  <si>
    <t>260414-2-3041-CB-1</t>
  </si>
  <si>
    <t>4690412P</t>
  </si>
  <si>
    <t>260415-1-3041-CB-1</t>
  </si>
  <si>
    <t>4690413P</t>
  </si>
  <si>
    <t>260227-1-3081-NR-1</t>
  </si>
  <si>
    <t>9690251P</t>
  </si>
  <si>
    <t>9690252P</t>
  </si>
  <si>
    <t>9690253P</t>
  </si>
  <si>
    <t>260416-1-3041-CB-1</t>
  </si>
  <si>
    <t>4690414P</t>
  </si>
  <si>
    <t>4690415P</t>
  </si>
  <si>
    <t>260302-1-3081-NR-1</t>
  </si>
  <si>
    <t>9690301P</t>
  </si>
  <si>
    <t>260417-1-3041-CB-1</t>
  </si>
  <si>
    <t>4690416P</t>
  </si>
  <si>
    <t>260304-1-3081-NR-1</t>
  </si>
  <si>
    <t>9690302P</t>
  </si>
  <si>
    <t>9690303P</t>
  </si>
  <si>
    <t>260418-1-3041-CB-1</t>
  </si>
  <si>
    <t>4690417P</t>
  </si>
  <si>
    <t>9690304P</t>
  </si>
  <si>
    <t>260420-1-3041-CB-1</t>
  </si>
  <si>
    <t>4690418P</t>
  </si>
  <si>
    <t>260305-1-3081-NR-1</t>
  </si>
  <si>
    <t>9690305P</t>
  </si>
  <si>
    <t>9690306P</t>
  </si>
  <si>
    <t>260421-1-3041-CB-1</t>
  </si>
  <si>
    <t>4690419P</t>
  </si>
  <si>
    <t>260422-1-3041-CB-1</t>
  </si>
  <si>
    <t>4690420P</t>
  </si>
  <si>
    <t>260423-1-3041-CB-1</t>
  </si>
  <si>
    <t>4690421P</t>
  </si>
  <si>
    <t>9690307P</t>
  </si>
  <si>
    <t>260306-1-3081-NR-1</t>
  </si>
  <si>
    <t>9690308P</t>
  </si>
  <si>
    <t>260424-1-3041-CB-1</t>
  </si>
  <si>
    <t>4690422P</t>
  </si>
  <si>
    <t>260425-1-3041-CB-1</t>
  </si>
  <si>
    <t>4690423P</t>
  </si>
  <si>
    <t>9690309P</t>
  </si>
  <si>
    <t>9690310P</t>
  </si>
  <si>
    <t>260427-1-3041-CB-1</t>
  </si>
  <si>
    <t>4690424P</t>
  </si>
  <si>
    <t>260309-1-3081-NR-1</t>
  </si>
  <si>
    <t>9690311P</t>
  </si>
  <si>
    <t>260428-1-3041-CB-1</t>
  </si>
  <si>
    <t>4690425P</t>
  </si>
  <si>
    <t>260429-1-3041-CB-1</t>
  </si>
  <si>
    <t>4690426P</t>
  </si>
  <si>
    <t>9690312P</t>
  </si>
  <si>
    <t>260310-1-3081-NR-1</t>
  </si>
  <si>
    <t>9690313P</t>
  </si>
  <si>
    <t>260430-1-3041-CB-1</t>
  </si>
  <si>
    <t>4690427P</t>
  </si>
  <si>
    <t>9690314P</t>
  </si>
  <si>
    <t>260311-1-3081-NR-1</t>
  </si>
  <si>
    <t>9690315P</t>
  </si>
  <si>
    <t>260505-1-3041-CB-1</t>
  </si>
  <si>
    <t>4690501P</t>
  </si>
  <si>
    <t>9690316P</t>
  </si>
  <si>
    <t>260312-1-3081-NR-1</t>
  </si>
  <si>
    <t>9690317P</t>
  </si>
  <si>
    <t>9690318P</t>
  </si>
  <si>
    <t>4690502P</t>
  </si>
  <si>
    <t>260506-1-3041-CB-1</t>
  </si>
  <si>
    <t>4690503P</t>
  </si>
  <si>
    <t>260316-1-3081-NR-1</t>
  </si>
  <si>
    <t>9690319P</t>
  </si>
  <si>
    <t>260507-1-3041-CB-1</t>
  </si>
  <si>
    <t>4690504P</t>
  </si>
  <si>
    <t>9690320P</t>
  </si>
  <si>
    <t>260317-1-3081-NR-1</t>
  </si>
  <si>
    <t>9690321P</t>
  </si>
  <si>
    <t>260508-1-3041-CB-1</t>
  </si>
  <si>
    <t>4690505P</t>
  </si>
  <si>
    <t>9690322P</t>
  </si>
  <si>
    <t>260318-1-3081-NR-1</t>
  </si>
  <si>
    <t>9690323P</t>
  </si>
  <si>
    <t>9690324P</t>
  </si>
  <si>
    <t>260319-1-3081-NR-1</t>
  </si>
  <si>
    <t>9690325P</t>
  </si>
  <si>
    <t>9690326P</t>
  </si>
  <si>
    <t>260320-1-3081-NR-1</t>
  </si>
  <si>
    <t>9690327P</t>
  </si>
  <si>
    <t>9690328P</t>
  </si>
  <si>
    <t>260323-1-3081-NR-1</t>
  </si>
  <si>
    <t>9690329P</t>
  </si>
  <si>
    <t>9690330P</t>
  </si>
  <si>
    <t>9690331P</t>
  </si>
  <si>
    <t>260326-1-3081-NR-1</t>
  </si>
  <si>
    <t>9690332P</t>
  </si>
  <si>
    <t>9690333P</t>
  </si>
  <si>
    <t>260327-1-3081-NR-1</t>
  </si>
  <si>
    <t>9690334P</t>
  </si>
  <si>
    <t>9690335P</t>
  </si>
  <si>
    <t>9690336P</t>
  </si>
  <si>
    <t>260328-1-3081-NR-1</t>
  </si>
  <si>
    <t>9690337P</t>
  </si>
  <si>
    <t>260330-1-3081-NR-1</t>
  </si>
  <si>
    <t>9690338P</t>
  </si>
  <si>
    <t>9690339P</t>
  </si>
  <si>
    <t>260331-1-3081-NR-1</t>
  </si>
  <si>
    <t>9690340P</t>
  </si>
  <si>
    <t>9690341P</t>
  </si>
  <si>
    <t>260401-1-3081-NR-1</t>
  </si>
  <si>
    <t>9690401P</t>
  </si>
  <si>
    <t>9690402P</t>
  </si>
  <si>
    <t>260402-1-3081-NR-1</t>
  </si>
  <si>
    <t>9690403P</t>
  </si>
  <si>
    <t>9690404P</t>
  </si>
  <si>
    <t>260403-1-3081-NR-1</t>
  </si>
  <si>
    <t>9690405P</t>
  </si>
  <si>
    <t>9690406P</t>
  </si>
  <si>
    <t>260404-1-3081-NR-1</t>
  </si>
  <si>
    <t>9690407P</t>
  </si>
  <si>
    <t>260406-1-3081-NR-1</t>
  </si>
  <si>
    <t>9690408P</t>
  </si>
  <si>
    <t>260407-1-3081-NR-1</t>
  </si>
  <si>
    <t>9690409P</t>
  </si>
  <si>
    <t>9690410P</t>
  </si>
  <si>
    <t>260408-1-3081-NR-1</t>
  </si>
  <si>
    <t>9690411P</t>
  </si>
  <si>
    <t>9690412P</t>
  </si>
  <si>
    <t>260409-1-3081-NR-1</t>
  </si>
  <si>
    <t>9690413P</t>
  </si>
  <si>
    <t>9690414P</t>
  </si>
  <si>
    <t>260410-1-3081-NR-1</t>
  </si>
  <si>
    <t>9690415P</t>
  </si>
  <si>
    <t>9690416P</t>
  </si>
  <si>
    <t>260411-1-3081-NR-1</t>
  </si>
  <si>
    <t>9690417P</t>
  </si>
  <si>
    <t>260416-1-3081-NR-1</t>
  </si>
  <si>
    <t>9690418P</t>
  </si>
  <si>
    <t>260509-1-3041-CB-1</t>
  </si>
  <si>
    <t>4690506P</t>
  </si>
  <si>
    <t>260417-1-3081-NR-1</t>
  </si>
  <si>
    <t>9690419P</t>
  </si>
  <si>
    <t>9690420P</t>
  </si>
  <si>
    <t>9690421P</t>
  </si>
  <si>
    <t>260511-2-3041-CB-1</t>
  </si>
  <si>
    <t>4690507P</t>
  </si>
  <si>
    <t>260512-1-3041-CB-1</t>
  </si>
  <si>
    <t>4690508P</t>
  </si>
  <si>
    <t>260418-1-3081-NR-1</t>
  </si>
  <si>
    <t>9690422P</t>
  </si>
  <si>
    <t>260420-1-3081-NR-1</t>
  </si>
  <si>
    <t>9690423P</t>
  </si>
  <si>
    <t>260513-1-3041-CB-1</t>
  </si>
  <si>
    <t>4690509P</t>
  </si>
  <si>
    <t>9690424P</t>
  </si>
  <si>
    <t>9690425P</t>
  </si>
  <si>
    <t>260514-1-3041-CB-1</t>
  </si>
  <si>
    <t>4690510P</t>
  </si>
  <si>
    <t>260515-1-3041-CB-1</t>
  </si>
  <si>
    <t>4690511P</t>
  </si>
  <si>
    <t>260421-1-3081-NR-1</t>
  </si>
  <si>
    <t>9690426P</t>
  </si>
  <si>
    <t>9690427P</t>
  </si>
  <si>
    <t>9690428P</t>
  </si>
  <si>
    <t>260516-1-3041-CB-1</t>
  </si>
  <si>
    <t>4690512P</t>
  </si>
  <si>
    <t>260518-1-3041-CB-1</t>
  </si>
  <si>
    <t>4690513P</t>
  </si>
  <si>
    <t>260519-1-3041-CB-1</t>
  </si>
  <si>
    <t>4690514P</t>
  </si>
  <si>
    <t>260422-1-3081-NR-1</t>
  </si>
  <si>
    <t>9690429P</t>
  </si>
  <si>
    <t>9690430P</t>
  </si>
  <si>
    <t>4690515P</t>
  </si>
  <si>
    <t>260520-1-3041-CB-1</t>
  </si>
  <si>
    <t>4690516P</t>
  </si>
  <si>
    <t>9690431P</t>
  </si>
  <si>
    <t>260423-1-3081-NR-1</t>
  </si>
  <si>
    <t>9690432P</t>
  </si>
  <si>
    <t>260521-1-3041-CB-1</t>
  </si>
  <si>
    <t>4690517P</t>
  </si>
  <si>
    <t>9690433P</t>
  </si>
  <si>
    <t>260522-1-3041-CB-1</t>
  </si>
  <si>
    <t>4690518P</t>
  </si>
  <si>
    <t>260424-1-3081-NR-1</t>
  </si>
  <si>
    <t>9690434P</t>
  </si>
  <si>
    <t>260425-1-3081-NR-1</t>
  </si>
  <si>
    <t>9690435P</t>
  </si>
  <si>
    <t>260523-1-3041-CB-1</t>
  </si>
  <si>
    <t>4690519P</t>
  </si>
  <si>
    <t>260427-1-3081-NR-1</t>
  </si>
  <si>
    <t>9690436P</t>
  </si>
  <si>
    <t>260428-1-3081-NR-1</t>
  </si>
  <si>
    <t>9690437P</t>
  </si>
  <si>
    <t>260525-2-3041-CB-1</t>
  </si>
  <si>
    <t>4690520P</t>
  </si>
  <si>
    <t>260526-1-3041-CB-1</t>
  </si>
  <si>
    <t>4690522P</t>
  </si>
  <si>
    <t>260429-1-3081-NR-1</t>
  </si>
  <si>
    <t>9690438P</t>
  </si>
  <si>
    <t>260527-1-3041-CB-1</t>
  </si>
  <si>
    <t>4690524P</t>
  </si>
  <si>
    <t>260430-1-3081-NR-1</t>
  </si>
  <si>
    <t>9690439P</t>
  </si>
  <si>
    <t>260504-1-3081-NR-1</t>
  </si>
  <si>
    <t>9690501P</t>
  </si>
  <si>
    <t>260528-1-3041-CB-1</t>
  </si>
  <si>
    <t>4690526P</t>
  </si>
  <si>
    <t>9690502P</t>
  </si>
  <si>
    <t>260529-1-3041-CB-1</t>
  </si>
  <si>
    <t>4690527P</t>
  </si>
  <si>
    <t>260602-1-3041-CB-1</t>
  </si>
  <si>
    <t>4690601P</t>
  </si>
  <si>
    <t>4690602P</t>
  </si>
  <si>
    <t>260505-1-3081-NR-1</t>
  </si>
  <si>
    <t>9690503P</t>
  </si>
  <si>
    <t>9690504P</t>
  </si>
  <si>
    <t>260506-1-3081-NR-1</t>
  </si>
  <si>
    <t>9690505P</t>
  </si>
  <si>
    <t>9690506P</t>
  </si>
  <si>
    <t>260604-1-3041-CB-1</t>
  </si>
  <si>
    <t>4690603P</t>
  </si>
  <si>
    <t>260605-1-3041-CB-1</t>
  </si>
  <si>
    <t>4690604P</t>
  </si>
  <si>
    <t>260507-1-3081-NR-1</t>
  </si>
  <si>
    <t>9690507P</t>
  </si>
  <si>
    <t>9690508P</t>
  </si>
  <si>
    <t>260608-2-3041-CB-1</t>
  </si>
  <si>
    <t>4690605P</t>
  </si>
  <si>
    <t>260508-1-3081-NR-1</t>
  </si>
  <si>
    <t>9690509P</t>
  </si>
  <si>
    <t>260609-1-3041-CB-1</t>
  </si>
  <si>
    <t>4690607P</t>
  </si>
  <si>
    <t>260610-1-3041-CB-1</t>
  </si>
  <si>
    <t>4690609P</t>
  </si>
  <si>
    <t>260511-1-3081-NR-1</t>
  </si>
  <si>
    <t>9690510P</t>
  </si>
  <si>
    <t>9690511P</t>
  </si>
  <si>
    <t>260611-1-3041-CB-1</t>
  </si>
  <si>
    <t>4690611P</t>
  </si>
  <si>
    <t>260512-1-3081-NR-1</t>
  </si>
  <si>
    <t>9690512P</t>
  </si>
  <si>
    <t>9690513P</t>
  </si>
  <si>
    <t>260612-1-3041-CB-1</t>
  </si>
  <si>
    <t>4690612P</t>
  </si>
  <si>
    <t>260613-1-3041-CB-1</t>
  </si>
  <si>
    <t>4690613P</t>
  </si>
  <si>
    <t>260615-1-3041-CB-1</t>
  </si>
  <si>
    <t>4690615P</t>
  </si>
  <si>
    <t>260513-1-3081-NR-1</t>
  </si>
  <si>
    <t>9690514P</t>
  </si>
  <si>
    <t>9690515P</t>
  </si>
  <si>
    <t>260616-1-3041-CB-1</t>
  </si>
  <si>
    <t>4690617P</t>
  </si>
  <si>
    <t>260514-1-3081-NR-1</t>
  </si>
  <si>
    <t>9690516P</t>
  </si>
  <si>
    <t>9690517P</t>
  </si>
  <si>
    <t>260617-1-3041-CB-1</t>
  </si>
  <si>
    <t>4690619P</t>
  </si>
  <si>
    <t>260618-1-3041-CB-1</t>
  </si>
  <si>
    <t>4690621P</t>
  </si>
  <si>
    <t>260515-1-3081-NR-1</t>
  </si>
  <si>
    <t>9690518P</t>
  </si>
  <si>
    <t>9690519P</t>
  </si>
  <si>
    <t>260619-1-3041-CB-1</t>
  </si>
  <si>
    <t>4690623P</t>
  </si>
  <si>
    <t>9690520P</t>
  </si>
  <si>
    <t>260518-1-3081-NR-1</t>
  </si>
  <si>
    <t>9690521P</t>
  </si>
  <si>
    <t>260620-1-3041-CB-1</t>
  </si>
  <si>
    <t>4690625P</t>
  </si>
  <si>
    <t>260622-2-3041-CB-1</t>
  </si>
  <si>
    <t>4690627P</t>
  </si>
  <si>
    <t>260623-1-3041-CB-1</t>
  </si>
  <si>
    <t>4690629P</t>
  </si>
  <si>
    <t>9690522P</t>
  </si>
  <si>
    <t>260519-1-3081-NR-1</t>
  </si>
  <si>
    <t>9690523P</t>
  </si>
  <si>
    <t>9690524P</t>
  </si>
  <si>
    <t>260624-1-3041-CB-1</t>
  </si>
  <si>
    <t>4690631P</t>
  </si>
  <si>
    <t>260625-1-3041-CB-1</t>
  </si>
  <si>
    <t>4690633P</t>
  </si>
  <si>
    <t>260520-1-3081-NR-1</t>
  </si>
  <si>
    <t>9690525P</t>
  </si>
  <si>
    <t>9690526P</t>
  </si>
  <si>
    <t>260626-1-3041-CB-1</t>
  </si>
  <si>
    <t>4690635P</t>
  </si>
  <si>
    <t>260627-1-3041-CB-1</t>
  </si>
  <si>
    <t>4690636P</t>
  </si>
  <si>
    <t>260521-1-3081-NR-1</t>
  </si>
  <si>
    <t>9690527P</t>
  </si>
  <si>
    <t>260522-1-3081-NR-1</t>
  </si>
  <si>
    <t>9690528P</t>
  </si>
  <si>
    <t>4690637P</t>
  </si>
  <si>
    <t>260525-1-3081-NR-1</t>
  </si>
  <si>
    <t>9690529P</t>
  </si>
  <si>
    <t>260629-1-3041-CB-1</t>
  </si>
  <si>
    <t>4690639P</t>
  </si>
  <si>
    <t>260630-1-3041-CB-1</t>
  </si>
  <si>
    <t>4690641P</t>
  </si>
  <si>
    <t>9690530P</t>
  </si>
  <si>
    <t>260526-1-3081-NR-1</t>
  </si>
  <si>
    <t>9690531P</t>
  </si>
  <si>
    <t>9690532P</t>
  </si>
  <si>
    <t>260527-1-3081-NR-1</t>
  </si>
  <si>
    <t>9690533P</t>
  </si>
  <si>
    <t>9690534P</t>
  </si>
  <si>
    <t>260701-1-3041-CB-1</t>
  </si>
  <si>
    <t>4690701P</t>
  </si>
  <si>
    <t>4690702P</t>
  </si>
  <si>
    <t>260702-1-3041-CB-1</t>
  </si>
  <si>
    <t>4690703P</t>
  </si>
  <si>
    <t>4690704P</t>
  </si>
  <si>
    <t>260528-1-3081-NR-1</t>
  </si>
  <si>
    <t>9690535P</t>
  </si>
  <si>
    <t>260703-1-3041-CB-1</t>
  </si>
  <si>
    <t>4690705P</t>
  </si>
  <si>
    <t>4690706P</t>
  </si>
  <si>
    <t>9690536P</t>
  </si>
  <si>
    <t>260529-1-3081-NR-1</t>
  </si>
  <si>
    <t>9690537P</t>
  </si>
  <si>
    <t>9690538P</t>
  </si>
  <si>
    <t>260601-1-3081-NR-1</t>
  </si>
  <si>
    <t>9690601P</t>
  </si>
  <si>
    <t>260602-1-3081-NR-1</t>
  </si>
  <si>
    <t>9690602P</t>
  </si>
  <si>
    <t>9690603P</t>
  </si>
  <si>
    <t>9690604P</t>
  </si>
  <si>
    <t>260604-1-3081-NR-1</t>
  </si>
  <si>
    <t>9690605P</t>
  </si>
  <si>
    <t>9690606P</t>
  </si>
  <si>
    <t>260605-1-3081-NR-1</t>
  </si>
  <si>
    <t>9690607P</t>
  </si>
  <si>
    <t>9690608P</t>
  </si>
  <si>
    <t>260608-1-3081-NR-1</t>
  </si>
  <si>
    <t>9690609P</t>
  </si>
  <si>
    <t>9690610P</t>
  </si>
  <si>
    <t>260609-1-3081-NR-1</t>
  </si>
  <si>
    <t>9690611P</t>
  </si>
  <si>
    <t>9690612P</t>
  </si>
  <si>
    <t>260610-1-3081-NR-1</t>
  </si>
  <si>
    <t>9690613P</t>
  </si>
  <si>
    <t>9690614P</t>
  </si>
  <si>
    <t>260611-1-3081-NR-1</t>
  </si>
  <si>
    <t>9690615P</t>
  </si>
  <si>
    <t>9690616P</t>
  </si>
  <si>
    <t>260612-1-3081-NR-1</t>
  </si>
  <si>
    <t>9690617P</t>
  </si>
  <si>
    <t>9690618P</t>
  </si>
  <si>
    <t>260615-1-3081-NR-1</t>
  </si>
  <si>
    <t>9690619P</t>
  </si>
  <si>
    <t>260616-1-3081-NR-1</t>
  </si>
  <si>
    <t>9690620P</t>
  </si>
  <si>
    <t>260617-1-3081-NR-1</t>
  </si>
  <si>
    <t>9690621P</t>
  </si>
  <si>
    <t>260618-1-3081-NR-1</t>
  </si>
  <si>
    <t>9690622P</t>
  </si>
  <si>
    <t>260619-1-3081-NR-1</t>
  </si>
  <si>
    <t>9690623P</t>
  </si>
  <si>
    <t>260622-1-3081-NR-1</t>
  </si>
  <si>
    <t>9690624P</t>
  </si>
  <si>
    <t>9690625P</t>
  </si>
  <si>
    <t>260623-1-3081-NR-1</t>
  </si>
  <si>
    <t>9690626P</t>
  </si>
  <si>
    <t>9690627P</t>
  </si>
  <si>
    <t>260624-1-3081-NR-1</t>
  </si>
  <si>
    <t>9690628P</t>
  </si>
  <si>
    <t>9690629P</t>
  </si>
  <si>
    <t>260625-1-3081-NR-1</t>
  </si>
  <si>
    <t>9690630P</t>
  </si>
  <si>
    <t>9690631P</t>
  </si>
  <si>
    <t>260626-1-3081-NR-1</t>
  </si>
  <si>
    <t>9690632P</t>
  </si>
  <si>
    <t>260629-1-3081-NR-1</t>
  </si>
  <si>
    <t>9690633P</t>
  </si>
  <si>
    <t>260630-1-3081-NR-1</t>
  </si>
  <si>
    <t>9690634P</t>
  </si>
  <si>
    <t>260701-1-3081-NR-1</t>
  </si>
  <si>
    <t>9690701P</t>
  </si>
  <si>
    <t>260702-1-3081-NR-1</t>
  </si>
  <si>
    <t>9690702P</t>
  </si>
  <si>
    <t>9690703P</t>
  </si>
  <si>
    <t>260703-1-3081-NR-1</t>
  </si>
  <si>
    <t>9690704P</t>
  </si>
  <si>
    <t>260617-2-3031-SB1-1</t>
  </si>
  <si>
    <t>3690647P</t>
  </si>
  <si>
    <t>3690648P</t>
  </si>
  <si>
    <t>260618-1-3031-SB1-1</t>
  </si>
  <si>
    <t>3690649P</t>
  </si>
  <si>
    <t>ZCBT1SPEB001DU0T07</t>
  </si>
  <si>
    <t xml:space="preserve">ก/บ ดูร่าวันลอนเศรษฐี เทาสุขสันต์   </t>
  </si>
  <si>
    <t xml:space="preserve">DURAONE CTSetti Curve SookSan Grey   </t>
  </si>
  <si>
    <t>260618-2-3031-SB1-1</t>
  </si>
  <si>
    <t>3690650P</t>
  </si>
  <si>
    <t>3690651P</t>
  </si>
  <si>
    <t>260619-1-3031-SB1-1</t>
  </si>
  <si>
    <t>3690652SP</t>
  </si>
  <si>
    <t>3690653P</t>
  </si>
  <si>
    <t>260619-2-3031-SB1-1</t>
  </si>
  <si>
    <t>3690654P</t>
  </si>
  <si>
    <t>3690655P</t>
  </si>
  <si>
    <t>260620-1-3031-SB1-1</t>
  </si>
  <si>
    <t>3690656P</t>
  </si>
  <si>
    <t>260620-2-3031-SB1-1</t>
  </si>
  <si>
    <t>3690657P</t>
  </si>
  <si>
    <t>260622-2-3031-SB1-1</t>
  </si>
  <si>
    <t>3690658SP</t>
  </si>
  <si>
    <t>3690659P</t>
  </si>
  <si>
    <t>260623-1-3031-SB1-1</t>
  </si>
  <si>
    <t>3690660P</t>
  </si>
  <si>
    <t>3690661P</t>
  </si>
  <si>
    <t>260623-2-3031-SB1-1</t>
  </si>
  <si>
    <t>3690662SP</t>
  </si>
  <si>
    <t>3690663P</t>
  </si>
  <si>
    <t>260624-1-3031-SB1-1</t>
  </si>
  <si>
    <t>3690664P</t>
  </si>
  <si>
    <t>3690665SP</t>
  </si>
  <si>
    <t>260624-2-3031-SB1-1</t>
  </si>
  <si>
    <t>3690666P</t>
  </si>
  <si>
    <t>260625-1-3031-SB1-1</t>
  </si>
  <si>
    <t>3690667SP</t>
  </si>
  <si>
    <t>3690668P</t>
  </si>
  <si>
    <t>260625-2-3031-SB1-1</t>
  </si>
  <si>
    <t>3690669P</t>
  </si>
  <si>
    <t>260626-1-3031-SB1-1</t>
  </si>
  <si>
    <t>3690670P</t>
  </si>
  <si>
    <t>3690671P</t>
  </si>
  <si>
    <t>3690672SP</t>
  </si>
  <si>
    <t>260626-2-3031-SB1-1</t>
  </si>
  <si>
    <t>3690673P</t>
  </si>
  <si>
    <t>260627-1-3031-SB1-1</t>
  </si>
  <si>
    <t>3690674P</t>
  </si>
  <si>
    <t>260627-2-3031-SB1-1</t>
  </si>
  <si>
    <t>3690675P</t>
  </si>
  <si>
    <t>260629-1-3031-SB1-1</t>
  </si>
  <si>
    <t>3690676SP</t>
  </si>
  <si>
    <t>260629-2-3031-SB1-1</t>
  </si>
  <si>
    <t>3690677P</t>
  </si>
  <si>
    <t>260630-1-3031-SB1-1</t>
  </si>
  <si>
    <t>3690678SP</t>
  </si>
  <si>
    <t>3690679P</t>
  </si>
  <si>
    <t>260630-2-3031-SB1-1</t>
  </si>
  <si>
    <t>3690680SP</t>
  </si>
  <si>
    <t>3690681P</t>
  </si>
  <si>
    <t>260701-1-3031-SB1-1</t>
  </si>
  <si>
    <t>3690701P</t>
  </si>
  <si>
    <t>3690702SP</t>
  </si>
  <si>
    <t>260701-2-3031-SB1-1</t>
  </si>
  <si>
    <t>3690703P</t>
  </si>
  <si>
    <t>3690704P</t>
  </si>
  <si>
    <t>260702-1-3031-SB1-1</t>
  </si>
  <si>
    <t>3690705P</t>
  </si>
  <si>
    <t>3690706P</t>
  </si>
  <si>
    <t>260702-2-3031-SB1-1</t>
  </si>
  <si>
    <t>3690707SP</t>
  </si>
  <si>
    <t>3690708P</t>
  </si>
  <si>
    <t>260703-1-3031-SB1-1</t>
  </si>
  <si>
    <t>3690709P</t>
  </si>
  <si>
    <t>3690710SP</t>
  </si>
  <si>
    <t>260703-2-3031-SB1-1</t>
  </si>
  <si>
    <t>3690711P</t>
  </si>
  <si>
    <t>3690712P</t>
  </si>
  <si>
    <t>260704-1-3031-SB1-1</t>
  </si>
  <si>
    <t>3690713SP</t>
  </si>
  <si>
    <t>260704-2-3031-SB1-1</t>
  </si>
  <si>
    <t>3690714P</t>
  </si>
  <si>
    <t>3061</t>
  </si>
  <si>
    <t>LP-2</t>
  </si>
  <si>
    <t>260105-1-3061-LP-2</t>
  </si>
  <si>
    <t>F690101P</t>
  </si>
  <si>
    <t>F690102XP</t>
  </si>
  <si>
    <t>260106-1-3061-LP-2</t>
  </si>
  <si>
    <t>F690103P</t>
  </si>
  <si>
    <t>F690104P</t>
  </si>
  <si>
    <t>260106-2-3061-LP-2</t>
  </si>
  <si>
    <t>F690105P</t>
  </si>
  <si>
    <t>260107-1-3061-LP-2</t>
  </si>
  <si>
    <t>F690106P</t>
  </si>
  <si>
    <t>F690107P</t>
  </si>
  <si>
    <t>260107-2-3061-LP-2</t>
  </si>
  <si>
    <t>F690108P</t>
  </si>
  <si>
    <t>260108-1-3061-LP-2</t>
  </si>
  <si>
    <t>F690109P</t>
  </si>
  <si>
    <t>F690110XP</t>
  </si>
  <si>
    <t>260108-2-3061-LP-2</t>
  </si>
  <si>
    <t>F690111P</t>
  </si>
  <si>
    <t>260109-1-3061-LP-2</t>
  </si>
  <si>
    <t>F690112P</t>
  </si>
  <si>
    <t>F690113XP</t>
  </si>
  <si>
    <t>260109-2-3061-LP-2</t>
  </si>
  <si>
    <t>F690114P</t>
  </si>
  <si>
    <t>260110-1-3061-LP-2</t>
  </si>
  <si>
    <t>F690115XP</t>
  </si>
  <si>
    <t>F690116P</t>
  </si>
  <si>
    <t>260112-2-3061-LP-2</t>
  </si>
  <si>
    <t>F690117P</t>
  </si>
  <si>
    <t>260113-1-3061-LP-2</t>
  </si>
  <si>
    <t>F690118P</t>
  </si>
  <si>
    <t>F690119P</t>
  </si>
  <si>
    <t>260113-2-3061-LP-2</t>
  </si>
  <si>
    <t>F690120P</t>
  </si>
  <si>
    <t>260114-1-3061-LP-2</t>
  </si>
  <si>
    <t>F690121P</t>
  </si>
  <si>
    <t>F690122P</t>
  </si>
  <si>
    <t>260114-2-3061-LP-2</t>
  </si>
  <si>
    <t>F690123P</t>
  </si>
  <si>
    <t>260115-1-3061-LP-2</t>
  </si>
  <si>
    <t>F690124P</t>
  </si>
  <si>
    <t>F690125P</t>
  </si>
  <si>
    <t>260115-2-3061-LP-2</t>
  </si>
  <si>
    <t>F690126P</t>
  </si>
  <si>
    <t>260116-1-3061-LP-2</t>
  </si>
  <si>
    <t>F690127P</t>
  </si>
  <si>
    <t>F690128P</t>
  </si>
  <si>
    <t>260116-2-3061-LP-2</t>
  </si>
  <si>
    <t>F690129P</t>
  </si>
  <si>
    <t>260117-1-3061-LP-2</t>
  </si>
  <si>
    <t>F690130P</t>
  </si>
  <si>
    <t>F690131P</t>
  </si>
  <si>
    <t>260119-1-3061-LP-2</t>
  </si>
  <si>
    <t>F690132P</t>
  </si>
  <si>
    <t>F690133XP</t>
  </si>
  <si>
    <t>260119-2-3061-LP-2</t>
  </si>
  <si>
    <t>F690134P</t>
  </si>
  <si>
    <t>260120-1-3061-LP-2</t>
  </si>
  <si>
    <t>F690135P</t>
  </si>
  <si>
    <t>F690136P</t>
  </si>
  <si>
    <t>260120-2-3061-LP-2</t>
  </si>
  <si>
    <t>F690137P</t>
  </si>
  <si>
    <t>260121-1-3061-LP-2</t>
  </si>
  <si>
    <t>F690138P</t>
  </si>
  <si>
    <t>F690139XP</t>
  </si>
  <si>
    <t>260121-2-3061-LP-2</t>
  </si>
  <si>
    <t>F690140P</t>
  </si>
  <si>
    <t>260122-1-3061-LP-2</t>
  </si>
  <si>
    <t>F690141P</t>
  </si>
  <si>
    <t>F690142P</t>
  </si>
  <si>
    <t>260122-2-3061-LP-2</t>
  </si>
  <si>
    <t>F690143P</t>
  </si>
  <si>
    <t>260123-1-3061-LP-2</t>
  </si>
  <si>
    <t>F690144P</t>
  </si>
  <si>
    <t>F690145XP</t>
  </si>
  <si>
    <t>260123-2-3061-LP-2</t>
  </si>
  <si>
    <t>F690146P</t>
  </si>
  <si>
    <t>260126-1-3061-LP-2</t>
  </si>
  <si>
    <t>F690147P</t>
  </si>
  <si>
    <t>260127-1-3061-LP-2</t>
  </si>
  <si>
    <t>F690148P</t>
  </si>
  <si>
    <t>F690149P</t>
  </si>
  <si>
    <t>F690150XP</t>
  </si>
  <si>
    <t>260127-2-3061-LP-2</t>
  </si>
  <si>
    <t>F690151P</t>
  </si>
  <si>
    <t>260128-1-3061-LP-2</t>
  </si>
  <si>
    <t>F690152P</t>
  </si>
  <si>
    <t>F690153P</t>
  </si>
  <si>
    <t>3071</t>
  </si>
  <si>
    <t>FKK</t>
  </si>
  <si>
    <t>260105-1-3071-FKK</t>
  </si>
  <si>
    <t>8690101PB</t>
  </si>
  <si>
    <t>8690101PR</t>
  </si>
  <si>
    <t>260106-1-3071-FKK</t>
  </si>
  <si>
    <t>8690102PB</t>
  </si>
  <si>
    <t>8690102PR</t>
  </si>
  <si>
    <t>260107-1-3071-FKK</t>
  </si>
  <si>
    <t>8690103PB</t>
  </si>
  <si>
    <t>8690103PR</t>
  </si>
  <si>
    <t>ZCB30002SPEC000C02</t>
  </si>
  <si>
    <t>ครอบข้าง สีประกายตะวัน</t>
  </si>
  <si>
    <t>SCG CONCRETE BARGE RED FLASHED</t>
  </si>
  <si>
    <t>260108-1-3071-FKK</t>
  </si>
  <si>
    <t>8690104PB</t>
  </si>
  <si>
    <t>ZCB30001SPEC000C02</t>
  </si>
  <si>
    <t>ครอบสันโค้ง สีประกายตะวัน</t>
  </si>
  <si>
    <t>SCG CONCRETE ROUND RIDGE RED FLASHED</t>
  </si>
  <si>
    <t>8690104PR</t>
  </si>
  <si>
    <t>260112-1-3071-FKK</t>
  </si>
  <si>
    <t>8690105PB</t>
  </si>
  <si>
    <t>8690105PR</t>
  </si>
  <si>
    <t>ZCB30002STDB000A03</t>
  </si>
  <si>
    <t>ครอบข้าง สีอิฐอำไพ</t>
  </si>
  <si>
    <t>SCG CONCRETE BARGE TAWNY BRICK</t>
  </si>
  <si>
    <t>260113-1-3071-FKK</t>
  </si>
  <si>
    <t>8690106PB</t>
  </si>
  <si>
    <t>ZCB30001STDB000A03</t>
  </si>
  <si>
    <t>ครอบสันโค้ง สีอิฐอำไพ</t>
  </si>
  <si>
    <t>SCG CONCRETE ROUND RIDGE TAWNY BRICK</t>
  </si>
  <si>
    <t>8690106PR</t>
  </si>
  <si>
    <t>260114-1-3071-FKK</t>
  </si>
  <si>
    <t>8690107PB</t>
  </si>
  <si>
    <t>8690107PR</t>
  </si>
  <si>
    <t>260115-1-3071-FKK</t>
  </si>
  <si>
    <t>8690108PB</t>
  </si>
  <si>
    <t>8690108PR</t>
  </si>
  <si>
    <t>260119-1-3071-FKK</t>
  </si>
  <si>
    <t>8690109PB</t>
  </si>
  <si>
    <t>ZCB30001SPEC000C05</t>
  </si>
  <si>
    <t>ครอบสันโค้ง คอนแทรซสีประกายโกเมน</t>
  </si>
  <si>
    <t>SCG CONCRETE ROUND RIDGE CTZ GARNET FLD</t>
  </si>
  <si>
    <t>8690109PR</t>
  </si>
  <si>
    <t>260120-1-3071-FKK</t>
  </si>
  <si>
    <t>8690110PB</t>
  </si>
  <si>
    <t>8690110PR</t>
  </si>
  <si>
    <t>260121-1-3071-FKK</t>
  </si>
  <si>
    <t>8690111PB</t>
  </si>
  <si>
    <t>8690111PR</t>
  </si>
  <si>
    <t>ZCBT3002SPEB000T03</t>
  </si>
  <si>
    <t>ครอบข้างดูร่าลอนเศรษฐี ส้มรุ่งอรุณ</t>
  </si>
  <si>
    <t>DURACTSetti BARGE Orange Rungarun</t>
  </si>
  <si>
    <t>260122-1-3071-FKK</t>
  </si>
  <si>
    <t>8690112PB</t>
  </si>
  <si>
    <t>8690113PB</t>
  </si>
  <si>
    <t>ZCBT3001SPEB000T03</t>
  </si>
  <si>
    <t>ครอบสันโค้งดูร่าลอนเศรษฐี ส้มรุ่งอรุณ</t>
  </si>
  <si>
    <t>DURACTSetti ROUND RIDGE Orange Rungarun</t>
  </si>
  <si>
    <t>8690112PR</t>
  </si>
  <si>
    <t>8690113PR</t>
  </si>
  <si>
    <t>260123-1-3071-FKK</t>
  </si>
  <si>
    <t>8690114PB</t>
  </si>
  <si>
    <t>8690115PB</t>
  </si>
  <si>
    <t>8690114PR</t>
  </si>
  <si>
    <t>260126-1-3071-FKK</t>
  </si>
  <si>
    <t>8690116PB</t>
  </si>
  <si>
    <t>8690117PB</t>
  </si>
  <si>
    <t>8690115PR</t>
  </si>
  <si>
    <t>260127-1-3071-FKK</t>
  </si>
  <si>
    <t>8690118PB</t>
  </si>
  <si>
    <t>8690119PB</t>
  </si>
  <si>
    <t>8690116PR</t>
  </si>
  <si>
    <t>260128-1-3071-FKK</t>
  </si>
  <si>
    <t>8690120PB</t>
  </si>
  <si>
    <t>8690117PR</t>
  </si>
  <si>
    <t>260129-1-3071-FKK</t>
  </si>
  <si>
    <t>8690121PB</t>
  </si>
  <si>
    <t>8690118PR</t>
  </si>
  <si>
    <t>260130-1-3071-FKK</t>
  </si>
  <si>
    <t>8690122PB</t>
  </si>
  <si>
    <t>8690119PR</t>
  </si>
  <si>
    <t>260202-1-3071-FKK</t>
  </si>
  <si>
    <t>8690201PB</t>
  </si>
  <si>
    <t>8690201PR</t>
  </si>
  <si>
    <t>260203-1-3071-FKK</t>
  </si>
  <si>
    <t>8690202PB</t>
  </si>
  <si>
    <t>8690202PR</t>
  </si>
  <si>
    <t>260128-2-3061-LP-2</t>
  </si>
  <si>
    <t>F690154P</t>
  </si>
  <si>
    <t>260129-1-3061-LP-2</t>
  </si>
  <si>
    <t>F690155P</t>
  </si>
  <si>
    <t>ZCB30002SPEC000C05</t>
  </si>
  <si>
    <t>ครอบข้าง ประกายโกเมน</t>
  </si>
  <si>
    <t>SCG CONCRETE BARGE CONTRAZZ GARNET FLD</t>
  </si>
  <si>
    <t>260204-1-3071-FKK</t>
  </si>
  <si>
    <t>8690203PB</t>
  </si>
  <si>
    <t>8690203PR</t>
  </si>
  <si>
    <t>260205-1-3071-FKK</t>
  </si>
  <si>
    <t>8690204PB</t>
  </si>
  <si>
    <t>F690156XP</t>
  </si>
  <si>
    <t>260129-2-3061-LP-2</t>
  </si>
  <si>
    <t>F690157P</t>
  </si>
  <si>
    <t>260130-1-3061-LP-2</t>
  </si>
  <si>
    <t>F690158P</t>
  </si>
  <si>
    <t>8690204PR</t>
  </si>
  <si>
    <t>260206-1-3071-FKK</t>
  </si>
  <si>
    <t>8690205PB</t>
  </si>
  <si>
    <t>8690205PR</t>
  </si>
  <si>
    <t>F690159P</t>
  </si>
  <si>
    <t>260130-2-3061-LP-2</t>
  </si>
  <si>
    <t>F690160P</t>
  </si>
  <si>
    <t>260210-1-3071-FKK</t>
  </si>
  <si>
    <t>8690206PB</t>
  </si>
  <si>
    <t>8690206PR</t>
  </si>
  <si>
    <t>260211-1-3071-FKK</t>
  </si>
  <si>
    <t>8690207PB</t>
  </si>
  <si>
    <t>260131-1-3061-LP-2</t>
  </si>
  <si>
    <t>F690161XP</t>
  </si>
  <si>
    <t>F690162P</t>
  </si>
  <si>
    <t>260202-1-3061-LP-2</t>
  </si>
  <si>
    <t>F690201P</t>
  </si>
  <si>
    <t>8690207PR</t>
  </si>
  <si>
    <t>260212-1-3071-FKK</t>
  </si>
  <si>
    <t>8690208PB</t>
  </si>
  <si>
    <t>8690208PR</t>
  </si>
  <si>
    <t>F690202XP</t>
  </si>
  <si>
    <t>260202-2-3061-LP-2</t>
  </si>
  <si>
    <t>F690203P</t>
  </si>
  <si>
    <t>260203-1-3061-LP-2</t>
  </si>
  <si>
    <t>F690204P</t>
  </si>
  <si>
    <t>F690205P</t>
  </si>
  <si>
    <t>260213-1-3071-FKK</t>
  </si>
  <si>
    <t>8690209PB</t>
  </si>
  <si>
    <t>8690209PR</t>
  </si>
  <si>
    <t>260216-1-3071-FKK</t>
  </si>
  <si>
    <t>8690210PB</t>
  </si>
  <si>
    <t>260203-2-3061-LP-2</t>
  </si>
  <si>
    <t>F690206P</t>
  </si>
  <si>
    <t>260204-1-3061-LP-2</t>
  </si>
  <si>
    <t>F690207P</t>
  </si>
  <si>
    <t>8690210PR</t>
  </si>
  <si>
    <t>260217-1-3071-FKK</t>
  </si>
  <si>
    <t>8690211PB</t>
  </si>
  <si>
    <t>8690211PR</t>
  </si>
  <si>
    <t>F690208XP</t>
  </si>
  <si>
    <t>260204-2-3061-LP-2</t>
  </si>
  <si>
    <t>F690209P</t>
  </si>
  <si>
    <t>260205-1-3061-LP-2</t>
  </si>
  <si>
    <t>F690210P</t>
  </si>
  <si>
    <t>F690211P</t>
  </si>
  <si>
    <t>260218-1-3071-FKK</t>
  </si>
  <si>
    <t>8690212PB</t>
  </si>
  <si>
    <t>8690212PR</t>
  </si>
  <si>
    <t>260219-1-3071-FKK</t>
  </si>
  <si>
    <t>8690213PB</t>
  </si>
  <si>
    <t>260205-2-3061-LP-2</t>
  </si>
  <si>
    <t>F690212P</t>
  </si>
  <si>
    <t>260206-1-3061-LP-2</t>
  </si>
  <si>
    <t>F690213P</t>
  </si>
  <si>
    <t>8690213PR</t>
  </si>
  <si>
    <t>260220-1-3071-FKK</t>
  </si>
  <si>
    <t>8690214PB</t>
  </si>
  <si>
    <t>8690214PR</t>
  </si>
  <si>
    <t>F690214P</t>
  </si>
  <si>
    <t>260206-2-3061-LP-2</t>
  </si>
  <si>
    <t>F690215P</t>
  </si>
  <si>
    <t>260207-1-3061-LP-2</t>
  </si>
  <si>
    <t>F690216P</t>
  </si>
  <si>
    <t>260223-1-3071-FKK</t>
  </si>
  <si>
    <t>8690215PB</t>
  </si>
  <si>
    <t>8690215PR</t>
  </si>
  <si>
    <t>F690217P</t>
  </si>
  <si>
    <t>260209-1-3061-LP-2</t>
  </si>
  <si>
    <t>F690218P</t>
  </si>
  <si>
    <t>260210-1-3061-LP-2</t>
  </si>
  <si>
    <t>F690219P</t>
  </si>
  <si>
    <t>260224-1-3071-FKK</t>
  </si>
  <si>
    <t>8690216PB</t>
  </si>
  <si>
    <t>8690216PR</t>
  </si>
  <si>
    <t>260225-1-3071-FKK</t>
  </si>
  <si>
    <t>8690217PB</t>
  </si>
  <si>
    <t>8690217PR</t>
  </si>
  <si>
    <t>F690220P</t>
  </si>
  <si>
    <t>260210-2-3061-LP-2</t>
  </si>
  <si>
    <t>F690221P</t>
  </si>
  <si>
    <t>260211-1-3061-LP-2</t>
  </si>
  <si>
    <t>F690222P</t>
  </si>
  <si>
    <t>F690223P</t>
  </si>
  <si>
    <t>260226-1-3071-FKK</t>
  </si>
  <si>
    <t>8690218PB</t>
  </si>
  <si>
    <t>8690218PR</t>
  </si>
  <si>
    <t>260211-2-3061-LP-2</t>
  </si>
  <si>
    <t>F690224P</t>
  </si>
  <si>
    <t>260212-1-3061-LP-2</t>
  </si>
  <si>
    <t>F690225P</t>
  </si>
  <si>
    <t>F690226P</t>
  </si>
  <si>
    <t>F690227P</t>
  </si>
  <si>
    <t>260212-2-3061-LP-2</t>
  </si>
  <si>
    <t>F690228P</t>
  </si>
  <si>
    <t>260213-1-3061-LP-2</t>
  </si>
  <si>
    <t>F690229P</t>
  </si>
  <si>
    <t>F690230P</t>
  </si>
  <si>
    <t>260213-2-3061-LP-2</t>
  </si>
  <si>
    <t>F690231P</t>
  </si>
  <si>
    <t>260214-1-3061-LP-2</t>
  </si>
  <si>
    <t>F690232P</t>
  </si>
  <si>
    <t>260227-1-3071-FKK</t>
  </si>
  <si>
    <t>8690219PB</t>
  </si>
  <si>
    <t>8690219PR</t>
  </si>
  <si>
    <t>260302-1-3071-FKK</t>
  </si>
  <si>
    <t>8690301PB</t>
  </si>
  <si>
    <t>F690233P</t>
  </si>
  <si>
    <t>260216-1-3061-LP-2</t>
  </si>
  <si>
    <t>F690234P</t>
  </si>
  <si>
    <t>F690235XP</t>
  </si>
  <si>
    <t>8690301PR</t>
  </si>
  <si>
    <t>260304-1-3071-FKK</t>
  </si>
  <si>
    <t>8690302PB</t>
  </si>
  <si>
    <t>8690302PR</t>
  </si>
  <si>
    <t>260216-2-3061-LP-2</t>
  </si>
  <si>
    <t>F690236P</t>
  </si>
  <si>
    <t>260217-1-3061-LP-2</t>
  </si>
  <si>
    <t>F690237P</t>
  </si>
  <si>
    <t>F690238P</t>
  </si>
  <si>
    <t>260217-2-3061-LP-2</t>
  </si>
  <si>
    <t>F690239P</t>
  </si>
  <si>
    <t>260305-1-3071-FKK</t>
  </si>
  <si>
    <t>8690303PB</t>
  </si>
  <si>
    <t>8690303PR</t>
  </si>
  <si>
    <t>260306-1-3071-FKK</t>
  </si>
  <si>
    <t>8690304PB</t>
  </si>
  <si>
    <t>260218-1-3061-LP-2</t>
  </si>
  <si>
    <t>F690240P</t>
  </si>
  <si>
    <t>F690241XP</t>
  </si>
  <si>
    <t>260218-2-3061-LP-2</t>
  </si>
  <si>
    <t>F690242P</t>
  </si>
  <si>
    <t>260219-1-3061-LP-2</t>
  </si>
  <si>
    <t>F690243P</t>
  </si>
  <si>
    <t>F690244P</t>
  </si>
  <si>
    <t>8690304PR</t>
  </si>
  <si>
    <t>ZCB30002SPEC000C01</t>
  </si>
  <si>
    <t>ครอบข้าง สีประกายทอง</t>
  </si>
  <si>
    <t>SCG CONCRETE BARGE GOLD FLASHED</t>
  </si>
  <si>
    <t>260310-1-3071-FKK</t>
  </si>
  <si>
    <t>8690305PB</t>
  </si>
  <si>
    <t>ZCB30001SPEC000C01</t>
  </si>
  <si>
    <t>ครอบสันโค้ง สีประกายทอง</t>
  </si>
  <si>
    <t>SCG CONCRETE ROUND RIDGE GOLD FLASHED</t>
  </si>
  <si>
    <t>8690305PR</t>
  </si>
  <si>
    <t>8690306PR</t>
  </si>
  <si>
    <t>260219-2-3061-LP-2</t>
  </si>
  <si>
    <t>F690245P</t>
  </si>
  <si>
    <t>260220-1-3061-LP-2</t>
  </si>
  <si>
    <t>F690246P</t>
  </si>
  <si>
    <t>260311-1-3071-FKK</t>
  </si>
  <si>
    <t>8690306PB</t>
  </si>
  <si>
    <t>8690307PR</t>
  </si>
  <si>
    <t>260312-1-3071-FKK</t>
  </si>
  <si>
    <t>8690308PR</t>
  </si>
  <si>
    <t>8690307PB</t>
  </si>
  <si>
    <t>F690247P</t>
  </si>
  <si>
    <t>260220-2-3061-LP-2</t>
  </si>
  <si>
    <t>F690248P</t>
  </si>
  <si>
    <t>260221-1-3061-LP-2</t>
  </si>
  <si>
    <t>F690249P</t>
  </si>
  <si>
    <t>F690250P</t>
  </si>
  <si>
    <t>260313-1-3071-FKK</t>
  </si>
  <si>
    <t>8690309PR</t>
  </si>
  <si>
    <t>8690308PB</t>
  </si>
  <si>
    <t>260313-2-3071-FKK</t>
  </si>
  <si>
    <t>8690310PR</t>
  </si>
  <si>
    <t>260314-1-3071-FKK</t>
  </si>
  <si>
    <t>8690311PR</t>
  </si>
  <si>
    <t>260223-2-3061-LP-2</t>
  </si>
  <si>
    <t>F690251P</t>
  </si>
  <si>
    <t>260224-1-3061-LP-2</t>
  </si>
  <si>
    <t>F690252P</t>
  </si>
  <si>
    <t>F690253XP</t>
  </si>
  <si>
    <t>260316-1-3071-FKK</t>
  </si>
  <si>
    <t>8690312PR</t>
  </si>
  <si>
    <t>8690309PB</t>
  </si>
  <si>
    <t>260316-2-3071-FKK</t>
  </si>
  <si>
    <t>8690313PR</t>
  </si>
  <si>
    <t>260224-2-3061-LP-2</t>
  </si>
  <si>
    <t>F690254P</t>
  </si>
  <si>
    <t>260225-1-3061-LP-2</t>
  </si>
  <si>
    <t>F690255P</t>
  </si>
  <si>
    <t>F690256P</t>
  </si>
  <si>
    <t>260225-2-3061-LP-2</t>
  </si>
  <si>
    <t>F690257P</t>
  </si>
  <si>
    <t>260317-1-3071-FKK</t>
  </si>
  <si>
    <t>8690314PR</t>
  </si>
  <si>
    <t>8690310PB</t>
  </si>
  <si>
    <t>260317-2-3071-FKK</t>
  </si>
  <si>
    <t>8690315PR</t>
  </si>
  <si>
    <t>260318-1-3071-FKK</t>
  </si>
  <si>
    <t>8690316PR</t>
  </si>
  <si>
    <t>260226-1-3061-LP-2</t>
  </si>
  <si>
    <t>F690258P</t>
  </si>
  <si>
    <t>F690259XP</t>
  </si>
  <si>
    <t>260226-2-3061-LP-2</t>
  </si>
  <si>
    <t>F690260P</t>
  </si>
  <si>
    <t>260318-2-3071-FKK</t>
  </si>
  <si>
    <t>8690317PR</t>
  </si>
  <si>
    <t>260319-1-3071-FKK</t>
  </si>
  <si>
    <t>8690318PR</t>
  </si>
  <si>
    <t>260227-1-3061-LP-2</t>
  </si>
  <si>
    <t>F690261P</t>
  </si>
  <si>
    <t>8690319PR</t>
  </si>
  <si>
    <t>8690311PB</t>
  </si>
  <si>
    <t>260319-2-3071-FKK</t>
  </si>
  <si>
    <t>8690320PR</t>
  </si>
  <si>
    <t>F690262P</t>
  </si>
  <si>
    <t>260227-2-3061-LP-2</t>
  </si>
  <si>
    <t>F690263P</t>
  </si>
  <si>
    <t>260320-1-3071-FKK</t>
  </si>
  <si>
    <t>8690321PR</t>
  </si>
  <si>
    <t>260323-1-3071-FKK</t>
  </si>
  <si>
    <t>8690322PR</t>
  </si>
  <si>
    <t>8690312PB</t>
  </si>
  <si>
    <t>260228-1-3061-LP-2</t>
  </si>
  <si>
    <t>F690264P</t>
  </si>
  <si>
    <t>F690265P</t>
  </si>
  <si>
    <t>260302-1-3061-LP-2</t>
  </si>
  <si>
    <t>F690301P</t>
  </si>
  <si>
    <t>260323-2-3071-FKK</t>
  </si>
  <si>
    <t>8690323PR</t>
  </si>
  <si>
    <t>260324-1-3071-FKK</t>
  </si>
  <si>
    <t>8690324PR</t>
  </si>
  <si>
    <t>8690313PB</t>
  </si>
  <si>
    <t>F690302XP</t>
  </si>
  <si>
    <t>260302-2-3061-LP-2</t>
  </si>
  <si>
    <t>F690303P</t>
  </si>
  <si>
    <t>260303-1-3061-LP-2</t>
  </si>
  <si>
    <t>F690304P</t>
  </si>
  <si>
    <t>F690305P</t>
  </si>
  <si>
    <t>260304-1-3061-LP-2</t>
  </si>
  <si>
    <t>F690306P</t>
  </si>
  <si>
    <t>260324-2-3071-FKK</t>
  </si>
  <si>
    <t>8690325PR</t>
  </si>
  <si>
    <t>260325-1-3071-FKK</t>
  </si>
  <si>
    <t>8690326PR</t>
  </si>
  <si>
    <t>8690314PB</t>
  </si>
  <si>
    <t>F690307P</t>
  </si>
  <si>
    <t>260325-2-3071-FKK</t>
  </si>
  <si>
    <t>8690327PR</t>
  </si>
  <si>
    <t>260326-1-3071-FKK</t>
  </si>
  <si>
    <t>8690328PR</t>
  </si>
  <si>
    <t>260304-2-3061-LP-2</t>
  </si>
  <si>
    <t>F690308P</t>
  </si>
  <si>
    <t>260305-1-3061-LP-2</t>
  </si>
  <si>
    <t>F690309P</t>
  </si>
  <si>
    <t>F690310P</t>
  </si>
  <si>
    <t>260305-2-3061-LP-2</t>
  </si>
  <si>
    <t>F690311P</t>
  </si>
  <si>
    <t>8690315PB</t>
  </si>
  <si>
    <t>260326-2-3071-FKK</t>
  </si>
  <si>
    <t>8690329PR</t>
  </si>
  <si>
    <t>260327-1-3071-FKK</t>
  </si>
  <si>
    <t>8690330PR</t>
  </si>
  <si>
    <t>260306-1-3061-LP-2</t>
  </si>
  <si>
    <t>F690312P</t>
  </si>
  <si>
    <t>8690316PB</t>
  </si>
  <si>
    <t>260327-2-3071-FKK</t>
  </si>
  <si>
    <t>8690331PR</t>
  </si>
  <si>
    <t>260328-1-3071-FKK</t>
  </si>
  <si>
    <t>8690332PR</t>
  </si>
  <si>
    <t>260330-1-3071-FKK</t>
  </si>
  <si>
    <t>8690333PR</t>
  </si>
  <si>
    <t>F690313P</t>
  </si>
  <si>
    <t>260306-2-3061-LP-2</t>
  </si>
  <si>
    <t>F690314P</t>
  </si>
  <si>
    <t>260307-1-3061-LP-2</t>
  </si>
  <si>
    <t>F690315P</t>
  </si>
  <si>
    <t>F690316P</t>
  </si>
  <si>
    <t>8690317PB</t>
  </si>
  <si>
    <t>260330-2-3071-FKK</t>
  </si>
  <si>
    <t>8690334PR</t>
  </si>
  <si>
    <t>260309-2-3061-LP-2</t>
  </si>
  <si>
    <t>F690317P</t>
  </si>
  <si>
    <t>260310-1-3061-LP-2</t>
  </si>
  <si>
    <t>F690318P</t>
  </si>
  <si>
    <t>F690319P</t>
  </si>
  <si>
    <t>260331-1-3071-FKK</t>
  </si>
  <si>
    <t>8690335PR</t>
  </si>
  <si>
    <t>260331-2-3071-FKK</t>
  </si>
  <si>
    <t>8690336PR</t>
  </si>
  <si>
    <t>260310-2-3061-LP-2</t>
  </si>
  <si>
    <t>F690320P</t>
  </si>
  <si>
    <t>260311-1-3061-LP-2</t>
  </si>
  <si>
    <t>F690321P</t>
  </si>
  <si>
    <t>260401-1-3071-FKK</t>
  </si>
  <si>
    <t>8690401PR</t>
  </si>
  <si>
    <t>8690401PB</t>
  </si>
  <si>
    <t>260401-2-3071-FKK</t>
  </si>
  <si>
    <t>8690402PR</t>
  </si>
  <si>
    <t>F690322XP</t>
  </si>
  <si>
    <t>260311-2-3061-LP-2</t>
  </si>
  <si>
    <t>F690323P</t>
  </si>
  <si>
    <t>260312-1-3061-LP-2</t>
  </si>
  <si>
    <t>F690324P</t>
  </si>
  <si>
    <t>A63,A23 คลาบน้ำ400แผ่น เศษตกผิว 115แผ่น หัวชาย 108แผ่น</t>
  </si>
  <si>
    <t>260402-1-3071-FKK</t>
  </si>
  <si>
    <t>8690403PR</t>
  </si>
  <si>
    <t>8690402PB</t>
  </si>
  <si>
    <t>260402-2-3071-FKK</t>
  </si>
  <si>
    <t>8690404PR</t>
  </si>
  <si>
    <t>F690325P</t>
  </si>
  <si>
    <t>260403-1-3071-FKK</t>
  </si>
  <si>
    <t>8690405PR</t>
  </si>
  <si>
    <t>8690406PR</t>
  </si>
  <si>
    <t>8690403PB</t>
  </si>
  <si>
    <t>260312-2-3061-LP-2</t>
  </si>
  <si>
    <t>F690326P</t>
  </si>
  <si>
    <t>260313-1-3061-LP-2</t>
  </si>
  <si>
    <t>F690327P</t>
  </si>
  <si>
    <t>F690328P</t>
  </si>
  <si>
    <t>260313-2-3061-LP-2</t>
  </si>
  <si>
    <t>F690329P</t>
  </si>
  <si>
    <t>260314-1-3061-LP-2</t>
  </si>
  <si>
    <t>F690330P</t>
  </si>
  <si>
    <t>F690331P</t>
  </si>
  <si>
    <t>260403-2-3071-FKK</t>
  </si>
  <si>
    <t>8690407PR</t>
  </si>
  <si>
    <t>260404-1-3071-FKK</t>
  </si>
  <si>
    <t>8690408PR</t>
  </si>
  <si>
    <t>260406-1-3071-FKK</t>
  </si>
  <si>
    <t>8690409PR</t>
  </si>
  <si>
    <t>260316-1-3061-LP-2</t>
  </si>
  <si>
    <t>F690332P</t>
  </si>
  <si>
    <t>260317-1-3061-LP-2</t>
  </si>
  <si>
    <t>F690333P</t>
  </si>
  <si>
    <t>260407-1-3071-FKK</t>
  </si>
  <si>
    <t>8690410PR</t>
  </si>
  <si>
    <t>260407-2-3071-FKK</t>
  </si>
  <si>
    <t>8690411PR</t>
  </si>
  <si>
    <t>260408-1-3071-FKK</t>
  </si>
  <si>
    <t>8690412PR</t>
  </si>
  <si>
    <t>F690334XP</t>
  </si>
  <si>
    <t>8690404PB</t>
  </si>
  <si>
    <t>260408-2-3071-FKK</t>
  </si>
  <si>
    <t>8690413PR</t>
  </si>
  <si>
    <t>260317-2-3061-LP-2</t>
  </si>
  <si>
    <t>F690335P</t>
  </si>
  <si>
    <t>260318-1-3061-LP-2</t>
  </si>
  <si>
    <t>F690336P</t>
  </si>
  <si>
    <t>260409-2-3071-FKK</t>
  </si>
  <si>
    <t>8690415PR</t>
  </si>
  <si>
    <t>260409-1-3071-FKK</t>
  </si>
  <si>
    <t>8690414PR</t>
  </si>
  <si>
    <t>F690337P</t>
  </si>
  <si>
    <t>8690405PB</t>
  </si>
  <si>
    <t>260411-1-3071-FKK</t>
  </si>
  <si>
    <t>8690416PR</t>
  </si>
  <si>
    <t>260416-1-3071-FKK</t>
  </si>
  <si>
    <t>8690417PR</t>
  </si>
  <si>
    <t>260318-2-3061-LP-2</t>
  </si>
  <si>
    <t>F690338P</t>
  </si>
  <si>
    <t>260319-1-3061-LP-2</t>
  </si>
  <si>
    <t>F690339P</t>
  </si>
  <si>
    <t>F690340P</t>
  </si>
  <si>
    <t>260319-2-3061-LP-2</t>
  </si>
  <si>
    <t>F690341P</t>
  </si>
  <si>
    <t>260323-1-3061-LP-2</t>
  </si>
  <si>
    <t>F690342P</t>
  </si>
  <si>
    <t>260324-1-3061-LP-2</t>
  </si>
  <si>
    <t>F690343P</t>
  </si>
  <si>
    <t>ZCB30002SPEC000C06</t>
  </si>
  <si>
    <t>ครอบข้าง ครอบข้าง คอนแทรซสีประกายกาญจน์</t>
  </si>
  <si>
    <t>SCG CONCRETE BARGE CTZ BULLION FLD*MTO</t>
  </si>
  <si>
    <t>8690406PB</t>
  </si>
  <si>
    <t>260416-2-3071-FKK</t>
  </si>
  <si>
    <t>8690418PR</t>
  </si>
  <si>
    <t>260417-1-3071-FKK</t>
  </si>
  <si>
    <t>8690419PR</t>
  </si>
  <si>
    <t>260418-1-3071-FKK</t>
  </si>
  <si>
    <t>8690420PR</t>
  </si>
  <si>
    <t>F690344P</t>
  </si>
  <si>
    <t>260420-1-3071-FKK</t>
  </si>
  <si>
    <t>8690421PR</t>
  </si>
  <si>
    <t>8690407PB</t>
  </si>
  <si>
    <t>260421-1-3071-FKK</t>
  </si>
  <si>
    <t>8690422PR</t>
  </si>
  <si>
    <t>260324-2-3061-LP-2</t>
  </si>
  <si>
    <t>F690345P</t>
  </si>
  <si>
    <t>F690346P</t>
  </si>
  <si>
    <t>260325-1-3061-LP-2</t>
  </si>
  <si>
    <t>F690347P</t>
  </si>
  <si>
    <t>8690408PB</t>
  </si>
  <si>
    <t>260421-2-3071-FKK</t>
  </si>
  <si>
    <t>8690423PR</t>
  </si>
  <si>
    <t>260422-1-3071-FKK</t>
  </si>
  <si>
    <t>8690424PR</t>
  </si>
  <si>
    <t>8690409PB</t>
  </si>
  <si>
    <t>F690348XP</t>
  </si>
  <si>
    <t>260325-2-3061-LP-2</t>
  </si>
  <si>
    <t>F690349P</t>
  </si>
  <si>
    <t>260422-2-3071-FKK</t>
  </si>
  <si>
    <t>8690425PR</t>
  </si>
  <si>
    <t>260423-1-3071-FKK</t>
  </si>
  <si>
    <t>8690426PR</t>
  </si>
  <si>
    <t>8690410PB</t>
  </si>
  <si>
    <t>260326-1-3061-LP-2</t>
  </si>
  <si>
    <t>F690350P</t>
  </si>
  <si>
    <t>F690351P</t>
  </si>
  <si>
    <t>F690352P</t>
  </si>
  <si>
    <t>260327-2-3061-LP-2</t>
  </si>
  <si>
    <t>F690354XP</t>
  </si>
  <si>
    <t>260327-1-3061-LP-2</t>
  </si>
  <si>
    <t>F690353P</t>
  </si>
  <si>
    <t>260330-1-3061-LP-2</t>
  </si>
  <si>
    <t>F690355P</t>
  </si>
  <si>
    <t>260423-2-3071-FKK</t>
  </si>
  <si>
    <t>8690427PR</t>
  </si>
  <si>
    <t>260424-1-3071-FKK</t>
  </si>
  <si>
    <t>8690428PR</t>
  </si>
  <si>
    <t>8690411PB</t>
  </si>
  <si>
    <t>260424-2-3071-FKK</t>
  </si>
  <si>
    <t>8690429PRR</t>
  </si>
  <si>
    <t>F690356P</t>
  </si>
  <si>
    <t>260330-2-3061-LP-2</t>
  </si>
  <si>
    <t>F690357P</t>
  </si>
  <si>
    <t>260331-1-3061-LP-2</t>
  </si>
  <si>
    <t>F690358P</t>
  </si>
  <si>
    <t>260425-1-3071-FKK</t>
  </si>
  <si>
    <t>8690430PR</t>
  </si>
  <si>
    <t>8690412PB</t>
  </si>
  <si>
    <t>260425-2-3071-FKK</t>
  </si>
  <si>
    <t>8690431PR</t>
  </si>
  <si>
    <t>F690359P</t>
  </si>
  <si>
    <t>260427-1-3071-FKK</t>
  </si>
  <si>
    <t>8690432PR</t>
  </si>
  <si>
    <t>8690413PB</t>
  </si>
  <si>
    <t>260427-2-3071-FKK</t>
  </si>
  <si>
    <t>8690433PR</t>
  </si>
  <si>
    <t>260331-2-3061-LP-2</t>
  </si>
  <si>
    <t>F690360P</t>
  </si>
  <si>
    <t>260401-1-3061-LP-2</t>
  </si>
  <si>
    <t>F690401P</t>
  </si>
  <si>
    <t>F690402XP</t>
  </si>
  <si>
    <t>260401-2-3061-LP-2</t>
  </si>
  <si>
    <t>F690403P</t>
  </si>
  <si>
    <t>260428-1-3071-FKK</t>
  </si>
  <si>
    <t>8690434PR</t>
  </si>
  <si>
    <t>260428-2-3071-FKK</t>
  </si>
  <si>
    <t>8690414PB</t>
  </si>
  <si>
    <t>8690435PR</t>
  </si>
  <si>
    <t>260402-1-3061-LP-2</t>
  </si>
  <si>
    <t>F690404P</t>
  </si>
  <si>
    <t>F690405P</t>
  </si>
  <si>
    <t>260429-1-3071-FKK</t>
  </si>
  <si>
    <t>8690436PR</t>
  </si>
  <si>
    <t>260429-2-3071-FKK</t>
  </si>
  <si>
    <t>8690415PB</t>
  </si>
  <si>
    <t>8690437PR</t>
  </si>
  <si>
    <t>260430-1-3071-FKK</t>
  </si>
  <si>
    <t>8690438PR</t>
  </si>
  <si>
    <t>260402-2-3061-LP-2</t>
  </si>
  <si>
    <t>F690406P</t>
  </si>
  <si>
    <t>260403-1-3061-LP-2</t>
  </si>
  <si>
    <t>F690407P</t>
  </si>
  <si>
    <t>F690408XP</t>
  </si>
  <si>
    <t>260403-2-3061-LP-2</t>
  </si>
  <si>
    <t>F690409P</t>
  </si>
  <si>
    <t>260430-2-3071-FKK</t>
  </si>
  <si>
    <t>8690416PB</t>
  </si>
  <si>
    <t>260502-1-3071-FKK</t>
  </si>
  <si>
    <t>8690501PR</t>
  </si>
  <si>
    <t>260502-2-3071-FKK</t>
  </si>
  <si>
    <t>8690501PB</t>
  </si>
  <si>
    <t>260404-1-3061-LP-2</t>
  </si>
  <si>
    <t>F690410P</t>
  </si>
  <si>
    <t>F690411P</t>
  </si>
  <si>
    <t>8690502PR</t>
  </si>
  <si>
    <t>260505-1-3071-FKK</t>
  </si>
  <si>
    <t>8690503PR</t>
  </si>
  <si>
    <t>260505-2-3071-FKK</t>
  </si>
  <si>
    <t>8690502PB</t>
  </si>
  <si>
    <t>260406-2-3061-LP-2</t>
  </si>
  <si>
    <t>F690412P</t>
  </si>
  <si>
    <t>260407-1-3061-LP-2</t>
  </si>
  <si>
    <t>F690413P</t>
  </si>
  <si>
    <t>8690504PR</t>
  </si>
  <si>
    <t>260506-1-3071-FKK</t>
  </si>
  <si>
    <t>8690505PR</t>
  </si>
  <si>
    <t>260506-2-3071-FKK</t>
  </si>
  <si>
    <t>8690503PB</t>
  </si>
  <si>
    <t>8690506PR</t>
  </si>
  <si>
    <t>260507-1-3071-FKK</t>
  </si>
  <si>
    <t>8690507PR</t>
  </si>
  <si>
    <t>8690504PB</t>
  </si>
  <si>
    <t>260507-2-3071-FKK</t>
  </si>
  <si>
    <t>8690508PR</t>
  </si>
  <si>
    <t>260508-1-3071-FKK</t>
  </si>
  <si>
    <t>8690509PR</t>
  </si>
  <si>
    <t>8690505PB</t>
  </si>
  <si>
    <t>260508-2-3071-FKK</t>
  </si>
  <si>
    <t>8690510PR</t>
  </si>
  <si>
    <t>260509-1-3071-FKK</t>
  </si>
  <si>
    <t>8690511PR</t>
  </si>
  <si>
    <t>8690506PB</t>
  </si>
  <si>
    <t>260509-2-3071-FKK</t>
  </si>
  <si>
    <t>8690512PR</t>
  </si>
  <si>
    <t>260511-1-3071-FKK</t>
  </si>
  <si>
    <t>8690513PR</t>
  </si>
  <si>
    <t>8690507PB</t>
  </si>
  <si>
    <t>260511-2-3071-FKK</t>
  </si>
  <si>
    <t>8690514PR</t>
  </si>
  <si>
    <t>260512-1-3071-FKK</t>
  </si>
  <si>
    <t>8690515PR</t>
  </si>
  <si>
    <t/>
  </si>
  <si>
    <t>8690508PB</t>
  </si>
  <si>
    <t>260512-2-3071-FKK</t>
  </si>
  <si>
    <t>8690516PR</t>
  </si>
  <si>
    <t>260513-1-3071-FKK</t>
  </si>
  <si>
    <t>8690517PR</t>
  </si>
  <si>
    <t>8690509PB</t>
  </si>
  <si>
    <t>260513-2-3071-FKK</t>
  </si>
  <si>
    <t>8690518PR</t>
  </si>
  <si>
    <t>260514-1-3071-FKK</t>
  </si>
  <si>
    <t>8690519PR</t>
  </si>
  <si>
    <t>8690510PB</t>
  </si>
  <si>
    <t>260514-2-3071-FKK</t>
  </si>
  <si>
    <t>8690520PR</t>
  </si>
  <si>
    <t>260515-1-3071-FKK</t>
  </si>
  <si>
    <t>8690521PR</t>
  </si>
  <si>
    <t>8690511PB</t>
  </si>
  <si>
    <t>260515-2-3071-FKK</t>
  </si>
  <si>
    <t>8690522PR</t>
  </si>
  <si>
    <t>260516-1-3071-FKK</t>
  </si>
  <si>
    <t>8690523PR</t>
  </si>
  <si>
    <t>8690512PB</t>
  </si>
  <si>
    <t>260516-2-3071-FKK</t>
  </si>
  <si>
    <t>8690524PR</t>
  </si>
  <si>
    <t>260518-1-3071-FKK</t>
  </si>
  <si>
    <t>8690525PR</t>
  </si>
  <si>
    <t>260518-2-3071-FKK</t>
  </si>
  <si>
    <t>8690513PB</t>
  </si>
  <si>
    <t>8690526PR</t>
  </si>
  <si>
    <t>260519-1-3071-FKK</t>
  </si>
  <si>
    <t>8690527PR</t>
  </si>
  <si>
    <t>260519-2-3071-FKK</t>
  </si>
  <si>
    <t>8690514PB</t>
  </si>
  <si>
    <t>8690528PR</t>
  </si>
  <si>
    <t>260520-1-3071-FKK</t>
  </si>
  <si>
    <t>8690529PR</t>
  </si>
  <si>
    <t>260520-2-3071-FKK</t>
  </si>
  <si>
    <t>8690515PB</t>
  </si>
  <si>
    <t>8690530PR</t>
  </si>
  <si>
    <t>260521-1-3071-FKK</t>
  </si>
  <si>
    <t>8690531PR</t>
  </si>
  <si>
    <t>260521-2-3071-FKK</t>
  </si>
  <si>
    <t>8690516PB</t>
  </si>
  <si>
    <t>8690532PR</t>
  </si>
  <si>
    <t>260522-1-3071-FKK</t>
  </si>
  <si>
    <t>8690533PR</t>
  </si>
  <si>
    <t>8690517PB</t>
  </si>
  <si>
    <t>260522-2-3071-FKK</t>
  </si>
  <si>
    <t>8690534PR</t>
  </si>
  <si>
    <t>260523-1-3071-FKK</t>
  </si>
  <si>
    <t>8690535PR</t>
  </si>
  <si>
    <t>260523-2-3071-FKK</t>
  </si>
  <si>
    <t>8690518PB</t>
  </si>
  <si>
    <t>8690536PR</t>
  </si>
  <si>
    <t>260525-1-3071-FKK</t>
  </si>
  <si>
    <t>8690537PR</t>
  </si>
  <si>
    <t>260525-2-3071-FKK</t>
  </si>
  <si>
    <t>8690519PB</t>
  </si>
  <si>
    <t>8690538PR</t>
  </si>
  <si>
    <t>260526-1-3071-FKK</t>
  </si>
  <si>
    <t>8690539PR</t>
  </si>
  <si>
    <t>260526-2-3071-FKK</t>
  </si>
  <si>
    <t>8690520PB</t>
  </si>
  <si>
    <t>8690540PR</t>
  </si>
  <si>
    <t>260527-1-3071-FKK</t>
  </si>
  <si>
    <t>8690541PR</t>
  </si>
  <si>
    <t>260527-2-3071-FKK</t>
  </si>
  <si>
    <t>8690521PB</t>
  </si>
  <si>
    <t>8690542PR</t>
  </si>
  <si>
    <t>260528-1-3071-FKK</t>
  </si>
  <si>
    <t>8690543PR</t>
  </si>
  <si>
    <t>260528-2-3071-FKK</t>
  </si>
  <si>
    <t>8690522PB</t>
  </si>
  <si>
    <t>8690544PR</t>
  </si>
  <si>
    <t>260408-1-3061-LP-2</t>
  </si>
  <si>
    <t>F690414P</t>
  </si>
  <si>
    <t>F690415XP</t>
  </si>
  <si>
    <t>260529-1-3071-FKK</t>
  </si>
  <si>
    <t>8690545PR</t>
  </si>
  <si>
    <t>260529-2-3071-FKK</t>
  </si>
  <si>
    <t>8690523PB</t>
  </si>
  <si>
    <t>8690546PR</t>
  </si>
  <si>
    <t>260530-1-3071-FKK</t>
  </si>
  <si>
    <t>8690547PR</t>
  </si>
  <si>
    <t>260408-2-3061-LP-2</t>
  </si>
  <si>
    <t>F690416P</t>
  </si>
  <si>
    <t>260409-1-3061-LP-2</t>
  </si>
  <si>
    <t>F690417P</t>
  </si>
  <si>
    <t>260530-2-3071-FKK</t>
  </si>
  <si>
    <t>8690524PB</t>
  </si>
  <si>
    <t>8690548PR</t>
  </si>
  <si>
    <t>260601-2-3071-FKK</t>
  </si>
  <si>
    <t>8690601PR</t>
  </si>
  <si>
    <t>F690418P</t>
  </si>
  <si>
    <t>260602-1-3071-FKK</t>
  </si>
  <si>
    <t>8690602PR</t>
  </si>
  <si>
    <t>260602-2-3071-FKK</t>
  </si>
  <si>
    <t>8690601PB</t>
  </si>
  <si>
    <t>8690603PR</t>
  </si>
  <si>
    <t>260603-1-3071-FKK</t>
  </si>
  <si>
    <t>8690604PR</t>
  </si>
  <si>
    <t>F690419P</t>
  </si>
  <si>
    <t>260409-2-3061-LP-2</t>
  </si>
  <si>
    <t>F690420P</t>
  </si>
  <si>
    <t>260410-1-3061-LP-2</t>
  </si>
  <si>
    <t>F690421P</t>
  </si>
  <si>
    <t>260410-2-3061-LP-2</t>
  </si>
  <si>
    <t>F690422P</t>
  </si>
  <si>
    <t>F690423P</t>
  </si>
  <si>
    <t>260603-2-3071-FKK</t>
  </si>
  <si>
    <t>8690602PB</t>
  </si>
  <si>
    <t>260604-1-3071-FKK</t>
  </si>
  <si>
    <t>8690605PR</t>
  </si>
  <si>
    <t>260604-2-3071-FKK</t>
  </si>
  <si>
    <t>8690603PB</t>
  </si>
  <si>
    <t>8690606PR</t>
  </si>
  <si>
    <t>260411-1-3061-LP-2</t>
  </si>
  <si>
    <t>F690424P</t>
  </si>
  <si>
    <t>260416-1-3061-LP-2</t>
  </si>
  <si>
    <t>F690425P</t>
  </si>
  <si>
    <t>F690426XP</t>
  </si>
  <si>
    <t>260605-1-3071-FKK</t>
  </si>
  <si>
    <t>8690607PR</t>
  </si>
  <si>
    <t>260605-2-3071-FKK</t>
  </si>
  <si>
    <t>8690604PB</t>
  </si>
  <si>
    <t>8690608PR</t>
  </si>
  <si>
    <t>260416-2-3061-LP-2</t>
  </si>
  <si>
    <t>F690427P</t>
  </si>
  <si>
    <t>260417-1-3061-LP-2</t>
  </si>
  <si>
    <t>F690428P</t>
  </si>
  <si>
    <t>F690429P</t>
  </si>
  <si>
    <t>260606-1-3071-FKK</t>
  </si>
  <si>
    <t>8690609PR</t>
  </si>
  <si>
    <t>260606-2-3071-FKK</t>
  </si>
  <si>
    <t>8690605PB</t>
  </si>
  <si>
    <t>8690610PR</t>
  </si>
  <si>
    <t>260417-2-3061-LP-2</t>
  </si>
  <si>
    <t>F690430P</t>
  </si>
  <si>
    <t>260608-1-3071-FKK</t>
  </si>
  <si>
    <t>8690611PR</t>
  </si>
  <si>
    <t>8690606PB</t>
  </si>
  <si>
    <t>260608-2-3071-FKK</t>
  </si>
  <si>
    <t>8690612PR</t>
  </si>
  <si>
    <t>260418-1-3061-LP-2</t>
  </si>
  <si>
    <t>F690431XP</t>
  </si>
  <si>
    <t>F690432P</t>
  </si>
  <si>
    <t>260420-1-3061-LP-2</t>
  </si>
  <si>
    <t>F690433P</t>
  </si>
  <si>
    <t>260421-1-3061-LP-2</t>
  </si>
  <si>
    <t>F690434P</t>
  </si>
  <si>
    <t>8690607PB</t>
  </si>
  <si>
    <t>260609-1-3071-FKK</t>
  </si>
  <si>
    <t>8690613PR</t>
  </si>
  <si>
    <t>8690608PB</t>
  </si>
  <si>
    <t>260609-2-3071-FKK</t>
  </si>
  <si>
    <t>8690614PR</t>
  </si>
  <si>
    <t>F690435P</t>
  </si>
  <si>
    <t>260421-2-3061-LP-2</t>
  </si>
  <si>
    <t>F690436P</t>
  </si>
  <si>
    <t>260422-1-3061-LP-2</t>
  </si>
  <si>
    <t>F690437P</t>
  </si>
  <si>
    <t>F690438P</t>
  </si>
  <si>
    <t>260422-2-3061-LP-2</t>
  </si>
  <si>
    <t>F690439P</t>
  </si>
  <si>
    <t>8690609PB</t>
  </si>
  <si>
    <t>8690615PR</t>
  </si>
  <si>
    <t>260610-1-3071-FKK</t>
  </si>
  <si>
    <t>8690616PR</t>
  </si>
  <si>
    <t>260423-1-3061-LP-2</t>
  </si>
  <si>
    <t>F690440P</t>
  </si>
  <si>
    <t>8690610PB</t>
  </si>
  <si>
    <t>260610-2-3071-FKK</t>
  </si>
  <si>
    <t>8690617PR</t>
  </si>
  <si>
    <t>8690611PB</t>
  </si>
  <si>
    <t>260611-1-3071-FKK</t>
  </si>
  <si>
    <t>8690618PR</t>
  </si>
  <si>
    <t>F690441P</t>
  </si>
  <si>
    <t>260423-2-3061-LP-2</t>
  </si>
  <si>
    <t>F690442P</t>
  </si>
  <si>
    <t>8690612PB</t>
  </si>
  <si>
    <t>260611-2-3071-FKK</t>
  </si>
  <si>
    <t>8690619PR</t>
  </si>
  <si>
    <t>8690613PB</t>
  </si>
  <si>
    <t>8690620PR</t>
  </si>
  <si>
    <t>260424-1-3061-LP-2</t>
  </si>
  <si>
    <t>F690443P</t>
  </si>
  <si>
    <t>F690444XP</t>
  </si>
  <si>
    <t>260424-2-3061-LP-2</t>
  </si>
  <si>
    <t>F690445P</t>
  </si>
  <si>
    <t>260612-1-3071-FKK</t>
  </si>
  <si>
    <t>8690621PR</t>
  </si>
  <si>
    <t>8690614PB</t>
  </si>
  <si>
    <t>260612-2-3071-FKK</t>
  </si>
  <si>
    <t>8690622PR</t>
  </si>
  <si>
    <t>260425-1-3061-LP-2</t>
  </si>
  <si>
    <t>F690446P</t>
  </si>
  <si>
    <t>260427-1-3061-LP-2</t>
  </si>
  <si>
    <t>F690447P</t>
  </si>
  <si>
    <t>F690448XP</t>
  </si>
  <si>
    <t>260427-2-3061-LP-2</t>
  </si>
  <si>
    <t>F690449P</t>
  </si>
  <si>
    <t>8690615PB</t>
  </si>
  <si>
    <t>8690623PR</t>
  </si>
  <si>
    <t>260613-1-3071-FKK</t>
  </si>
  <si>
    <t>8690624PR</t>
  </si>
  <si>
    <t>260428-1-3061-LP-2</t>
  </si>
  <si>
    <t>F690450P</t>
  </si>
  <si>
    <t>260613-2-3071-FKK</t>
  </si>
  <si>
    <t>8690616PB</t>
  </si>
  <si>
    <t>8690625PR</t>
  </si>
  <si>
    <t>260615-1-3071-FKK</t>
  </si>
  <si>
    <t>8690626PR</t>
  </si>
  <si>
    <t>260615-2-3071-FKK</t>
  </si>
  <si>
    <t>8690617PB</t>
  </si>
  <si>
    <t>F690451P</t>
  </si>
  <si>
    <t>260428-2-3061-LP-2</t>
  </si>
  <si>
    <t>F690452P</t>
  </si>
  <si>
    <t>260429-1-3061-LP-2</t>
  </si>
  <si>
    <t>F690453P</t>
  </si>
  <si>
    <t>8690627PR</t>
  </si>
  <si>
    <t>260616-1-3071-FKK</t>
  </si>
  <si>
    <t>8690628PR</t>
  </si>
  <si>
    <t>260616-2-3071-FKK</t>
  </si>
  <si>
    <t>8690618PB</t>
  </si>
  <si>
    <t>8690629PR</t>
  </si>
  <si>
    <t>F690454XP</t>
  </si>
  <si>
    <t>260429-2-3061-LP-2</t>
  </si>
  <si>
    <t>F690455P</t>
  </si>
  <si>
    <t>260430-1-3061-LP-2</t>
  </si>
  <si>
    <t>F690456P</t>
  </si>
  <si>
    <t>F690457P</t>
  </si>
  <si>
    <t>260430-2-3061-LP-2</t>
  </si>
  <si>
    <t>F690458P</t>
  </si>
  <si>
    <t>260502-1-3061-LP-2</t>
  </si>
  <si>
    <t>F690501P</t>
  </si>
  <si>
    <t>F690502P</t>
  </si>
  <si>
    <t>260617-1-3071-FKK</t>
  </si>
  <si>
    <t>8690630PR</t>
  </si>
  <si>
    <t>8690619PB</t>
  </si>
  <si>
    <t>260617-2-3071-FKK</t>
  </si>
  <si>
    <t>8690631PR</t>
  </si>
  <si>
    <t>8690620PB</t>
  </si>
  <si>
    <t>260504-1-3061-LP-2</t>
  </si>
  <si>
    <t>F690503XP</t>
  </si>
  <si>
    <t>F690504P</t>
  </si>
  <si>
    <t>260505-2-3061-LP-2</t>
  </si>
  <si>
    <t>F690505P</t>
  </si>
  <si>
    <t>260618-1-3071-FKK</t>
  </si>
  <si>
    <t>8690632PR</t>
  </si>
  <si>
    <t>260618-2-3071-FKK</t>
  </si>
  <si>
    <t>8690621PB</t>
  </si>
  <si>
    <t>260506-1-3061-LP-2</t>
  </si>
  <si>
    <t>F690506P</t>
  </si>
  <si>
    <t>8690633PR</t>
  </si>
  <si>
    <t>260619-1-3071-FKK</t>
  </si>
  <si>
    <t>8690634PR</t>
  </si>
  <si>
    <t>8690622PB</t>
  </si>
  <si>
    <t>F690507P</t>
  </si>
  <si>
    <t>260506-2-3061-LP-2</t>
  </si>
  <si>
    <t>F690508P</t>
  </si>
  <si>
    <t>260507-1-3061-LP-2</t>
  </si>
  <si>
    <t>F690509P</t>
  </si>
  <si>
    <t>260619-2-3071-FKK</t>
  </si>
  <si>
    <t>8690635PR</t>
  </si>
  <si>
    <t>8690623PB</t>
  </si>
  <si>
    <t>260620-1-3071-FKK</t>
  </si>
  <si>
    <t>8690636PR</t>
  </si>
  <si>
    <t>260620-2-3071-FKK</t>
  </si>
  <si>
    <t>8690624PB</t>
  </si>
  <si>
    <t>260622-1-3071-FKK</t>
  </si>
  <si>
    <t>8690637PR</t>
  </si>
  <si>
    <t>F690510P</t>
  </si>
  <si>
    <t>260507-2-3061-LP-2</t>
  </si>
  <si>
    <t>F690511P</t>
  </si>
  <si>
    <t>260622-2-3071-FKK</t>
  </si>
  <si>
    <t>8690638PR</t>
  </si>
  <si>
    <t>260623-1-3071-FKK</t>
  </si>
  <si>
    <t>8690639PR</t>
  </si>
  <si>
    <t>260508-1-3061-LP-2</t>
  </si>
  <si>
    <t>F690512P</t>
  </si>
  <si>
    <t>F690513P</t>
  </si>
  <si>
    <t>260508-2-3061-LP-2</t>
  </si>
  <si>
    <t>F690514P</t>
  </si>
  <si>
    <t>260509-1-3061-LP-2</t>
  </si>
  <si>
    <t>F690515P</t>
  </si>
  <si>
    <t>F690516P</t>
  </si>
  <si>
    <t>260624-1-3071-FKK</t>
  </si>
  <si>
    <t>8690640PR</t>
  </si>
  <si>
    <t>260625-1-3071-FKK</t>
  </si>
  <si>
    <t>8690641PR</t>
  </si>
  <si>
    <t>260511-1-3061-LP-2</t>
  </si>
  <si>
    <t>F690517P</t>
  </si>
  <si>
    <t>260626-1-3071-FKK</t>
  </si>
  <si>
    <t>8690642PR</t>
  </si>
  <si>
    <t>F690518P</t>
  </si>
  <si>
    <t>260511-2-3061-LP-2</t>
  </si>
  <si>
    <t>F690519P</t>
  </si>
  <si>
    <t>260512-1-3061-LP-2</t>
  </si>
  <si>
    <t>F690520P</t>
  </si>
  <si>
    <t>260627-1-3071-FKK</t>
  </si>
  <si>
    <t>8690643PR</t>
  </si>
  <si>
    <t>260629-2-3071-FKK</t>
  </si>
  <si>
    <t>8690644PR</t>
  </si>
  <si>
    <t>260630-1-3071-FKK</t>
  </si>
  <si>
    <t>8690645PR</t>
  </si>
  <si>
    <t>260701-1-3071-FKK</t>
  </si>
  <si>
    <t>8690701PR</t>
  </si>
  <si>
    <t>F690521P</t>
  </si>
  <si>
    <t>260512-2-3061-LP-2</t>
  </si>
  <si>
    <t>F690522P</t>
  </si>
  <si>
    <t>260702-1-3071-FKK</t>
  </si>
  <si>
    <t>8690702PR</t>
  </si>
  <si>
    <t>260703-2-3071-FKK</t>
  </si>
  <si>
    <t>8690703PR</t>
  </si>
  <si>
    <t>260513-1-3061-LP-2</t>
  </si>
  <si>
    <t>F690523P</t>
  </si>
  <si>
    <t>F690524P</t>
  </si>
  <si>
    <t>260513-2-3061-LP-2</t>
  </si>
  <si>
    <t>F690525P</t>
  </si>
  <si>
    <t>260514-1-3061-LP-2</t>
  </si>
  <si>
    <t>F690526P</t>
  </si>
  <si>
    <t>F690527P</t>
  </si>
  <si>
    <t>260514-2-3061-LP-2</t>
  </si>
  <si>
    <t>F690528P</t>
  </si>
  <si>
    <t>260704-1-3071-FKK</t>
  </si>
  <si>
    <t>8690704PR</t>
  </si>
  <si>
    <t>F690529P</t>
  </si>
  <si>
    <t>260515-1-3061-LP-2</t>
  </si>
  <si>
    <t>F690530P</t>
  </si>
  <si>
    <t>F690531P</t>
  </si>
  <si>
    <t>260515-2-3061-LP-2</t>
  </si>
  <si>
    <t>F690532P</t>
  </si>
  <si>
    <t>260516-1-3061-LP-2</t>
  </si>
  <si>
    <t>F690533XP</t>
  </si>
  <si>
    <t>F690534P</t>
  </si>
  <si>
    <t>ZCB10SPEZ002000C19</t>
  </si>
  <si>
    <t>ก/บ คอนกรีตSCG คอนแทร สีประกายดวงเดือน*P</t>
  </si>
  <si>
    <t>260518-2-3061-LP-2</t>
  </si>
  <si>
    <t>F690535P</t>
  </si>
  <si>
    <t>F690536P</t>
  </si>
  <si>
    <t>260519-1-3061-LP-2</t>
  </si>
  <si>
    <t>F690537P</t>
  </si>
  <si>
    <t>F690538P</t>
  </si>
  <si>
    <t>260519-2-3061-LP-2</t>
  </si>
  <si>
    <t>F690539P</t>
  </si>
  <si>
    <t>260520-1-3061-LP-2</t>
  </si>
  <si>
    <t>F690540P</t>
  </si>
  <si>
    <t>F690541P</t>
  </si>
  <si>
    <t>260520-2-3061-LP-2</t>
  </si>
  <si>
    <t>F690542P</t>
  </si>
  <si>
    <t>260521-1-3061-LP-2</t>
  </si>
  <si>
    <t>F690543P</t>
  </si>
  <si>
    <t>F690544P</t>
  </si>
  <si>
    <t>260521-2-3061-LP-2</t>
  </si>
  <si>
    <t>F690545P</t>
  </si>
  <si>
    <t>260522-1-3061-LP-2</t>
  </si>
  <si>
    <t>F690546P</t>
  </si>
  <si>
    <t>F690547P</t>
  </si>
  <si>
    <t>260522-2-3061-LP-2</t>
  </si>
  <si>
    <t>F690548P</t>
  </si>
  <si>
    <t>F690549P</t>
  </si>
  <si>
    <t>260523-1-3061-LP-2</t>
  </si>
  <si>
    <t>F690550XP</t>
  </si>
  <si>
    <t>260525-1-3061-LP-2</t>
  </si>
  <si>
    <t>F690551P</t>
  </si>
  <si>
    <t>F690552P</t>
  </si>
  <si>
    <t>260525-2-3061-LP-2</t>
  </si>
  <si>
    <t>F690553P</t>
  </si>
  <si>
    <t>260526-1-3061-LP-2</t>
  </si>
  <si>
    <t>F690554P</t>
  </si>
  <si>
    <t>F690555P</t>
  </si>
  <si>
    <t>260526-2-3061-LP-2</t>
  </si>
  <si>
    <t>F690556P</t>
  </si>
  <si>
    <t>260527-1-3061-LP-2</t>
  </si>
  <si>
    <t>F690557P</t>
  </si>
  <si>
    <t>F690558P</t>
  </si>
  <si>
    <t>260527-2-3061-LP-2</t>
  </si>
  <si>
    <t>F690559P</t>
  </si>
  <si>
    <t>260528-1-3061-LP-2</t>
  </si>
  <si>
    <t>F690560P</t>
  </si>
  <si>
    <t>F690561P</t>
  </si>
  <si>
    <t>260528-2-3061-LP-2</t>
  </si>
  <si>
    <t>F690562P</t>
  </si>
  <si>
    <t>260529-1-3061-LP-2</t>
  </si>
  <si>
    <t>F690563P</t>
  </si>
  <si>
    <t>F690564P</t>
  </si>
  <si>
    <t>260529-2-3061-LP-2</t>
  </si>
  <si>
    <t>F690565P</t>
  </si>
  <si>
    <t>260530-1-3061-LP-2</t>
  </si>
  <si>
    <t>F690566P</t>
  </si>
  <si>
    <t>F690567P</t>
  </si>
  <si>
    <t>260601-1-3061-LP-2</t>
  </si>
  <si>
    <t>F690601XP</t>
  </si>
  <si>
    <t>F690602P</t>
  </si>
  <si>
    <t>260602-1-3061-LP-2</t>
  </si>
  <si>
    <t>F690603P</t>
  </si>
  <si>
    <t>260603-1-3061-LP-2</t>
  </si>
  <si>
    <t>F690604P</t>
  </si>
  <si>
    <t>F690605P</t>
  </si>
  <si>
    <t>260604-1-3061-LP-2</t>
  </si>
  <si>
    <t>F690606P</t>
  </si>
  <si>
    <t>F690607XP</t>
  </si>
  <si>
    <t>260604-2-3061-LP-2</t>
  </si>
  <si>
    <t>F690608P</t>
  </si>
  <si>
    <t>260605-1-3061-LP-2</t>
  </si>
  <si>
    <t>F690609P</t>
  </si>
  <si>
    <t>260605-2-3061-LP-2</t>
  </si>
  <si>
    <t>F690610P</t>
  </si>
  <si>
    <t>260606-1-3061-LP-2</t>
  </si>
  <si>
    <t>F690611P</t>
  </si>
  <si>
    <t>F690612P</t>
  </si>
  <si>
    <t>F690613P</t>
  </si>
  <si>
    <t>260608-1-3061-LP-2</t>
  </si>
  <si>
    <t>F690614P</t>
  </si>
  <si>
    <t>260608-2-3061-LP-2</t>
  </si>
  <si>
    <t>F690615P</t>
  </si>
  <si>
    <t>260609-1-3061-LP-2</t>
  </si>
  <si>
    <t>F690616P</t>
  </si>
  <si>
    <t>260609-2-3061-LP-2</t>
  </si>
  <si>
    <t>F690617P</t>
  </si>
  <si>
    <t>260610-1-3061-LP-2</t>
  </si>
  <si>
    <t>F690618P</t>
  </si>
  <si>
    <t>260610-2-3061-LP-2</t>
  </si>
  <si>
    <t>F690619P</t>
  </si>
  <si>
    <t>260611-1-3061-LP-2</t>
  </si>
  <si>
    <t>F690620P</t>
  </si>
  <si>
    <t>260611-2-3061-LP-2</t>
  </si>
  <si>
    <t>F690621P</t>
  </si>
  <si>
    <t>260612-1-3061-LP-2</t>
  </si>
  <si>
    <t>F690622P</t>
  </si>
  <si>
    <t>260612-2-3061-LP-2</t>
  </si>
  <si>
    <t>F690623P</t>
  </si>
  <si>
    <t>260613-1-3061-LP-2</t>
  </si>
  <si>
    <t>F690624XP</t>
  </si>
  <si>
    <t>F690625P</t>
  </si>
  <si>
    <t>260615-2-3061-LP-2</t>
  </si>
  <si>
    <t>F690626P</t>
  </si>
  <si>
    <t>260616-1-3061-LP-2</t>
  </si>
  <si>
    <t>F690627P</t>
  </si>
  <si>
    <t>F690628XP</t>
  </si>
  <si>
    <t>260616-2-3061-LP-2</t>
  </si>
  <si>
    <t>F690629P</t>
  </si>
  <si>
    <t>260617-1-3061-LP-2</t>
  </si>
  <si>
    <t>F690630P</t>
  </si>
  <si>
    <t>F690631P</t>
  </si>
  <si>
    <t>260617-2-3061-LP-2</t>
  </si>
  <si>
    <t>F690632P</t>
  </si>
  <si>
    <t>TKK-2</t>
  </si>
  <si>
    <t>260105-2-3071-TKK-2</t>
  </si>
  <si>
    <t>D690101P</t>
  </si>
  <si>
    <t>260106-1-3071-TKK-2</t>
  </si>
  <si>
    <t>D690102P</t>
  </si>
  <si>
    <t>260106-2-3071-TKK-2</t>
  </si>
  <si>
    <t>D690103P</t>
  </si>
  <si>
    <t>260107-1-3071-TKK-2</t>
  </si>
  <si>
    <t>D690104P</t>
  </si>
  <si>
    <t>260107-2-3071-TKK-2</t>
  </si>
  <si>
    <t>D690105P</t>
  </si>
  <si>
    <t>260108-1-3071-TKK-2</t>
  </si>
  <si>
    <t>D690106P</t>
  </si>
  <si>
    <t>260108-2-3071-TKK-2</t>
  </si>
  <si>
    <t>D690107P</t>
  </si>
  <si>
    <t>260109-1-3071-TKK-2</t>
  </si>
  <si>
    <t>D690108P</t>
  </si>
  <si>
    <t>260109-2-3071-TKK-2</t>
  </si>
  <si>
    <t>D690109P</t>
  </si>
  <si>
    <t>260112-1-3071-TKK-2</t>
  </si>
  <si>
    <t>D690110P</t>
  </si>
  <si>
    <t>260112-2-3071-TKK-2</t>
  </si>
  <si>
    <t>D690111P</t>
  </si>
  <si>
    <t>260113-1-3071-TKK-2</t>
  </si>
  <si>
    <t>D690112P</t>
  </si>
  <si>
    <t>260113-2-3071-TKK-2</t>
  </si>
  <si>
    <t>D690113P</t>
  </si>
  <si>
    <t>260114-1-3071-TKK-2</t>
  </si>
  <si>
    <t>D690114P</t>
  </si>
  <si>
    <t>260114-2-3071-TKK-2</t>
  </si>
  <si>
    <t>D690115P</t>
  </si>
  <si>
    <t>260115-1-3071-TKK-2</t>
  </si>
  <si>
    <t>D690116P</t>
  </si>
  <si>
    <t>260115-2-3071-TKK-2</t>
  </si>
  <si>
    <t>D690117P</t>
  </si>
  <si>
    <t>D690118P</t>
  </si>
  <si>
    <t>260116-1-3071-TKK-2</t>
  </si>
  <si>
    <t>D690119P</t>
  </si>
  <si>
    <t>260116-2-3071-TKK-2</t>
  </si>
  <si>
    <t>D690120P</t>
  </si>
  <si>
    <t>D690121P</t>
  </si>
  <si>
    <t>260119-1-3071-TKK-2</t>
  </si>
  <si>
    <t>D690122P</t>
  </si>
  <si>
    <t>260119-2-3071-TKK-2</t>
  </si>
  <si>
    <t>D690123P</t>
  </si>
  <si>
    <t>260120-1-3071-TKK-2</t>
  </si>
  <si>
    <t>D690124P</t>
  </si>
  <si>
    <t>260120-2-3071-TKK-2</t>
  </si>
  <si>
    <t>D690125P</t>
  </si>
  <si>
    <t>260121-1-3071-TKK-2</t>
  </si>
  <si>
    <t>D690126P</t>
  </si>
  <si>
    <t>260121-2-3071-TKK-2</t>
  </si>
  <si>
    <t>D690127P</t>
  </si>
  <si>
    <t>260122-1-3071-TKK-2</t>
  </si>
  <si>
    <t>D690128P</t>
  </si>
  <si>
    <t>260122-2-3071-TKK-2</t>
  </si>
  <si>
    <t>D690129P</t>
  </si>
  <si>
    <t>260123-1-3071-TKK-2</t>
  </si>
  <si>
    <t>D690130P</t>
  </si>
  <si>
    <t>260123-2-3071-TKK-2</t>
  </si>
  <si>
    <t>D690131P</t>
  </si>
  <si>
    <t>260127-1-3071-TKK-2</t>
  </si>
  <si>
    <t>D690133P</t>
  </si>
  <si>
    <t>260127-2-3071-TKK-2</t>
  </si>
  <si>
    <t>D690132P</t>
  </si>
  <si>
    <t>D690134P</t>
  </si>
  <si>
    <t>260128-1-3071-TKK-2</t>
  </si>
  <si>
    <t>D690135P</t>
  </si>
  <si>
    <t>260128-2-3071-TKK-2</t>
  </si>
  <si>
    <t>D690136P</t>
  </si>
  <si>
    <t>260129-1-3071-TKK-2</t>
  </si>
  <si>
    <t>D690137P</t>
  </si>
  <si>
    <t>260129-2-3071-TKK-2</t>
  </si>
  <si>
    <t>D690138P</t>
  </si>
  <si>
    <t>260130-1-3071-TKK-2</t>
  </si>
  <si>
    <t>D690139P</t>
  </si>
  <si>
    <t>260130-2-3071-TKK-2</t>
  </si>
  <si>
    <t>D690140P</t>
  </si>
  <si>
    <t>260202-1-3071-TKK-2</t>
  </si>
  <si>
    <t>D690201P</t>
  </si>
  <si>
    <t>260202-2-3071-TKK-2</t>
  </si>
  <si>
    <t>D690202P</t>
  </si>
  <si>
    <t>260203-1-3071-TKK-2</t>
  </si>
  <si>
    <t>D690203P</t>
  </si>
  <si>
    <t>260203-2-3071-TKK-2</t>
  </si>
  <si>
    <t>D690204P</t>
  </si>
  <si>
    <t>260618-1-3061-LP-2</t>
  </si>
  <si>
    <t>F690633P</t>
  </si>
  <si>
    <t>260204-1-3071-TKK-2</t>
  </si>
  <si>
    <t>D690205P</t>
  </si>
  <si>
    <t>260204-2-3071-TKK-2</t>
  </si>
  <si>
    <t>D690206P</t>
  </si>
  <si>
    <t>F690634XP</t>
  </si>
  <si>
    <t>260205-1-3071-TKK-2</t>
  </si>
  <si>
    <t>D690207P</t>
  </si>
  <si>
    <t>260205-2-3071-TKK-2</t>
  </si>
  <si>
    <t>D690208P</t>
  </si>
  <si>
    <t>260618-2-3061-LP-2</t>
  </si>
  <si>
    <t>F690635P</t>
  </si>
  <si>
    <t>260619-1-3061-LP-2</t>
  </si>
  <si>
    <t>F690636P</t>
  </si>
  <si>
    <t>F690637P</t>
  </si>
  <si>
    <t>260206-1-3071-TKK-2</t>
  </si>
  <si>
    <t>D690209P</t>
  </si>
  <si>
    <t>260206-2-3071-TKK-2</t>
  </si>
  <si>
    <t>D690210P</t>
  </si>
  <si>
    <t>260209-1-3071-TKK-2</t>
  </si>
  <si>
    <t>D690211P</t>
  </si>
  <si>
    <t>260209-2-3071-TKK-2</t>
  </si>
  <si>
    <t>D690212P</t>
  </si>
  <si>
    <t>260210-1-3071-TKK-2</t>
  </si>
  <si>
    <t>D690213P</t>
  </si>
  <si>
    <t>260619-2-3061-LP-2</t>
  </si>
  <si>
    <t>F690638P</t>
  </si>
  <si>
    <t>260620-1-3061-LP-2</t>
  </si>
  <si>
    <t>F690639P</t>
  </si>
  <si>
    <t>260622-1-3061-LP-2</t>
  </si>
  <si>
    <t>F690640P</t>
  </si>
  <si>
    <t>260210-2-3071-TKK-2</t>
  </si>
  <si>
    <t>D690214P</t>
  </si>
  <si>
    <t>260211-1-3071-TKK-2</t>
  </si>
  <si>
    <t>D690215P</t>
  </si>
  <si>
    <t>F690641P</t>
  </si>
  <si>
    <t>260622-2-3061-LP-2</t>
  </si>
  <si>
    <t>F690642P</t>
  </si>
  <si>
    <t>260211-2-3071-TKK-2</t>
  </si>
  <si>
    <t>D690216P</t>
  </si>
  <si>
    <t>260212-1-3071-TKK-2</t>
  </si>
  <si>
    <t>D680217P</t>
  </si>
  <si>
    <t>260623-1-3061-LP-2</t>
  </si>
  <si>
    <t>F690643P</t>
  </si>
  <si>
    <t>D690218P</t>
  </si>
  <si>
    <t>260212-2-3071-TKK-2</t>
  </si>
  <si>
    <t>D690219P</t>
  </si>
  <si>
    <t>260213-1-3071-TKK-2</t>
  </si>
  <si>
    <t>D690220P</t>
  </si>
  <si>
    <t>F690644XP</t>
  </si>
  <si>
    <t>260623-2-3061-LP-2</t>
  </si>
  <si>
    <t>F690645P</t>
  </si>
  <si>
    <t>260213-2-3071-TKK-2</t>
  </si>
  <si>
    <t>D690221P</t>
  </si>
  <si>
    <t>260624-1-3061-LP-2</t>
  </si>
  <si>
    <t>F690646P</t>
  </si>
  <si>
    <t>260216-1-3071-TKK-2</t>
  </si>
  <si>
    <t>D690222P</t>
  </si>
  <si>
    <t>260216-2-3071-TKK-2</t>
  </si>
  <si>
    <t>D690223P</t>
  </si>
  <si>
    <t>F690647P</t>
  </si>
  <si>
    <t>260624-2-3061-LP-2</t>
  </si>
  <si>
    <t>F690648P</t>
  </si>
  <si>
    <t>260217-1-3071-TKK-2</t>
  </si>
  <si>
    <t>D690224P</t>
  </si>
  <si>
    <t>260217-2-3071-TKK-2</t>
  </si>
  <si>
    <t>D690225P</t>
  </si>
  <si>
    <t>260625-1-3061-LP-2</t>
  </si>
  <si>
    <t>F690649P</t>
  </si>
  <si>
    <t>260218-1-3071-TKK-2</t>
  </si>
  <si>
    <t>D690226P</t>
  </si>
  <si>
    <t>260218-2-3071-TKK-2</t>
  </si>
  <si>
    <t>D690227P</t>
  </si>
  <si>
    <t>260219-1-3071-TKK-2</t>
  </si>
  <si>
    <t>D690228P</t>
  </si>
  <si>
    <t>F690650P</t>
  </si>
  <si>
    <t>260625-2-3061-LP-2</t>
  </si>
  <si>
    <t>F690651P</t>
  </si>
  <si>
    <t>260219-2-3071-TKK-2</t>
  </si>
  <si>
    <t>D690229P</t>
  </si>
  <si>
    <t>260220-1-3071-TKK-2</t>
  </si>
  <si>
    <t>D690230P</t>
  </si>
  <si>
    <t>260626-1-3061-LP-2</t>
  </si>
  <si>
    <t>F690652P</t>
  </si>
  <si>
    <t>F690653P</t>
  </si>
  <si>
    <t>F690654XP</t>
  </si>
  <si>
    <t>260626-2-3061-LP-2</t>
  </si>
  <si>
    <t>F690655P</t>
  </si>
  <si>
    <t>260220-2-3071-TKK-2</t>
  </si>
  <si>
    <t>D690231P</t>
  </si>
  <si>
    <t>D690232P</t>
  </si>
  <si>
    <t>260629-2-3061-LP-2</t>
  </si>
  <si>
    <t>F690656P</t>
  </si>
  <si>
    <t>260223-2-3071-TKK-2</t>
  </si>
  <si>
    <t>D690233P</t>
  </si>
  <si>
    <t>D690234P</t>
  </si>
  <si>
    <t>260630-1-3061-LP-2</t>
  </si>
  <si>
    <t>F690657P</t>
  </si>
  <si>
    <t>F690658P</t>
  </si>
  <si>
    <t>260630-2-3061-LP-2</t>
  </si>
  <si>
    <t>F690659P</t>
  </si>
  <si>
    <t>260224-1-3071-TKK-2</t>
  </si>
  <si>
    <t>D690235P</t>
  </si>
  <si>
    <t>260224-2-3071-TKK-2</t>
  </si>
  <si>
    <t>D690236P</t>
  </si>
  <si>
    <t>D690237P</t>
  </si>
  <si>
    <t>260701-1-3061-LP-2</t>
  </si>
  <si>
    <t>F690701P</t>
  </si>
  <si>
    <t>260225-1-3071-TKK-2</t>
  </si>
  <si>
    <t>D690238P</t>
  </si>
  <si>
    <t>260225-2-3071-TKK-2</t>
  </si>
  <si>
    <t>D690239P</t>
  </si>
  <si>
    <t>260226-1-3071-TKK-2</t>
  </si>
  <si>
    <t>D690240P</t>
  </si>
  <si>
    <t>F690702XP</t>
  </si>
  <si>
    <t>260701-2-3061-LP-2</t>
  </si>
  <si>
    <t>F690703P</t>
  </si>
  <si>
    <t>260226-2-3071-TKK-2</t>
  </si>
  <si>
    <t>D690241P</t>
  </si>
  <si>
    <t>260227-1-3071-TKK-2</t>
  </si>
  <si>
    <t>D690242P</t>
  </si>
  <si>
    <t>260702-1-3061-LP-2</t>
  </si>
  <si>
    <t>F690704P</t>
  </si>
  <si>
    <t>F690705P</t>
  </si>
  <si>
    <t>260227-2-3071-TKK-2</t>
  </si>
  <si>
    <t>D690243P</t>
  </si>
  <si>
    <t>260228-1-3071-TKK-2</t>
  </si>
  <si>
    <t>D690244P</t>
  </si>
  <si>
    <t>260702-2-3061-LP-2</t>
  </si>
  <si>
    <t>F690706P</t>
  </si>
  <si>
    <t>260703-1-3061-LP-2</t>
  </si>
  <si>
    <t>F690707P</t>
  </si>
  <si>
    <t>260228-2-3071-TKK-2</t>
  </si>
  <si>
    <t>D690245P</t>
  </si>
  <si>
    <t>260302-1-3071-TKK-2</t>
  </si>
  <si>
    <t>D690301P</t>
  </si>
  <si>
    <t>F690708XP</t>
  </si>
  <si>
    <t>260703-2-3061-LP-2</t>
  </si>
  <si>
    <t>F690709P</t>
  </si>
  <si>
    <t>260302-2-3071-TKK-2</t>
  </si>
  <si>
    <t>D690302P</t>
  </si>
  <si>
    <t>260304-1-3071-TKK-2</t>
  </si>
  <si>
    <t>D690303P</t>
  </si>
  <si>
    <t>260704-1-3061-LP-2</t>
  </si>
  <si>
    <t>F690710P</t>
  </si>
  <si>
    <t>260304-2-3071-TKK-2</t>
  </si>
  <si>
    <t>D690304P</t>
  </si>
  <si>
    <t>260305-1-3071-TKK-2</t>
  </si>
  <si>
    <t>D690305P</t>
  </si>
  <si>
    <t>260305-2-3071-TKK-2</t>
  </si>
  <si>
    <t>D690306P</t>
  </si>
  <si>
    <t>260306-1-3071-TKK-2</t>
  </si>
  <si>
    <t>D690307P</t>
  </si>
  <si>
    <t>260306-2-3071-TKK-2</t>
  </si>
  <si>
    <t>D690308P</t>
  </si>
  <si>
    <t>D690309P</t>
  </si>
  <si>
    <t>260309-2-3071-TKK-2</t>
  </si>
  <si>
    <t>D690310P</t>
  </si>
  <si>
    <t>260310-1-3071-TKK-2</t>
  </si>
  <si>
    <t>D690311P</t>
  </si>
  <si>
    <t>260310-2-3071-TKK-2</t>
  </si>
  <si>
    <t>D690312P</t>
  </si>
  <si>
    <t>260311-2-3071-TKK-2</t>
  </si>
  <si>
    <t>D690313P</t>
  </si>
  <si>
    <t>260312-1-3071-TKK-2</t>
  </si>
  <si>
    <t>D690314P</t>
  </si>
  <si>
    <t>260312-2-3071-TKK-2</t>
  </si>
  <si>
    <t>D690315P</t>
  </si>
  <si>
    <t>260313-1-3071-TKK-2</t>
  </si>
  <si>
    <t>D690316P</t>
  </si>
  <si>
    <t>260313-2-3071-TKK-2</t>
  </si>
  <si>
    <t>D690317P</t>
  </si>
  <si>
    <t>260316-1-3071-TKK-2</t>
  </si>
  <si>
    <t>D690318P</t>
  </si>
  <si>
    <t>260316-2-3071-TKK-2</t>
  </si>
  <si>
    <t>D690319P</t>
  </si>
  <si>
    <t>260317-1-3071-TKK-2</t>
  </si>
  <si>
    <t>D690320P</t>
  </si>
  <si>
    <t>260317-2-3071-TKK-2</t>
  </si>
  <si>
    <t>D690321P</t>
  </si>
  <si>
    <t>D690322P</t>
  </si>
  <si>
    <t>260318-1-3071-TKK-2</t>
  </si>
  <si>
    <t>D690323P</t>
  </si>
  <si>
    <t>260318-2-3071-TKK-2</t>
  </si>
  <si>
    <t>D690324P</t>
  </si>
  <si>
    <t>D690325P</t>
  </si>
  <si>
    <t>260319-1-3071-TKK-2</t>
  </si>
  <si>
    <t>D690326P</t>
  </si>
  <si>
    <t>260319-2-3071-TKK-2</t>
  </si>
  <si>
    <t>D690327P</t>
  </si>
  <si>
    <t>260320-1-3071-TKK-2</t>
  </si>
  <si>
    <t>D690328P</t>
  </si>
  <si>
    <t>260320-2-3071-TKK-2</t>
  </si>
  <si>
    <t>D690329P</t>
  </si>
  <si>
    <t>260321-1-3071-TKK-2</t>
  </si>
  <si>
    <t>D690330P</t>
  </si>
  <si>
    <t>260321-2-3071-TKK-2</t>
  </si>
  <si>
    <t>D690331P</t>
  </si>
  <si>
    <t>260323-1-3071-TKK-2</t>
  </si>
  <si>
    <t>D690332P</t>
  </si>
  <si>
    <t>260323-2-3071-TKK-2</t>
  </si>
  <si>
    <t>D690333P</t>
  </si>
  <si>
    <t>260324-1-3071-TKK-2</t>
  </si>
  <si>
    <t>D690334P</t>
  </si>
  <si>
    <t>260324-2-3071-TKK-2</t>
  </si>
  <si>
    <t>D690335P</t>
  </si>
  <si>
    <t>260325-1-3071-TKK-2</t>
  </si>
  <si>
    <t>D690336P</t>
  </si>
  <si>
    <t>260325-2-3071-TKK-2</t>
  </si>
  <si>
    <t>D690337P</t>
  </si>
  <si>
    <t>260326-1-3071-TKK-2</t>
  </si>
  <si>
    <t>D690338P</t>
  </si>
  <si>
    <t>260326-2-3071-TKK-2</t>
  </si>
  <si>
    <t>D690339P</t>
  </si>
  <si>
    <t>260327-1-3071-TKK-2</t>
  </si>
  <si>
    <t>D690340P</t>
  </si>
  <si>
    <t>260327-2-3071-TKK-2</t>
  </si>
  <si>
    <t>D690341P</t>
  </si>
  <si>
    <t>260328-1-3071-TKK-2</t>
  </si>
  <si>
    <t>D690342P</t>
  </si>
  <si>
    <t>260328-2-3071-TKK-2</t>
  </si>
  <si>
    <t>D690343P</t>
  </si>
  <si>
    <t>260330-1-3071-TKK-2</t>
  </si>
  <si>
    <t>D690344P</t>
  </si>
  <si>
    <t>260330-2-3071-TKK-2</t>
  </si>
  <si>
    <t>D690345P</t>
  </si>
  <si>
    <t>260331-1-3071-TKK-2</t>
  </si>
  <si>
    <t>D690346P</t>
  </si>
  <si>
    <t>260331-2-3071-TKK-2</t>
  </si>
  <si>
    <t>D690347P</t>
  </si>
  <si>
    <t>260401-1-3071-TKK-2</t>
  </si>
  <si>
    <t>D690401P</t>
  </si>
  <si>
    <t>260402-1-3071-TKK-2</t>
  </si>
  <si>
    <t>D690402P</t>
  </si>
  <si>
    <t>260403-1-3071-TKK-2</t>
  </si>
  <si>
    <t>D690403P</t>
  </si>
  <si>
    <t>260404-1-3071-TKK-2</t>
  </si>
  <si>
    <t>D690404P</t>
  </si>
  <si>
    <t>260406-1-3071-TKK-2</t>
  </si>
  <si>
    <t>D690405P</t>
  </si>
  <si>
    <t>260407-1-3071-TKK-2</t>
  </si>
  <si>
    <t>D690406P</t>
  </si>
  <si>
    <t>260409-1-3071-TKK-2</t>
  </si>
  <si>
    <t>D690408P</t>
  </si>
  <si>
    <t>260408-1-3071-TKK-2</t>
  </si>
  <si>
    <t>D690407P</t>
  </si>
  <si>
    <t>260417-1-3071-TKK-2</t>
  </si>
  <si>
    <t>D690409P</t>
  </si>
  <si>
    <t>D690410P</t>
  </si>
  <si>
    <t>260418-1-3071-TKK-2</t>
  </si>
  <si>
    <t>D690411P</t>
  </si>
  <si>
    <t>260420-1-3071-TKK-2</t>
  </si>
  <si>
    <t>D690412P</t>
  </si>
  <si>
    <t>D690413P</t>
  </si>
  <si>
    <t>260421-1-3071-TKK-2</t>
  </si>
  <si>
    <t>D690414P</t>
  </si>
  <si>
    <t>D690415P</t>
  </si>
  <si>
    <t>260422-1-3071-TKK-2</t>
  </si>
  <si>
    <t>D690416P</t>
  </si>
  <si>
    <t>D690417P</t>
  </si>
  <si>
    <t>260423-1-3071-TKK-2</t>
  </si>
  <si>
    <t>D690418P</t>
  </si>
  <si>
    <t>D690419P</t>
  </si>
  <si>
    <t>260424-1-3071-TKK-2</t>
  </si>
  <si>
    <t>D690420P</t>
  </si>
  <si>
    <t>D690421P</t>
  </si>
  <si>
    <t>260425-1-3071-TKK-2</t>
  </si>
  <si>
    <t>D690422P</t>
  </si>
  <si>
    <t>260427-1-3071-TKK-2</t>
  </si>
  <si>
    <t>D690423P</t>
  </si>
  <si>
    <t>D690424P</t>
  </si>
  <si>
    <t>260428-1-3071-TKK-2</t>
  </si>
  <si>
    <t>D690425P</t>
  </si>
  <si>
    <t>D690426P</t>
  </si>
  <si>
    <t>260429-1-3071-TKK-2</t>
  </si>
  <si>
    <t>D690427P</t>
  </si>
  <si>
    <t>D690428P</t>
  </si>
  <si>
    <t>260430-1-3071-TKK-2</t>
  </si>
  <si>
    <t>D690429P</t>
  </si>
  <si>
    <t>D690430P</t>
  </si>
  <si>
    <t>260502-1-3071-TKK-2</t>
  </si>
  <si>
    <t>D690501P</t>
  </si>
  <si>
    <t>D690502P</t>
  </si>
  <si>
    <t>260505-1-3071-TKK-2</t>
  </si>
  <si>
    <t>D690503P</t>
  </si>
  <si>
    <t>D690504P</t>
  </si>
  <si>
    <t>260506-1-3071-TKK-2</t>
  </si>
  <si>
    <t>D690505P</t>
  </si>
  <si>
    <t>D690506P</t>
  </si>
  <si>
    <t>260507-1-3071-TKK-2</t>
  </si>
  <si>
    <t>D690507P</t>
  </si>
  <si>
    <t>260508-1-3071-TKK-2</t>
  </si>
  <si>
    <t>D690508P</t>
  </si>
  <si>
    <t>D690509P</t>
  </si>
  <si>
    <t>260509-1-3071-TKK-2</t>
  </si>
  <si>
    <t>D690510P</t>
  </si>
  <si>
    <t>260511-1-3071-TKK-2</t>
  </si>
  <si>
    <t>D690511P</t>
  </si>
  <si>
    <t>D690512P</t>
  </si>
  <si>
    <t>260512-1-3071-TKK-2</t>
  </si>
  <si>
    <t>D690513P</t>
  </si>
  <si>
    <t>D690514P</t>
  </si>
  <si>
    <t>260513-1-3071-TKK-2</t>
  </si>
  <si>
    <t>D690515P</t>
  </si>
  <si>
    <t>D690516P</t>
  </si>
  <si>
    <t>260514-1-3071-TKK-2</t>
  </si>
  <si>
    <t>D690517P</t>
  </si>
  <si>
    <t>D690518P</t>
  </si>
  <si>
    <t>260515-1-3071-TKK-2</t>
  </si>
  <si>
    <t>D690519P</t>
  </si>
  <si>
    <t>D690520P</t>
  </si>
  <si>
    <t>260516-1-3071-TKK-2</t>
  </si>
  <si>
    <t>D690521P</t>
  </si>
  <si>
    <t>260519-1-3071-TKK-2</t>
  </si>
  <si>
    <t>D690522P</t>
  </si>
  <si>
    <t>D690523P</t>
  </si>
  <si>
    <t>260520-1-3071-TKK-2</t>
  </si>
  <si>
    <t>D690524P</t>
  </si>
  <si>
    <t>D690525P</t>
  </si>
  <si>
    <t>260521-1-3071-TKK-2</t>
  </si>
  <si>
    <t>D690526P</t>
  </si>
  <si>
    <t>D690527P</t>
  </si>
  <si>
    <t>260522-1-3071-TKK-2</t>
  </si>
  <si>
    <t>D690528P</t>
  </si>
  <si>
    <t>D690529P</t>
  </si>
  <si>
    <t>260523-1-3071-TKK-2</t>
  </si>
  <si>
    <t>D690530P</t>
  </si>
  <si>
    <t>260525-1-3071-TKK-2</t>
  </si>
  <si>
    <t>D690531P</t>
  </si>
  <si>
    <t>D690532P</t>
  </si>
  <si>
    <t>260526-1-3071-TKK-2</t>
  </si>
  <si>
    <t>D690533P</t>
  </si>
  <si>
    <t>D690534P</t>
  </si>
  <si>
    <t>260527-1-3071-TKK-2</t>
  </si>
  <si>
    <t>D690535P</t>
  </si>
  <si>
    <t>D690536P</t>
  </si>
  <si>
    <t>260528-1-3071-TKK-2</t>
  </si>
  <si>
    <t>D690537P</t>
  </si>
  <si>
    <t>D690538P</t>
  </si>
  <si>
    <t>260529-1-3071-TKK-2</t>
  </si>
  <si>
    <t>D690539P</t>
  </si>
  <si>
    <t>D690540P</t>
  </si>
  <si>
    <t>260530-1-3071-TKK-2</t>
  </si>
  <si>
    <t>D690541P</t>
  </si>
  <si>
    <t>260602-1-3071-TKK-2</t>
  </si>
  <si>
    <t>D690601P</t>
  </si>
  <si>
    <t>D690602P</t>
  </si>
  <si>
    <t>D690603P</t>
  </si>
  <si>
    <t>260603-1-3071-TKK-2</t>
  </si>
  <si>
    <t>D690604P</t>
  </si>
  <si>
    <t>260604-1-3071-TKK-2</t>
  </si>
  <si>
    <t>D690605P</t>
  </si>
  <si>
    <t>D690606P</t>
  </si>
  <si>
    <t>260605-1-3071-TKK-2</t>
  </si>
  <si>
    <t>D690607P</t>
  </si>
  <si>
    <t>D690608P</t>
  </si>
  <si>
    <t>260606-1-3071-TKK-2</t>
  </si>
  <si>
    <t>D690609P</t>
  </si>
  <si>
    <t>260608-1-3071-TKK-2</t>
  </si>
  <si>
    <t>D690610P</t>
  </si>
  <si>
    <t>D690611P</t>
  </si>
  <si>
    <t>260609-1-3071-TKK-2</t>
  </si>
  <si>
    <t>D690612P</t>
  </si>
  <si>
    <t>D690613P</t>
  </si>
  <si>
    <t>260610-1-3071-TKK-2</t>
  </si>
  <si>
    <t>D690614P</t>
  </si>
  <si>
    <t>D690615P</t>
  </si>
  <si>
    <t>260611-1-3071-TKK-2</t>
  </si>
  <si>
    <t>D690616P</t>
  </si>
  <si>
    <t>D690617P</t>
  </si>
  <si>
    <t>260612-1-3071-TKK-2</t>
  </si>
  <si>
    <t>D690618P</t>
  </si>
  <si>
    <t>D690619P</t>
  </si>
  <si>
    <t>260613-1-3071-TKK-2</t>
  </si>
  <si>
    <t>D690620P</t>
  </si>
  <si>
    <t>260616-1-3071-TKK-2</t>
  </si>
  <si>
    <t>D690621P</t>
  </si>
  <si>
    <t>D690622P</t>
  </si>
  <si>
    <t>260617-1-3071-TKK-2</t>
  </si>
  <si>
    <t>D690623P</t>
  </si>
  <si>
    <t>D690624P</t>
  </si>
  <si>
    <t>D690625P</t>
  </si>
  <si>
    <t>260618-1-3071-TKK-2</t>
  </si>
  <si>
    <t>D690626P</t>
  </si>
  <si>
    <t>D690627P</t>
  </si>
  <si>
    <t>260619-1-3071-TKK-2</t>
  </si>
  <si>
    <t>D690628P</t>
  </si>
  <si>
    <t>D690629P</t>
  </si>
  <si>
    <t>260620-1-3071-TKK-2</t>
  </si>
  <si>
    <t>D690630P</t>
  </si>
  <si>
    <t>260622-1-3071-TKK-2</t>
  </si>
  <si>
    <t>D690631P</t>
  </si>
  <si>
    <t>D690632P</t>
  </si>
  <si>
    <t>260623-1-3071-TKK-2</t>
  </si>
  <si>
    <t>D690633P</t>
  </si>
  <si>
    <t>D690634P</t>
  </si>
  <si>
    <t>260625-1-3071-TKK-2</t>
  </si>
  <si>
    <t>D690635P</t>
  </si>
  <si>
    <t>260626-1-3071-TKK-2</t>
  </si>
  <si>
    <t>D690636P</t>
  </si>
  <si>
    <t>D690637P</t>
  </si>
  <si>
    <t>260627-1-3071-TKK-2</t>
  </si>
  <si>
    <t>D690638P</t>
  </si>
  <si>
    <t>260629-1-3071-TKK-2</t>
  </si>
  <si>
    <t>D690639P</t>
  </si>
  <si>
    <t>D690640P</t>
  </si>
  <si>
    <t>260630-1-3071-TKK-2</t>
  </si>
  <si>
    <t>D690641P</t>
  </si>
  <si>
    <t>D690642P</t>
  </si>
  <si>
    <t>260701-1-3071-TKK-2</t>
  </si>
  <si>
    <t>D690701P</t>
  </si>
  <si>
    <t>D690702P</t>
  </si>
  <si>
    <t>D690703P</t>
  </si>
  <si>
    <t>260702-1-3071-TKK-2</t>
  </si>
  <si>
    <t>D690704P</t>
  </si>
  <si>
    <t>D690705P</t>
  </si>
  <si>
    <t>260703-1-3071-TKK-2</t>
  </si>
  <si>
    <t>D690706P</t>
  </si>
  <si>
    <t>D690707P</t>
  </si>
  <si>
    <t>260704-1-3071-TKK-2</t>
  </si>
  <si>
    <t>D690708P</t>
  </si>
  <si>
    <t>ยอดนำมาแกะ</t>
  </si>
  <si>
    <t>แผ่นดี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</si>
  <si>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</si>
  <si>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</si>
  <si>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</si>
  <si>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</si>
  <si>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</si>
  <si>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</si>
  <si>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</si>
  <si>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</si>
  <si>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</si>
  <si>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%Reject</t>
  </si>
  <si>
    <t>ยอดค้างแกะ</t>
  </si>
  <si>
    <t>ทรายผสมตัว</t>
  </si>
  <si>
    <t>ปูน</t>
  </si>
  <si>
    <t>หินฝุ่น</t>
  </si>
  <si>
    <t>เศษบด</t>
  </si>
  <si>
    <t>แคลเซียม</t>
  </si>
  <si>
    <t>Fly Ash</t>
  </si>
  <si>
    <t>%ความชื้น Mortar</t>
  </si>
  <si>
    <t>ทรายแก้ว</t>
  </si>
  <si>
    <t>Adva</t>
  </si>
  <si>
    <t>Slurry</t>
  </si>
  <si>
    <t>Pigment</t>
  </si>
  <si>
    <t>Waterbased</t>
  </si>
  <si>
    <t>Pigmented</t>
  </si>
  <si>
    <t>Pigmented (OVER)</t>
  </si>
  <si>
    <t>Waterbased (OVER)</t>
  </si>
  <si>
    <t>ทำไว้ 3 สี</t>
  </si>
  <si>
    <t>GEP</t>
  </si>
  <si>
    <t>ทำ Over เตรียมไว้</t>
  </si>
  <si>
    <t>BODY (ราย Lot)</t>
  </si>
  <si>
    <t>Slurry &amp; Pigment (ราย Lot)</t>
  </si>
  <si>
    <t>ผ้ารอง Press (แผ่น)</t>
  </si>
  <si>
    <t>ตะแกรงรอง Press (แผ่น)</t>
  </si>
  <si>
    <t>น้ำมันพ่นแบบ</t>
  </si>
  <si>
    <t>น้ำมันพ่นโมล</t>
  </si>
  <si>
    <t>วัสดุสิ้นเปลือง (กะ)</t>
  </si>
  <si>
    <t>Badmix</t>
  </si>
  <si>
    <t>Mixer</t>
  </si>
  <si>
    <t>เครื่อง Press</t>
  </si>
  <si>
    <t>เครื่องอัดตะกอน</t>
  </si>
  <si>
    <t>ทิ้งสี</t>
  </si>
  <si>
    <t>น้ำยาเคลือบ</t>
  </si>
  <si>
    <t>Commisioning</t>
  </si>
  <si>
    <t>เศษทดลอง</t>
  </si>
  <si>
    <t>Septicpond</t>
  </si>
  <si>
    <t>ฝุ่นฟุ้ง</t>
  </si>
  <si>
    <t>SOC</t>
  </si>
  <si>
    <t>สิ้งสกปรกติดตามเครื่องจักร</t>
  </si>
  <si>
    <t>Other</t>
  </si>
  <si>
    <t>สาเหตุมากกว่า 20 เรื่อง</t>
  </si>
  <si>
    <t>1.ฝั่งเปียก ฝั่งแห้ง มีรายเซ็น ดูเป็น daily</t>
  </si>
  <si>
    <t>2 รายงานการใช้วัตถุ</t>
  </si>
  <si>
    <t>**เพิ่มรายละเอียด</t>
  </si>
  <si>
    <t>สาเหตุ1</t>
  </si>
  <si>
    <t>สาเหตุ2</t>
  </si>
  <si>
    <t>สาเหตุ3</t>
  </si>
  <si>
    <t>สาเหตุ4</t>
  </si>
  <si>
    <t>สาเหตุ5</t>
  </si>
  <si>
    <t>สาเหตุ6</t>
  </si>
  <si>
    <t>สาเหตุ7</t>
  </si>
  <si>
    <t>สาเหตุ8</t>
  </si>
  <si>
    <t>สาเหตุ9</t>
  </si>
  <si>
    <t>สาเหตุ10</t>
  </si>
  <si>
    <t>สาเหตุ11</t>
  </si>
  <si>
    <t>สาเหตุ12</t>
  </si>
  <si>
    <t>สาเหตุ13</t>
  </si>
  <si>
    <t>เครื่องจักรย่อย</t>
  </si>
  <si>
    <t>MIXER</t>
  </si>
  <si>
    <t>CableCar</t>
  </si>
  <si>
    <t>Press MC</t>
  </si>
  <si>
    <t>Conveyor line</t>
  </si>
  <si>
    <t>Sealer Sprey</t>
  </si>
  <si>
    <t>TOP Coat Sprey</t>
  </si>
  <si>
    <t>Slurry Sprey</t>
  </si>
  <si>
    <t>รายละเอียด</t>
  </si>
  <si>
    <t>รถ</t>
  </si>
  <si>
    <t>คน</t>
  </si>
  <si>
    <t>สิ่งของ</t>
  </si>
  <si>
    <t>SB2/3</t>
  </si>
  <si>
    <t>SMDT &amp; BD</t>
  </si>
  <si>
    <t>Collator</t>
  </si>
  <si>
    <t>Free Text</t>
  </si>
  <si>
    <t>Plan Stop</t>
  </si>
  <si>
    <t>Set up</t>
  </si>
  <si>
    <t>เปลี่ยนโมล</t>
  </si>
  <si>
    <t>เปลี่ยนสี</t>
  </si>
  <si>
    <t>เปลี่ยนผ้ารอง / ตะแกง</t>
  </si>
  <si>
    <t>2026W26</t>
  </si>
  <si>
    <t>ZCB30005SPEA000B11</t>
  </si>
  <si>
    <t>ครอบโค้งหางมน สีเขียวอินทนิล</t>
  </si>
  <si>
    <t>ZCB30004SPEA000B11</t>
  </si>
  <si>
    <t>ครอบโค้งปิดจั่ว สีเขียวอินทนิล</t>
  </si>
  <si>
    <t>ZCB30003SPEA000B11</t>
  </si>
  <si>
    <t>ครอบข้างปิดชาย สีเขียวอินทนิล</t>
  </si>
  <si>
    <t>ZCB30009SPEA000B11</t>
  </si>
  <si>
    <t>ครอบข้างผนัง สีเขียวอินทนิล</t>
  </si>
  <si>
    <t>ZCB30010200A000B11</t>
  </si>
  <si>
    <t>ครอบโค้งผนัง ลอนเอลาบานา สีเขียวอินทนิล</t>
  </si>
  <si>
    <t>ZCB30005SPEE000B17</t>
  </si>
  <si>
    <t>ครอบโค้งหางมน สีเทาแทนทาลัม</t>
  </si>
  <si>
    <t>ZCB30004SPEE000B17</t>
  </si>
  <si>
    <t>ครอบโค้งปิดจั่ว สีเทาแทนทาลัม</t>
  </si>
  <si>
    <t>ZCB30003SPEE000B17</t>
  </si>
  <si>
    <t>ครอบข้างปิดชาย สีเทาแทนทาลัม</t>
  </si>
  <si>
    <t>ZCB30009SPEE000B17</t>
  </si>
  <si>
    <t>ครอบข้างผนัง สีเทาแทนทาลัม</t>
  </si>
  <si>
    <t>ZCB30010200E000B17</t>
  </si>
  <si>
    <t>ครอบโค้งผนังเอลาบานา สีเทาแทนทาลัม</t>
  </si>
  <si>
    <t>2026W27</t>
  </si>
  <si>
    <t>ZCB40500XSHIELLX05</t>
  </si>
  <si>
    <t xml:space="preserve">ครอบปิดปลายตะเข้สันเพรสทีจ ดาร์กเกรย์*N </t>
  </si>
  <si>
    <t>ZCB40300XSHIELLX08</t>
  </si>
  <si>
    <t xml:space="preserve">ครอบข้าง_SEAMLESS มิดไนท์บลู*N          </t>
  </si>
  <si>
    <t>ZCB40300XSHIELLX03</t>
  </si>
  <si>
    <t xml:space="preserve">ครอบข้าง_SEAMLESS ช็อคโก้ บราวน์*N      </t>
  </si>
  <si>
    <t>260629-1-30A1-SB2-1</t>
  </si>
  <si>
    <t>H690630</t>
  </si>
  <si>
    <t>260703-1-30A1-SB2-1</t>
  </si>
  <si>
    <t>H690704</t>
  </si>
  <si>
    <t>260630-1-30A1-SB2-1</t>
  </si>
  <si>
    <t>H690631</t>
  </si>
  <si>
    <t>260702-1-30A1-SB2-1</t>
  </si>
  <si>
    <t>H690703</t>
  </si>
  <si>
    <t>260630-1-30A1-SB2-2</t>
  </si>
  <si>
    <t>A690619</t>
  </si>
  <si>
    <t>ZCBNTTILSTYMAINS01</t>
  </si>
  <si>
    <t>กระเบื้องผืนหลังคา สีแดงฟลอริด**MTO</t>
  </si>
  <si>
    <t>NEUSTILE MAIN TILE FLORID</t>
  </si>
  <si>
    <t>260701-1-30A1-SB2-2</t>
  </si>
  <si>
    <t>A690701</t>
  </si>
  <si>
    <t>A690702</t>
  </si>
  <si>
    <t>260702-1-30A1-SB2-2</t>
  </si>
  <si>
    <t>A690703</t>
  </si>
  <si>
    <t>260706-1-3031-SB1-2</t>
  </si>
  <si>
    <t>7690714XP</t>
  </si>
  <si>
    <t>7690715XP</t>
  </si>
  <si>
    <t>260706-2-3031-SB1-2</t>
  </si>
  <si>
    <t>7690716P</t>
  </si>
  <si>
    <t>7690717XP</t>
  </si>
  <si>
    <t>260707-1-3031-SB1-2</t>
  </si>
  <si>
    <t>7690718XP</t>
  </si>
  <si>
    <t>7690719XP</t>
  </si>
  <si>
    <t>260707-2-3031-SB1-2</t>
  </si>
  <si>
    <t>7690720P</t>
  </si>
  <si>
    <t>260708-1-3031-SB1-2</t>
  </si>
  <si>
    <t>7690721XP</t>
  </si>
  <si>
    <t>7690722XP</t>
  </si>
  <si>
    <t>260708-2-3031-SB1-2</t>
  </si>
  <si>
    <t>7690723XP</t>
  </si>
  <si>
    <t>260709-1-3031-SB1-2</t>
  </si>
  <si>
    <t>7690724P</t>
  </si>
  <si>
    <t>7690725XP</t>
  </si>
  <si>
    <t>260709-2-3031-SB1-2</t>
  </si>
  <si>
    <t>7690726P</t>
  </si>
  <si>
    <t>260710-1-3031-SB1-2</t>
  </si>
  <si>
    <t>7690727P</t>
  </si>
  <si>
    <t>7690728XP</t>
  </si>
  <si>
    <t>260710-2-3031-SB1-2</t>
  </si>
  <si>
    <t>7690729XP</t>
  </si>
  <si>
    <t>260711-1-3031-SB1-2</t>
  </si>
  <si>
    <t>7690730P</t>
  </si>
  <si>
    <t>7690731XP</t>
  </si>
  <si>
    <t>260711-2-3031-SB1-2</t>
  </si>
  <si>
    <t>7690732XP</t>
  </si>
  <si>
    <t>260713-2-3031-SB1-2</t>
  </si>
  <si>
    <t>7690733P</t>
  </si>
  <si>
    <t>260714-1-3031-SB1-2</t>
  </si>
  <si>
    <t>7690734P</t>
  </si>
  <si>
    <t>7690735XP</t>
  </si>
  <si>
    <t>260714-2-3031-SB1-2</t>
  </si>
  <si>
    <t>7690736XP</t>
  </si>
  <si>
    <t>260706-1-3081-NR-1</t>
  </si>
  <si>
    <t>9690705P</t>
  </si>
  <si>
    <t>260707-1-3081-NR-1</t>
  </si>
  <si>
    <t>9690706P</t>
  </si>
  <si>
    <t>260708-1-3081-NR-1</t>
  </si>
  <si>
    <t>9690707P</t>
  </si>
  <si>
    <t>9690708P</t>
  </si>
  <si>
    <t>260709-1-3081-NR-1</t>
  </si>
  <si>
    <t>9690709P</t>
  </si>
  <si>
    <t>260710-1-3081-NR-1</t>
  </si>
  <si>
    <t>9690710P</t>
  </si>
  <si>
    <t>260713-1-3081-NR-1</t>
  </si>
  <si>
    <t>9690711P</t>
  </si>
  <si>
    <t>260714-1-3081-NR-1</t>
  </si>
  <si>
    <t>9690712SP</t>
  </si>
  <si>
    <t>9690713P</t>
  </si>
  <si>
    <t>260715-1-3081-NR-1</t>
  </si>
  <si>
    <t>9690714SP</t>
  </si>
  <si>
    <t>260706-1-3041-CB-1</t>
  </si>
  <si>
    <t>4690707P</t>
  </si>
  <si>
    <t>260707-1-3041-CB-1</t>
  </si>
  <si>
    <t>4690708P</t>
  </si>
  <si>
    <t>4690709P</t>
  </si>
  <si>
    <t>260708-1-3041-CB-1</t>
  </si>
  <si>
    <t>4690710P</t>
  </si>
  <si>
    <t>4690711P</t>
  </si>
  <si>
    <t>4690712P</t>
  </si>
  <si>
    <t>260709-1-3041-CB-1</t>
  </si>
  <si>
    <t>4690713P</t>
  </si>
  <si>
    <t>4690714P</t>
  </si>
  <si>
    <t>260710-1-3041-CB-1</t>
  </si>
  <si>
    <t>4690715P</t>
  </si>
  <si>
    <t>4690716P</t>
  </si>
  <si>
    <t>260711-1-3041-CB-1</t>
  </si>
  <si>
    <t>4690717P</t>
  </si>
  <si>
    <t>260713-1-3041-CB-1</t>
  </si>
  <si>
    <t>4690718P</t>
  </si>
  <si>
    <t>4690719P</t>
  </si>
  <si>
    <t>260714-1-3041-CB-1</t>
  </si>
  <si>
    <t>4690720P</t>
  </si>
  <si>
    <t>260706-2-3031-SB1-1</t>
  </si>
  <si>
    <t>3690715P</t>
  </si>
  <si>
    <t>3690716P</t>
  </si>
  <si>
    <t>3690717P</t>
  </si>
  <si>
    <t>260707-1-3031-SB1-1</t>
  </si>
  <si>
    <t>3690718P</t>
  </si>
  <si>
    <t>3690719P</t>
  </si>
  <si>
    <t>260707-2-3031-SB1-1</t>
  </si>
  <si>
    <t>3690720P</t>
  </si>
  <si>
    <t>260708-1-3031-SB1-1</t>
  </si>
  <si>
    <t>3690721P</t>
  </si>
  <si>
    <t>3690722P</t>
  </si>
  <si>
    <t>260708-2-3031-SB1-1</t>
  </si>
  <si>
    <t>3690723P</t>
  </si>
  <si>
    <t>260709-1-3031-SB1-1</t>
  </si>
  <si>
    <t>3690724SP</t>
  </si>
  <si>
    <t>3690725P</t>
  </si>
  <si>
    <t>3690726P</t>
  </si>
  <si>
    <t>260709-2-3031-SB1-1</t>
  </si>
  <si>
    <t>3690727P</t>
  </si>
  <si>
    <t>260710-1-3031-SB1-1</t>
  </si>
  <si>
    <t>3690728P</t>
  </si>
  <si>
    <t>3690729SP</t>
  </si>
  <si>
    <t>260710-2-3031-SB1-1</t>
  </si>
  <si>
    <t>3690730P</t>
  </si>
  <si>
    <t>3690731P</t>
  </si>
  <si>
    <t>260711-1-3031-SB1-1</t>
  </si>
  <si>
    <t>3690732SP</t>
  </si>
  <si>
    <t>260711-2-3031-SB1-1</t>
  </si>
  <si>
    <t>3690733P</t>
  </si>
  <si>
    <t>260713-1-3031-SB1-1</t>
  </si>
  <si>
    <t>3690734SP</t>
  </si>
  <si>
    <t>3690735P</t>
  </si>
  <si>
    <t>260713-2-3031-SB1-1</t>
  </si>
  <si>
    <t>3690736P</t>
  </si>
  <si>
    <t>3690737P</t>
  </si>
  <si>
    <t>260714-1-3031-SB1-1</t>
  </si>
  <si>
    <t>3690738P</t>
  </si>
  <si>
    <t>3690739P</t>
  </si>
  <si>
    <t>3690740SP</t>
  </si>
  <si>
    <t>260714-2-3031-SB1-1</t>
  </si>
  <si>
    <t>3690741P</t>
  </si>
  <si>
    <t>260706-1-3071-FKK</t>
  </si>
  <si>
    <t>8690705PR</t>
  </si>
  <si>
    <t>260707-1-3071-FKK</t>
  </si>
  <si>
    <t>8690706PR</t>
  </si>
  <si>
    <t>260708-1-3071-FKK</t>
  </si>
  <si>
    <t>8690707PR</t>
  </si>
  <si>
    <t>260709-1-3071-FKK</t>
  </si>
  <si>
    <t>8690708PR</t>
  </si>
  <si>
    <t>260710-1-3071-FKK</t>
  </si>
  <si>
    <t>8690709PR</t>
  </si>
  <si>
    <t>260711-1-3071-FKK</t>
  </si>
  <si>
    <t>8690710PR</t>
  </si>
  <si>
    <t>260713-1-3071-FKK</t>
  </si>
  <si>
    <t>8690711PR</t>
  </si>
  <si>
    <t>260714-1-3071-FKK</t>
  </si>
  <si>
    <t>8690712PR</t>
  </si>
  <si>
    <t>260706-1-3061-LP-2</t>
  </si>
  <si>
    <t>F690711P</t>
  </si>
  <si>
    <t>F690712P</t>
  </si>
  <si>
    <t>260707-1-3061-LP-2</t>
  </si>
  <si>
    <t>F690713P</t>
  </si>
  <si>
    <t>F690714P</t>
  </si>
  <si>
    <t>260707-2-3061-LP-2</t>
  </si>
  <si>
    <t>F690715P</t>
  </si>
  <si>
    <t>260708-1-3061-LP-2</t>
  </si>
  <si>
    <t>F690716P</t>
  </si>
  <si>
    <t>F690717P</t>
  </si>
  <si>
    <t>260708-2-3061-LP-2</t>
  </si>
  <si>
    <t>F690718P</t>
  </si>
  <si>
    <t>260709-1-3061-LP-2</t>
  </si>
  <si>
    <t>F690719P</t>
  </si>
  <si>
    <t>F690720P</t>
  </si>
  <si>
    <t>260709-2-3061-LP-2</t>
  </si>
  <si>
    <t>F690721P</t>
  </si>
  <si>
    <t>260710-1-3061-LP-2</t>
  </si>
  <si>
    <t>F690722P</t>
  </si>
  <si>
    <t>F690723P</t>
  </si>
  <si>
    <t>260710-2-3061-LP-2</t>
  </si>
  <si>
    <t>F690724P</t>
  </si>
  <si>
    <t>260711-1-3061-LP-2</t>
  </si>
  <si>
    <t>F690725P</t>
  </si>
  <si>
    <t>260713-2-3061-LP-2</t>
  </si>
  <si>
    <t>F690726P</t>
  </si>
  <si>
    <t>260714-1-3061-LP-2</t>
  </si>
  <si>
    <t>F690727P</t>
  </si>
  <si>
    <t>F690728P</t>
  </si>
  <si>
    <t>260714-2-3061-LP-2</t>
  </si>
  <si>
    <t>F690729P</t>
  </si>
  <si>
    <t>F690730P</t>
  </si>
  <si>
    <t>260706-1-3071-TKK-2</t>
  </si>
  <si>
    <t>D690709P</t>
  </si>
  <si>
    <t>D690710P</t>
  </si>
  <si>
    <t>260707-1-3071-TKK-2</t>
  </si>
  <si>
    <t>D690711P</t>
  </si>
  <si>
    <t>D690712P</t>
  </si>
  <si>
    <t>260708-1-3071-TKK-2</t>
  </si>
  <si>
    <t>D690713P</t>
  </si>
  <si>
    <t>D690714P</t>
  </si>
  <si>
    <t>260709-1-3071-TKK-2</t>
  </si>
  <si>
    <t>D690715P</t>
  </si>
  <si>
    <t>D690716P</t>
  </si>
  <si>
    <t>260710-1-3071-TKK-2</t>
  </si>
  <si>
    <t>D690717P</t>
  </si>
  <si>
    <t>D690718P</t>
  </si>
  <si>
    <t>D690719P</t>
  </si>
  <si>
    <t>260711-1-3071-TKK-2</t>
  </si>
  <si>
    <t>D690720P</t>
  </si>
  <si>
    <t>260713-1-3071-TKK-2</t>
  </si>
  <si>
    <t>D690721P</t>
  </si>
  <si>
    <t>D690722P</t>
  </si>
  <si>
    <t>D690723P</t>
  </si>
  <si>
    <t>260714-1-3071-TKK-2</t>
  </si>
  <si>
    <t>D690724P</t>
  </si>
  <si>
    <t>D690725P</t>
  </si>
  <si>
    <t>D690726P</t>
  </si>
  <si>
    <t>260715-1-3071-TKK-2</t>
  </si>
  <si>
    <t>D690727P</t>
  </si>
  <si>
    <t>260715-1-3041-CB-1</t>
  </si>
  <si>
    <t>4690721P</t>
  </si>
  <si>
    <t>กระเบื้อง</t>
  </si>
  <si>
    <t>รองเท้า</t>
  </si>
  <si>
    <t>กกก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</si>
</sst>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1070000]d/m/yy;@"/>
    <numFmt numFmtId="165" formatCode="hh:mm"/>
    <numFmt numFmtId="166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0" fillId="0" borderId="0" xfId="0" applyFill="1"/>
    <xf numFmtId="166" fontId="0" fillId="4" borderId="0" xfId="1" applyNumberFormat="1" applyFont="1" applyFill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/>
    <xf numFmtId="0" fontId="3" fillId="5" borderId="0" xfId="0" applyFont="1" applyFill="1"/>
    <xf numFmtId="0" fontId="0" fillId="0" borderId="1" xfId="0" applyBorder="1"/>
    <xf numFmtId="22" fontId="0" fillId="0" borderId="0" xfId="0" applyNumberFormat="1"/>
    <xf numFmtId="0" fontId="0" fillId="2" borderId="0" xfId="0" applyFill="1"/>
    <xf numFmtId="165" fontId="0" fillId="2" borderId="0" xfId="0" applyNumberFormat="1" applyFill="1"/>
    <xf numFmtId="166" fontId="0" fillId="2" borderId="0" xfId="1" applyNumberFormat="1" applyFont="1" applyFill="1"/>
    <xf numFmtId="10" fontId="0" fillId="6" borderId="0" xfId="2" applyNumberFormat="1" applyFont="1" applyFill="1"/>
    <xf numFmtId="0" fontId="2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0" fillId="2" borderId="0" xfId="0" applyFont="1" applyFill="1" applyAlignment="1">
      <alignment horizontal="left"/>
    </xf>
    <xf numFmtId="20" fontId="0" fillId="0" borderId="0" xfId="0" applyNumberFormat="1"/>
    <xf numFmtId="20" fontId="0" fillId="2" borderId="0" xfId="0" applyNumberFormat="1" applyFill="1"/>
    <xf numFmtId="14" fontId="0" fillId="2" borderId="0" xfId="0" applyNumberFormat="1" applyFill="1"/>
    <xf numFmtId="14" fontId="0" fillId="0" borderId="0" xfId="0" applyNumberFormat="1"/>
    <xf numFmtId="14" fontId="0" fillId="2" borderId="0" xfId="0" applyNumberFormat="1" applyFill="1" applyAlignment="1">
      <alignment horizontal="center"/>
    </xf>
    <xf numFmtId="18" fontId="0" fillId="0" borderId="0" xfId="0" applyNumberFormat="1"/>
    <xf numFmtId="2" fontId="0" fillId="0" borderId="0" xfId="0" applyNumberFormat="1"/>
    <xf numFmtId="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4">
    <dxf>
      <numFmt numFmtId="19" formatCode="d/m/yyyy"/>
    </dxf>
    <dxf>
      <numFmt numFmtId="27" formatCode="d/m/yyyy\ h:mm"/>
    </dxf>
    <dxf>
      <numFmt numFmtId="27" formatCode="d/m/yyyy\ h:mm"/>
    </dxf>
    <dxf>
      <numFmt numFmtId="164" formatCode="[$-1070000]d/m/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microsoft.com/office/2006/relationships/vbaProject" Target="vbaProject.bin"/><Relationship Id="rId10" Type="http://schemas.openxmlformats.org/officeDocument/2006/relationships/styles" Target="styles.xml"/><Relationship Id="rId19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107950</xdr:colOff>
          <xdr:row>7</xdr:row>
          <xdr:rowOff>6350</xdr:rowOff>
        </xdr:from>
        <xdr:to>
          <xdr:col>12</xdr:col>
          <xdr:colOff>850900</xdr:colOff>
          <xdr:row>8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SMDT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850900</xdr:colOff>
          <xdr:row>21</xdr:row>
          <xdr:rowOff>31750</xdr:rowOff>
        </xdr:from>
        <xdr:to>
          <xdr:col>10</xdr:col>
          <xdr:colOff>844550</xdr:colOff>
          <xdr:row>23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6</xdr:col>
      <xdr:colOff>1175158</xdr:colOff>
      <xdr:row>21</xdr:row>
      <xdr:rowOff>76280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393950"/>
          <a:ext cx="7931558" cy="15494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9568707-E46E-4646-8E68-83F52BAC3232}" autoFormatId="16" applyNumberFormats="0" applyBorderFormats="0" applyFontFormats="0" applyPatternFormats="0" applyAlignmentFormats="0" applyWidthHeightFormats="0">
  <queryTableRefresh nextId="15">
    <queryTableFields count="14">
      <queryTableField id="1" name="Company" tableColumnId="1"/>
      <queryTableField id="2" name="Plant" tableColumnId="2"/>
      <queryTableField id="3" name="Shift" tableColumnId="3"/>
      <queryTableField id="4" name="PlanWeek" tableColumnId="4"/>
      <queryTableField id="5" name="VersionNo" tableColumnId="5"/>
      <queryTableField id="6" name="PlanName" tableColumnId="6"/>
      <queryTableField id="7" name="Machine" tableColumnId="7"/>
      <queryTableField id="8" name="MaterialCode" tableColumnId="8"/>
      <queryTableField id="9" name="MaterialName" tableColumnId="9"/>
      <queryTableField id="10" name="PlanWeight" tableColumnId="10"/>
      <queryTableField id="11" name="PlanCount" tableColumnId="11"/>
      <queryTableField id="12" name="StartTime" tableColumnId="12"/>
      <queryTableField id="13" name="Duration" tableColumnId="13"/>
      <queryTableField id="14" name="OperationCode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D8A592C-6B36-44BA-8F93-A8327964053B}" autoFormatId="16" applyNumberFormats="0" applyBorderFormats="0" applyFontFormats="0" applyPatternFormats="0" applyAlignmentFormats="0" applyWidthHeightFormats="0">
  <queryTableRefresh nextId="24">
    <queryTableFields count="23">
      <queryTableField id="1" name="CompanyCode" tableColumnId="1"/>
      <queryTableField id="2" name="Plant" tableColumnId="2"/>
      <queryTableField id="3" name="MaterialCode" tableColumnId="3"/>
      <queryTableField id="4" name="MaterialThai" tableColumnId="4"/>
      <queryTableField id="5" name="MaterialEng" tableColumnId="5"/>
      <queryTableField id="6" name="Machine" tableColumnId="6"/>
      <queryTableField id="7" name="ProductionOrder" tableColumnId="7"/>
      <queryTableField id="8" name="ProdOrderDate" tableColumnId="8"/>
      <queryTableField id="9" name="LotNumber" tableColumnId="9"/>
      <queryTableField id="10" name="Shift" tableColumnId="10"/>
      <queryTableField id="11" name="Status" tableColumnId="11"/>
      <queryTableField id="12" name="Reason" tableColumnId="12"/>
      <queryTableField id="13" name="สาเหตุเบื้องต้น" tableColumnId="13"/>
      <queryTableField id="14" name="Remaining" tableColumnId="14"/>
      <queryTableField id="15" name="UnitCode" tableColumnId="15"/>
      <queryTableField id="16" name="DryWeight" tableColumnId="16"/>
      <queryTableField id="17" name="LockID" tableColumnId="17"/>
      <queryTableField id="18" name="Remark" tableColumnId="18"/>
      <queryTableField id="19" name="หน่วยงานที่เปลี่ยนสถานะ" tableColumnId="19"/>
      <queryTableField id="20" name="เครื่องจักรที่เปลี่ยนสถานะ" tableColumnId="20"/>
      <queryTableField id="21" name="StatusUpdate" tableColumnId="21"/>
      <queryTableField id="22" name="กะที่แกะ" tableColumnId="22"/>
      <queryTableField id="23" name="EffectiveDate" tableColumnId="2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ew_ActivePlan_1" backgroundRefresh="0" connectionId="1" xr16:uid="{E8B593FA-97E9-40B2-B7F2-2E8B569BC5E8}" autoFormatId="16" applyNumberFormats="0" applyBorderFormats="0" applyFontFormats="0" applyPatternFormats="0" applyAlignmentFormats="0" applyWidthHeightFormats="0">
  <queryTableRefresh nextId="17">
    <queryTableFields count="1">
      <queryTableField id="12" name="StartTime" tableColumnId="12"/>
    </queryTableFields>
    <queryTableDeletedFields count="15">
      <deletedField name="Company"/>
      <deletedField name="Plant"/>
      <deletedField name="Shift"/>
      <deletedField name="PlanWeek"/>
      <deletedField name="VersionNo"/>
      <deletedField name="PlanName"/>
      <deletedField name="Machine"/>
      <deletedField name="MaterialCode"/>
      <deletedField name="MaterialName"/>
      <deletedField name="PlanWeight"/>
      <deletedField name="PlanCount"/>
      <deletedField name="Duration"/>
      <deletedField name="OperationCode"/>
      <deletedField name="StartTime (Month Index)"/>
      <deletedField name="StartTime (Month)"/>
    </queryTableDeletedFields>
  </queryTableRefresh>
  <extLst>
    <ext xmlns:x15="http://schemas.microsoft.com/office/spreadsheetml/2010/11/main" uri="{883FBD77-0823-4a55-B5E3-86C4891E6966}">
      <x15:queryTable sourceDataName="WorksheetConnection_PIS_โรงงานครอบพี่เด่น.xlsm!view_ActivePlan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66F129-9E9A-481A-B8E0-B0A7409E27EC}" name="view_ActivePlan" displayName="view_ActivePlan" ref="A1:N158" tableType="queryTable" totalsRowShown="0">
  <tableColumns count="14">
    <tableColumn id="1" xr3:uid="{172116B4-4FCE-486B-98DC-2B86D6D30E6C}" uniqueName="1" name="Company" queryTableFieldId="1"/>
    <tableColumn id="2" xr3:uid="{B562F0FD-7530-4565-9783-0F5C9436AF36}" uniqueName="2" name="Plant" queryTableFieldId="2"/>
    <tableColumn id="3" xr3:uid="{59AA714A-3EA7-438F-9198-B23DB561CB04}" uniqueName="3" name="Shift" queryTableFieldId="3"/>
    <tableColumn id="4" xr3:uid="{AB61C6C0-D490-464D-AAD0-F85821465813}" uniqueName="4" name="PlanWeek" queryTableFieldId="4"/>
    <tableColumn id="5" xr3:uid="{5B6D308F-0717-4D16-95CC-98BFB2E15DC2}" uniqueName="5" name="VersionNo" queryTableFieldId="5"/>
    <tableColumn id="6" xr3:uid="{0745A725-3099-4D14-9260-1598192686DD}" uniqueName="6" name="PlanName" queryTableFieldId="6"/>
    <tableColumn id="7" xr3:uid="{835DBDF7-A428-4FC7-BB9D-F8AF25E2DE4B}" uniqueName="7" name="Machine" queryTableFieldId="7"/>
    <tableColumn id="8" xr3:uid="{B5DDEA63-F85E-4602-9731-435892CE04CB}" uniqueName="8" name="MaterialCode" queryTableFieldId="8"/>
    <tableColumn id="9" xr3:uid="{FB153EF2-D40D-4158-9F44-3F531076D3AF}" uniqueName="9" name="MaterialName" queryTableFieldId="9"/>
    <tableColumn id="10" xr3:uid="{4BD81F17-DA47-4507-B5A8-ADC85FE11DC2}" uniqueName="10" name="PlanWeight" queryTableFieldId="10"/>
    <tableColumn id="11" xr3:uid="{EB57D09C-8328-4D62-AD1C-6C5E65FC51D3}" uniqueName="11" name="PlanCount" queryTableFieldId="11"/>
    <tableColumn id="12" xr3:uid="{5F5A03CE-23D7-4CFE-965B-E3608F425800}" uniqueName="12" name="StartTime" queryTableFieldId="12" dataDxfId="3"/>
    <tableColumn id="13" xr3:uid="{C0BD572A-907C-46C8-907F-C4E8468490E4}" uniqueName="13" name="Duration" queryTableFieldId="13"/>
    <tableColumn id="14" xr3:uid="{643A5DD0-99FA-4611-BB4B-08104DDCE913}" uniqueName="14" name="OperationCode" queryTableField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A68BCC-DBDE-4B28-9D34-195F2618D7ED}" name="View_PIS_LockInventory_6260" displayName="View_PIS_LockInventory_6260" ref="A1:W2720" tableType="queryTable" totalsRowShown="0">
  <autoFilter ref="A1:W2720" xr:uid="{F76AB243-E8BA-470A-9245-E7387A371541}"/>
  <tableColumns count="23">
    <tableColumn id="1" xr3:uid="{3FFD40A9-0C57-44C3-AE32-7865160B5985}" uniqueName="1" name="CompanyCode" queryTableFieldId="1"/>
    <tableColumn id="2" xr3:uid="{3D48FFDA-1787-4E6F-9179-07B104DC17D1}" uniqueName="2" name="Plant" queryTableFieldId="2"/>
    <tableColumn id="3" xr3:uid="{36AD08C9-C924-4738-8B9E-1B9A2E791C1F}" uniqueName="3" name="MaterialCode" queryTableFieldId="3"/>
    <tableColumn id="4" xr3:uid="{6A06EAB9-61DE-4168-B8A4-6E50D2A87FE9}" uniqueName="4" name="MaterialThai" queryTableFieldId="4"/>
    <tableColumn id="5" xr3:uid="{7B276D64-AE99-47AE-82F6-0745284F25BF}" uniqueName="5" name="MaterialEng" queryTableFieldId="5"/>
    <tableColumn id="6" xr3:uid="{3F0FAAE5-FDB8-4FAC-8816-2C22BCD6F31D}" uniqueName="6" name="Machine" queryTableFieldId="6"/>
    <tableColumn id="7" xr3:uid="{D92C69F6-4FF9-4B2B-BA72-04F87D0A6697}" uniqueName="7" name="ProductionOrder" queryTableFieldId="7"/>
    <tableColumn id="8" xr3:uid="{FF22E4E4-B96D-464C-BE77-356B2D07861E}" uniqueName="8" name="ProdOrderDate" queryTableFieldId="8" dataDxfId="2"/>
    <tableColumn id="9" xr3:uid="{3AB24906-33EB-4CFD-BBC3-20239EF44EE5}" uniqueName="9" name="LotNumber" queryTableFieldId="9"/>
    <tableColumn id="10" xr3:uid="{E8102B08-C4EC-4AFC-B58E-9EAFB0BFEAD1}" uniqueName="10" name="Shift" queryTableFieldId="10"/>
    <tableColumn id="11" xr3:uid="{179D65A9-FB33-4464-BD57-EFA53B728A66}" uniqueName="11" name="Status" queryTableFieldId="11"/>
    <tableColumn id="12" xr3:uid="{7152157D-B5A2-4D9C-BCAD-4514E9D0BC15}" uniqueName="12" name="Reason" queryTableFieldId="12"/>
    <tableColumn id="13" xr3:uid="{C5E7E27D-FC31-4156-8A53-9B856C1383B2}" uniqueName="13" name="สาเหตุเบื้องต้น" queryTableFieldId="13"/>
    <tableColumn id="14" xr3:uid="{9F613449-118E-465A-B348-818B15E0C71A}" uniqueName="14" name="Remaining" queryTableFieldId="14"/>
    <tableColumn id="15" xr3:uid="{79208DF3-FFCF-469C-BFF0-C4DEA35F5424}" uniqueName="15" name="UnitCode" queryTableFieldId="15"/>
    <tableColumn id="16" xr3:uid="{AB4113E5-944A-40C6-AC6F-514B1BD58E54}" uniqueName="16" name="DryWeight" queryTableFieldId="16"/>
    <tableColumn id="17" xr3:uid="{3DE536E9-44C9-4788-9D27-A0E36F7FE8F8}" uniqueName="17" name="LockID" queryTableFieldId="17"/>
    <tableColumn id="18" xr3:uid="{F3973653-862E-4C71-8F24-C721957ACCE8}" uniqueName="18" name="Remark" queryTableFieldId="18"/>
    <tableColumn id="19" xr3:uid="{B2660440-B3F6-4BE8-8BC9-BDB6F90F6F87}" uniqueName="19" name="หน่วยงานที่เปลี่ยนสถานะ" queryTableFieldId="19"/>
    <tableColumn id="20" xr3:uid="{30F7753B-5BC1-41C5-8592-8A6BD9C6FF22}" uniqueName="20" name="เครื่องจักรที่เปลี่ยนสถานะ" queryTableFieldId="20"/>
    <tableColumn id="21" xr3:uid="{75F33CE5-CAC1-4483-939F-8FD1F08EAA94}" uniqueName="21" name="StatusUpdate" queryTableFieldId="21" dataDxfId="1"/>
    <tableColumn id="22" xr3:uid="{00A87E2A-9C43-4625-B321-04DC4C9EE23B}" uniqueName="22" name="กะที่แกะ" queryTableFieldId="22"/>
    <tableColumn id="23" xr3:uid="{B5669591-1FAB-4BFD-A57F-8D83199F7BD7}" uniqueName="23" name="EffectiveDate" queryTableFieldId="2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771087-5709-4780-8FCD-8E1E9C41B4AC}" name="Table_view_ActivePlan_1" displayName="Table_view_ActivePlan_1" ref="G1:G43" tableType="queryTable" totalsRowShown="0">
  <autoFilter ref="G1:G43" xr:uid="{FF482DD6-91C7-4695-A835-C91C537ED588}"/>
  <sortState ref="G2:G43">
    <sortCondition descending="1" ref="G2"/>
  </sortState>
  <tableColumns count="1">
    <tableColumn id="12" xr3:uid="{AF05F3B8-80A0-4460-B8FA-1A13C30E08AD}" uniqueName="12" name="StartTime" queryTableFieldId="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94588-D0FD-419E-864B-4B8CB8E544FC}">
  <sheetPr codeName="Sheet3"/>
  <dimension ref="B3:D17"/>
  <sheetViews>
    <sheetView workbookViewId="0">
      <selection activeCell="L12" sqref="L12"/>
    </sheetView>
  </sheetViews>
  <sheetFormatPr defaultRowHeight="14.5" x14ac:dyDescent="0.35"/>
  <cols>
    <col min="3" max="3" width="20.6328125" customWidth="1"/>
    <col min="4" max="4" width="18" customWidth="1"/>
  </cols>
  <sheetData>
    <row r="3" spans="2:4" x14ac:dyDescent="0.35">
      <c r="B3" s="14"/>
      <c r="C3" s="14"/>
      <c r="D3" s="14"/>
    </row>
    <row r="4" spans="2:4" x14ac:dyDescent="0.35">
      <c r="B4" s="14"/>
      <c r="C4" s="14"/>
      <c r="D4" s="14"/>
    </row>
    <row r="5" spans="2:4" x14ac:dyDescent="0.35">
      <c r="B5" s="14"/>
      <c r="C5" s="14"/>
      <c r="D5" s="14"/>
    </row>
    <row r="6" spans="2:4" x14ac:dyDescent="0.35">
      <c r="B6" s="14"/>
      <c r="C6" s="14"/>
      <c r="D6" s="14"/>
    </row>
    <row r="7" spans="2:4" x14ac:dyDescent="0.35">
      <c r="B7" s="14"/>
      <c r="C7" s="14"/>
      <c r="D7" s="14"/>
    </row>
    <row r="8" spans="2:4" x14ac:dyDescent="0.35">
      <c r="B8" s="14"/>
      <c r="C8" s="14"/>
      <c r="D8" s="14"/>
    </row>
    <row r="9" spans="2:4" x14ac:dyDescent="0.35">
      <c r="B9" s="14"/>
      <c r="C9" s="14"/>
      <c r="D9" s="14"/>
    </row>
    <row r="10" spans="2:4" x14ac:dyDescent="0.35">
      <c r="B10" s="14"/>
      <c r="C10" s="14"/>
      <c r="D10" s="14"/>
    </row>
    <row r="11" spans="2:4" x14ac:dyDescent="0.35">
      <c r="B11" s="14"/>
      <c r="C11" s="14"/>
      <c r="D11" s="14"/>
    </row>
    <row r="12" spans="2:4" x14ac:dyDescent="0.35">
      <c r="B12" s="14"/>
      <c r="C12" s="14"/>
      <c r="D12" s="14"/>
    </row>
    <row r="13" spans="2:4" x14ac:dyDescent="0.35">
      <c r="B13" s="14"/>
      <c r="C13" s="14"/>
      <c r="D13" s="14"/>
    </row>
    <row r="14" spans="2:4" x14ac:dyDescent="0.35">
      <c r="B14" s="14"/>
      <c r="C14" s="14"/>
      <c r="D14" s="14"/>
    </row>
    <row r="16" spans="2:4" x14ac:dyDescent="0.35">
      <c r="B16" t="s">
        <v>4865</v>
      </c>
    </row>
    <row r="17" spans="2:2" x14ac:dyDescent="0.35">
      <c r="B17" t="s">
        <v>4866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66AED-AE18-4515-975C-B60475B1C0E6}">
  <sheetPr codeName="Sheet5"/>
  <dimension ref="A1:M12"/>
  <sheetViews>
    <sheetView workbookViewId="0">
      <selection activeCell="J16" sqref="J16"/>
    </sheetView>
  </sheetViews>
  <sheetFormatPr defaultRowHeight="14.5" x14ac:dyDescent="0.35"/>
  <sheetData>
    <row r="1" spans="1:13" x14ac:dyDescent="0.35">
      <c r="A1" t="s">
        <v>4868</v>
      </c>
      <c r="B1" t="s">
        <v>4869</v>
      </c>
      <c r="C1" t="s">
        <v>4870</v>
      </c>
      <c r="D1" t="s">
        <v>4871</v>
      </c>
      <c r="E1" t="s">
        <v>4872</v>
      </c>
      <c r="F1" t="s">
        <v>4873</v>
      </c>
      <c r="G1" t="s">
        <v>4874</v>
      </c>
      <c r="H1" t="s">
        <v>4875</v>
      </c>
      <c r="I1" t="s">
        <v>4876</v>
      </c>
      <c r="J1" t="s">
        <v>4877</v>
      </c>
      <c r="K1" t="s">
        <v>4878</v>
      </c>
      <c r="L1" t="s">
        <v>4879</v>
      </c>
      <c r="M1" t="s">
        <v>4880</v>
      </c>
    </row>
    <row r="2" spans="1:13" x14ac:dyDescent="0.35">
      <c r="A2" s="26">
        <v>46220</v>
      </c>
      <c r="B2">
        <v>1</v>
      </c>
      <c r="C2">
        <v>2</v>
      </c>
      <c r="D2">
        <v>3</v>
      </c>
      <c r="E2">
        <v>6</v>
      </c>
    </row>
    <row r="3" spans="1:13" x14ac:dyDescent="0.35">
      <c r="A3" s="26">
        <v>46220</v>
      </c>
      <c r="B3">
        <v>1</v>
      </c>
      <c r="C3">
        <v>10</v>
      </c>
      <c r="D3">
        <v>100</v>
      </c>
      <c r="E3" s="30">
        <v>1000</v>
      </c>
    </row>
    <row r="4" spans="1:13" x14ac:dyDescent="0.35">
      <c r="A4" s="26">
        <v>46220</v>
      </c>
      <c r="B4" t="s">
        <v>5147</v>
      </c>
      <c r="C4">
        <v>5</v>
      </c>
      <c r="D4">
        <v>100</v>
      </c>
      <c r="E4">
        <v>500</v>
      </c>
    </row>
    <row r="5" spans="1:13" x14ac:dyDescent="0.35">
      <c r="A5" s="26">
        <v>46220</v>
      </c>
      <c r="B5" t="s">
        <v>5148</v>
      </c>
      <c r="C5">
        <v>1</v>
      </c>
      <c r="D5" s="30">
        <v>1500</v>
      </c>
      <c r="E5" s="30">
        <v>1500</v>
      </c>
    </row>
    <row r="6" spans="1:13" x14ac:dyDescent="0.35">
      <c r="A6" s="26">
        <v>46220</v>
      </c>
      <c r="B6" t="s">
        <v>5148</v>
      </c>
      <c r="C6">
        <v>2</v>
      </c>
      <c r="D6">
        <v>200</v>
      </c>
      <c r="E6">
        <v>400</v>
      </c>
    </row>
    <row r="7" spans="1:13" x14ac:dyDescent="0.35">
      <c r="A7" s="26">
        <v>46220</v>
      </c>
      <c r="B7" t="s">
        <v>5149</v>
      </c>
      <c r="C7">
        <v>100</v>
      </c>
      <c r="D7" s="30">
        <v>1000</v>
      </c>
      <c r="E7" s="30">
        <v>100000</v>
      </c>
    </row>
    <row r="9" spans="1:13" x14ac:dyDescent="0.35">
      <c r="A9" s="23"/>
      <c r="B9" s="23"/>
      <c r="C9" s="29"/>
    </row>
    <row r="10" spans="1:13" x14ac:dyDescent="0.35">
      <c r="A10" s="23"/>
      <c r="B10" s="23"/>
      <c r="C10" s="29"/>
    </row>
    <row r="11" spans="1:13" x14ac:dyDescent="0.35">
      <c r="A11" s="26"/>
    </row>
    <row r="12" spans="1:13" x14ac:dyDescent="0.35">
      <c r="A12" s="2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put_time">
    <tabColor theme="5" tint="0.39997558519241921"/>
  </sheetPr>
  <dimension ref="A1:U77"/>
  <sheetViews>
    <sheetView showGridLines="0" tabSelected="1" topLeftCell="E4" zoomScale="80" zoomScaleNormal="80" workbookViewId="0">
      <selection activeCell="J27" sqref="J27"/>
    </sheetView>
  </sheetViews>
  <sheetFormatPr defaultRowHeight="14.5" x14ac:dyDescent="0.35"/>
  <cols>
    <col min="1" max="1" width="0" hidden="1" customWidth="1"/>
    <col min="2" max="2" width="7.7265625" hidden="1" customWidth="1"/>
    <col min="3" max="3" width="0" hidden="1" customWidth="1"/>
    <col min="4" max="4" width="20.08984375" hidden="1" customWidth="1"/>
    <col min="5" max="5" width="18.08984375" customWidth="1"/>
    <col min="6" max="6" width="37" bestFit="1" customWidth="1"/>
    <col min="7" max="8" width="15.08984375" customWidth="1"/>
    <col min="9" max="9" width="13.90625" customWidth="1"/>
    <col min="10" max="15" width="13" customWidth="1"/>
    <col min="16" max="16" width="16.1796875" bestFit="1" customWidth="1"/>
    <col min="17" max="17" width="15.81640625" customWidth="1"/>
    <col min="18" max="21" width="12.7265625" customWidth="1"/>
  </cols>
  <sheetData>
    <row r="1" spans="1:17" x14ac:dyDescent="0.35">
      <c r="G1" s="26"/>
    </row>
    <row r="2" spans="1:17" x14ac:dyDescent="0.35">
      <c r="E2" s="2" t="s">
        <v>146</v>
      </c>
      <c r="F2" s="27">
        <v>46224</v>
      </c>
      <c r="H2" s="26"/>
    </row>
    <row r="3" spans="1:17" x14ac:dyDescent="0.35">
      <c r="A3" s="6"/>
      <c r="E3" t="s">
        <v>162</v>
      </c>
      <c r="F3" s="3" t="s">
        <v>160</v>
      </c>
    </row>
    <row r="5" spans="1:17" x14ac:dyDescent="0.35">
      <c r="E5" s="10" t="s">
        <v>193</v>
      </c>
    </row>
    <row r="6" spans="1:17" x14ac:dyDescent="0.35">
      <c r="M6" t="s">
        <v>4867</v>
      </c>
    </row>
    <row r="7" spans="1:17" x14ac:dyDescent="0.35">
      <c r="E7" s="20" t="s">
        <v>171</v>
      </c>
      <c r="F7" s="20" t="s">
        <v>172</v>
      </c>
      <c r="G7" s="20" t="s">
        <v>194</v>
      </c>
      <c r="H7" s="20" t="s">
        <v>184</v>
      </c>
      <c r="I7" s="20" t="s">
        <v>185</v>
      </c>
      <c r="J7" s="20" t="s">
        <v>186</v>
      </c>
      <c r="K7" s="20" t="s">
        <v>187</v>
      </c>
      <c r="L7" s="20" t="s">
        <v>189</v>
      </c>
      <c r="M7" s="20" t="s">
        <v>191</v>
      </c>
      <c r="N7" s="20" t="s">
        <v>190</v>
      </c>
      <c r="O7" s="20" t="s">
        <v>192</v>
      </c>
      <c r="P7" s="20" t="s">
        <v>188</v>
      </c>
      <c r="Q7" s="20" t="s">
        <v>173</v>
      </c>
    </row>
    <row r="8" spans="1:17" x14ac:dyDescent="0.35">
      <c r="B8" t="str">
        <f>IFERROR(INDEX(APlan!$F:$F,MATCH(1,INDEX((APlan!$L:$L=Form!$F$2)*(APlan!$H:$H=Form!$D8),0),
0)),"")</f>
        <v>MTS039</v>
      </c>
      <c r="C8" t="str">
        <f>LEFT(D8,8)</f>
        <v>ZCB40300</v>
      </c>
      <c r="D8" t="str">
        <f>IFERROR(INDEX(APlan!$H:$H,MATCH(Form!$F8,APlan!$I:$I,0)),"")</f>
        <v>ZCB40300XSHIELLX03</v>
      </c>
      <c r="E8" s="6" t="s">
        <v>163</v>
      </c>
      <c r="F8" s="16" t="s">
        <v>4929</v>
      </c>
      <c r="G8" s="16"/>
      <c r="H8" s="16"/>
      <c r="I8" s="16">
        <v>100</v>
      </c>
      <c r="J8" s="17">
        <v>0.33333333333333331</v>
      </c>
      <c r="K8" s="17">
        <v>0.66666666666666663</v>
      </c>
      <c r="L8" s="17"/>
      <c r="M8" s="17"/>
      <c r="N8" s="17"/>
      <c r="O8" s="18"/>
      <c r="P8" s="9">
        <f>IFERROR((K8-J8)*1440,"")</f>
        <v>480</v>
      </c>
      <c r="Q8" s="7" t="str">
        <f>IFERROR(VLOOKUP($C8,DProduct!$D:$E,2,FALSE),"")</f>
        <v/>
      </c>
    </row>
    <row r="9" spans="1:17" x14ac:dyDescent="0.35">
      <c r="B9" t="str">
        <f>IFERROR(INDEX(APlan!$F:$F,MATCH(1,INDEX((APlan!$L:$L=Form!$F$2)*(APlan!$H:$H=Form!$D9),0),
0)),"")</f>
        <v/>
      </c>
      <c r="C9" t="str">
        <f t="shared" ref="C9:C17" si="0">LEFT(D9,8)</f>
        <v/>
      </c>
      <c r="D9" t="str">
        <f>IFERROR(INDEX(APlan!$H:$H,MATCH(Form!$F9,APlan!$I:$I,0)),"")</f>
        <v/>
      </c>
      <c r="E9" s="6" t="s">
        <v>164</v>
      </c>
      <c r="F9" s="16"/>
      <c r="G9" s="16"/>
      <c r="H9" s="16"/>
      <c r="I9" s="16"/>
      <c r="J9" s="17">
        <v>0.35416666666666669</v>
      </c>
      <c r="K9" s="17">
        <v>0.6875</v>
      </c>
      <c r="L9" s="16"/>
      <c r="M9" s="16"/>
      <c r="N9" s="16"/>
      <c r="O9" s="16"/>
      <c r="P9" s="9">
        <f t="shared" ref="P9:P17" si="1">IFERROR((K9-J9)*1440,"")</f>
        <v>480</v>
      </c>
      <c r="Q9" s="7" t="str">
        <f>IFERROR(VLOOKUP($C9,DProduct!$D:$E,2,FALSE),"")</f>
        <v/>
      </c>
    </row>
    <row r="10" spans="1:17" x14ac:dyDescent="0.35">
      <c r="B10" t="str">
        <f>IFERROR(INDEX(APlan!$F:$F,MATCH(1,INDEX((APlan!$L:$L=Form!$F$2)*(APlan!$H:$H=Form!$D10),0),
0)),"")</f>
        <v>MTS038</v>
      </c>
      <c r="C10" t="str">
        <f t="shared" si="0"/>
        <v>ZCB40100</v>
      </c>
      <c r="D10" t="str">
        <f>IFERROR(INDEX(APlan!$H:$H,MATCH(Form!$F10,APlan!$I:$I,0)),"")</f>
        <v>ZCB40100XSHIELLX03</v>
      </c>
      <c r="E10" s="6" t="s">
        <v>165</v>
      </c>
      <c r="F10" s="16" t="s">
        <v>149</v>
      </c>
      <c r="G10" s="16"/>
      <c r="H10" s="25">
        <v>46224</v>
      </c>
      <c r="I10" s="16">
        <v>50</v>
      </c>
      <c r="J10" s="17">
        <v>0.33333333333333331</v>
      </c>
      <c r="K10" s="17">
        <v>0.66666666666666663</v>
      </c>
      <c r="L10" s="16"/>
      <c r="M10" s="16"/>
      <c r="N10" s="16"/>
      <c r="O10" s="16"/>
      <c r="P10" s="9">
        <f t="shared" si="1"/>
        <v>480</v>
      </c>
      <c r="Q10" s="7" t="str">
        <f>IFERROR(VLOOKUP($C10,DProduct!$D:$E,2,FALSE),"")</f>
        <v/>
      </c>
    </row>
    <row r="11" spans="1:17" x14ac:dyDescent="0.35">
      <c r="B11" t="str">
        <f>IFERROR(INDEX(APlan!$F:$F,MATCH(1,INDEX((APlan!$L:$L=Form!$F$2)*(APlan!$H:$H=Form!$D11),0),
0)),"")</f>
        <v/>
      </c>
      <c r="C11" t="str">
        <f t="shared" si="0"/>
        <v/>
      </c>
      <c r="D11" t="str">
        <f>IFERROR(INDEX(APlan!$H:$H,MATCH(Form!$F11,APlan!$I:$I,0)),"")</f>
        <v/>
      </c>
      <c r="E11" s="6" t="s">
        <v>166</v>
      </c>
      <c r="F11" s="16"/>
      <c r="G11" s="16"/>
      <c r="H11" s="16"/>
      <c r="I11" s="16"/>
      <c r="J11" s="17">
        <v>0.625</v>
      </c>
      <c r="K11" s="17">
        <v>0.6875</v>
      </c>
      <c r="L11" s="16"/>
      <c r="M11" s="16"/>
      <c r="N11" s="16"/>
      <c r="O11" s="16"/>
      <c r="P11" s="9">
        <f t="shared" si="1"/>
        <v>90</v>
      </c>
      <c r="Q11" s="7" t="str">
        <f>IFERROR(VLOOKUP($C11,DProduct!$D:$E,2,FALSE),"")</f>
        <v/>
      </c>
    </row>
    <row r="12" spans="1:17" x14ac:dyDescent="0.35">
      <c r="B12" t="str">
        <f>IFERROR(INDEX(APlan!$F:$F,MATCH(1,INDEX((APlan!$L:$L=Form!$F$2)*(APlan!$H:$H=Form!$D12),0),
0)),"")</f>
        <v/>
      </c>
      <c r="C12" t="str">
        <f t="shared" si="0"/>
        <v/>
      </c>
      <c r="D12" t="str">
        <f>IFERROR(INDEX(APlan!$H:$H,MATCH(Form!$F12,APlan!$I:$I,0)),"")</f>
        <v/>
      </c>
      <c r="E12" s="6" t="s">
        <v>167</v>
      </c>
      <c r="F12" s="16"/>
      <c r="G12" s="16"/>
      <c r="H12" s="16"/>
      <c r="I12" s="16"/>
      <c r="J12" s="17"/>
      <c r="K12" s="17"/>
      <c r="L12" s="16"/>
      <c r="M12" s="16"/>
      <c r="N12" s="16"/>
      <c r="O12" s="16"/>
      <c r="P12" s="9">
        <f t="shared" si="1"/>
        <v>0</v>
      </c>
      <c r="Q12" s="7" t="str">
        <f>IFERROR(VLOOKUP($C12,DProduct!$D:$E,2,FALSE),"")</f>
        <v/>
      </c>
    </row>
    <row r="13" spans="1:17" x14ac:dyDescent="0.35">
      <c r="B13" t="str">
        <f>IFERROR(INDEX(APlan!$F:$F,MATCH(1,INDEX((APlan!$L:$L=Form!$F$2)*(APlan!$H:$H=Form!$D13),0),
0)),"")</f>
        <v>MTS038</v>
      </c>
      <c r="C13" t="str">
        <f t="shared" si="0"/>
        <v>ZCB40100</v>
      </c>
      <c r="D13" t="str">
        <f>IFERROR(INDEX(APlan!$H:$H,MATCH(Form!$F13,APlan!$I:$I,0)),"")</f>
        <v>ZCB40100XSHIELLX03</v>
      </c>
      <c r="E13" s="6" t="s">
        <v>168</v>
      </c>
      <c r="F13" s="16" t="s">
        <v>149</v>
      </c>
      <c r="G13" s="16"/>
      <c r="H13" s="16"/>
      <c r="I13" s="16">
        <v>50</v>
      </c>
      <c r="J13" s="17">
        <v>0.33333333333333331</v>
      </c>
      <c r="K13" s="17">
        <v>0.66666666666666663</v>
      </c>
      <c r="L13" s="16"/>
      <c r="M13" s="16"/>
      <c r="N13" s="16"/>
      <c r="O13" s="16"/>
      <c r="P13" s="9">
        <f t="shared" si="1"/>
        <v>480</v>
      </c>
      <c r="Q13" s="7" t="str">
        <f>IFERROR(VLOOKUP($C13,DProduct!$D:$E,2,FALSE),"")</f>
        <v/>
      </c>
    </row>
    <row r="14" spans="1:17" x14ac:dyDescent="0.35">
      <c r="B14" t="str">
        <f>IFERROR(INDEX(APlan!$F:$F,MATCH(1,INDEX((APlan!$L:$L=Form!$F$2)*(APlan!$H:$H=Form!$D14),0),
0)),"")</f>
        <v/>
      </c>
      <c r="C14" t="str">
        <f t="shared" si="0"/>
        <v/>
      </c>
      <c r="D14" t="str">
        <f>IFERROR(INDEX(APlan!$H:$H,MATCH(Form!$F14,APlan!$I:$I,0)),"")</f>
        <v/>
      </c>
      <c r="E14" s="6" t="s">
        <v>169</v>
      </c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9">
        <f t="shared" si="1"/>
        <v>0</v>
      </c>
      <c r="Q14" s="7" t="str">
        <f>IFERROR(VLOOKUP($C14,DProduct!$D:$E,2,FALSE),"")</f>
        <v/>
      </c>
    </row>
    <row r="15" spans="1:17" x14ac:dyDescent="0.35">
      <c r="B15" t="str">
        <f>IFERROR(INDEX(APlan!$F:$F,MATCH(1,INDEX((APlan!$L:$L=Form!$F$2)*(APlan!$H:$H=Form!$D15),0),
0)),"")</f>
        <v/>
      </c>
      <c r="C15" t="str">
        <f t="shared" si="0"/>
        <v/>
      </c>
      <c r="D15" t="str">
        <f>IFERROR(INDEX(APlan!$H:$H,MATCH(Form!$F15,APlan!$I:$I,0)),"")</f>
        <v/>
      </c>
      <c r="E15" s="6" t="s">
        <v>170</v>
      </c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9">
        <f t="shared" si="1"/>
        <v>0</v>
      </c>
      <c r="Q15" s="7" t="str">
        <f>IFERROR(VLOOKUP($C15,DProduct!$D:$E,2,FALSE),"")</f>
        <v/>
      </c>
    </row>
    <row r="16" spans="1:17" x14ac:dyDescent="0.35">
      <c r="B16" t="str">
        <f>IFERROR(INDEX(APlan!$F:$F,MATCH(1,INDEX((APlan!$L:$L=Form!$F$2)*(APlan!$H:$H=Form!$D16),0),
0)),"")</f>
        <v/>
      </c>
      <c r="C16" t="str">
        <f t="shared" si="0"/>
        <v/>
      </c>
      <c r="D16" t="str">
        <f>IFERROR(INDEX(APlan!$H:$H,MATCH(Form!$F16,APlan!$I:$I,0)),"")</f>
        <v/>
      </c>
      <c r="E16" s="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9">
        <f t="shared" si="1"/>
        <v>0</v>
      </c>
      <c r="Q16" s="7" t="str">
        <f>IFERROR(VLOOKUP($C16,DProduct!$D:$E,2,FALSE),"")</f>
        <v/>
      </c>
    </row>
    <row r="17" spans="2:17" x14ac:dyDescent="0.35">
      <c r="B17" t="str">
        <f>IFERROR(INDEX(APlan!$F:$F,MATCH(1,INDEX((APlan!$L:$L=Form!$F$2)*(APlan!$H:$H=Form!$D17),0),
0)),"")</f>
        <v/>
      </c>
      <c r="C17" t="str">
        <f t="shared" si="0"/>
        <v/>
      </c>
      <c r="D17" t="str">
        <f>IFERROR(INDEX(APlan!$H:$H,MATCH(Form!$F17,APlan!$I:$I,0)),"")</f>
        <v/>
      </c>
      <c r="E17" s="6"/>
      <c r="F17" s="16"/>
      <c r="G17" s="16"/>
      <c r="H17" s="25">
        <v>46218</v>
      </c>
      <c r="I17" s="16"/>
      <c r="J17" s="17">
        <v>0.41666666666666669</v>
      </c>
      <c r="K17" s="17">
        <v>0.5</v>
      </c>
      <c r="L17" s="16"/>
      <c r="M17" s="16"/>
      <c r="N17" s="16"/>
      <c r="O17" s="16"/>
      <c r="P17" s="9">
        <f t="shared" si="1"/>
        <v>119.99999999999997</v>
      </c>
      <c r="Q17" s="7" t="str">
        <f>IFERROR(VLOOKUP($C17,DProduct!$D:$E,2,FALSE),"")</f>
        <v/>
      </c>
    </row>
    <row r="19" spans="2:17" x14ac:dyDescent="0.35">
      <c r="E19" s="11" t="s">
        <v>196</v>
      </c>
    </row>
    <row r="20" spans="2:17" x14ac:dyDescent="0.35">
      <c r="E20" s="22" t="s">
        <v>4844</v>
      </c>
      <c r="F20" t="s">
        <v>4827</v>
      </c>
      <c r="K20" s="26"/>
    </row>
    <row r="21" spans="2:17" x14ac:dyDescent="0.35">
      <c r="F21" s="11" t="s">
        <v>4826</v>
      </c>
    </row>
    <row r="22" spans="2:17" x14ac:dyDescent="0.35">
      <c r="E22" s="11"/>
      <c r="F22" t="s">
        <v>4828</v>
      </c>
    </row>
    <row r="23" spans="2:17" x14ac:dyDescent="0.35">
      <c r="E23" s="11"/>
      <c r="F23" t="s">
        <v>4829</v>
      </c>
    </row>
    <row r="24" spans="2:17" x14ac:dyDescent="0.35">
      <c r="E24" s="11"/>
      <c r="F24" t="s">
        <v>4830</v>
      </c>
      <c r="K24" s="26"/>
    </row>
    <row r="25" spans="2:17" x14ac:dyDescent="0.35">
      <c r="F25" t="s">
        <v>4831</v>
      </c>
    </row>
    <row r="26" spans="2:17" x14ac:dyDescent="0.35">
      <c r="K26" s="26"/>
    </row>
    <row r="27" spans="2:17" x14ac:dyDescent="0.35">
      <c r="F27" t="s">
        <v>4832</v>
      </c>
      <c r="I27" s="28"/>
    </row>
    <row r="29" spans="2:17" x14ac:dyDescent="0.35">
      <c r="E29" s="16" t="s">
        <v>4845</v>
      </c>
    </row>
    <row r="30" spans="2:17" x14ac:dyDescent="0.35">
      <c r="E30" t="s">
        <v>4835</v>
      </c>
      <c r="F30" t="s">
        <v>4827</v>
      </c>
    </row>
    <row r="31" spans="2:17" x14ac:dyDescent="0.35">
      <c r="F31" t="s">
        <v>4833</v>
      </c>
    </row>
    <row r="32" spans="2:17" x14ac:dyDescent="0.35">
      <c r="F32" t="s">
        <v>4830</v>
      </c>
    </row>
    <row r="33" spans="5:6" x14ac:dyDescent="0.35">
      <c r="F33" t="s">
        <v>4834</v>
      </c>
    </row>
    <row r="34" spans="5:6" x14ac:dyDescent="0.35">
      <c r="F34" t="s">
        <v>4843</v>
      </c>
    </row>
    <row r="35" spans="5:6" x14ac:dyDescent="0.35">
      <c r="E35" t="s">
        <v>4836</v>
      </c>
    </row>
    <row r="36" spans="5:6" x14ac:dyDescent="0.35">
      <c r="F36" t="s">
        <v>4838</v>
      </c>
    </row>
    <row r="37" spans="5:6" x14ac:dyDescent="0.35">
      <c r="F37" t="s">
        <v>4839</v>
      </c>
    </row>
    <row r="38" spans="5:6" x14ac:dyDescent="0.35">
      <c r="F38" t="s">
        <v>4837</v>
      </c>
    </row>
    <row r="39" spans="5:6" x14ac:dyDescent="0.35">
      <c r="F39" t="s">
        <v>4840</v>
      </c>
    </row>
    <row r="40" spans="5:6" x14ac:dyDescent="0.35">
      <c r="F40" t="s">
        <v>4842</v>
      </c>
    </row>
    <row r="41" spans="5:6" x14ac:dyDescent="0.35">
      <c r="F41" t="s">
        <v>4841</v>
      </c>
    </row>
    <row r="43" spans="5:6" x14ac:dyDescent="0.35">
      <c r="E43" s="16" t="s">
        <v>4850</v>
      </c>
      <c r="F43" t="s">
        <v>4846</v>
      </c>
    </row>
    <row r="44" spans="5:6" x14ac:dyDescent="0.35">
      <c r="F44" t="s">
        <v>4847</v>
      </c>
    </row>
    <row r="45" spans="5:6" x14ac:dyDescent="0.35">
      <c r="F45" t="s">
        <v>4848</v>
      </c>
    </row>
    <row r="46" spans="5:6" x14ac:dyDescent="0.35">
      <c r="F46" t="s">
        <v>4849</v>
      </c>
    </row>
    <row r="49" spans="5:6" x14ac:dyDescent="0.35">
      <c r="E49" s="12" t="s">
        <v>197</v>
      </c>
    </row>
    <row r="50" spans="5:6" x14ac:dyDescent="0.35">
      <c r="E50" s="16" t="s">
        <v>4851</v>
      </c>
      <c r="F50" t="s">
        <v>4852</v>
      </c>
    </row>
    <row r="51" spans="5:6" x14ac:dyDescent="0.35">
      <c r="F51" t="s">
        <v>4853</v>
      </c>
    </row>
    <row r="52" spans="5:6" x14ac:dyDescent="0.35">
      <c r="F52" t="s">
        <v>4854</v>
      </c>
    </row>
    <row r="54" spans="5:6" x14ac:dyDescent="0.35">
      <c r="E54" s="16" t="s">
        <v>4855</v>
      </c>
      <c r="F54" t="s">
        <v>4835</v>
      </c>
    </row>
    <row r="55" spans="5:6" x14ac:dyDescent="0.35">
      <c r="F55" t="s">
        <v>4856</v>
      </c>
    </row>
    <row r="57" spans="5:6" x14ac:dyDescent="0.35">
      <c r="E57" s="16" t="s">
        <v>4857</v>
      </c>
      <c r="F57" t="s">
        <v>4858</v>
      </c>
    </row>
    <row r="59" spans="5:6" x14ac:dyDescent="0.35">
      <c r="E59" s="16" t="s">
        <v>4859</v>
      </c>
      <c r="F59" t="s">
        <v>4860</v>
      </c>
    </row>
    <row r="61" spans="5:6" x14ac:dyDescent="0.35">
      <c r="E61" s="16" t="s">
        <v>4861</v>
      </c>
      <c r="F61" t="s">
        <v>4862</v>
      </c>
    </row>
    <row r="63" spans="5:6" x14ac:dyDescent="0.35">
      <c r="E63" s="16" t="s">
        <v>4863</v>
      </c>
    </row>
    <row r="65" spans="5:21" x14ac:dyDescent="0.35">
      <c r="E65" s="10" t="s">
        <v>195</v>
      </c>
    </row>
    <row r="66" spans="5:21" x14ac:dyDescent="0.35">
      <c r="J66" t="s">
        <v>4864</v>
      </c>
    </row>
    <row r="67" spans="5:21" x14ac:dyDescent="0.35">
      <c r="E67" s="20" t="s">
        <v>194</v>
      </c>
      <c r="F67" s="20" t="s">
        <v>172</v>
      </c>
      <c r="G67" s="20" t="s">
        <v>4813</v>
      </c>
      <c r="H67" s="20" t="s">
        <v>4814</v>
      </c>
      <c r="I67" s="20" t="s">
        <v>4824</v>
      </c>
      <c r="J67" s="20" t="s">
        <v>4815</v>
      </c>
      <c r="K67" s="20" t="s">
        <v>4816</v>
      </c>
      <c r="L67" s="20" t="s">
        <v>4817</v>
      </c>
      <c r="M67" s="20" t="s">
        <v>4818</v>
      </c>
      <c r="N67" s="20" t="s">
        <v>4819</v>
      </c>
      <c r="O67" s="20" t="s">
        <v>4820</v>
      </c>
      <c r="P67" s="20" t="s">
        <v>4821</v>
      </c>
      <c r="Q67" s="20" t="s">
        <v>4822</v>
      </c>
      <c r="R67" s="20" t="s">
        <v>4823</v>
      </c>
      <c r="S67" s="21" t="s">
        <v>4825</v>
      </c>
      <c r="T67" s="8"/>
      <c r="U67" s="8"/>
    </row>
    <row r="68" spans="5:21" x14ac:dyDescent="0.35">
      <c r="E68" s="5" t="s">
        <v>661</v>
      </c>
      <c r="F68" t="str">
        <f>IFERROR(INDEX(ACuring!$D:$D,MATCH(Form!$E68,ACuring!$I:$I,0)),"")</f>
        <v>ก/บ คอนกรีตSCG จีโอสไตล์ สีลิกไนต์ เกรย์</v>
      </c>
      <c r="G68" s="18">
        <v>5000</v>
      </c>
      <c r="H68" s="18">
        <v>4950</v>
      </c>
      <c r="I68" s="19">
        <f>SUM(J68:R68)/G68</f>
        <v>8.0000000000000002E-3</v>
      </c>
      <c r="J68" s="18"/>
      <c r="K68" s="18"/>
      <c r="L68" s="18">
        <v>10</v>
      </c>
      <c r="M68" s="18"/>
      <c r="N68" s="18"/>
      <c r="O68" s="18"/>
      <c r="P68" s="18">
        <v>30</v>
      </c>
      <c r="Q68" s="18"/>
      <c r="R68" s="18"/>
      <c r="S68" s="9">
        <f>G68-(SUM(J68:R68)+H68)</f>
        <v>10</v>
      </c>
      <c r="T68" s="8"/>
      <c r="U68" s="8"/>
    </row>
    <row r="69" spans="5:21" x14ac:dyDescent="0.35">
      <c r="E69" s="5" t="s">
        <v>2058</v>
      </c>
      <c r="F69" t="str">
        <f>IFERROR(INDEX(ACuring!$D:$D,MATCH(Form!$E69,ACuring!$I:$I,0)),"")</f>
        <v>กระเบื้องเพรสทีจ ช็อคโก้ บราวน์</v>
      </c>
      <c r="G69" s="18"/>
      <c r="H69" s="18"/>
      <c r="I69" s="19"/>
      <c r="J69" s="18"/>
      <c r="K69" s="18"/>
      <c r="L69" s="18"/>
      <c r="M69" s="18"/>
      <c r="N69" s="18"/>
      <c r="O69" s="18"/>
      <c r="P69" s="18"/>
      <c r="Q69" s="18"/>
      <c r="R69" s="18"/>
      <c r="S69" s="9"/>
      <c r="T69" s="8"/>
      <c r="U69" s="8"/>
    </row>
    <row r="70" spans="5:21" x14ac:dyDescent="0.35">
      <c r="E70" s="5"/>
      <c r="F70" t="str">
        <f>IFERROR(INDEX(ACuring!$D:$D,MATCH(Form!$E70,ACuring!$I:$I,0)),"")</f>
        <v/>
      </c>
      <c r="G70" s="18"/>
      <c r="H70" s="18"/>
      <c r="I70" s="19"/>
      <c r="J70" s="18"/>
      <c r="K70" s="18"/>
      <c r="L70" s="18"/>
      <c r="M70" s="18"/>
      <c r="N70" s="18"/>
      <c r="O70" s="18"/>
      <c r="P70" s="18"/>
      <c r="Q70" s="18"/>
      <c r="R70" s="18"/>
      <c r="S70" s="9"/>
      <c r="T70" s="8"/>
      <c r="U70" s="8"/>
    </row>
    <row r="71" spans="5:21" x14ac:dyDescent="0.35">
      <c r="E71" s="5"/>
      <c r="F71" t="str">
        <f>IFERROR(INDEX(ACuring!$D:$D,MATCH(Form!$E71,ACuring!$I:$I,0)),"")</f>
        <v/>
      </c>
      <c r="G71" s="18"/>
      <c r="H71" s="18"/>
      <c r="I71" s="19"/>
      <c r="J71" s="18"/>
      <c r="K71" s="18"/>
      <c r="L71" s="18"/>
      <c r="M71" s="18"/>
      <c r="N71" s="18"/>
      <c r="O71" s="18"/>
      <c r="P71" s="18"/>
      <c r="Q71" s="18"/>
      <c r="R71" s="18"/>
      <c r="S71" s="9"/>
      <c r="T71" s="8"/>
      <c r="U71" s="8"/>
    </row>
    <row r="72" spans="5:21" x14ac:dyDescent="0.35">
      <c r="E72" s="5"/>
      <c r="F72" t="str">
        <f>IFERROR(INDEX(ACuring!$D:$D,MATCH(Form!$E72,ACuring!$I:$I,0)),"")</f>
        <v/>
      </c>
      <c r="G72" s="18"/>
      <c r="H72" s="18"/>
      <c r="I72" s="19"/>
      <c r="J72" s="18"/>
      <c r="K72" s="18"/>
      <c r="L72" s="18"/>
      <c r="M72" s="18"/>
      <c r="N72" s="18"/>
      <c r="O72" s="18"/>
      <c r="P72" s="18"/>
      <c r="Q72" s="18"/>
      <c r="R72" s="18"/>
      <c r="S72" s="9"/>
      <c r="T72" s="8"/>
      <c r="U72" s="8"/>
    </row>
    <row r="73" spans="5:21" x14ac:dyDescent="0.35">
      <c r="E73" s="5"/>
      <c r="F73" t="str">
        <f>IFERROR(INDEX(ACuring!$D:$D,MATCH(Form!$E73,ACuring!$I:$I,0)),"")</f>
        <v/>
      </c>
      <c r="G73" s="18"/>
      <c r="H73" s="18"/>
      <c r="I73" s="19"/>
      <c r="J73" s="18"/>
      <c r="K73" s="18"/>
      <c r="L73" s="18"/>
      <c r="M73" s="18"/>
      <c r="N73" s="18"/>
      <c r="O73" s="18"/>
      <c r="P73" s="18"/>
      <c r="Q73" s="18"/>
      <c r="R73" s="18"/>
      <c r="S73" s="9"/>
      <c r="T73" s="8"/>
      <c r="U73" s="8"/>
    </row>
    <row r="74" spans="5:21" x14ac:dyDescent="0.35">
      <c r="E74" s="5"/>
      <c r="F74" t="str">
        <f>IFERROR(INDEX(ACuring!$D:$D,MATCH(Form!$E74,ACuring!$I:$I,0)),"")</f>
        <v/>
      </c>
      <c r="G74" s="18"/>
      <c r="H74" s="18"/>
      <c r="I74" s="19"/>
      <c r="J74" s="18"/>
      <c r="K74" s="18"/>
      <c r="L74" s="18"/>
      <c r="M74" s="18"/>
      <c r="N74" s="18"/>
      <c r="O74" s="18"/>
      <c r="P74" s="18"/>
      <c r="Q74" s="18"/>
      <c r="R74" s="18"/>
      <c r="S74" s="9"/>
      <c r="T74" s="8"/>
      <c r="U74" s="8"/>
    </row>
    <row r="75" spans="5:21" x14ac:dyDescent="0.35">
      <c r="E75" s="5"/>
      <c r="F75" t="str">
        <f>IFERROR(INDEX(ACuring!$D:$D,MATCH(Form!$E75,ACuring!$I:$I,0)),"")</f>
        <v/>
      </c>
      <c r="G75" s="18"/>
      <c r="H75" s="18"/>
      <c r="I75" s="19"/>
      <c r="J75" s="18"/>
      <c r="K75" s="18"/>
      <c r="L75" s="18"/>
      <c r="M75" s="18"/>
      <c r="N75" s="18"/>
      <c r="O75" s="18"/>
      <c r="P75" s="18"/>
      <c r="Q75" s="18"/>
      <c r="R75" s="18"/>
      <c r="S75" s="9"/>
      <c r="T75" s="8"/>
      <c r="U75" s="8"/>
    </row>
    <row r="76" spans="5:21" x14ac:dyDescent="0.35">
      <c r="E76" s="5"/>
      <c r="F76" t="str">
        <f>IFERROR(INDEX(ACuring!$D:$D,MATCH(Form!$E76,ACuring!$I:$I,0)),"")</f>
        <v/>
      </c>
      <c r="G76" s="18"/>
      <c r="H76" s="18"/>
      <c r="I76" s="19"/>
      <c r="J76" s="18"/>
      <c r="K76" s="18"/>
      <c r="L76" s="18"/>
      <c r="M76" s="18"/>
      <c r="N76" s="18"/>
      <c r="O76" s="18"/>
      <c r="P76" s="18"/>
      <c r="Q76" s="18"/>
      <c r="R76" s="18"/>
      <c r="S76" s="9"/>
      <c r="T76" s="8"/>
      <c r="U76" s="8"/>
    </row>
    <row r="77" spans="5:21" x14ac:dyDescent="0.35">
      <c r="E77" s="5"/>
      <c r="F77" t="str">
        <f>IFERROR(INDEX(ACuring!$D:$D,MATCH(Form!$E77,ACuring!$I:$I,0)),"")</f>
        <v/>
      </c>
      <c r="G77" s="18"/>
      <c r="H77" s="18"/>
      <c r="I77" s="19"/>
      <c r="J77" s="18"/>
      <c r="K77" s="18"/>
      <c r="L77" s="18"/>
      <c r="M77" s="18"/>
      <c r="N77" s="18"/>
      <c r="O77" s="18"/>
      <c r="P77" s="18"/>
      <c r="Q77" s="18"/>
      <c r="R77" s="18"/>
      <c r="S77" s="9"/>
      <c r="T77" s="8"/>
      <c r="U77" s="8"/>
    </row>
  </sheetData>
  <dataConsolidate/>
  <dataValidations count="2">
    <dataValidation type="list" operator="equal" allowBlank="1" showInputMessage="1" showErrorMessage="1" sqref="F2" xr:uid="{DDD75BB4-DFAE-437E-8AAC-75AB6F502E58}">
      <formula1>Calendar_Plan</formula1>
    </dataValidation>
    <dataValidation type="list" allowBlank="1" showInputMessage="1" showErrorMessage="1" sqref="F8:F17" xr:uid="{3A87FDEF-4BBB-4389-B056-815CA864C5A9}">
      <formula1>Product_Plan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ow_Form1.Show_Form1">
                <anchor moveWithCells="1" sizeWithCells="1">
                  <from>
                    <xdr:col>12</xdr:col>
                    <xdr:colOff>107950</xdr:colOff>
                    <xdr:row>7</xdr:row>
                    <xdr:rowOff>6350</xdr:rowOff>
                  </from>
                  <to>
                    <xdr:col>12</xdr:col>
                    <xdr:colOff>850900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ow_Form2.Show_Form2">
                <anchor moveWithCells="1" sizeWithCells="1">
                  <from>
                    <xdr:col>9</xdr:col>
                    <xdr:colOff>850900</xdr:colOff>
                    <xdr:row>21</xdr:row>
                    <xdr:rowOff>31750</xdr:rowOff>
                  </from>
                  <to>
                    <xdr:col>10</xdr:col>
                    <xdr:colOff>844550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CE3873-AA0E-40C7-9D7B-C83DB804651A}">
          <x14:formula1>
            <xm:f>DProduct!$A$1:$A$6</xm:f>
          </x14:formula1>
          <xm:sqref>F3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26BDB-FB36-433D-9B82-9583B21C4625}">
  <sheetPr codeName="Sheet6"/>
  <dimension ref="A1:I27"/>
  <sheetViews>
    <sheetView workbookViewId="0">
      <selection activeCell="F8" sqref="F8"/>
    </sheetView>
  </sheetViews>
  <sheetFormatPr defaultRowHeight="14.5" x14ac:dyDescent="0.35"/>
  <cols>
    <col min="1" max="1" width="19.453125" customWidth="1"/>
    <col min="2" max="5" width="15.1796875" customWidth="1"/>
    <col min="6" max="6" width="16.54296875" customWidth="1"/>
    <col min="7" max="7" width="20.7265625" customWidth="1"/>
    <col min="8" max="8" width="18.26953125" customWidth="1"/>
    <col min="9" max="9" width="18.54296875" customWidth="1"/>
  </cols>
  <sheetData>
    <row r="1" spans="1:9" x14ac:dyDescent="0.35">
      <c r="A1" t="s">
        <v>4894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35">
      <c r="A2" t="s">
        <v>4881</v>
      </c>
      <c r="B2" s="6" t="s">
        <v>4882</v>
      </c>
      <c r="C2" s="6" t="s">
        <v>4883</v>
      </c>
      <c r="D2" s="6" t="s">
        <v>4884</v>
      </c>
      <c r="E2" s="6" t="s">
        <v>4885</v>
      </c>
      <c r="F2" s="6" t="s">
        <v>4888</v>
      </c>
      <c r="G2" s="6" t="s">
        <v>4886</v>
      </c>
      <c r="H2" s="6" t="s">
        <v>4887</v>
      </c>
      <c r="I2" s="6" t="s">
        <v>4889</v>
      </c>
    </row>
    <row r="3" spans="1:9" x14ac:dyDescent="0.35">
      <c r="A3" t="s">
        <v>163</v>
      </c>
      <c r="B3">
        <v>20</v>
      </c>
      <c r="I3" t="s">
        <v>4890</v>
      </c>
    </row>
    <row r="4" spans="1:9" x14ac:dyDescent="0.35">
      <c r="A4" t="s">
        <v>164</v>
      </c>
      <c r="D4">
        <v>30</v>
      </c>
      <c r="I4" t="s">
        <v>4891</v>
      </c>
    </row>
    <row r="5" spans="1:9" x14ac:dyDescent="0.35">
      <c r="A5" t="s">
        <v>165</v>
      </c>
      <c r="D5">
        <v>10</v>
      </c>
      <c r="I5" t="s">
        <v>4892</v>
      </c>
    </row>
    <row r="7" spans="1:9" x14ac:dyDescent="0.35">
      <c r="A7" t="s">
        <v>4893</v>
      </c>
      <c r="B7">
        <f>SUM(B3:B5)</f>
        <v>20</v>
      </c>
      <c r="C7">
        <f t="shared" ref="C7:H7" si="0">SUM(C3:C5)</f>
        <v>0</v>
      </c>
      <c r="D7">
        <f t="shared" si="0"/>
        <v>40</v>
      </c>
      <c r="E7">
        <f t="shared" si="0"/>
        <v>0</v>
      </c>
      <c r="F7">
        <f t="shared" si="0"/>
        <v>0</v>
      </c>
      <c r="G7">
        <f t="shared" si="0"/>
        <v>0</v>
      </c>
      <c r="H7">
        <f t="shared" si="0"/>
        <v>0</v>
      </c>
      <c r="I7" s="16"/>
    </row>
    <row r="9" spans="1:9" x14ac:dyDescent="0.35">
      <c r="A9" s="16" t="s">
        <v>163</v>
      </c>
      <c r="B9" s="24">
        <v>0.33333333333333331</v>
      </c>
      <c r="C9" s="24">
        <v>0.34027777777777773</v>
      </c>
      <c r="D9" s="16" t="s">
        <v>4895</v>
      </c>
      <c r="E9" s="16" t="s">
        <v>4896</v>
      </c>
    </row>
    <row r="13" spans="1:9" x14ac:dyDescent="0.35">
      <c r="A13" t="s">
        <v>192</v>
      </c>
    </row>
    <row r="24" spans="1:3" x14ac:dyDescent="0.35">
      <c r="A24" t="s">
        <v>4897</v>
      </c>
      <c r="B24">
        <v>1</v>
      </c>
      <c r="C24" t="s">
        <v>4898</v>
      </c>
    </row>
    <row r="25" spans="1:3" x14ac:dyDescent="0.35">
      <c r="B25">
        <v>2</v>
      </c>
      <c r="C25" t="s">
        <v>4899</v>
      </c>
    </row>
    <row r="26" spans="1:3" x14ac:dyDescent="0.35">
      <c r="B26">
        <v>3</v>
      </c>
      <c r="C26" t="s">
        <v>4900</v>
      </c>
    </row>
    <row r="27" spans="1:3" x14ac:dyDescent="0.35">
      <c r="B27">
        <v>4</v>
      </c>
      <c r="C27" t="s">
        <v>4901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484E5-1A05-4183-9B74-09FD8456B12D}">
  <sheetPr codeName="Sheet1">
    <tabColor rgb="FF0070C0"/>
  </sheetPr>
  <dimension ref="A1:N158"/>
  <sheetViews>
    <sheetView topLeftCell="F49" workbookViewId="0">
      <selection activeCell="Q7" sqref="Q7"/>
    </sheetView>
  </sheetViews>
  <sheetFormatPr defaultRowHeight="14.5" x14ac:dyDescent="0.35"/>
  <cols>
    <col min="1" max="1" width="8.7265625" bestFit="1" customWidth="1"/>
    <col min="2" max="2" width="5.1796875" bestFit="1" customWidth="1"/>
    <col min="3" max="3" width="4.6328125" bestFit="1" customWidth="1"/>
    <col min="4" max="4" width="9.26953125" bestFit="1" customWidth="1"/>
    <col min="5" max="5" width="9.54296875" bestFit="1" customWidth="1"/>
    <col min="6" max="6" width="9.36328125" bestFit="1" customWidth="1"/>
    <col min="7" max="7" width="8" bestFit="1" customWidth="1"/>
    <col min="8" max="8" width="19.6328125" bestFit="1" customWidth="1"/>
    <col min="9" max="9" width="38.453125" bestFit="1" customWidth="1"/>
    <col min="10" max="10" width="10.453125" bestFit="1" customWidth="1"/>
    <col min="11" max="11" width="9.54296875" bestFit="1" customWidth="1"/>
    <col min="12" max="12" width="9" style="1" bestFit="1" customWidth="1"/>
    <col min="13" max="13" width="8.26953125" bestFit="1" customWidth="1"/>
    <col min="14" max="14" width="13.7265625" bestFit="1" customWidth="1"/>
  </cols>
  <sheetData>
    <row r="1" spans="1:14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1" t="s">
        <v>11</v>
      </c>
      <c r="M1" t="s">
        <v>12</v>
      </c>
      <c r="N1" t="s">
        <v>13</v>
      </c>
    </row>
    <row r="2" spans="1:14" x14ac:dyDescent="0.35">
      <c r="A2" t="s">
        <v>14</v>
      </c>
      <c r="B2" t="s">
        <v>15</v>
      </c>
      <c r="C2" t="s">
        <v>16</v>
      </c>
      <c r="D2" t="s">
        <v>117</v>
      </c>
      <c r="E2" t="s">
        <v>118</v>
      </c>
      <c r="F2" t="s">
        <v>24</v>
      </c>
      <c r="G2" t="s">
        <v>25</v>
      </c>
      <c r="H2" t="s">
        <v>34</v>
      </c>
      <c r="I2" t="s">
        <v>35</v>
      </c>
      <c r="J2">
        <v>2.3149999999999999</v>
      </c>
      <c r="K2">
        <v>600</v>
      </c>
      <c r="L2" s="1">
        <v>46174</v>
      </c>
      <c r="M2">
        <v>480</v>
      </c>
      <c r="N2" t="s">
        <v>19</v>
      </c>
    </row>
    <row r="3" spans="1:14" x14ac:dyDescent="0.35">
      <c r="A3" t="s">
        <v>14</v>
      </c>
      <c r="B3" t="s">
        <v>15</v>
      </c>
      <c r="C3" t="s">
        <v>16</v>
      </c>
      <c r="D3" t="s">
        <v>117</v>
      </c>
      <c r="E3" t="s">
        <v>118</v>
      </c>
      <c r="F3" t="s">
        <v>28</v>
      </c>
      <c r="G3" t="s">
        <v>25</v>
      </c>
      <c r="H3" t="s">
        <v>45</v>
      </c>
      <c r="I3" t="s">
        <v>46</v>
      </c>
      <c r="J3">
        <v>2.8</v>
      </c>
      <c r="K3">
        <v>2800</v>
      </c>
      <c r="L3" s="1">
        <v>46174</v>
      </c>
      <c r="M3">
        <v>480</v>
      </c>
      <c r="N3" t="s">
        <v>19</v>
      </c>
    </row>
    <row r="4" spans="1:14" x14ac:dyDescent="0.35">
      <c r="A4" t="s">
        <v>14</v>
      </c>
      <c r="B4" t="s">
        <v>15</v>
      </c>
      <c r="C4" t="s">
        <v>16</v>
      </c>
      <c r="D4" t="s">
        <v>117</v>
      </c>
      <c r="E4" t="s">
        <v>118</v>
      </c>
      <c r="F4" t="s">
        <v>31</v>
      </c>
      <c r="G4" t="s">
        <v>25</v>
      </c>
      <c r="H4" t="s">
        <v>69</v>
      </c>
      <c r="I4" t="s">
        <v>70</v>
      </c>
      <c r="J4">
        <v>0.1</v>
      </c>
      <c r="K4">
        <v>100</v>
      </c>
      <c r="L4" s="1">
        <v>46174</v>
      </c>
      <c r="M4">
        <v>215.64</v>
      </c>
      <c r="N4" t="s">
        <v>19</v>
      </c>
    </row>
    <row r="5" spans="1:14" x14ac:dyDescent="0.35">
      <c r="A5" t="s">
        <v>14</v>
      </c>
      <c r="B5" t="s">
        <v>15</v>
      </c>
      <c r="C5" t="s">
        <v>16</v>
      </c>
      <c r="D5" t="s">
        <v>117</v>
      </c>
      <c r="E5" t="s">
        <v>118</v>
      </c>
      <c r="F5" t="s">
        <v>32</v>
      </c>
      <c r="G5" t="s">
        <v>25</v>
      </c>
      <c r="H5" t="s">
        <v>51</v>
      </c>
      <c r="I5" t="s">
        <v>52</v>
      </c>
      <c r="J5">
        <v>5.6</v>
      </c>
      <c r="K5">
        <v>5600</v>
      </c>
      <c r="L5" s="1">
        <v>46174</v>
      </c>
      <c r="M5">
        <v>249.45</v>
      </c>
      <c r="N5" t="s">
        <v>19</v>
      </c>
    </row>
    <row r="6" spans="1:14" x14ac:dyDescent="0.35">
      <c r="A6" t="s">
        <v>14</v>
      </c>
      <c r="B6" t="s">
        <v>15</v>
      </c>
      <c r="C6" t="s">
        <v>16</v>
      </c>
      <c r="D6" t="s">
        <v>117</v>
      </c>
      <c r="E6" t="s">
        <v>118</v>
      </c>
      <c r="F6" t="s">
        <v>33</v>
      </c>
      <c r="G6" t="s">
        <v>25</v>
      </c>
      <c r="H6" t="s">
        <v>34</v>
      </c>
      <c r="I6" t="s">
        <v>35</v>
      </c>
      <c r="J6">
        <v>3.472</v>
      </c>
      <c r="K6">
        <v>900</v>
      </c>
      <c r="L6" s="1">
        <v>46175</v>
      </c>
      <c r="M6">
        <v>480</v>
      </c>
      <c r="N6" t="s">
        <v>19</v>
      </c>
    </row>
    <row r="7" spans="1:14" x14ac:dyDescent="0.35">
      <c r="A7" t="s">
        <v>14</v>
      </c>
      <c r="B7" t="s">
        <v>15</v>
      </c>
      <c r="C7" t="s">
        <v>16</v>
      </c>
      <c r="D7" t="s">
        <v>117</v>
      </c>
      <c r="E7" t="s">
        <v>118</v>
      </c>
      <c r="F7" t="s">
        <v>36</v>
      </c>
      <c r="G7" t="s">
        <v>25</v>
      </c>
      <c r="H7" t="s">
        <v>45</v>
      </c>
      <c r="I7" t="s">
        <v>46</v>
      </c>
      <c r="J7">
        <v>4</v>
      </c>
      <c r="K7">
        <v>4000</v>
      </c>
      <c r="L7" s="1">
        <v>46175</v>
      </c>
      <c r="M7">
        <v>480</v>
      </c>
      <c r="N7" t="s">
        <v>19</v>
      </c>
    </row>
    <row r="8" spans="1:14" x14ac:dyDescent="0.35">
      <c r="A8" t="s">
        <v>14</v>
      </c>
      <c r="B8" t="s">
        <v>15</v>
      </c>
      <c r="C8" t="s">
        <v>16</v>
      </c>
      <c r="D8" t="s">
        <v>117</v>
      </c>
      <c r="E8" t="s">
        <v>118</v>
      </c>
      <c r="F8" t="s">
        <v>39</v>
      </c>
      <c r="G8" t="s">
        <v>25</v>
      </c>
      <c r="H8" t="s">
        <v>51</v>
      </c>
      <c r="I8" t="s">
        <v>52</v>
      </c>
      <c r="J8">
        <v>8</v>
      </c>
      <c r="K8">
        <v>8000</v>
      </c>
      <c r="L8" s="1">
        <v>46175</v>
      </c>
      <c r="M8">
        <v>249.45</v>
      </c>
      <c r="N8" t="s">
        <v>19</v>
      </c>
    </row>
    <row r="9" spans="1:14" x14ac:dyDescent="0.35">
      <c r="A9" t="s">
        <v>14</v>
      </c>
      <c r="B9" t="s">
        <v>15</v>
      </c>
      <c r="C9" t="s">
        <v>16</v>
      </c>
      <c r="D9" t="s">
        <v>117</v>
      </c>
      <c r="E9" t="s">
        <v>118</v>
      </c>
      <c r="F9" t="s">
        <v>41</v>
      </c>
      <c r="G9" t="s">
        <v>25</v>
      </c>
      <c r="H9" t="s">
        <v>34</v>
      </c>
      <c r="I9" t="s">
        <v>35</v>
      </c>
      <c r="J9">
        <v>2.3149999999999999</v>
      </c>
      <c r="K9">
        <v>600</v>
      </c>
      <c r="L9" s="1">
        <v>46176</v>
      </c>
      <c r="M9">
        <v>480</v>
      </c>
      <c r="N9" t="s">
        <v>19</v>
      </c>
    </row>
    <row r="10" spans="1:14" x14ac:dyDescent="0.35">
      <c r="A10" t="s">
        <v>14</v>
      </c>
      <c r="B10" t="s">
        <v>15</v>
      </c>
      <c r="C10" t="s">
        <v>16</v>
      </c>
      <c r="D10" t="s">
        <v>117</v>
      </c>
      <c r="E10" t="s">
        <v>118</v>
      </c>
      <c r="F10" t="s">
        <v>42</v>
      </c>
      <c r="G10" t="s">
        <v>25</v>
      </c>
      <c r="H10" t="s">
        <v>45</v>
      </c>
      <c r="I10" t="s">
        <v>46</v>
      </c>
      <c r="J10">
        <v>2.8</v>
      </c>
      <c r="K10">
        <v>2800</v>
      </c>
      <c r="L10" s="1">
        <v>46176</v>
      </c>
      <c r="M10">
        <v>480</v>
      </c>
      <c r="N10" t="s">
        <v>19</v>
      </c>
    </row>
    <row r="11" spans="1:14" x14ac:dyDescent="0.35">
      <c r="A11" t="s">
        <v>14</v>
      </c>
      <c r="B11" t="s">
        <v>15</v>
      </c>
      <c r="C11" t="s">
        <v>16</v>
      </c>
      <c r="D11" t="s">
        <v>117</v>
      </c>
      <c r="E11" t="s">
        <v>118</v>
      </c>
      <c r="F11" t="s">
        <v>43</v>
      </c>
      <c r="G11" t="s">
        <v>25</v>
      </c>
      <c r="H11" t="s">
        <v>69</v>
      </c>
      <c r="I11" t="s">
        <v>70</v>
      </c>
      <c r="J11">
        <v>0.2</v>
      </c>
      <c r="K11">
        <v>200</v>
      </c>
      <c r="L11" s="1">
        <v>46176</v>
      </c>
      <c r="M11">
        <v>215.64</v>
      </c>
      <c r="N11" t="s">
        <v>19</v>
      </c>
    </row>
    <row r="12" spans="1:14" x14ac:dyDescent="0.35">
      <c r="A12" t="s">
        <v>14</v>
      </c>
      <c r="B12" t="s">
        <v>15</v>
      </c>
      <c r="C12" t="s">
        <v>16</v>
      </c>
      <c r="D12" t="s">
        <v>117</v>
      </c>
      <c r="E12" t="s">
        <v>118</v>
      </c>
      <c r="F12" t="s">
        <v>44</v>
      </c>
      <c r="G12" t="s">
        <v>25</v>
      </c>
      <c r="H12" t="s">
        <v>51</v>
      </c>
      <c r="I12" t="s">
        <v>52</v>
      </c>
      <c r="J12">
        <v>5.6</v>
      </c>
      <c r="K12">
        <v>5600</v>
      </c>
      <c r="L12" s="1">
        <v>46176</v>
      </c>
      <c r="M12">
        <v>249.45</v>
      </c>
      <c r="N12" t="s">
        <v>19</v>
      </c>
    </row>
    <row r="13" spans="1:14" x14ac:dyDescent="0.35">
      <c r="A13" t="s">
        <v>14</v>
      </c>
      <c r="B13" t="s">
        <v>15</v>
      </c>
      <c r="C13" t="s">
        <v>16</v>
      </c>
      <c r="D13" t="s">
        <v>117</v>
      </c>
      <c r="E13" t="s">
        <v>118</v>
      </c>
      <c r="F13" t="s">
        <v>47</v>
      </c>
      <c r="G13" t="s">
        <v>25</v>
      </c>
      <c r="H13" t="s">
        <v>34</v>
      </c>
      <c r="I13" t="s">
        <v>35</v>
      </c>
      <c r="J13">
        <v>3.472</v>
      </c>
      <c r="K13">
        <v>900</v>
      </c>
      <c r="L13" s="1">
        <v>46177</v>
      </c>
      <c r="M13">
        <v>480</v>
      </c>
      <c r="N13" t="s">
        <v>19</v>
      </c>
    </row>
    <row r="14" spans="1:14" x14ac:dyDescent="0.35">
      <c r="A14" t="s">
        <v>14</v>
      </c>
      <c r="B14" t="s">
        <v>15</v>
      </c>
      <c r="C14" t="s">
        <v>16</v>
      </c>
      <c r="D14" t="s">
        <v>117</v>
      </c>
      <c r="E14" t="s">
        <v>118</v>
      </c>
      <c r="F14" t="s">
        <v>50</v>
      </c>
      <c r="G14" t="s">
        <v>25</v>
      </c>
      <c r="H14" t="s">
        <v>71</v>
      </c>
      <c r="I14" t="s">
        <v>72</v>
      </c>
      <c r="J14">
        <v>2</v>
      </c>
      <c r="K14">
        <v>2000</v>
      </c>
      <c r="L14" s="1">
        <v>46177</v>
      </c>
      <c r="M14">
        <v>480</v>
      </c>
      <c r="N14" t="s">
        <v>19</v>
      </c>
    </row>
    <row r="15" spans="1:14" x14ac:dyDescent="0.35">
      <c r="A15" t="s">
        <v>14</v>
      </c>
      <c r="B15" t="s">
        <v>15</v>
      </c>
      <c r="C15" t="s">
        <v>16</v>
      </c>
      <c r="D15" t="s">
        <v>117</v>
      </c>
      <c r="E15" t="s">
        <v>118</v>
      </c>
      <c r="F15" t="s">
        <v>53</v>
      </c>
      <c r="G15" t="s">
        <v>25</v>
      </c>
      <c r="H15" t="s">
        <v>63</v>
      </c>
      <c r="I15" t="s">
        <v>64</v>
      </c>
      <c r="J15">
        <v>4</v>
      </c>
      <c r="K15">
        <v>4000</v>
      </c>
      <c r="L15" s="1">
        <v>46177</v>
      </c>
      <c r="M15">
        <v>249.45</v>
      </c>
      <c r="N15" t="s">
        <v>19</v>
      </c>
    </row>
    <row r="16" spans="1:14" x14ac:dyDescent="0.35">
      <c r="A16" t="s">
        <v>14</v>
      </c>
      <c r="B16" t="s">
        <v>15</v>
      </c>
      <c r="C16" t="s">
        <v>16</v>
      </c>
      <c r="D16" t="s">
        <v>117</v>
      </c>
      <c r="E16" t="s">
        <v>118</v>
      </c>
      <c r="F16" t="s">
        <v>54</v>
      </c>
      <c r="G16" t="s">
        <v>25</v>
      </c>
      <c r="H16" t="s">
        <v>59</v>
      </c>
      <c r="I16" t="s">
        <v>60</v>
      </c>
      <c r="J16">
        <v>2</v>
      </c>
      <c r="K16">
        <v>2000</v>
      </c>
      <c r="L16" s="1">
        <v>46178</v>
      </c>
      <c r="M16">
        <v>480</v>
      </c>
      <c r="N16" t="s">
        <v>19</v>
      </c>
    </row>
    <row r="17" spans="1:14" x14ac:dyDescent="0.35">
      <c r="A17" t="s">
        <v>14</v>
      </c>
      <c r="B17" t="s">
        <v>15</v>
      </c>
      <c r="C17" t="s">
        <v>16</v>
      </c>
      <c r="D17" t="s">
        <v>117</v>
      </c>
      <c r="E17" t="s">
        <v>118</v>
      </c>
      <c r="F17" t="s">
        <v>56</v>
      </c>
      <c r="G17" t="s">
        <v>25</v>
      </c>
      <c r="H17" t="s">
        <v>61</v>
      </c>
      <c r="I17" t="s">
        <v>62</v>
      </c>
      <c r="J17">
        <v>4</v>
      </c>
      <c r="K17">
        <v>4000</v>
      </c>
      <c r="L17" s="1">
        <v>46178</v>
      </c>
      <c r="M17">
        <v>249.45</v>
      </c>
      <c r="N17" t="s">
        <v>19</v>
      </c>
    </row>
    <row r="18" spans="1:14" x14ac:dyDescent="0.35">
      <c r="A18" t="s">
        <v>14</v>
      </c>
      <c r="B18" t="s">
        <v>15</v>
      </c>
      <c r="C18" t="s">
        <v>16</v>
      </c>
      <c r="D18" t="s">
        <v>117</v>
      </c>
      <c r="E18" t="s">
        <v>118</v>
      </c>
      <c r="F18" t="s">
        <v>85</v>
      </c>
      <c r="G18" t="s">
        <v>25</v>
      </c>
      <c r="H18" t="s">
        <v>71</v>
      </c>
      <c r="I18" t="s">
        <v>72</v>
      </c>
      <c r="J18">
        <v>2</v>
      </c>
      <c r="K18">
        <v>2000</v>
      </c>
      <c r="L18" s="1">
        <v>46178</v>
      </c>
      <c r="M18">
        <v>480</v>
      </c>
      <c r="N18" t="s">
        <v>19</v>
      </c>
    </row>
    <row r="19" spans="1:14" x14ac:dyDescent="0.35">
      <c r="A19" t="s">
        <v>14</v>
      </c>
      <c r="B19" t="s">
        <v>15</v>
      </c>
      <c r="C19" t="s">
        <v>16</v>
      </c>
      <c r="D19" t="s">
        <v>117</v>
      </c>
      <c r="E19" t="s">
        <v>118</v>
      </c>
      <c r="F19" t="s">
        <v>89</v>
      </c>
      <c r="G19" t="s">
        <v>25</v>
      </c>
      <c r="H19" t="s">
        <v>63</v>
      </c>
      <c r="I19" t="s">
        <v>64</v>
      </c>
      <c r="J19">
        <v>4</v>
      </c>
      <c r="K19">
        <v>4000</v>
      </c>
      <c r="L19" s="1">
        <v>46178</v>
      </c>
      <c r="M19">
        <v>249.45</v>
      </c>
      <c r="N19" t="s">
        <v>19</v>
      </c>
    </row>
    <row r="20" spans="1:14" x14ac:dyDescent="0.35">
      <c r="A20" t="s">
        <v>14</v>
      </c>
      <c r="B20" t="s">
        <v>15</v>
      </c>
      <c r="C20" t="s">
        <v>16</v>
      </c>
      <c r="D20" t="s">
        <v>120</v>
      </c>
      <c r="E20" t="s">
        <v>121</v>
      </c>
      <c r="F20" t="s">
        <v>23</v>
      </c>
      <c r="G20" t="s">
        <v>25</v>
      </c>
      <c r="H20" t="s">
        <v>122</v>
      </c>
      <c r="I20" t="s">
        <v>123</v>
      </c>
      <c r="J20">
        <v>0.2</v>
      </c>
      <c r="K20">
        <v>200</v>
      </c>
      <c r="L20" s="1">
        <v>46181</v>
      </c>
      <c r="M20">
        <v>215.64</v>
      </c>
      <c r="N20" t="s">
        <v>19</v>
      </c>
    </row>
    <row r="21" spans="1:14" x14ac:dyDescent="0.35">
      <c r="A21" t="s">
        <v>14</v>
      </c>
      <c r="B21" t="s">
        <v>15</v>
      </c>
      <c r="C21" t="s">
        <v>16</v>
      </c>
      <c r="D21" t="s">
        <v>120</v>
      </c>
      <c r="E21" t="s">
        <v>121</v>
      </c>
      <c r="F21" t="s">
        <v>24</v>
      </c>
      <c r="G21" t="s">
        <v>25</v>
      </c>
      <c r="H21" t="s">
        <v>63</v>
      </c>
      <c r="I21" t="s">
        <v>64</v>
      </c>
      <c r="J21">
        <v>6</v>
      </c>
      <c r="K21">
        <v>6000</v>
      </c>
      <c r="L21" s="1">
        <v>46181</v>
      </c>
      <c r="M21">
        <v>249.45</v>
      </c>
      <c r="N21" t="s">
        <v>19</v>
      </c>
    </row>
    <row r="22" spans="1:14" x14ac:dyDescent="0.35">
      <c r="A22" t="s">
        <v>14</v>
      </c>
      <c r="B22" t="s">
        <v>15</v>
      </c>
      <c r="C22" t="s">
        <v>16</v>
      </c>
      <c r="D22" t="s">
        <v>120</v>
      </c>
      <c r="E22" t="s">
        <v>121</v>
      </c>
      <c r="F22" t="s">
        <v>28</v>
      </c>
      <c r="G22" t="s">
        <v>25</v>
      </c>
      <c r="H22" t="s">
        <v>63</v>
      </c>
      <c r="I22" t="s">
        <v>64</v>
      </c>
      <c r="J22">
        <v>12</v>
      </c>
      <c r="K22">
        <v>12000</v>
      </c>
      <c r="L22" s="1">
        <v>46183</v>
      </c>
      <c r="M22">
        <v>249.45</v>
      </c>
      <c r="N22" t="s">
        <v>19</v>
      </c>
    </row>
    <row r="23" spans="1:14" x14ac:dyDescent="0.35">
      <c r="A23" t="s">
        <v>14</v>
      </c>
      <c r="B23" t="s">
        <v>15</v>
      </c>
      <c r="C23" t="s">
        <v>16</v>
      </c>
      <c r="D23" t="s">
        <v>120</v>
      </c>
      <c r="E23" t="s">
        <v>121</v>
      </c>
      <c r="F23" t="s">
        <v>31</v>
      </c>
      <c r="G23" t="s">
        <v>25</v>
      </c>
      <c r="H23" t="s">
        <v>45</v>
      </c>
      <c r="I23" t="s">
        <v>46</v>
      </c>
      <c r="J23">
        <v>4</v>
      </c>
      <c r="K23">
        <v>4000</v>
      </c>
      <c r="L23" s="1">
        <v>46184</v>
      </c>
      <c r="M23">
        <v>480</v>
      </c>
      <c r="N23" t="s">
        <v>19</v>
      </c>
    </row>
    <row r="24" spans="1:14" x14ac:dyDescent="0.35">
      <c r="A24" t="s">
        <v>14</v>
      </c>
      <c r="B24" t="s">
        <v>15</v>
      </c>
      <c r="C24" t="s">
        <v>16</v>
      </c>
      <c r="D24" t="s">
        <v>120</v>
      </c>
      <c r="E24" t="s">
        <v>121</v>
      </c>
      <c r="F24" t="s">
        <v>32</v>
      </c>
      <c r="G24" t="s">
        <v>25</v>
      </c>
      <c r="H24" t="s">
        <v>48</v>
      </c>
      <c r="I24" t="s">
        <v>49</v>
      </c>
      <c r="J24">
        <v>2</v>
      </c>
      <c r="K24">
        <v>2000</v>
      </c>
      <c r="L24" s="1">
        <v>46184</v>
      </c>
      <c r="M24">
        <v>360</v>
      </c>
      <c r="N24" t="s">
        <v>19</v>
      </c>
    </row>
    <row r="25" spans="1:14" x14ac:dyDescent="0.35">
      <c r="A25" t="s">
        <v>14</v>
      </c>
      <c r="B25" t="s">
        <v>15</v>
      </c>
      <c r="C25" t="s">
        <v>16</v>
      </c>
      <c r="D25" t="s">
        <v>120</v>
      </c>
      <c r="E25" t="s">
        <v>121</v>
      </c>
      <c r="F25" t="s">
        <v>33</v>
      </c>
      <c r="G25" t="s">
        <v>25</v>
      </c>
      <c r="H25" t="s">
        <v>69</v>
      </c>
      <c r="I25" t="s">
        <v>70</v>
      </c>
      <c r="J25">
        <v>0.2</v>
      </c>
      <c r="K25">
        <v>200</v>
      </c>
      <c r="L25" s="1">
        <v>46184</v>
      </c>
      <c r="M25">
        <v>215.64</v>
      </c>
      <c r="N25" t="s">
        <v>19</v>
      </c>
    </row>
    <row r="26" spans="1:14" x14ac:dyDescent="0.35">
      <c r="A26" t="s">
        <v>14</v>
      </c>
      <c r="B26" t="s">
        <v>15</v>
      </c>
      <c r="C26" t="s">
        <v>16</v>
      </c>
      <c r="D26" t="s">
        <v>120</v>
      </c>
      <c r="E26" t="s">
        <v>121</v>
      </c>
      <c r="F26" t="s">
        <v>36</v>
      </c>
      <c r="G26" t="s">
        <v>25</v>
      </c>
      <c r="H26" t="s">
        <v>51</v>
      </c>
      <c r="I26" t="s">
        <v>52</v>
      </c>
      <c r="J26">
        <v>6</v>
      </c>
      <c r="K26">
        <v>6000</v>
      </c>
      <c r="L26" s="1">
        <v>46184</v>
      </c>
      <c r="M26">
        <v>249.45</v>
      </c>
      <c r="N26" t="s">
        <v>19</v>
      </c>
    </row>
    <row r="27" spans="1:14" x14ac:dyDescent="0.35">
      <c r="A27" t="s">
        <v>14</v>
      </c>
      <c r="B27" t="s">
        <v>15</v>
      </c>
      <c r="C27" t="s">
        <v>16</v>
      </c>
      <c r="D27" t="s">
        <v>120</v>
      </c>
      <c r="E27" t="s">
        <v>121</v>
      </c>
      <c r="F27" t="s">
        <v>39</v>
      </c>
      <c r="G27" t="s">
        <v>25</v>
      </c>
      <c r="H27" t="s">
        <v>45</v>
      </c>
      <c r="I27" t="s">
        <v>46</v>
      </c>
      <c r="J27">
        <v>4</v>
      </c>
      <c r="K27">
        <v>4000</v>
      </c>
      <c r="L27" s="1">
        <v>46185</v>
      </c>
      <c r="M27">
        <v>480</v>
      </c>
      <c r="N27" t="s">
        <v>19</v>
      </c>
    </row>
    <row r="28" spans="1:14" x14ac:dyDescent="0.35">
      <c r="A28" t="s">
        <v>14</v>
      </c>
      <c r="B28" t="s">
        <v>15</v>
      </c>
      <c r="C28" t="s">
        <v>16</v>
      </c>
      <c r="D28" t="s">
        <v>120</v>
      </c>
      <c r="E28" t="s">
        <v>121</v>
      </c>
      <c r="F28" t="s">
        <v>41</v>
      </c>
      <c r="G28" t="s">
        <v>25</v>
      </c>
      <c r="H28" t="s">
        <v>51</v>
      </c>
      <c r="I28" t="s">
        <v>52</v>
      </c>
      <c r="J28">
        <v>6</v>
      </c>
      <c r="K28">
        <v>6000</v>
      </c>
      <c r="L28" s="1">
        <v>46185</v>
      </c>
      <c r="M28">
        <v>249.45</v>
      </c>
      <c r="N28" t="s">
        <v>19</v>
      </c>
    </row>
    <row r="29" spans="1:14" x14ac:dyDescent="0.35">
      <c r="A29" t="s">
        <v>14</v>
      </c>
      <c r="B29" t="s">
        <v>15</v>
      </c>
      <c r="C29" t="s">
        <v>16</v>
      </c>
      <c r="D29" t="s">
        <v>120</v>
      </c>
      <c r="E29" t="s">
        <v>121</v>
      </c>
      <c r="F29" t="s">
        <v>42</v>
      </c>
      <c r="G29" t="s">
        <v>25</v>
      </c>
      <c r="H29" t="s">
        <v>45</v>
      </c>
      <c r="I29" t="s">
        <v>46</v>
      </c>
      <c r="J29">
        <v>2.8</v>
      </c>
      <c r="K29">
        <v>2800</v>
      </c>
      <c r="L29" s="1">
        <v>46186</v>
      </c>
      <c r="M29">
        <v>480</v>
      </c>
      <c r="N29" t="s">
        <v>19</v>
      </c>
    </row>
    <row r="30" spans="1:14" x14ac:dyDescent="0.35">
      <c r="A30" t="s">
        <v>14</v>
      </c>
      <c r="B30" t="s">
        <v>15</v>
      </c>
      <c r="C30" t="s">
        <v>16</v>
      </c>
      <c r="D30" t="s">
        <v>120</v>
      </c>
      <c r="E30" t="s">
        <v>121</v>
      </c>
      <c r="F30" t="s">
        <v>43</v>
      </c>
      <c r="G30" t="s">
        <v>25</v>
      </c>
      <c r="H30" t="s">
        <v>48</v>
      </c>
      <c r="I30" t="s">
        <v>49</v>
      </c>
      <c r="J30">
        <v>1.4</v>
      </c>
      <c r="K30">
        <v>1400</v>
      </c>
      <c r="L30" s="1">
        <v>46186</v>
      </c>
      <c r="M30">
        <v>360</v>
      </c>
      <c r="N30" t="s">
        <v>19</v>
      </c>
    </row>
    <row r="31" spans="1:14" x14ac:dyDescent="0.35">
      <c r="A31" t="s">
        <v>14</v>
      </c>
      <c r="B31" t="s">
        <v>15</v>
      </c>
      <c r="C31" t="s">
        <v>16</v>
      </c>
      <c r="D31" t="s">
        <v>120</v>
      </c>
      <c r="E31" t="s">
        <v>121</v>
      </c>
      <c r="F31" t="s">
        <v>44</v>
      </c>
      <c r="G31" t="s">
        <v>25</v>
      </c>
      <c r="H31" t="s">
        <v>51</v>
      </c>
      <c r="I31" t="s">
        <v>52</v>
      </c>
      <c r="J31">
        <v>4.2</v>
      </c>
      <c r="K31">
        <v>4200</v>
      </c>
      <c r="L31" s="1">
        <v>46186</v>
      </c>
      <c r="M31">
        <v>249.45</v>
      </c>
      <c r="N31" t="s">
        <v>19</v>
      </c>
    </row>
    <row r="32" spans="1:14" x14ac:dyDescent="0.35">
      <c r="A32" t="s">
        <v>14</v>
      </c>
      <c r="B32" t="s">
        <v>15</v>
      </c>
      <c r="C32" t="s">
        <v>16</v>
      </c>
      <c r="D32" t="s">
        <v>124</v>
      </c>
      <c r="E32" t="s">
        <v>57</v>
      </c>
      <c r="F32" t="s">
        <v>42</v>
      </c>
      <c r="G32" t="s">
        <v>25</v>
      </c>
      <c r="H32" t="s">
        <v>100</v>
      </c>
      <c r="I32" t="s">
        <v>101</v>
      </c>
      <c r="J32">
        <v>1.4239999999999999</v>
      </c>
      <c r="K32">
        <v>300</v>
      </c>
      <c r="L32" s="1">
        <v>46188</v>
      </c>
      <c r="M32">
        <v>360</v>
      </c>
      <c r="N32" t="s">
        <v>19</v>
      </c>
    </row>
    <row r="33" spans="1:14" x14ac:dyDescent="0.35">
      <c r="A33" t="s">
        <v>14</v>
      </c>
      <c r="B33" t="s">
        <v>15</v>
      </c>
      <c r="C33" t="s">
        <v>16</v>
      </c>
      <c r="D33" t="s">
        <v>124</v>
      </c>
      <c r="E33" t="s">
        <v>57</v>
      </c>
      <c r="F33" t="s">
        <v>43</v>
      </c>
      <c r="G33" t="s">
        <v>25</v>
      </c>
      <c r="H33" t="s">
        <v>79</v>
      </c>
      <c r="I33" t="s">
        <v>80</v>
      </c>
      <c r="J33">
        <v>10.542</v>
      </c>
      <c r="K33">
        <v>3000</v>
      </c>
      <c r="L33" s="1">
        <v>46188</v>
      </c>
      <c r="M33">
        <v>480</v>
      </c>
      <c r="N33" t="s">
        <v>19</v>
      </c>
    </row>
    <row r="34" spans="1:14" x14ac:dyDescent="0.35">
      <c r="A34" t="s">
        <v>14</v>
      </c>
      <c r="B34" t="s">
        <v>15</v>
      </c>
      <c r="C34" t="s">
        <v>16</v>
      </c>
      <c r="D34" t="s">
        <v>124</v>
      </c>
      <c r="E34" t="s">
        <v>57</v>
      </c>
      <c r="F34" t="s">
        <v>44</v>
      </c>
      <c r="G34" t="s">
        <v>25</v>
      </c>
      <c r="H34" t="s">
        <v>81</v>
      </c>
      <c r="I34" t="s">
        <v>82</v>
      </c>
      <c r="J34">
        <v>5.6950000000000003</v>
      </c>
      <c r="K34">
        <v>1200</v>
      </c>
      <c r="L34" s="1">
        <v>46188</v>
      </c>
      <c r="M34">
        <v>360</v>
      </c>
      <c r="N34" t="s">
        <v>19</v>
      </c>
    </row>
    <row r="35" spans="1:14" x14ac:dyDescent="0.35">
      <c r="A35" t="s">
        <v>14</v>
      </c>
      <c r="B35" t="s">
        <v>15</v>
      </c>
      <c r="C35" t="s">
        <v>16</v>
      </c>
      <c r="D35" t="s">
        <v>124</v>
      </c>
      <c r="E35" t="s">
        <v>57</v>
      </c>
      <c r="F35" t="s">
        <v>47</v>
      </c>
      <c r="G35" t="s">
        <v>25</v>
      </c>
      <c r="H35" t="s">
        <v>83</v>
      </c>
      <c r="I35" t="s">
        <v>84</v>
      </c>
      <c r="J35">
        <v>3.0339999999999998</v>
      </c>
      <c r="K35">
        <v>1000</v>
      </c>
      <c r="L35" s="1">
        <v>46188</v>
      </c>
      <c r="M35">
        <v>582</v>
      </c>
      <c r="N35" t="s">
        <v>19</v>
      </c>
    </row>
    <row r="36" spans="1:14" x14ac:dyDescent="0.35">
      <c r="A36" t="s">
        <v>14</v>
      </c>
      <c r="B36" t="s">
        <v>15</v>
      </c>
      <c r="C36" t="s">
        <v>16</v>
      </c>
      <c r="D36" t="s">
        <v>124</v>
      </c>
      <c r="E36" t="s">
        <v>57</v>
      </c>
      <c r="F36" t="s">
        <v>50</v>
      </c>
      <c r="G36" t="s">
        <v>25</v>
      </c>
      <c r="H36" t="s">
        <v>125</v>
      </c>
      <c r="I36" t="s">
        <v>126</v>
      </c>
      <c r="J36">
        <v>1.498</v>
      </c>
      <c r="K36">
        <v>500</v>
      </c>
      <c r="L36" s="1">
        <v>46188</v>
      </c>
      <c r="M36">
        <v>312.36</v>
      </c>
      <c r="N36" t="s">
        <v>19</v>
      </c>
    </row>
    <row r="37" spans="1:14" x14ac:dyDescent="0.35">
      <c r="A37" t="s">
        <v>14</v>
      </c>
      <c r="B37" t="s">
        <v>15</v>
      </c>
      <c r="C37" t="s">
        <v>16</v>
      </c>
      <c r="D37" t="s">
        <v>124</v>
      </c>
      <c r="E37" t="s">
        <v>57</v>
      </c>
      <c r="F37" t="s">
        <v>53</v>
      </c>
      <c r="G37" t="s">
        <v>25</v>
      </c>
      <c r="H37" t="s">
        <v>86</v>
      </c>
      <c r="I37" t="s">
        <v>87</v>
      </c>
      <c r="J37">
        <v>9.8000000000000007</v>
      </c>
      <c r="K37">
        <v>2000</v>
      </c>
      <c r="L37" s="1">
        <v>46188</v>
      </c>
      <c r="M37">
        <v>240</v>
      </c>
      <c r="N37" t="s">
        <v>19</v>
      </c>
    </row>
    <row r="38" spans="1:14" x14ac:dyDescent="0.35">
      <c r="A38" t="s">
        <v>14</v>
      </c>
      <c r="B38" t="s">
        <v>15</v>
      </c>
      <c r="C38" t="s">
        <v>16</v>
      </c>
      <c r="D38" t="s">
        <v>124</v>
      </c>
      <c r="E38" t="s">
        <v>57</v>
      </c>
      <c r="F38" t="s">
        <v>54</v>
      </c>
      <c r="G38" t="s">
        <v>25</v>
      </c>
      <c r="H38" t="s">
        <v>34</v>
      </c>
      <c r="I38" t="s">
        <v>35</v>
      </c>
      <c r="J38">
        <v>7.7160000000000002</v>
      </c>
      <c r="K38">
        <v>2000</v>
      </c>
      <c r="L38" s="1">
        <v>46189</v>
      </c>
      <c r="M38">
        <v>480</v>
      </c>
      <c r="N38" t="s">
        <v>19</v>
      </c>
    </row>
    <row r="39" spans="1:14" x14ac:dyDescent="0.35">
      <c r="A39" t="s">
        <v>14</v>
      </c>
      <c r="B39" t="s">
        <v>15</v>
      </c>
      <c r="C39" t="s">
        <v>16</v>
      </c>
      <c r="D39" t="s">
        <v>124</v>
      </c>
      <c r="E39" t="s">
        <v>57</v>
      </c>
      <c r="F39" t="s">
        <v>55</v>
      </c>
      <c r="G39" t="s">
        <v>25</v>
      </c>
      <c r="H39" t="s">
        <v>73</v>
      </c>
      <c r="I39" t="s">
        <v>74</v>
      </c>
      <c r="J39">
        <v>4.63</v>
      </c>
      <c r="K39">
        <v>1200</v>
      </c>
      <c r="L39" s="1">
        <v>46189</v>
      </c>
      <c r="M39">
        <v>360</v>
      </c>
      <c r="N39" t="s">
        <v>19</v>
      </c>
    </row>
    <row r="40" spans="1:14" x14ac:dyDescent="0.35">
      <c r="A40" t="s">
        <v>14</v>
      </c>
      <c r="B40" t="s">
        <v>15</v>
      </c>
      <c r="C40" t="s">
        <v>16</v>
      </c>
      <c r="D40" t="s">
        <v>124</v>
      </c>
      <c r="E40" t="s">
        <v>57</v>
      </c>
      <c r="F40" t="s">
        <v>56</v>
      </c>
      <c r="G40" t="s">
        <v>25</v>
      </c>
      <c r="H40" t="s">
        <v>75</v>
      </c>
      <c r="I40" t="s">
        <v>76</v>
      </c>
      <c r="J40">
        <v>7.7160000000000002</v>
      </c>
      <c r="K40">
        <v>2000</v>
      </c>
      <c r="L40" s="1">
        <v>46189</v>
      </c>
      <c r="M40">
        <v>582</v>
      </c>
      <c r="N40" t="s">
        <v>19</v>
      </c>
    </row>
    <row r="41" spans="1:14" x14ac:dyDescent="0.35">
      <c r="A41" t="s">
        <v>14</v>
      </c>
      <c r="B41" t="s">
        <v>15</v>
      </c>
      <c r="C41" t="s">
        <v>16</v>
      </c>
      <c r="D41" t="s">
        <v>124</v>
      </c>
      <c r="E41" t="s">
        <v>57</v>
      </c>
      <c r="F41" t="s">
        <v>85</v>
      </c>
      <c r="G41" t="s">
        <v>25</v>
      </c>
      <c r="H41" t="s">
        <v>107</v>
      </c>
      <c r="I41" t="s">
        <v>108</v>
      </c>
      <c r="J41">
        <v>3.8580000000000001</v>
      </c>
      <c r="K41">
        <v>1000</v>
      </c>
      <c r="L41" s="1">
        <v>46189</v>
      </c>
      <c r="M41">
        <v>312.36</v>
      </c>
      <c r="N41" t="s">
        <v>19</v>
      </c>
    </row>
    <row r="42" spans="1:14" x14ac:dyDescent="0.35">
      <c r="A42" t="s">
        <v>14</v>
      </c>
      <c r="B42" t="s">
        <v>15</v>
      </c>
      <c r="C42" t="s">
        <v>16</v>
      </c>
      <c r="D42" t="s">
        <v>124</v>
      </c>
      <c r="E42" t="s">
        <v>57</v>
      </c>
      <c r="F42" t="s">
        <v>88</v>
      </c>
      <c r="G42" t="s">
        <v>25</v>
      </c>
      <c r="H42" t="s">
        <v>77</v>
      </c>
      <c r="I42" t="s">
        <v>78</v>
      </c>
      <c r="J42">
        <v>7.7160000000000002</v>
      </c>
      <c r="K42">
        <v>2000</v>
      </c>
      <c r="L42" s="1">
        <v>46189</v>
      </c>
      <c r="M42">
        <v>240</v>
      </c>
      <c r="N42" t="s">
        <v>19</v>
      </c>
    </row>
    <row r="43" spans="1:14" x14ac:dyDescent="0.35">
      <c r="A43" t="s">
        <v>14</v>
      </c>
      <c r="B43" t="s">
        <v>15</v>
      </c>
      <c r="C43" t="s">
        <v>16</v>
      </c>
      <c r="D43" t="s">
        <v>124</v>
      </c>
      <c r="E43" t="s">
        <v>57</v>
      </c>
      <c r="F43" t="s">
        <v>89</v>
      </c>
      <c r="G43" t="s">
        <v>25</v>
      </c>
      <c r="H43" t="s">
        <v>34</v>
      </c>
      <c r="I43" t="s">
        <v>35</v>
      </c>
      <c r="J43">
        <v>3.8580000000000001</v>
      </c>
      <c r="K43">
        <v>1000</v>
      </c>
      <c r="L43" s="1">
        <v>46190</v>
      </c>
      <c r="M43">
        <v>480</v>
      </c>
      <c r="N43" t="s">
        <v>19</v>
      </c>
    </row>
    <row r="44" spans="1:14" x14ac:dyDescent="0.35">
      <c r="A44" t="s">
        <v>14</v>
      </c>
      <c r="B44" t="s">
        <v>15</v>
      </c>
      <c r="C44" t="s">
        <v>16</v>
      </c>
      <c r="D44" t="s">
        <v>124</v>
      </c>
      <c r="E44" t="s">
        <v>57</v>
      </c>
      <c r="F44" t="s">
        <v>90</v>
      </c>
      <c r="G44" t="s">
        <v>25</v>
      </c>
      <c r="H44" t="s">
        <v>73</v>
      </c>
      <c r="I44" t="s">
        <v>74</v>
      </c>
      <c r="J44">
        <v>2.3149999999999999</v>
      </c>
      <c r="K44">
        <v>600</v>
      </c>
      <c r="L44" s="1">
        <v>46190</v>
      </c>
      <c r="M44">
        <v>360</v>
      </c>
      <c r="N44" t="s">
        <v>19</v>
      </c>
    </row>
    <row r="45" spans="1:14" x14ac:dyDescent="0.35">
      <c r="A45" t="s">
        <v>14</v>
      </c>
      <c r="B45" t="s">
        <v>15</v>
      </c>
      <c r="C45" t="s">
        <v>16</v>
      </c>
      <c r="D45" t="s">
        <v>124</v>
      </c>
      <c r="E45" t="s">
        <v>57</v>
      </c>
      <c r="F45" t="s">
        <v>91</v>
      </c>
      <c r="G45" t="s">
        <v>25</v>
      </c>
      <c r="H45" t="s">
        <v>75</v>
      </c>
      <c r="I45" t="s">
        <v>76</v>
      </c>
      <c r="J45">
        <v>3.8580000000000001</v>
      </c>
      <c r="K45">
        <v>1000</v>
      </c>
      <c r="L45" s="1">
        <v>46190</v>
      </c>
      <c r="M45">
        <v>582</v>
      </c>
      <c r="N45" t="s">
        <v>19</v>
      </c>
    </row>
    <row r="46" spans="1:14" x14ac:dyDescent="0.35">
      <c r="A46" t="s">
        <v>14</v>
      </c>
      <c r="B46" t="s">
        <v>15</v>
      </c>
      <c r="C46" t="s">
        <v>16</v>
      </c>
      <c r="D46" t="s">
        <v>124</v>
      </c>
      <c r="E46" t="s">
        <v>57</v>
      </c>
      <c r="F46" t="s">
        <v>92</v>
      </c>
      <c r="G46" t="s">
        <v>25</v>
      </c>
      <c r="H46" t="s">
        <v>107</v>
      </c>
      <c r="I46" t="s">
        <v>108</v>
      </c>
      <c r="J46">
        <v>1.929</v>
      </c>
      <c r="K46">
        <v>500</v>
      </c>
      <c r="L46" s="1">
        <v>46190</v>
      </c>
      <c r="M46">
        <v>312.36</v>
      </c>
      <c r="N46" t="s">
        <v>19</v>
      </c>
    </row>
    <row r="47" spans="1:14" x14ac:dyDescent="0.35">
      <c r="A47" t="s">
        <v>14</v>
      </c>
      <c r="B47" t="s">
        <v>15</v>
      </c>
      <c r="C47" t="s">
        <v>16</v>
      </c>
      <c r="D47" t="s">
        <v>124</v>
      </c>
      <c r="E47" t="s">
        <v>57</v>
      </c>
      <c r="F47" t="s">
        <v>93</v>
      </c>
      <c r="G47" t="s">
        <v>25</v>
      </c>
      <c r="H47" t="s">
        <v>77</v>
      </c>
      <c r="I47" t="s">
        <v>78</v>
      </c>
      <c r="J47">
        <v>7.7160000000000002</v>
      </c>
      <c r="K47">
        <v>2000</v>
      </c>
      <c r="L47" s="1">
        <v>46190</v>
      </c>
      <c r="M47">
        <v>240</v>
      </c>
      <c r="N47" t="s">
        <v>19</v>
      </c>
    </row>
    <row r="48" spans="1:14" x14ac:dyDescent="0.35">
      <c r="A48" t="s">
        <v>14</v>
      </c>
      <c r="B48" t="s">
        <v>15</v>
      </c>
      <c r="C48" t="s">
        <v>16</v>
      </c>
      <c r="D48" t="s">
        <v>124</v>
      </c>
      <c r="E48" t="s">
        <v>57</v>
      </c>
      <c r="F48" t="s">
        <v>94</v>
      </c>
      <c r="G48" t="s">
        <v>25</v>
      </c>
      <c r="H48" t="s">
        <v>37</v>
      </c>
      <c r="I48" t="s">
        <v>38</v>
      </c>
      <c r="J48">
        <v>2</v>
      </c>
      <c r="K48">
        <v>2000</v>
      </c>
      <c r="L48" s="1">
        <v>46190</v>
      </c>
      <c r="M48">
        <v>480</v>
      </c>
      <c r="N48" t="s">
        <v>19</v>
      </c>
    </row>
    <row r="49" spans="1:14" x14ac:dyDescent="0.35">
      <c r="A49" t="s">
        <v>14</v>
      </c>
      <c r="B49" t="s">
        <v>15</v>
      </c>
      <c r="C49" t="s">
        <v>16</v>
      </c>
      <c r="D49" t="s">
        <v>124</v>
      </c>
      <c r="E49" t="s">
        <v>57</v>
      </c>
      <c r="F49" t="s">
        <v>95</v>
      </c>
      <c r="G49" t="s">
        <v>25</v>
      </c>
      <c r="H49" t="s">
        <v>26</v>
      </c>
      <c r="I49" t="s">
        <v>27</v>
      </c>
      <c r="J49">
        <v>4</v>
      </c>
      <c r="K49">
        <v>4000</v>
      </c>
      <c r="L49" s="1">
        <v>46190</v>
      </c>
      <c r="M49">
        <v>249.45</v>
      </c>
      <c r="N49" t="s">
        <v>19</v>
      </c>
    </row>
    <row r="50" spans="1:14" x14ac:dyDescent="0.35">
      <c r="A50" t="s">
        <v>14</v>
      </c>
      <c r="B50" t="s">
        <v>15</v>
      </c>
      <c r="C50" t="s">
        <v>16</v>
      </c>
      <c r="D50" t="s">
        <v>124</v>
      </c>
      <c r="E50" t="s">
        <v>57</v>
      </c>
      <c r="F50" t="s">
        <v>96</v>
      </c>
      <c r="G50" t="s">
        <v>25</v>
      </c>
      <c r="H50" t="s">
        <v>37</v>
      </c>
      <c r="I50" t="s">
        <v>38</v>
      </c>
      <c r="J50">
        <v>4</v>
      </c>
      <c r="K50">
        <v>4000</v>
      </c>
      <c r="L50" s="1">
        <v>46191</v>
      </c>
      <c r="M50">
        <v>480</v>
      </c>
      <c r="N50" t="s">
        <v>19</v>
      </c>
    </row>
    <row r="51" spans="1:14" x14ac:dyDescent="0.35">
      <c r="A51" t="s">
        <v>14</v>
      </c>
      <c r="B51" t="s">
        <v>15</v>
      </c>
      <c r="C51" t="s">
        <v>16</v>
      </c>
      <c r="D51" t="s">
        <v>124</v>
      </c>
      <c r="E51" t="s">
        <v>57</v>
      </c>
      <c r="F51" t="s">
        <v>97</v>
      </c>
      <c r="G51" t="s">
        <v>25</v>
      </c>
      <c r="H51" t="s">
        <v>127</v>
      </c>
      <c r="I51" t="s">
        <v>128</v>
      </c>
      <c r="J51">
        <v>2</v>
      </c>
      <c r="K51">
        <v>2000</v>
      </c>
      <c r="L51" s="1">
        <v>46191</v>
      </c>
      <c r="M51">
        <v>312.36</v>
      </c>
      <c r="N51" t="s">
        <v>19</v>
      </c>
    </row>
    <row r="52" spans="1:14" x14ac:dyDescent="0.35">
      <c r="A52" t="s">
        <v>14</v>
      </c>
      <c r="B52" t="s">
        <v>15</v>
      </c>
      <c r="C52" t="s">
        <v>16</v>
      </c>
      <c r="D52" t="s">
        <v>124</v>
      </c>
      <c r="E52" t="s">
        <v>57</v>
      </c>
      <c r="F52" t="s">
        <v>98</v>
      </c>
      <c r="G52" t="s">
        <v>25</v>
      </c>
      <c r="H52" t="s">
        <v>29</v>
      </c>
      <c r="I52" t="s">
        <v>30</v>
      </c>
      <c r="J52">
        <v>0.3</v>
      </c>
      <c r="K52">
        <v>300</v>
      </c>
      <c r="L52" s="1">
        <v>46191</v>
      </c>
      <c r="M52">
        <v>215.64</v>
      </c>
      <c r="N52" t="s">
        <v>19</v>
      </c>
    </row>
    <row r="53" spans="1:14" x14ac:dyDescent="0.35">
      <c r="A53" t="s">
        <v>14</v>
      </c>
      <c r="B53" t="s">
        <v>15</v>
      </c>
      <c r="C53" t="s">
        <v>16</v>
      </c>
      <c r="D53" t="s">
        <v>124</v>
      </c>
      <c r="E53" t="s">
        <v>57</v>
      </c>
      <c r="F53" t="s">
        <v>99</v>
      </c>
      <c r="G53" t="s">
        <v>25</v>
      </c>
      <c r="H53" t="s">
        <v>26</v>
      </c>
      <c r="I53" t="s">
        <v>27</v>
      </c>
      <c r="J53">
        <v>6</v>
      </c>
      <c r="K53">
        <v>6000</v>
      </c>
      <c r="L53" s="1">
        <v>46191</v>
      </c>
      <c r="M53">
        <v>249.45</v>
      </c>
      <c r="N53" t="s">
        <v>19</v>
      </c>
    </row>
    <row r="54" spans="1:14" x14ac:dyDescent="0.35">
      <c r="A54" t="s">
        <v>14</v>
      </c>
      <c r="B54" t="s">
        <v>15</v>
      </c>
      <c r="C54" t="s">
        <v>16</v>
      </c>
      <c r="D54" t="s">
        <v>124</v>
      </c>
      <c r="E54" t="s">
        <v>57</v>
      </c>
      <c r="F54" t="s">
        <v>102</v>
      </c>
      <c r="G54" t="s">
        <v>25</v>
      </c>
      <c r="H54" t="s">
        <v>37</v>
      </c>
      <c r="I54" t="s">
        <v>38</v>
      </c>
      <c r="J54">
        <v>4</v>
      </c>
      <c r="K54">
        <v>4000</v>
      </c>
      <c r="L54" s="1">
        <v>46192</v>
      </c>
      <c r="M54">
        <v>480</v>
      </c>
      <c r="N54" t="s">
        <v>19</v>
      </c>
    </row>
    <row r="55" spans="1:14" x14ac:dyDescent="0.35">
      <c r="A55" t="s">
        <v>14</v>
      </c>
      <c r="B55" t="s">
        <v>15</v>
      </c>
      <c r="C55" t="s">
        <v>16</v>
      </c>
      <c r="D55" t="s">
        <v>124</v>
      </c>
      <c r="E55" t="s">
        <v>57</v>
      </c>
      <c r="F55" t="s">
        <v>103</v>
      </c>
      <c r="G55" t="s">
        <v>25</v>
      </c>
      <c r="H55" t="s">
        <v>65</v>
      </c>
      <c r="I55" t="s">
        <v>66</v>
      </c>
      <c r="J55">
        <v>2</v>
      </c>
      <c r="K55">
        <v>2000</v>
      </c>
      <c r="L55" s="1">
        <v>46192</v>
      </c>
      <c r="M55">
        <v>240</v>
      </c>
      <c r="N55" t="s">
        <v>19</v>
      </c>
    </row>
    <row r="56" spans="1:14" x14ac:dyDescent="0.35">
      <c r="A56" t="s">
        <v>14</v>
      </c>
      <c r="B56" t="s">
        <v>15</v>
      </c>
      <c r="C56" t="s">
        <v>16</v>
      </c>
      <c r="D56" t="s">
        <v>124</v>
      </c>
      <c r="E56" t="s">
        <v>57</v>
      </c>
      <c r="F56" t="s">
        <v>104</v>
      </c>
      <c r="G56" t="s">
        <v>25</v>
      </c>
      <c r="H56" t="s">
        <v>26</v>
      </c>
      <c r="I56" t="s">
        <v>27</v>
      </c>
      <c r="J56">
        <v>6</v>
      </c>
      <c r="K56">
        <v>6000</v>
      </c>
      <c r="L56" s="1">
        <v>46192</v>
      </c>
      <c r="M56">
        <v>249.45</v>
      </c>
      <c r="N56" t="s">
        <v>19</v>
      </c>
    </row>
    <row r="57" spans="1:14" x14ac:dyDescent="0.35">
      <c r="A57" t="s">
        <v>14</v>
      </c>
      <c r="B57" t="s">
        <v>15</v>
      </c>
      <c r="C57" t="s">
        <v>16</v>
      </c>
      <c r="D57" t="s">
        <v>124</v>
      </c>
      <c r="E57" t="s">
        <v>57</v>
      </c>
      <c r="F57" t="s">
        <v>105</v>
      </c>
      <c r="G57" t="s">
        <v>25</v>
      </c>
      <c r="H57" t="s">
        <v>129</v>
      </c>
      <c r="I57" t="s">
        <v>130</v>
      </c>
      <c r="J57">
        <v>3.2</v>
      </c>
      <c r="K57">
        <v>3200</v>
      </c>
      <c r="L57" s="1">
        <v>46193</v>
      </c>
      <c r="M57">
        <v>480</v>
      </c>
      <c r="N57" t="s">
        <v>19</v>
      </c>
    </row>
    <row r="58" spans="1:14" x14ac:dyDescent="0.35">
      <c r="A58" t="s">
        <v>14</v>
      </c>
      <c r="B58" t="s">
        <v>15</v>
      </c>
      <c r="C58" t="s">
        <v>16</v>
      </c>
      <c r="D58" t="s">
        <v>124</v>
      </c>
      <c r="E58" t="s">
        <v>57</v>
      </c>
      <c r="F58" t="s">
        <v>106</v>
      </c>
      <c r="G58" t="s">
        <v>25</v>
      </c>
      <c r="H58" t="s">
        <v>131</v>
      </c>
      <c r="I58" t="s">
        <v>132</v>
      </c>
      <c r="J58">
        <v>4.8</v>
      </c>
      <c r="K58">
        <v>4800</v>
      </c>
      <c r="L58" s="1">
        <v>46193</v>
      </c>
      <c r="M58">
        <v>249.45</v>
      </c>
      <c r="N58" t="s">
        <v>19</v>
      </c>
    </row>
    <row r="59" spans="1:14" x14ac:dyDescent="0.35">
      <c r="A59" t="s">
        <v>14</v>
      </c>
      <c r="B59" t="s">
        <v>15</v>
      </c>
      <c r="C59" t="s">
        <v>16</v>
      </c>
      <c r="D59" t="s">
        <v>124</v>
      </c>
      <c r="E59" t="s">
        <v>57</v>
      </c>
      <c r="F59" t="s">
        <v>109</v>
      </c>
      <c r="G59" t="s">
        <v>25</v>
      </c>
      <c r="H59" t="s">
        <v>37</v>
      </c>
      <c r="I59" t="s">
        <v>38</v>
      </c>
      <c r="J59">
        <v>1.6</v>
      </c>
      <c r="K59">
        <v>1600</v>
      </c>
      <c r="L59" s="1">
        <v>46194</v>
      </c>
      <c r="M59">
        <v>480</v>
      </c>
      <c r="N59" t="s">
        <v>19</v>
      </c>
    </row>
    <row r="60" spans="1:14" x14ac:dyDescent="0.35">
      <c r="A60" t="s">
        <v>14</v>
      </c>
      <c r="B60" t="s">
        <v>15</v>
      </c>
      <c r="C60" t="s">
        <v>16</v>
      </c>
      <c r="D60" t="s">
        <v>124</v>
      </c>
      <c r="E60" t="s">
        <v>57</v>
      </c>
      <c r="F60" t="s">
        <v>114</v>
      </c>
      <c r="G60" t="s">
        <v>25</v>
      </c>
      <c r="H60" t="s">
        <v>26</v>
      </c>
      <c r="I60" t="s">
        <v>27</v>
      </c>
      <c r="J60">
        <v>2.4</v>
      </c>
      <c r="K60">
        <v>2400</v>
      </c>
      <c r="L60" s="1">
        <v>46194</v>
      </c>
      <c r="M60">
        <v>249.45</v>
      </c>
      <c r="N60" t="s">
        <v>19</v>
      </c>
    </row>
    <row r="61" spans="1:14" x14ac:dyDescent="0.35">
      <c r="A61" t="s">
        <v>14</v>
      </c>
      <c r="B61" t="s">
        <v>15</v>
      </c>
      <c r="C61" t="s">
        <v>16</v>
      </c>
      <c r="D61" t="s">
        <v>133</v>
      </c>
      <c r="E61" t="s">
        <v>121</v>
      </c>
      <c r="F61" t="s">
        <v>50</v>
      </c>
      <c r="G61" t="s">
        <v>25</v>
      </c>
      <c r="H61" t="s">
        <v>134</v>
      </c>
      <c r="I61" t="s">
        <v>135</v>
      </c>
      <c r="J61">
        <v>8.0060000000000002</v>
      </c>
      <c r="K61">
        <v>2000</v>
      </c>
      <c r="L61" s="1">
        <v>46195</v>
      </c>
      <c r="M61">
        <v>480</v>
      </c>
      <c r="N61" t="s">
        <v>19</v>
      </c>
    </row>
    <row r="62" spans="1:14" x14ac:dyDescent="0.35">
      <c r="A62" t="s">
        <v>14</v>
      </c>
      <c r="B62" t="s">
        <v>15</v>
      </c>
      <c r="C62" t="s">
        <v>16</v>
      </c>
      <c r="D62" t="s">
        <v>133</v>
      </c>
      <c r="E62" t="s">
        <v>121</v>
      </c>
      <c r="F62" t="s">
        <v>53</v>
      </c>
      <c r="G62" t="s">
        <v>25</v>
      </c>
      <c r="H62" t="s">
        <v>136</v>
      </c>
      <c r="I62" t="s">
        <v>137</v>
      </c>
      <c r="J62">
        <v>3.9820000000000002</v>
      </c>
      <c r="K62">
        <v>1000</v>
      </c>
      <c r="L62" s="1">
        <v>46195</v>
      </c>
      <c r="M62">
        <v>360</v>
      </c>
      <c r="N62" t="s">
        <v>19</v>
      </c>
    </row>
    <row r="63" spans="1:14" x14ac:dyDescent="0.35">
      <c r="A63" t="s">
        <v>14</v>
      </c>
      <c r="B63" t="s">
        <v>15</v>
      </c>
      <c r="C63" t="s">
        <v>16</v>
      </c>
      <c r="D63" t="s">
        <v>133</v>
      </c>
      <c r="E63" t="s">
        <v>121</v>
      </c>
      <c r="F63" t="s">
        <v>54</v>
      </c>
      <c r="G63" t="s">
        <v>25</v>
      </c>
      <c r="H63" t="s">
        <v>138</v>
      </c>
      <c r="I63" t="s">
        <v>139</v>
      </c>
      <c r="J63">
        <v>10.647</v>
      </c>
      <c r="K63">
        <v>3000</v>
      </c>
      <c r="L63" s="1">
        <v>46195</v>
      </c>
      <c r="M63">
        <v>249.45</v>
      </c>
      <c r="N63" t="s">
        <v>19</v>
      </c>
    </row>
    <row r="64" spans="1:14" x14ac:dyDescent="0.35">
      <c r="A64" t="s">
        <v>14</v>
      </c>
      <c r="B64" t="s">
        <v>15</v>
      </c>
      <c r="C64" t="s">
        <v>16</v>
      </c>
      <c r="D64" t="s">
        <v>133</v>
      </c>
      <c r="E64" t="s">
        <v>121</v>
      </c>
      <c r="F64" t="s">
        <v>55</v>
      </c>
      <c r="G64" t="s">
        <v>25</v>
      </c>
      <c r="H64" t="s">
        <v>71</v>
      </c>
      <c r="I64" t="s">
        <v>72</v>
      </c>
      <c r="J64">
        <v>4</v>
      </c>
      <c r="K64">
        <v>4000</v>
      </c>
      <c r="L64" s="1">
        <v>46196</v>
      </c>
      <c r="M64">
        <v>480</v>
      </c>
      <c r="N64" t="s">
        <v>19</v>
      </c>
    </row>
    <row r="65" spans="1:14" x14ac:dyDescent="0.35">
      <c r="A65" t="s">
        <v>14</v>
      </c>
      <c r="B65" t="s">
        <v>15</v>
      </c>
      <c r="C65" t="s">
        <v>16</v>
      </c>
      <c r="D65" t="s">
        <v>133</v>
      </c>
      <c r="E65" t="s">
        <v>121</v>
      </c>
      <c r="F65" t="s">
        <v>56</v>
      </c>
      <c r="G65" t="s">
        <v>25</v>
      </c>
      <c r="H65" t="s">
        <v>140</v>
      </c>
      <c r="I65" t="s">
        <v>141</v>
      </c>
      <c r="J65">
        <v>2</v>
      </c>
      <c r="K65">
        <v>2000</v>
      </c>
      <c r="L65" s="1">
        <v>46196</v>
      </c>
      <c r="M65">
        <v>312.36</v>
      </c>
      <c r="N65" t="s">
        <v>19</v>
      </c>
    </row>
    <row r="66" spans="1:14" x14ac:dyDescent="0.35">
      <c r="A66" t="s">
        <v>14</v>
      </c>
      <c r="B66" t="s">
        <v>15</v>
      </c>
      <c r="C66" t="s">
        <v>16</v>
      </c>
      <c r="D66" t="s">
        <v>133</v>
      </c>
      <c r="E66" t="s">
        <v>121</v>
      </c>
      <c r="F66" t="s">
        <v>85</v>
      </c>
      <c r="G66" t="s">
        <v>25</v>
      </c>
      <c r="H66" t="s">
        <v>122</v>
      </c>
      <c r="I66" t="s">
        <v>123</v>
      </c>
      <c r="J66">
        <v>0.2</v>
      </c>
      <c r="K66">
        <v>200</v>
      </c>
      <c r="L66" s="1">
        <v>46196</v>
      </c>
      <c r="M66">
        <v>215.64</v>
      </c>
      <c r="N66" t="s">
        <v>19</v>
      </c>
    </row>
    <row r="67" spans="1:14" x14ac:dyDescent="0.35">
      <c r="A67" t="s">
        <v>14</v>
      </c>
      <c r="B67" t="s">
        <v>15</v>
      </c>
      <c r="C67" t="s">
        <v>16</v>
      </c>
      <c r="D67" t="s">
        <v>133</v>
      </c>
      <c r="E67" t="s">
        <v>121</v>
      </c>
      <c r="F67" t="s">
        <v>88</v>
      </c>
      <c r="G67" t="s">
        <v>25</v>
      </c>
      <c r="H67" t="s">
        <v>63</v>
      </c>
      <c r="I67" t="s">
        <v>64</v>
      </c>
      <c r="J67">
        <v>6</v>
      </c>
      <c r="K67">
        <v>6000</v>
      </c>
      <c r="L67" s="1">
        <v>46196</v>
      </c>
      <c r="M67">
        <v>249.45</v>
      </c>
      <c r="N67" t="s">
        <v>19</v>
      </c>
    </row>
    <row r="68" spans="1:14" x14ac:dyDescent="0.35">
      <c r="A68" t="s">
        <v>14</v>
      </c>
      <c r="B68" t="s">
        <v>15</v>
      </c>
      <c r="C68" t="s">
        <v>16</v>
      </c>
      <c r="D68" t="s">
        <v>133</v>
      </c>
      <c r="E68" t="s">
        <v>121</v>
      </c>
      <c r="F68" t="s">
        <v>89</v>
      </c>
      <c r="G68" t="s">
        <v>25</v>
      </c>
      <c r="H68" t="s">
        <v>37</v>
      </c>
      <c r="I68" t="s">
        <v>38</v>
      </c>
      <c r="J68">
        <v>2</v>
      </c>
      <c r="K68">
        <v>2000</v>
      </c>
      <c r="L68" s="1">
        <v>46197</v>
      </c>
      <c r="M68">
        <v>480</v>
      </c>
      <c r="N68" t="s">
        <v>19</v>
      </c>
    </row>
    <row r="69" spans="1:14" x14ac:dyDescent="0.35">
      <c r="A69" t="s">
        <v>14</v>
      </c>
      <c r="B69" t="s">
        <v>15</v>
      </c>
      <c r="C69" t="s">
        <v>16</v>
      </c>
      <c r="D69" t="s">
        <v>133</v>
      </c>
      <c r="E69" t="s">
        <v>121</v>
      </c>
      <c r="F69" t="s">
        <v>90</v>
      </c>
      <c r="G69" t="s">
        <v>25</v>
      </c>
      <c r="H69" t="s">
        <v>127</v>
      </c>
      <c r="I69" t="s">
        <v>128</v>
      </c>
      <c r="J69">
        <v>1</v>
      </c>
      <c r="K69">
        <v>1000</v>
      </c>
      <c r="L69" s="1">
        <v>46197</v>
      </c>
      <c r="M69">
        <v>312.36</v>
      </c>
      <c r="N69" t="s">
        <v>19</v>
      </c>
    </row>
    <row r="70" spans="1:14" x14ac:dyDescent="0.35">
      <c r="A70" t="s">
        <v>14</v>
      </c>
      <c r="B70" t="s">
        <v>15</v>
      </c>
      <c r="C70" t="s">
        <v>16</v>
      </c>
      <c r="D70" t="s">
        <v>133</v>
      </c>
      <c r="E70" t="s">
        <v>121</v>
      </c>
      <c r="F70" t="s">
        <v>91</v>
      </c>
      <c r="G70" t="s">
        <v>25</v>
      </c>
      <c r="H70" t="s">
        <v>29</v>
      </c>
      <c r="I70" t="s">
        <v>30</v>
      </c>
      <c r="J70">
        <v>0.2</v>
      </c>
      <c r="K70">
        <v>200</v>
      </c>
      <c r="L70" s="1">
        <v>46197</v>
      </c>
      <c r="M70">
        <v>215.64</v>
      </c>
      <c r="N70" t="s">
        <v>19</v>
      </c>
    </row>
    <row r="71" spans="1:14" x14ac:dyDescent="0.35">
      <c r="A71" t="s">
        <v>14</v>
      </c>
      <c r="B71" t="s">
        <v>15</v>
      </c>
      <c r="C71" t="s">
        <v>16</v>
      </c>
      <c r="D71" t="s">
        <v>133</v>
      </c>
      <c r="E71" t="s">
        <v>121</v>
      </c>
      <c r="F71" t="s">
        <v>92</v>
      </c>
      <c r="G71" t="s">
        <v>25</v>
      </c>
      <c r="H71" t="s">
        <v>26</v>
      </c>
      <c r="I71" t="s">
        <v>27</v>
      </c>
      <c r="J71">
        <v>3</v>
      </c>
      <c r="K71">
        <v>3000</v>
      </c>
      <c r="L71" s="1">
        <v>46197</v>
      </c>
      <c r="M71">
        <v>249.45</v>
      </c>
      <c r="N71" t="s">
        <v>19</v>
      </c>
    </row>
    <row r="72" spans="1:14" x14ac:dyDescent="0.35">
      <c r="A72" t="s">
        <v>14</v>
      </c>
      <c r="B72" t="s">
        <v>15</v>
      </c>
      <c r="C72" t="s">
        <v>16</v>
      </c>
      <c r="D72" t="s">
        <v>133</v>
      </c>
      <c r="E72" t="s">
        <v>121</v>
      </c>
      <c r="F72" t="s">
        <v>93</v>
      </c>
      <c r="G72" t="s">
        <v>25</v>
      </c>
      <c r="H72" t="s">
        <v>37</v>
      </c>
      <c r="I72" t="s">
        <v>38</v>
      </c>
      <c r="J72">
        <v>4</v>
      </c>
      <c r="K72">
        <v>4000</v>
      </c>
      <c r="L72" s="1">
        <v>46198</v>
      </c>
      <c r="M72">
        <v>480</v>
      </c>
      <c r="N72" t="s">
        <v>19</v>
      </c>
    </row>
    <row r="73" spans="1:14" x14ac:dyDescent="0.35">
      <c r="A73" t="s">
        <v>14</v>
      </c>
      <c r="B73" t="s">
        <v>15</v>
      </c>
      <c r="C73" t="s">
        <v>16</v>
      </c>
      <c r="D73" t="s">
        <v>133</v>
      </c>
      <c r="E73" t="s">
        <v>121</v>
      </c>
      <c r="F73" t="s">
        <v>94</v>
      </c>
      <c r="G73" t="s">
        <v>25</v>
      </c>
      <c r="H73" t="s">
        <v>127</v>
      </c>
      <c r="I73" t="s">
        <v>128</v>
      </c>
      <c r="J73">
        <v>2</v>
      </c>
      <c r="K73">
        <v>2000</v>
      </c>
      <c r="L73" s="1">
        <v>46198</v>
      </c>
      <c r="M73">
        <v>312.36</v>
      </c>
      <c r="N73" t="s">
        <v>19</v>
      </c>
    </row>
    <row r="74" spans="1:14" x14ac:dyDescent="0.35">
      <c r="A74" t="s">
        <v>14</v>
      </c>
      <c r="B74" t="s">
        <v>15</v>
      </c>
      <c r="C74" t="s">
        <v>16</v>
      </c>
      <c r="D74" t="s">
        <v>133</v>
      </c>
      <c r="E74" t="s">
        <v>121</v>
      </c>
      <c r="F74" t="s">
        <v>95</v>
      </c>
      <c r="G74" t="s">
        <v>25</v>
      </c>
      <c r="H74" t="s">
        <v>26</v>
      </c>
      <c r="I74" t="s">
        <v>27</v>
      </c>
      <c r="J74">
        <v>6</v>
      </c>
      <c r="K74">
        <v>6000</v>
      </c>
      <c r="L74" s="1">
        <v>46198</v>
      </c>
      <c r="M74">
        <v>249.45</v>
      </c>
      <c r="N74" t="s">
        <v>19</v>
      </c>
    </row>
    <row r="75" spans="1:14" x14ac:dyDescent="0.35">
      <c r="A75" t="s">
        <v>14</v>
      </c>
      <c r="B75" t="s">
        <v>15</v>
      </c>
      <c r="C75" t="s">
        <v>16</v>
      </c>
      <c r="D75" t="s">
        <v>133</v>
      </c>
      <c r="E75" t="s">
        <v>121</v>
      </c>
      <c r="F75" t="s">
        <v>96</v>
      </c>
      <c r="G75" t="s">
        <v>25</v>
      </c>
      <c r="H75" t="s">
        <v>37</v>
      </c>
      <c r="I75" t="s">
        <v>38</v>
      </c>
      <c r="J75">
        <v>4</v>
      </c>
      <c r="K75">
        <v>4000</v>
      </c>
      <c r="L75" s="1">
        <v>46199</v>
      </c>
      <c r="M75">
        <v>480</v>
      </c>
      <c r="N75" t="s">
        <v>19</v>
      </c>
    </row>
    <row r="76" spans="1:14" x14ac:dyDescent="0.35">
      <c r="A76" t="s">
        <v>14</v>
      </c>
      <c r="B76" t="s">
        <v>15</v>
      </c>
      <c r="C76" t="s">
        <v>16</v>
      </c>
      <c r="D76" t="s">
        <v>133</v>
      </c>
      <c r="E76" t="s">
        <v>121</v>
      </c>
      <c r="F76" t="s">
        <v>97</v>
      </c>
      <c r="G76" t="s">
        <v>25</v>
      </c>
      <c r="H76" t="s">
        <v>65</v>
      </c>
      <c r="I76" t="s">
        <v>66</v>
      </c>
      <c r="J76">
        <v>2</v>
      </c>
      <c r="K76">
        <v>2000</v>
      </c>
      <c r="L76" s="1">
        <v>46199</v>
      </c>
      <c r="M76">
        <v>480</v>
      </c>
      <c r="N76" t="s">
        <v>19</v>
      </c>
    </row>
    <row r="77" spans="1:14" x14ac:dyDescent="0.35">
      <c r="A77" t="s">
        <v>14</v>
      </c>
      <c r="B77" t="s">
        <v>15</v>
      </c>
      <c r="C77" t="s">
        <v>16</v>
      </c>
      <c r="D77" t="s">
        <v>133</v>
      </c>
      <c r="E77" t="s">
        <v>121</v>
      </c>
      <c r="F77" t="s">
        <v>98</v>
      </c>
      <c r="G77" t="s">
        <v>25</v>
      </c>
      <c r="H77" t="s">
        <v>26</v>
      </c>
      <c r="I77" t="s">
        <v>27</v>
      </c>
      <c r="J77">
        <v>6</v>
      </c>
      <c r="K77">
        <v>6000</v>
      </c>
      <c r="L77" s="1">
        <v>46199</v>
      </c>
      <c r="M77">
        <v>249.45</v>
      </c>
      <c r="N77" t="s">
        <v>19</v>
      </c>
    </row>
    <row r="78" spans="1:14" x14ac:dyDescent="0.35">
      <c r="A78" t="s">
        <v>14</v>
      </c>
      <c r="B78" t="s">
        <v>15</v>
      </c>
      <c r="C78" t="s">
        <v>16</v>
      </c>
      <c r="D78" t="s">
        <v>133</v>
      </c>
      <c r="E78" t="s">
        <v>121</v>
      </c>
      <c r="F78" t="s">
        <v>99</v>
      </c>
      <c r="G78" t="s">
        <v>25</v>
      </c>
      <c r="H78" t="s">
        <v>71</v>
      </c>
      <c r="I78" t="s">
        <v>72</v>
      </c>
      <c r="J78">
        <v>3.2</v>
      </c>
      <c r="K78">
        <v>3200</v>
      </c>
      <c r="L78" s="1">
        <v>46200</v>
      </c>
      <c r="M78">
        <v>480</v>
      </c>
      <c r="N78" t="s">
        <v>19</v>
      </c>
    </row>
    <row r="79" spans="1:14" x14ac:dyDescent="0.35">
      <c r="A79" t="s">
        <v>14</v>
      </c>
      <c r="B79" t="s">
        <v>15</v>
      </c>
      <c r="C79" t="s">
        <v>16</v>
      </c>
      <c r="D79" t="s">
        <v>133</v>
      </c>
      <c r="E79" t="s">
        <v>121</v>
      </c>
      <c r="F79" t="s">
        <v>102</v>
      </c>
      <c r="G79" t="s">
        <v>25</v>
      </c>
      <c r="H79" t="s">
        <v>142</v>
      </c>
      <c r="I79" t="s">
        <v>143</v>
      </c>
      <c r="J79">
        <v>1.6</v>
      </c>
      <c r="K79">
        <v>1600</v>
      </c>
      <c r="L79" s="1">
        <v>46200</v>
      </c>
      <c r="M79">
        <v>480</v>
      </c>
      <c r="N79" t="s">
        <v>19</v>
      </c>
    </row>
    <row r="80" spans="1:14" x14ac:dyDescent="0.35">
      <c r="A80" t="s">
        <v>14</v>
      </c>
      <c r="B80" t="s">
        <v>15</v>
      </c>
      <c r="C80" t="s">
        <v>16</v>
      </c>
      <c r="D80" t="s">
        <v>133</v>
      </c>
      <c r="E80" t="s">
        <v>121</v>
      </c>
      <c r="F80" t="s">
        <v>103</v>
      </c>
      <c r="G80" t="s">
        <v>25</v>
      </c>
      <c r="H80" t="s">
        <v>63</v>
      </c>
      <c r="I80" t="s">
        <v>64</v>
      </c>
      <c r="J80">
        <v>4.8</v>
      </c>
      <c r="K80">
        <v>4800</v>
      </c>
      <c r="L80" s="1">
        <v>46200</v>
      </c>
      <c r="M80">
        <v>249.45</v>
      </c>
      <c r="N80" t="s">
        <v>19</v>
      </c>
    </row>
    <row r="81" spans="1:14" x14ac:dyDescent="0.35">
      <c r="A81" t="s">
        <v>14</v>
      </c>
      <c r="B81" t="s">
        <v>15</v>
      </c>
      <c r="C81" t="s">
        <v>16</v>
      </c>
      <c r="D81" t="s">
        <v>133</v>
      </c>
      <c r="E81" t="s">
        <v>121</v>
      </c>
      <c r="F81" t="s">
        <v>104</v>
      </c>
      <c r="G81" t="s">
        <v>25</v>
      </c>
      <c r="H81" t="s">
        <v>45</v>
      </c>
      <c r="I81" t="s">
        <v>46</v>
      </c>
      <c r="J81">
        <v>1.6</v>
      </c>
      <c r="K81">
        <v>1600</v>
      </c>
      <c r="L81" s="1">
        <v>46201</v>
      </c>
      <c r="M81">
        <v>480</v>
      </c>
      <c r="N81" t="s">
        <v>19</v>
      </c>
    </row>
    <row r="82" spans="1:14" x14ac:dyDescent="0.35">
      <c r="A82" t="s">
        <v>14</v>
      </c>
      <c r="B82" t="s">
        <v>15</v>
      </c>
      <c r="C82" t="s">
        <v>16</v>
      </c>
      <c r="D82" t="s">
        <v>133</v>
      </c>
      <c r="E82" t="s">
        <v>121</v>
      </c>
      <c r="F82" t="s">
        <v>105</v>
      </c>
      <c r="G82" t="s">
        <v>25</v>
      </c>
      <c r="H82" t="s">
        <v>67</v>
      </c>
      <c r="I82" t="s">
        <v>68</v>
      </c>
      <c r="J82">
        <v>0.8</v>
      </c>
      <c r="K82">
        <v>800</v>
      </c>
      <c r="L82" s="1">
        <v>46201</v>
      </c>
      <c r="M82">
        <v>480</v>
      </c>
      <c r="N82" t="s">
        <v>19</v>
      </c>
    </row>
    <row r="83" spans="1:14" x14ac:dyDescent="0.35">
      <c r="A83" t="s">
        <v>14</v>
      </c>
      <c r="B83" t="s">
        <v>15</v>
      </c>
      <c r="C83" t="s">
        <v>16</v>
      </c>
      <c r="D83" t="s">
        <v>133</v>
      </c>
      <c r="E83" t="s">
        <v>121</v>
      </c>
      <c r="F83" t="s">
        <v>106</v>
      </c>
      <c r="G83" t="s">
        <v>25</v>
      </c>
      <c r="H83" t="s">
        <v>51</v>
      </c>
      <c r="I83" t="s">
        <v>52</v>
      </c>
      <c r="J83">
        <v>1.6</v>
      </c>
      <c r="K83">
        <v>1600</v>
      </c>
      <c r="L83" s="1">
        <v>46201</v>
      </c>
      <c r="M83">
        <v>249.45</v>
      </c>
      <c r="N83" t="s">
        <v>19</v>
      </c>
    </row>
    <row r="84" spans="1:14" x14ac:dyDescent="0.35">
      <c r="A84" t="s">
        <v>14</v>
      </c>
      <c r="B84" t="s">
        <v>15</v>
      </c>
      <c r="C84" t="s">
        <v>16</v>
      </c>
      <c r="D84" t="s">
        <v>133</v>
      </c>
      <c r="E84" t="s">
        <v>121</v>
      </c>
      <c r="F84" t="s">
        <v>109</v>
      </c>
      <c r="G84" t="s">
        <v>25</v>
      </c>
      <c r="H84" t="s">
        <v>26</v>
      </c>
      <c r="I84" t="s">
        <v>27</v>
      </c>
      <c r="J84">
        <v>6</v>
      </c>
      <c r="K84">
        <v>6000</v>
      </c>
      <c r="L84" s="1">
        <v>46202</v>
      </c>
      <c r="M84">
        <v>249.45</v>
      </c>
      <c r="N84" t="s">
        <v>19</v>
      </c>
    </row>
    <row r="85" spans="1:14" x14ac:dyDescent="0.35">
      <c r="A85" t="s">
        <v>14</v>
      </c>
      <c r="B85" t="s">
        <v>15</v>
      </c>
      <c r="C85" t="s">
        <v>16</v>
      </c>
      <c r="D85" t="s">
        <v>133</v>
      </c>
      <c r="E85" t="s">
        <v>121</v>
      </c>
      <c r="F85" t="s">
        <v>114</v>
      </c>
      <c r="G85" t="s">
        <v>25</v>
      </c>
      <c r="H85" t="s">
        <v>37</v>
      </c>
      <c r="I85" t="s">
        <v>38</v>
      </c>
      <c r="J85">
        <v>4</v>
      </c>
      <c r="K85">
        <v>4000</v>
      </c>
      <c r="L85" s="1">
        <v>46203</v>
      </c>
      <c r="M85">
        <v>480</v>
      </c>
      <c r="N85" t="s">
        <v>19</v>
      </c>
    </row>
    <row r="86" spans="1:14" x14ac:dyDescent="0.35">
      <c r="A86" t="s">
        <v>14</v>
      </c>
      <c r="B86" t="s">
        <v>15</v>
      </c>
      <c r="C86" t="s">
        <v>16</v>
      </c>
      <c r="D86" t="s">
        <v>133</v>
      </c>
      <c r="E86" t="s">
        <v>121</v>
      </c>
      <c r="F86" t="s">
        <v>115</v>
      </c>
      <c r="G86" t="s">
        <v>25</v>
      </c>
      <c r="H86" t="s">
        <v>144</v>
      </c>
      <c r="I86" t="s">
        <v>145</v>
      </c>
      <c r="J86">
        <v>4</v>
      </c>
      <c r="K86">
        <v>4000</v>
      </c>
      <c r="L86" s="1">
        <v>46203</v>
      </c>
      <c r="M86">
        <v>360</v>
      </c>
      <c r="N86" t="s">
        <v>19</v>
      </c>
    </row>
    <row r="87" spans="1:14" x14ac:dyDescent="0.35">
      <c r="A87" t="s">
        <v>14</v>
      </c>
      <c r="B87" t="s">
        <v>15</v>
      </c>
      <c r="C87" t="s">
        <v>16</v>
      </c>
      <c r="D87" t="s">
        <v>133</v>
      </c>
      <c r="E87" t="s">
        <v>121</v>
      </c>
      <c r="F87" t="s">
        <v>116</v>
      </c>
      <c r="G87" t="s">
        <v>25</v>
      </c>
      <c r="H87" t="s">
        <v>26</v>
      </c>
      <c r="I87" t="s">
        <v>27</v>
      </c>
      <c r="J87">
        <v>4</v>
      </c>
      <c r="K87">
        <v>4000</v>
      </c>
      <c r="L87" s="1">
        <v>46203</v>
      </c>
      <c r="M87">
        <v>249.45</v>
      </c>
      <c r="N87" t="s">
        <v>19</v>
      </c>
    </row>
    <row r="88" spans="1:14" x14ac:dyDescent="0.35">
      <c r="A88" t="s">
        <v>14</v>
      </c>
      <c r="B88" t="s">
        <v>15</v>
      </c>
      <c r="C88" t="s">
        <v>16</v>
      </c>
      <c r="D88" t="s">
        <v>147</v>
      </c>
      <c r="E88" t="s">
        <v>17</v>
      </c>
      <c r="F88" t="s">
        <v>32</v>
      </c>
      <c r="G88" t="s">
        <v>25</v>
      </c>
      <c r="H88" t="s">
        <v>148</v>
      </c>
      <c r="I88" t="s">
        <v>149</v>
      </c>
      <c r="J88">
        <v>1</v>
      </c>
      <c r="K88">
        <v>1000</v>
      </c>
      <c r="L88" s="1">
        <v>46204</v>
      </c>
      <c r="M88">
        <v>480</v>
      </c>
      <c r="N88" t="s">
        <v>19</v>
      </c>
    </row>
    <row r="89" spans="1:14" x14ac:dyDescent="0.35">
      <c r="A89" t="s">
        <v>14</v>
      </c>
      <c r="B89" t="s">
        <v>15</v>
      </c>
      <c r="C89" t="s">
        <v>16</v>
      </c>
      <c r="D89" t="s">
        <v>147</v>
      </c>
      <c r="E89" t="s">
        <v>17</v>
      </c>
      <c r="F89" t="s">
        <v>33</v>
      </c>
      <c r="G89" t="s">
        <v>25</v>
      </c>
      <c r="H89" t="s">
        <v>150</v>
      </c>
      <c r="I89" t="s">
        <v>151</v>
      </c>
      <c r="J89">
        <v>0.2</v>
      </c>
      <c r="K89">
        <v>200</v>
      </c>
      <c r="L89" s="1">
        <v>46204</v>
      </c>
      <c r="M89">
        <v>215.64</v>
      </c>
      <c r="N89" t="s">
        <v>19</v>
      </c>
    </row>
    <row r="90" spans="1:14" x14ac:dyDescent="0.35">
      <c r="A90" t="s">
        <v>14</v>
      </c>
      <c r="B90" t="s">
        <v>15</v>
      </c>
      <c r="C90" t="s">
        <v>16</v>
      </c>
      <c r="D90" t="s">
        <v>147</v>
      </c>
      <c r="E90" t="s">
        <v>17</v>
      </c>
      <c r="F90" t="s">
        <v>36</v>
      </c>
      <c r="G90" t="s">
        <v>25</v>
      </c>
      <c r="H90" t="s">
        <v>112</v>
      </c>
      <c r="I90" t="s">
        <v>113</v>
      </c>
      <c r="J90">
        <v>3</v>
      </c>
      <c r="K90">
        <v>3000</v>
      </c>
      <c r="L90" s="1">
        <v>46204</v>
      </c>
      <c r="M90">
        <v>249.45</v>
      </c>
      <c r="N90" t="s">
        <v>19</v>
      </c>
    </row>
    <row r="91" spans="1:14" x14ac:dyDescent="0.35">
      <c r="A91" t="s">
        <v>14</v>
      </c>
      <c r="B91" t="s">
        <v>15</v>
      </c>
      <c r="C91" t="s">
        <v>16</v>
      </c>
      <c r="D91" t="s">
        <v>147</v>
      </c>
      <c r="E91" t="s">
        <v>17</v>
      </c>
      <c r="F91" t="s">
        <v>39</v>
      </c>
      <c r="G91" t="s">
        <v>25</v>
      </c>
      <c r="H91" t="s">
        <v>59</v>
      </c>
      <c r="I91" t="s">
        <v>60</v>
      </c>
      <c r="J91">
        <v>0.8</v>
      </c>
      <c r="K91">
        <v>800</v>
      </c>
      <c r="L91" s="1">
        <v>46204</v>
      </c>
      <c r="M91">
        <v>480</v>
      </c>
      <c r="N91" t="s">
        <v>19</v>
      </c>
    </row>
    <row r="92" spans="1:14" x14ac:dyDescent="0.35">
      <c r="A92" t="s">
        <v>14</v>
      </c>
      <c r="B92" t="s">
        <v>15</v>
      </c>
      <c r="C92" t="s">
        <v>16</v>
      </c>
      <c r="D92" t="s">
        <v>147</v>
      </c>
      <c r="E92" t="s">
        <v>17</v>
      </c>
      <c r="F92" t="s">
        <v>40</v>
      </c>
      <c r="G92" t="s">
        <v>25</v>
      </c>
      <c r="H92" t="s">
        <v>152</v>
      </c>
      <c r="I92" t="s">
        <v>153</v>
      </c>
      <c r="J92">
        <v>0.8</v>
      </c>
      <c r="K92">
        <v>800</v>
      </c>
      <c r="L92" s="1">
        <v>46204</v>
      </c>
      <c r="M92">
        <v>582</v>
      </c>
      <c r="N92" t="s">
        <v>19</v>
      </c>
    </row>
    <row r="93" spans="1:14" x14ac:dyDescent="0.35">
      <c r="A93" t="s">
        <v>14</v>
      </c>
      <c r="B93" t="s">
        <v>15</v>
      </c>
      <c r="C93" t="s">
        <v>16</v>
      </c>
      <c r="D93" t="s">
        <v>147</v>
      </c>
      <c r="E93" t="s">
        <v>17</v>
      </c>
      <c r="F93" t="s">
        <v>41</v>
      </c>
      <c r="G93" t="s">
        <v>25</v>
      </c>
      <c r="H93" t="s">
        <v>61</v>
      </c>
      <c r="I93" t="s">
        <v>62</v>
      </c>
      <c r="J93">
        <v>3.2</v>
      </c>
      <c r="K93">
        <v>3200</v>
      </c>
      <c r="L93" s="1">
        <v>46204</v>
      </c>
      <c r="M93">
        <v>249.45</v>
      </c>
      <c r="N93" t="s">
        <v>19</v>
      </c>
    </row>
    <row r="94" spans="1:14" x14ac:dyDescent="0.35">
      <c r="A94" t="s">
        <v>14</v>
      </c>
      <c r="B94" t="s">
        <v>15</v>
      </c>
      <c r="C94" t="s">
        <v>16</v>
      </c>
      <c r="D94" t="s">
        <v>147</v>
      </c>
      <c r="E94" t="s">
        <v>17</v>
      </c>
      <c r="F94" t="s">
        <v>42</v>
      </c>
      <c r="G94" t="s">
        <v>25</v>
      </c>
      <c r="H94" t="s">
        <v>79</v>
      </c>
      <c r="I94" t="s">
        <v>80</v>
      </c>
      <c r="J94">
        <v>12.65</v>
      </c>
      <c r="K94">
        <v>3600</v>
      </c>
      <c r="L94" s="1">
        <v>46205</v>
      </c>
      <c r="M94">
        <v>480</v>
      </c>
      <c r="N94" t="s">
        <v>19</v>
      </c>
    </row>
    <row r="95" spans="1:14" x14ac:dyDescent="0.35">
      <c r="A95" t="s">
        <v>14</v>
      </c>
      <c r="B95" t="s">
        <v>15</v>
      </c>
      <c r="C95" t="s">
        <v>16</v>
      </c>
      <c r="D95" t="s">
        <v>147</v>
      </c>
      <c r="E95" t="s">
        <v>17</v>
      </c>
      <c r="F95" t="s">
        <v>43</v>
      </c>
      <c r="G95" t="s">
        <v>25</v>
      </c>
      <c r="H95" t="s">
        <v>81</v>
      </c>
      <c r="I95" t="s">
        <v>82</v>
      </c>
      <c r="J95">
        <v>5.6950000000000003</v>
      </c>
      <c r="K95">
        <v>1200</v>
      </c>
      <c r="L95" s="1">
        <v>46205</v>
      </c>
      <c r="M95">
        <v>360</v>
      </c>
      <c r="N95" t="s">
        <v>19</v>
      </c>
    </row>
    <row r="96" spans="1:14" x14ac:dyDescent="0.35">
      <c r="A96" t="s">
        <v>14</v>
      </c>
      <c r="B96" t="s">
        <v>15</v>
      </c>
      <c r="C96" t="s">
        <v>16</v>
      </c>
      <c r="D96" t="s">
        <v>147</v>
      </c>
      <c r="E96" t="s">
        <v>17</v>
      </c>
      <c r="F96" t="s">
        <v>44</v>
      </c>
      <c r="G96" t="s">
        <v>25</v>
      </c>
      <c r="H96" t="s">
        <v>86</v>
      </c>
      <c r="I96" t="s">
        <v>87</v>
      </c>
      <c r="J96">
        <v>17.64</v>
      </c>
      <c r="K96">
        <v>3600</v>
      </c>
      <c r="L96" s="1">
        <v>46205</v>
      </c>
      <c r="M96">
        <v>240</v>
      </c>
      <c r="N96" t="s">
        <v>19</v>
      </c>
    </row>
    <row r="97" spans="1:14" x14ac:dyDescent="0.35">
      <c r="A97" t="s">
        <v>14</v>
      </c>
      <c r="B97" t="s">
        <v>15</v>
      </c>
      <c r="C97" t="s">
        <v>16</v>
      </c>
      <c r="D97" t="s">
        <v>147</v>
      </c>
      <c r="E97" t="s">
        <v>17</v>
      </c>
      <c r="F97" t="s">
        <v>47</v>
      </c>
      <c r="G97" t="s">
        <v>25</v>
      </c>
      <c r="H97" t="s">
        <v>154</v>
      </c>
      <c r="I97" t="s">
        <v>155</v>
      </c>
      <c r="J97">
        <v>4.1310000000000002</v>
      </c>
      <c r="K97">
        <v>1800</v>
      </c>
      <c r="L97" s="1">
        <v>46205</v>
      </c>
      <c r="M97">
        <v>215.64</v>
      </c>
      <c r="N97" t="s">
        <v>19</v>
      </c>
    </row>
    <row r="98" spans="1:14" x14ac:dyDescent="0.35">
      <c r="A98" t="s">
        <v>14</v>
      </c>
      <c r="B98" t="s">
        <v>15</v>
      </c>
      <c r="C98" t="s">
        <v>16</v>
      </c>
      <c r="D98" t="s">
        <v>147</v>
      </c>
      <c r="E98" t="s">
        <v>17</v>
      </c>
      <c r="F98" t="s">
        <v>50</v>
      </c>
      <c r="G98" t="s">
        <v>25</v>
      </c>
      <c r="H98" t="s">
        <v>34</v>
      </c>
      <c r="I98" t="s">
        <v>35</v>
      </c>
      <c r="J98">
        <v>13.888999999999999</v>
      </c>
      <c r="K98">
        <v>3600</v>
      </c>
      <c r="L98" s="1">
        <v>46206</v>
      </c>
      <c r="M98">
        <v>480</v>
      </c>
      <c r="N98" t="s">
        <v>19</v>
      </c>
    </row>
    <row r="99" spans="1:14" x14ac:dyDescent="0.35">
      <c r="A99" t="s">
        <v>14</v>
      </c>
      <c r="B99" t="s">
        <v>15</v>
      </c>
      <c r="C99" t="s">
        <v>16</v>
      </c>
      <c r="D99" t="s">
        <v>147</v>
      </c>
      <c r="E99" t="s">
        <v>17</v>
      </c>
      <c r="F99" t="s">
        <v>53</v>
      </c>
      <c r="G99" t="s">
        <v>25</v>
      </c>
      <c r="H99" t="s">
        <v>73</v>
      </c>
      <c r="I99" t="s">
        <v>74</v>
      </c>
      <c r="J99">
        <v>4.63</v>
      </c>
      <c r="K99">
        <v>1200</v>
      </c>
      <c r="L99" s="1">
        <v>46206</v>
      </c>
      <c r="M99">
        <v>360</v>
      </c>
      <c r="N99" t="s">
        <v>19</v>
      </c>
    </row>
    <row r="100" spans="1:14" x14ac:dyDescent="0.35">
      <c r="A100" t="s">
        <v>14</v>
      </c>
      <c r="B100" t="s">
        <v>15</v>
      </c>
      <c r="C100" t="s">
        <v>16</v>
      </c>
      <c r="D100" t="s">
        <v>147</v>
      </c>
      <c r="E100" t="s">
        <v>17</v>
      </c>
      <c r="F100" t="s">
        <v>54</v>
      </c>
      <c r="G100" t="s">
        <v>25</v>
      </c>
      <c r="H100" t="s">
        <v>77</v>
      </c>
      <c r="I100" t="s">
        <v>78</v>
      </c>
      <c r="J100">
        <v>13.888999999999999</v>
      </c>
      <c r="K100">
        <v>3600</v>
      </c>
      <c r="L100" s="1">
        <v>46206</v>
      </c>
      <c r="M100">
        <v>240</v>
      </c>
      <c r="N100" t="s">
        <v>19</v>
      </c>
    </row>
    <row r="101" spans="1:14" x14ac:dyDescent="0.35">
      <c r="A101" t="s">
        <v>14</v>
      </c>
      <c r="B101" t="s">
        <v>15</v>
      </c>
      <c r="C101" t="s">
        <v>16</v>
      </c>
      <c r="D101" t="s">
        <v>147</v>
      </c>
      <c r="E101" t="s">
        <v>17</v>
      </c>
      <c r="F101" t="s">
        <v>55</v>
      </c>
      <c r="G101" t="s">
        <v>25</v>
      </c>
      <c r="H101" t="s">
        <v>110</v>
      </c>
      <c r="I101" t="s">
        <v>111</v>
      </c>
      <c r="J101">
        <v>6.944</v>
      </c>
      <c r="K101">
        <v>1800</v>
      </c>
      <c r="L101" s="1">
        <v>46206</v>
      </c>
      <c r="M101">
        <v>215.64</v>
      </c>
      <c r="N101" t="s">
        <v>19</v>
      </c>
    </row>
    <row r="102" spans="1:14" x14ac:dyDescent="0.35">
      <c r="A102" t="s">
        <v>14</v>
      </c>
      <c r="B102" t="s">
        <v>15</v>
      </c>
      <c r="C102" t="s">
        <v>16</v>
      </c>
      <c r="D102" t="s">
        <v>147</v>
      </c>
      <c r="E102" t="s">
        <v>17</v>
      </c>
      <c r="F102" t="s">
        <v>56</v>
      </c>
      <c r="G102" t="s">
        <v>25</v>
      </c>
      <c r="H102" t="s">
        <v>34</v>
      </c>
      <c r="I102" t="s">
        <v>35</v>
      </c>
      <c r="J102">
        <v>6.944</v>
      </c>
      <c r="K102">
        <v>1800</v>
      </c>
      <c r="L102" s="1">
        <v>46207</v>
      </c>
      <c r="M102">
        <v>480</v>
      </c>
      <c r="N102" t="s">
        <v>19</v>
      </c>
    </row>
    <row r="103" spans="1:14" x14ac:dyDescent="0.35">
      <c r="A103" t="s">
        <v>14</v>
      </c>
      <c r="B103" t="s">
        <v>15</v>
      </c>
      <c r="C103" t="s">
        <v>16</v>
      </c>
      <c r="D103" t="s">
        <v>147</v>
      </c>
      <c r="E103" t="s">
        <v>17</v>
      </c>
      <c r="F103" t="s">
        <v>85</v>
      </c>
      <c r="G103" t="s">
        <v>25</v>
      </c>
      <c r="H103" t="s">
        <v>73</v>
      </c>
      <c r="I103" t="s">
        <v>74</v>
      </c>
      <c r="J103">
        <v>4.63</v>
      </c>
      <c r="K103">
        <v>1200</v>
      </c>
      <c r="L103" s="1">
        <v>46207</v>
      </c>
      <c r="M103">
        <v>360</v>
      </c>
      <c r="N103" t="s">
        <v>19</v>
      </c>
    </row>
    <row r="104" spans="1:14" x14ac:dyDescent="0.35">
      <c r="A104" t="s">
        <v>14</v>
      </c>
      <c r="B104" t="s">
        <v>15</v>
      </c>
      <c r="C104" t="s">
        <v>16</v>
      </c>
      <c r="D104" t="s">
        <v>147</v>
      </c>
      <c r="E104" t="s">
        <v>17</v>
      </c>
      <c r="F104" t="s">
        <v>88</v>
      </c>
      <c r="G104" t="s">
        <v>25</v>
      </c>
      <c r="H104" t="s">
        <v>75</v>
      </c>
      <c r="I104" t="s">
        <v>76</v>
      </c>
      <c r="J104">
        <v>6.944</v>
      </c>
      <c r="K104">
        <v>1800</v>
      </c>
      <c r="L104" s="1">
        <v>46207</v>
      </c>
      <c r="M104">
        <v>582</v>
      </c>
      <c r="N104" t="s">
        <v>19</v>
      </c>
    </row>
    <row r="105" spans="1:14" x14ac:dyDescent="0.35">
      <c r="A105" t="s">
        <v>14</v>
      </c>
      <c r="B105" t="s">
        <v>15</v>
      </c>
      <c r="C105" t="s">
        <v>16</v>
      </c>
      <c r="D105" t="s">
        <v>147</v>
      </c>
      <c r="E105" t="s">
        <v>17</v>
      </c>
      <c r="F105" t="s">
        <v>89</v>
      </c>
      <c r="G105" t="s">
        <v>25</v>
      </c>
      <c r="H105" t="s">
        <v>107</v>
      </c>
      <c r="I105" t="s">
        <v>108</v>
      </c>
      <c r="J105">
        <v>3.8580000000000001</v>
      </c>
      <c r="K105">
        <v>1000</v>
      </c>
      <c r="L105" s="1">
        <v>46207</v>
      </c>
      <c r="M105">
        <v>312.36</v>
      </c>
      <c r="N105" t="s">
        <v>19</v>
      </c>
    </row>
    <row r="106" spans="1:14" x14ac:dyDescent="0.35">
      <c r="A106" t="s">
        <v>14</v>
      </c>
      <c r="B106" t="s">
        <v>15</v>
      </c>
      <c r="C106" t="s">
        <v>16</v>
      </c>
      <c r="D106" t="s">
        <v>147</v>
      </c>
      <c r="E106" t="s">
        <v>17</v>
      </c>
      <c r="F106" t="s">
        <v>90</v>
      </c>
      <c r="G106" t="s">
        <v>25</v>
      </c>
      <c r="H106" t="s">
        <v>77</v>
      </c>
      <c r="I106" t="s">
        <v>78</v>
      </c>
      <c r="J106">
        <v>6.944</v>
      </c>
      <c r="K106">
        <v>1800</v>
      </c>
      <c r="L106" s="1">
        <v>46207</v>
      </c>
      <c r="M106">
        <v>240</v>
      </c>
      <c r="N106" t="s">
        <v>19</v>
      </c>
    </row>
    <row r="107" spans="1:14" x14ac:dyDescent="0.35">
      <c r="A107" t="s">
        <v>14</v>
      </c>
      <c r="B107" t="s">
        <v>15</v>
      </c>
      <c r="C107" t="s">
        <v>16</v>
      </c>
      <c r="D107" t="s">
        <v>147</v>
      </c>
      <c r="E107" t="s">
        <v>17</v>
      </c>
      <c r="F107" t="s">
        <v>91</v>
      </c>
      <c r="G107" t="s">
        <v>25</v>
      </c>
      <c r="H107" t="s">
        <v>110</v>
      </c>
      <c r="I107" t="s">
        <v>111</v>
      </c>
      <c r="J107">
        <v>6.944</v>
      </c>
      <c r="K107">
        <v>1800</v>
      </c>
      <c r="L107" s="1">
        <v>46207</v>
      </c>
      <c r="M107">
        <v>215.64</v>
      </c>
      <c r="N107" t="s">
        <v>19</v>
      </c>
    </row>
    <row r="108" spans="1:14" x14ac:dyDescent="0.35">
      <c r="A108" t="s">
        <v>14</v>
      </c>
      <c r="B108" t="s">
        <v>15</v>
      </c>
      <c r="C108" t="s">
        <v>16</v>
      </c>
      <c r="D108" t="s">
        <v>4902</v>
      </c>
      <c r="E108" t="s">
        <v>17</v>
      </c>
      <c r="F108" t="s">
        <v>33</v>
      </c>
      <c r="G108" t="s">
        <v>25</v>
      </c>
      <c r="H108" t="s">
        <v>79</v>
      </c>
      <c r="I108" t="s">
        <v>80</v>
      </c>
      <c r="J108">
        <v>3.1629999999999998</v>
      </c>
      <c r="K108">
        <v>900</v>
      </c>
      <c r="L108" s="1">
        <v>46211</v>
      </c>
      <c r="M108">
        <v>480</v>
      </c>
      <c r="N108" t="s">
        <v>19</v>
      </c>
    </row>
    <row r="109" spans="1:14" x14ac:dyDescent="0.35">
      <c r="A109" t="s">
        <v>14</v>
      </c>
      <c r="B109" t="s">
        <v>15</v>
      </c>
      <c r="C109" t="s">
        <v>16</v>
      </c>
      <c r="D109" t="s">
        <v>4902</v>
      </c>
      <c r="E109" t="s">
        <v>17</v>
      </c>
      <c r="F109" t="s">
        <v>36</v>
      </c>
      <c r="G109" t="s">
        <v>25</v>
      </c>
      <c r="H109" t="s">
        <v>81</v>
      </c>
      <c r="I109" t="s">
        <v>82</v>
      </c>
      <c r="J109">
        <v>2.8479999999999999</v>
      </c>
      <c r="K109">
        <v>600</v>
      </c>
      <c r="L109" s="1">
        <v>46211</v>
      </c>
      <c r="M109">
        <v>360</v>
      </c>
      <c r="N109" t="s">
        <v>19</v>
      </c>
    </row>
    <row r="110" spans="1:14" x14ac:dyDescent="0.35">
      <c r="A110" t="s">
        <v>14</v>
      </c>
      <c r="B110" t="s">
        <v>15</v>
      </c>
      <c r="C110" t="s">
        <v>16</v>
      </c>
      <c r="D110" t="s">
        <v>4902</v>
      </c>
      <c r="E110" t="s">
        <v>17</v>
      </c>
      <c r="F110" t="s">
        <v>39</v>
      </c>
      <c r="G110" t="s">
        <v>25</v>
      </c>
      <c r="H110" t="s">
        <v>83</v>
      </c>
      <c r="I110" t="s">
        <v>84</v>
      </c>
      <c r="J110">
        <v>2.7309999999999999</v>
      </c>
      <c r="K110">
        <v>900</v>
      </c>
      <c r="L110" s="1">
        <v>46211</v>
      </c>
      <c r="M110">
        <v>582</v>
      </c>
      <c r="N110" t="s">
        <v>19</v>
      </c>
    </row>
    <row r="111" spans="1:14" x14ac:dyDescent="0.35">
      <c r="A111" t="s">
        <v>14</v>
      </c>
      <c r="B111" t="s">
        <v>15</v>
      </c>
      <c r="C111" t="s">
        <v>16</v>
      </c>
      <c r="D111" t="s">
        <v>4902</v>
      </c>
      <c r="E111" t="s">
        <v>17</v>
      </c>
      <c r="F111" t="s">
        <v>40</v>
      </c>
      <c r="G111" t="s">
        <v>25</v>
      </c>
      <c r="H111" t="s">
        <v>86</v>
      </c>
      <c r="I111" t="s">
        <v>87</v>
      </c>
      <c r="J111">
        <v>8.82</v>
      </c>
      <c r="K111">
        <v>1800</v>
      </c>
      <c r="L111" s="1">
        <v>46211</v>
      </c>
      <c r="M111">
        <v>240</v>
      </c>
      <c r="N111" t="s">
        <v>19</v>
      </c>
    </row>
    <row r="112" spans="1:14" x14ac:dyDescent="0.35">
      <c r="A112" t="s">
        <v>14</v>
      </c>
      <c r="B112" t="s">
        <v>15</v>
      </c>
      <c r="C112" t="s">
        <v>16</v>
      </c>
      <c r="D112" t="s">
        <v>4902</v>
      </c>
      <c r="E112" t="s">
        <v>17</v>
      </c>
      <c r="F112" t="s">
        <v>41</v>
      </c>
      <c r="G112" t="s">
        <v>25</v>
      </c>
      <c r="H112" t="s">
        <v>154</v>
      </c>
      <c r="I112" t="s">
        <v>155</v>
      </c>
      <c r="J112">
        <v>2.0659999999999998</v>
      </c>
      <c r="K112">
        <v>900</v>
      </c>
      <c r="L112" s="1">
        <v>46211</v>
      </c>
      <c r="M112">
        <v>215.64</v>
      </c>
      <c r="N112" t="s">
        <v>19</v>
      </c>
    </row>
    <row r="113" spans="1:14" x14ac:dyDescent="0.35">
      <c r="A113" t="s">
        <v>14</v>
      </c>
      <c r="B113" t="s">
        <v>15</v>
      </c>
      <c r="C113" t="s">
        <v>16</v>
      </c>
      <c r="D113" t="s">
        <v>4902</v>
      </c>
      <c r="E113" t="s">
        <v>17</v>
      </c>
      <c r="F113" t="s">
        <v>42</v>
      </c>
      <c r="G113" t="s">
        <v>25</v>
      </c>
      <c r="H113" t="s">
        <v>34</v>
      </c>
      <c r="I113" t="s">
        <v>35</v>
      </c>
      <c r="J113">
        <v>6.944</v>
      </c>
      <c r="K113">
        <v>1800</v>
      </c>
      <c r="L113" s="1">
        <v>46212</v>
      </c>
      <c r="M113">
        <v>480</v>
      </c>
      <c r="N113" t="s">
        <v>19</v>
      </c>
    </row>
    <row r="114" spans="1:14" x14ac:dyDescent="0.35">
      <c r="A114" t="s">
        <v>14</v>
      </c>
      <c r="B114" t="s">
        <v>15</v>
      </c>
      <c r="C114" t="s">
        <v>16</v>
      </c>
      <c r="D114" t="s">
        <v>4902</v>
      </c>
      <c r="E114" t="s">
        <v>17</v>
      </c>
      <c r="F114" t="s">
        <v>43</v>
      </c>
      <c r="G114" t="s">
        <v>25</v>
      </c>
      <c r="H114" t="s">
        <v>73</v>
      </c>
      <c r="I114" t="s">
        <v>74</v>
      </c>
      <c r="J114">
        <v>4.63</v>
      </c>
      <c r="K114">
        <v>1200</v>
      </c>
      <c r="L114" s="1">
        <v>46212</v>
      </c>
      <c r="M114">
        <v>360</v>
      </c>
      <c r="N114" t="s">
        <v>19</v>
      </c>
    </row>
    <row r="115" spans="1:14" x14ac:dyDescent="0.35">
      <c r="A115" t="s">
        <v>14</v>
      </c>
      <c r="B115" t="s">
        <v>15</v>
      </c>
      <c r="C115" t="s">
        <v>16</v>
      </c>
      <c r="D115" t="s">
        <v>4902</v>
      </c>
      <c r="E115" t="s">
        <v>17</v>
      </c>
      <c r="F115" t="s">
        <v>44</v>
      </c>
      <c r="G115" t="s">
        <v>25</v>
      </c>
      <c r="H115" t="s">
        <v>75</v>
      </c>
      <c r="I115" t="s">
        <v>76</v>
      </c>
      <c r="J115">
        <v>6.944</v>
      </c>
      <c r="K115">
        <v>1800</v>
      </c>
      <c r="L115" s="1">
        <v>46212</v>
      </c>
      <c r="M115">
        <v>582</v>
      </c>
      <c r="N115" t="s">
        <v>19</v>
      </c>
    </row>
    <row r="116" spans="1:14" x14ac:dyDescent="0.35">
      <c r="A116" t="s">
        <v>14</v>
      </c>
      <c r="B116" t="s">
        <v>15</v>
      </c>
      <c r="C116" t="s">
        <v>16</v>
      </c>
      <c r="D116" t="s">
        <v>4902</v>
      </c>
      <c r="E116" t="s">
        <v>17</v>
      </c>
      <c r="F116" t="s">
        <v>47</v>
      </c>
      <c r="G116" t="s">
        <v>25</v>
      </c>
      <c r="H116" t="s">
        <v>77</v>
      </c>
      <c r="I116" t="s">
        <v>78</v>
      </c>
      <c r="J116">
        <v>13.888999999999999</v>
      </c>
      <c r="K116">
        <v>3600</v>
      </c>
      <c r="L116" s="1">
        <v>46212</v>
      </c>
      <c r="M116">
        <v>240</v>
      </c>
      <c r="N116" t="s">
        <v>19</v>
      </c>
    </row>
    <row r="117" spans="1:14" x14ac:dyDescent="0.35">
      <c r="A117" t="s">
        <v>14</v>
      </c>
      <c r="B117" t="s">
        <v>15</v>
      </c>
      <c r="C117" t="s">
        <v>16</v>
      </c>
      <c r="D117" t="s">
        <v>4902</v>
      </c>
      <c r="E117" t="s">
        <v>17</v>
      </c>
      <c r="F117" t="s">
        <v>50</v>
      </c>
      <c r="G117" t="s">
        <v>25</v>
      </c>
      <c r="H117" t="s">
        <v>110</v>
      </c>
      <c r="I117" t="s">
        <v>111</v>
      </c>
      <c r="J117">
        <v>6.944</v>
      </c>
      <c r="K117">
        <v>1800</v>
      </c>
      <c r="L117" s="1">
        <v>46212</v>
      </c>
      <c r="M117">
        <v>215.64</v>
      </c>
      <c r="N117" t="s">
        <v>19</v>
      </c>
    </row>
    <row r="118" spans="1:14" x14ac:dyDescent="0.35">
      <c r="A118" t="s">
        <v>14</v>
      </c>
      <c r="B118" t="s">
        <v>15</v>
      </c>
      <c r="C118" t="s">
        <v>16</v>
      </c>
      <c r="D118" t="s">
        <v>4902</v>
      </c>
      <c r="E118" t="s">
        <v>17</v>
      </c>
      <c r="F118" t="s">
        <v>53</v>
      </c>
      <c r="G118" t="s">
        <v>25</v>
      </c>
      <c r="H118" t="s">
        <v>34</v>
      </c>
      <c r="I118" t="s">
        <v>35</v>
      </c>
      <c r="J118">
        <v>6.944</v>
      </c>
      <c r="K118">
        <v>1800</v>
      </c>
      <c r="L118" s="1">
        <v>46213</v>
      </c>
      <c r="M118">
        <v>480</v>
      </c>
      <c r="N118" t="s">
        <v>19</v>
      </c>
    </row>
    <row r="119" spans="1:14" x14ac:dyDescent="0.35">
      <c r="A119" t="s">
        <v>14</v>
      </c>
      <c r="B119" t="s">
        <v>15</v>
      </c>
      <c r="C119" t="s">
        <v>16</v>
      </c>
      <c r="D119" t="s">
        <v>4902</v>
      </c>
      <c r="E119" t="s">
        <v>17</v>
      </c>
      <c r="F119" t="s">
        <v>54</v>
      </c>
      <c r="G119" t="s">
        <v>25</v>
      </c>
      <c r="H119" t="s">
        <v>73</v>
      </c>
      <c r="I119" t="s">
        <v>74</v>
      </c>
      <c r="J119">
        <v>4.63</v>
      </c>
      <c r="K119">
        <v>1200</v>
      </c>
      <c r="L119" s="1">
        <v>46213</v>
      </c>
      <c r="M119">
        <v>360</v>
      </c>
      <c r="N119" t="s">
        <v>19</v>
      </c>
    </row>
    <row r="120" spans="1:14" x14ac:dyDescent="0.35">
      <c r="A120" t="s">
        <v>14</v>
      </c>
      <c r="B120" t="s">
        <v>15</v>
      </c>
      <c r="C120" t="s">
        <v>16</v>
      </c>
      <c r="D120" t="s">
        <v>4902</v>
      </c>
      <c r="E120" t="s">
        <v>17</v>
      </c>
      <c r="F120" t="s">
        <v>55</v>
      </c>
      <c r="G120" t="s">
        <v>25</v>
      </c>
      <c r="H120" t="s">
        <v>75</v>
      </c>
      <c r="I120" t="s">
        <v>76</v>
      </c>
      <c r="J120">
        <v>6.944</v>
      </c>
      <c r="K120">
        <v>1800</v>
      </c>
      <c r="L120" s="1">
        <v>46213</v>
      </c>
      <c r="M120">
        <v>582</v>
      </c>
      <c r="N120" t="s">
        <v>19</v>
      </c>
    </row>
    <row r="121" spans="1:14" x14ac:dyDescent="0.35">
      <c r="A121" t="s">
        <v>14</v>
      </c>
      <c r="B121" t="s">
        <v>15</v>
      </c>
      <c r="C121" t="s">
        <v>16</v>
      </c>
      <c r="D121" t="s">
        <v>4902</v>
      </c>
      <c r="E121" t="s">
        <v>17</v>
      </c>
      <c r="F121" t="s">
        <v>56</v>
      </c>
      <c r="G121" t="s">
        <v>25</v>
      </c>
      <c r="H121" t="s">
        <v>77</v>
      </c>
      <c r="I121" t="s">
        <v>78</v>
      </c>
      <c r="J121">
        <v>13.888999999999999</v>
      </c>
      <c r="K121">
        <v>3600</v>
      </c>
      <c r="L121" s="1">
        <v>46213</v>
      </c>
      <c r="M121">
        <v>240</v>
      </c>
      <c r="N121" t="s">
        <v>19</v>
      </c>
    </row>
    <row r="122" spans="1:14" x14ac:dyDescent="0.35">
      <c r="A122" t="s">
        <v>14</v>
      </c>
      <c r="B122" t="s">
        <v>15</v>
      </c>
      <c r="C122" t="s">
        <v>16</v>
      </c>
      <c r="D122" t="s">
        <v>4902</v>
      </c>
      <c r="E122" t="s">
        <v>17</v>
      </c>
      <c r="F122" t="s">
        <v>85</v>
      </c>
      <c r="G122" t="s">
        <v>25</v>
      </c>
      <c r="H122" t="s">
        <v>110</v>
      </c>
      <c r="I122" t="s">
        <v>111</v>
      </c>
      <c r="J122">
        <v>3.472</v>
      </c>
      <c r="K122">
        <v>900</v>
      </c>
      <c r="L122" s="1">
        <v>46213</v>
      </c>
      <c r="M122">
        <v>215.64</v>
      </c>
      <c r="N122" t="s">
        <v>19</v>
      </c>
    </row>
    <row r="123" spans="1:14" x14ac:dyDescent="0.35">
      <c r="A123" t="s">
        <v>14</v>
      </c>
      <c r="B123" t="s">
        <v>15</v>
      </c>
      <c r="C123" t="s">
        <v>16</v>
      </c>
      <c r="D123" t="s">
        <v>4902</v>
      </c>
      <c r="E123" t="s">
        <v>17</v>
      </c>
      <c r="F123" t="s">
        <v>88</v>
      </c>
      <c r="G123" t="s">
        <v>25</v>
      </c>
      <c r="H123" t="s">
        <v>4903</v>
      </c>
      <c r="I123" t="s">
        <v>4904</v>
      </c>
      <c r="J123">
        <v>2.46</v>
      </c>
      <c r="K123">
        <v>700</v>
      </c>
      <c r="L123" s="1">
        <v>46214</v>
      </c>
      <c r="M123">
        <v>480</v>
      </c>
      <c r="N123" t="s">
        <v>19</v>
      </c>
    </row>
    <row r="124" spans="1:14" x14ac:dyDescent="0.35">
      <c r="A124" t="s">
        <v>14</v>
      </c>
      <c r="B124" t="s">
        <v>15</v>
      </c>
      <c r="C124" t="s">
        <v>16</v>
      </c>
      <c r="D124" t="s">
        <v>4902</v>
      </c>
      <c r="E124" t="s">
        <v>17</v>
      </c>
      <c r="F124" t="s">
        <v>89</v>
      </c>
      <c r="G124" t="s">
        <v>25</v>
      </c>
      <c r="H124" t="s">
        <v>4905</v>
      </c>
      <c r="I124" t="s">
        <v>4906</v>
      </c>
      <c r="J124">
        <v>1.8979999999999999</v>
      </c>
      <c r="K124">
        <v>400</v>
      </c>
      <c r="L124" s="1">
        <v>46214</v>
      </c>
      <c r="M124">
        <v>360</v>
      </c>
      <c r="N124" t="s">
        <v>19</v>
      </c>
    </row>
    <row r="125" spans="1:14" x14ac:dyDescent="0.35">
      <c r="A125" t="s">
        <v>14</v>
      </c>
      <c r="B125" t="s">
        <v>15</v>
      </c>
      <c r="C125" t="s">
        <v>16</v>
      </c>
      <c r="D125" t="s">
        <v>4902</v>
      </c>
      <c r="E125" t="s">
        <v>17</v>
      </c>
      <c r="F125" t="s">
        <v>90</v>
      </c>
      <c r="G125" t="s">
        <v>25</v>
      </c>
      <c r="H125" t="s">
        <v>4907</v>
      </c>
      <c r="I125" t="s">
        <v>4908</v>
      </c>
      <c r="J125">
        <v>2.1240000000000001</v>
      </c>
      <c r="K125">
        <v>700</v>
      </c>
      <c r="L125" s="1">
        <v>46214</v>
      </c>
      <c r="M125">
        <v>582</v>
      </c>
      <c r="N125" t="s">
        <v>19</v>
      </c>
    </row>
    <row r="126" spans="1:14" x14ac:dyDescent="0.35">
      <c r="A126" t="s">
        <v>14</v>
      </c>
      <c r="B126" t="s">
        <v>15</v>
      </c>
      <c r="C126" t="s">
        <v>16</v>
      </c>
      <c r="D126" t="s">
        <v>4902</v>
      </c>
      <c r="E126" t="s">
        <v>17</v>
      </c>
      <c r="F126" t="s">
        <v>91</v>
      </c>
      <c r="G126" t="s">
        <v>25</v>
      </c>
      <c r="H126" t="s">
        <v>4909</v>
      </c>
      <c r="I126" t="s">
        <v>4910</v>
      </c>
      <c r="J126">
        <v>1.607</v>
      </c>
      <c r="K126">
        <v>700</v>
      </c>
      <c r="L126" s="1">
        <v>46214</v>
      </c>
      <c r="M126">
        <v>215.64</v>
      </c>
      <c r="N126" t="s">
        <v>19</v>
      </c>
    </row>
    <row r="127" spans="1:14" x14ac:dyDescent="0.35">
      <c r="A127" t="s">
        <v>14</v>
      </c>
      <c r="B127" t="s">
        <v>15</v>
      </c>
      <c r="C127" t="s">
        <v>16</v>
      </c>
      <c r="D127" t="s">
        <v>4902</v>
      </c>
      <c r="E127" t="s">
        <v>17</v>
      </c>
      <c r="F127" t="s">
        <v>92</v>
      </c>
      <c r="G127" t="s">
        <v>25</v>
      </c>
      <c r="H127" t="s">
        <v>4911</v>
      </c>
      <c r="I127" t="s">
        <v>4912</v>
      </c>
      <c r="J127">
        <v>1.6679999999999999</v>
      </c>
      <c r="K127">
        <v>700</v>
      </c>
      <c r="L127" s="1">
        <v>46214</v>
      </c>
      <c r="M127">
        <v>249.45</v>
      </c>
      <c r="N127" t="s">
        <v>19</v>
      </c>
    </row>
    <row r="128" spans="1:14" x14ac:dyDescent="0.35">
      <c r="A128" t="s">
        <v>14</v>
      </c>
      <c r="B128" t="s">
        <v>15</v>
      </c>
      <c r="C128" t="s">
        <v>16</v>
      </c>
      <c r="D128" t="s">
        <v>4902</v>
      </c>
      <c r="E128" t="s">
        <v>17</v>
      </c>
      <c r="F128" t="s">
        <v>93</v>
      </c>
      <c r="G128" t="s">
        <v>25</v>
      </c>
      <c r="H128" t="s">
        <v>4913</v>
      </c>
      <c r="I128" t="s">
        <v>4914</v>
      </c>
      <c r="J128">
        <v>2.46</v>
      </c>
      <c r="K128">
        <v>700</v>
      </c>
      <c r="L128" s="1">
        <v>46214</v>
      </c>
      <c r="M128">
        <v>480</v>
      </c>
      <c r="N128" t="s">
        <v>19</v>
      </c>
    </row>
    <row r="129" spans="1:14" x14ac:dyDescent="0.35">
      <c r="A129" t="s">
        <v>14</v>
      </c>
      <c r="B129" t="s">
        <v>15</v>
      </c>
      <c r="C129" t="s">
        <v>16</v>
      </c>
      <c r="D129" t="s">
        <v>4902</v>
      </c>
      <c r="E129" t="s">
        <v>17</v>
      </c>
      <c r="F129" t="s">
        <v>94</v>
      </c>
      <c r="G129" t="s">
        <v>25</v>
      </c>
      <c r="H129" t="s">
        <v>4915</v>
      </c>
      <c r="I129" t="s">
        <v>4916</v>
      </c>
      <c r="J129">
        <v>1.8979999999999999</v>
      </c>
      <c r="K129">
        <v>400</v>
      </c>
      <c r="L129" s="1">
        <v>46214</v>
      </c>
      <c r="M129">
        <v>360</v>
      </c>
      <c r="N129" t="s">
        <v>19</v>
      </c>
    </row>
    <row r="130" spans="1:14" x14ac:dyDescent="0.35">
      <c r="A130" t="s">
        <v>14</v>
      </c>
      <c r="B130" t="s">
        <v>15</v>
      </c>
      <c r="C130" t="s">
        <v>16</v>
      </c>
      <c r="D130" t="s">
        <v>4902</v>
      </c>
      <c r="E130" t="s">
        <v>17</v>
      </c>
      <c r="F130" t="s">
        <v>95</v>
      </c>
      <c r="G130" t="s">
        <v>25</v>
      </c>
      <c r="H130" t="s">
        <v>4917</v>
      </c>
      <c r="I130" t="s">
        <v>4918</v>
      </c>
      <c r="J130">
        <v>2.1240000000000001</v>
      </c>
      <c r="K130">
        <v>700</v>
      </c>
      <c r="L130" s="1">
        <v>46214</v>
      </c>
      <c r="M130">
        <v>582</v>
      </c>
      <c r="N130" t="s">
        <v>19</v>
      </c>
    </row>
    <row r="131" spans="1:14" x14ac:dyDescent="0.35">
      <c r="A131" t="s">
        <v>14</v>
      </c>
      <c r="B131" t="s">
        <v>15</v>
      </c>
      <c r="C131" t="s">
        <v>16</v>
      </c>
      <c r="D131" t="s">
        <v>4902</v>
      </c>
      <c r="E131" t="s">
        <v>17</v>
      </c>
      <c r="F131" t="s">
        <v>96</v>
      </c>
      <c r="G131" t="s">
        <v>25</v>
      </c>
      <c r="H131" t="s">
        <v>4919</v>
      </c>
      <c r="I131" t="s">
        <v>4920</v>
      </c>
      <c r="J131">
        <v>1.607</v>
      </c>
      <c r="K131">
        <v>700</v>
      </c>
      <c r="L131" s="1">
        <v>46214</v>
      </c>
      <c r="M131">
        <v>215.64</v>
      </c>
      <c r="N131" t="s">
        <v>19</v>
      </c>
    </row>
    <row r="132" spans="1:14" x14ac:dyDescent="0.35">
      <c r="A132" t="s">
        <v>14</v>
      </c>
      <c r="B132" t="s">
        <v>15</v>
      </c>
      <c r="C132" t="s">
        <v>16</v>
      </c>
      <c r="D132" t="s">
        <v>4902</v>
      </c>
      <c r="E132" t="s">
        <v>17</v>
      </c>
      <c r="F132" t="s">
        <v>97</v>
      </c>
      <c r="G132" t="s">
        <v>25</v>
      </c>
      <c r="H132" t="s">
        <v>4921</v>
      </c>
      <c r="I132" t="s">
        <v>4922</v>
      </c>
      <c r="J132">
        <v>1.6679999999999999</v>
      </c>
      <c r="K132">
        <v>700</v>
      </c>
      <c r="L132" s="1">
        <v>46214</v>
      </c>
      <c r="M132">
        <v>249.45</v>
      </c>
      <c r="N132" t="s">
        <v>19</v>
      </c>
    </row>
    <row r="133" spans="1:14" x14ac:dyDescent="0.35">
      <c r="A133" t="s">
        <v>14</v>
      </c>
      <c r="B133" t="s">
        <v>15</v>
      </c>
      <c r="C133" t="s">
        <v>16</v>
      </c>
      <c r="D133" t="s">
        <v>4902</v>
      </c>
      <c r="E133" t="s">
        <v>17</v>
      </c>
      <c r="F133" t="s">
        <v>98</v>
      </c>
      <c r="G133" t="s">
        <v>25</v>
      </c>
      <c r="H133" t="s">
        <v>37</v>
      </c>
      <c r="I133" t="s">
        <v>38</v>
      </c>
      <c r="J133">
        <v>1.8</v>
      </c>
      <c r="K133">
        <v>1800</v>
      </c>
      <c r="L133" s="1">
        <v>46216</v>
      </c>
      <c r="M133">
        <v>480</v>
      </c>
      <c r="N133" t="s">
        <v>19</v>
      </c>
    </row>
    <row r="134" spans="1:14" x14ac:dyDescent="0.35">
      <c r="A134" t="s">
        <v>14</v>
      </c>
      <c r="B134" t="s">
        <v>15</v>
      </c>
      <c r="C134" t="s">
        <v>16</v>
      </c>
      <c r="D134" t="s">
        <v>4902</v>
      </c>
      <c r="E134" t="s">
        <v>17</v>
      </c>
      <c r="F134" t="s">
        <v>99</v>
      </c>
      <c r="G134" t="s">
        <v>25</v>
      </c>
      <c r="H134" t="s">
        <v>144</v>
      </c>
      <c r="I134" t="s">
        <v>145</v>
      </c>
      <c r="J134">
        <v>1.8</v>
      </c>
      <c r="K134">
        <v>1800</v>
      </c>
      <c r="L134" s="1">
        <v>46216</v>
      </c>
      <c r="M134">
        <v>360</v>
      </c>
      <c r="N134" t="s">
        <v>19</v>
      </c>
    </row>
    <row r="135" spans="1:14" x14ac:dyDescent="0.35">
      <c r="A135" t="s">
        <v>14</v>
      </c>
      <c r="B135" t="s">
        <v>15</v>
      </c>
      <c r="C135" t="s">
        <v>16</v>
      </c>
      <c r="D135" t="s">
        <v>4902</v>
      </c>
      <c r="E135" t="s">
        <v>17</v>
      </c>
      <c r="F135" t="s">
        <v>102</v>
      </c>
      <c r="G135" t="s">
        <v>25</v>
      </c>
      <c r="H135" t="s">
        <v>26</v>
      </c>
      <c r="I135" t="s">
        <v>27</v>
      </c>
      <c r="J135">
        <v>1.8</v>
      </c>
      <c r="K135">
        <v>1800</v>
      </c>
      <c r="L135" s="1">
        <v>46216</v>
      </c>
      <c r="M135">
        <v>249.45</v>
      </c>
      <c r="N135" t="s">
        <v>19</v>
      </c>
    </row>
    <row r="136" spans="1:14" x14ac:dyDescent="0.35">
      <c r="A136" t="s">
        <v>14</v>
      </c>
      <c r="B136" t="s">
        <v>15</v>
      </c>
      <c r="C136" t="s">
        <v>16</v>
      </c>
      <c r="D136" t="s">
        <v>4902</v>
      </c>
      <c r="E136" t="s">
        <v>17</v>
      </c>
      <c r="F136" t="s">
        <v>103</v>
      </c>
      <c r="G136" t="s">
        <v>25</v>
      </c>
      <c r="H136" t="s">
        <v>37</v>
      </c>
      <c r="I136" t="s">
        <v>38</v>
      </c>
      <c r="J136">
        <v>3.6</v>
      </c>
      <c r="K136">
        <v>3600</v>
      </c>
      <c r="L136" s="1">
        <v>46217</v>
      </c>
      <c r="M136">
        <v>480</v>
      </c>
      <c r="N136" t="s">
        <v>19</v>
      </c>
    </row>
    <row r="137" spans="1:14" x14ac:dyDescent="0.35">
      <c r="A137" t="s">
        <v>14</v>
      </c>
      <c r="B137" t="s">
        <v>15</v>
      </c>
      <c r="C137" t="s">
        <v>16</v>
      </c>
      <c r="D137" t="s">
        <v>4902</v>
      </c>
      <c r="E137" t="s">
        <v>17</v>
      </c>
      <c r="F137" t="s">
        <v>104</v>
      </c>
      <c r="G137" t="s">
        <v>25</v>
      </c>
      <c r="H137" t="s">
        <v>144</v>
      </c>
      <c r="I137" t="s">
        <v>145</v>
      </c>
      <c r="J137">
        <v>3.6</v>
      </c>
      <c r="K137">
        <v>3600</v>
      </c>
      <c r="L137" s="1">
        <v>46217</v>
      </c>
      <c r="M137">
        <v>360</v>
      </c>
      <c r="N137" t="s">
        <v>19</v>
      </c>
    </row>
    <row r="138" spans="1:14" x14ac:dyDescent="0.35">
      <c r="A138" t="s">
        <v>14</v>
      </c>
      <c r="B138" t="s">
        <v>15</v>
      </c>
      <c r="C138" t="s">
        <v>16</v>
      </c>
      <c r="D138" t="s">
        <v>4902</v>
      </c>
      <c r="E138" t="s">
        <v>17</v>
      </c>
      <c r="F138" t="s">
        <v>105</v>
      </c>
      <c r="G138" t="s">
        <v>25</v>
      </c>
      <c r="H138" t="s">
        <v>26</v>
      </c>
      <c r="I138" t="s">
        <v>27</v>
      </c>
      <c r="J138">
        <v>3.6</v>
      </c>
      <c r="K138">
        <v>3600</v>
      </c>
      <c r="L138" s="1">
        <v>46217</v>
      </c>
      <c r="M138">
        <v>249.45</v>
      </c>
      <c r="N138" t="s">
        <v>19</v>
      </c>
    </row>
    <row r="139" spans="1:14" x14ac:dyDescent="0.35">
      <c r="A139" t="s">
        <v>14</v>
      </c>
      <c r="B139" t="s">
        <v>15</v>
      </c>
      <c r="C139" t="s">
        <v>16</v>
      </c>
      <c r="D139" t="s">
        <v>4923</v>
      </c>
      <c r="E139" t="s">
        <v>118</v>
      </c>
      <c r="F139" t="s">
        <v>24</v>
      </c>
      <c r="G139" t="s">
        <v>25</v>
      </c>
      <c r="H139" t="s">
        <v>37</v>
      </c>
      <c r="I139" t="s">
        <v>38</v>
      </c>
      <c r="J139">
        <v>3.6</v>
      </c>
      <c r="K139">
        <v>3600</v>
      </c>
      <c r="L139" s="1">
        <v>46218</v>
      </c>
      <c r="M139">
        <v>480</v>
      </c>
      <c r="N139" t="s">
        <v>19</v>
      </c>
    </row>
    <row r="140" spans="1:14" x14ac:dyDescent="0.35">
      <c r="A140" t="s">
        <v>14</v>
      </c>
      <c r="B140" t="s">
        <v>15</v>
      </c>
      <c r="C140" t="s">
        <v>16</v>
      </c>
      <c r="D140" t="s">
        <v>4923</v>
      </c>
      <c r="E140" t="s">
        <v>118</v>
      </c>
      <c r="F140" t="s">
        <v>28</v>
      </c>
      <c r="G140" t="s">
        <v>25</v>
      </c>
      <c r="H140" t="s">
        <v>127</v>
      </c>
      <c r="I140" t="s">
        <v>128</v>
      </c>
      <c r="J140">
        <v>1.8</v>
      </c>
      <c r="K140">
        <v>1800</v>
      </c>
      <c r="L140" s="1">
        <v>46218</v>
      </c>
      <c r="M140">
        <v>312.36</v>
      </c>
      <c r="N140" t="s">
        <v>19</v>
      </c>
    </row>
    <row r="141" spans="1:14" x14ac:dyDescent="0.35">
      <c r="A141" t="s">
        <v>14</v>
      </c>
      <c r="B141" t="s">
        <v>15</v>
      </c>
      <c r="C141" t="s">
        <v>16</v>
      </c>
      <c r="D141" t="s">
        <v>4923</v>
      </c>
      <c r="E141" t="s">
        <v>118</v>
      </c>
      <c r="F141" t="s">
        <v>31</v>
      </c>
      <c r="G141" t="s">
        <v>25</v>
      </c>
      <c r="H141" t="s">
        <v>29</v>
      </c>
      <c r="I141" t="s">
        <v>30</v>
      </c>
      <c r="J141">
        <v>0.6</v>
      </c>
      <c r="K141">
        <v>600</v>
      </c>
      <c r="L141" s="1">
        <v>46218</v>
      </c>
      <c r="M141">
        <v>215.64</v>
      </c>
      <c r="N141" t="s">
        <v>19</v>
      </c>
    </row>
    <row r="142" spans="1:14" x14ac:dyDescent="0.35">
      <c r="A142" t="s">
        <v>14</v>
      </c>
      <c r="B142" t="s">
        <v>15</v>
      </c>
      <c r="C142" t="s">
        <v>16</v>
      </c>
      <c r="D142" t="s">
        <v>4923</v>
      </c>
      <c r="E142" t="s">
        <v>118</v>
      </c>
      <c r="F142" t="s">
        <v>32</v>
      </c>
      <c r="G142" t="s">
        <v>25</v>
      </c>
      <c r="H142" t="s">
        <v>26</v>
      </c>
      <c r="I142" t="s">
        <v>27</v>
      </c>
      <c r="J142">
        <v>5.4</v>
      </c>
      <c r="K142">
        <v>5400</v>
      </c>
      <c r="L142" s="1">
        <v>46218</v>
      </c>
      <c r="M142">
        <v>249.45</v>
      </c>
      <c r="N142" t="s">
        <v>19</v>
      </c>
    </row>
    <row r="143" spans="1:14" x14ac:dyDescent="0.35">
      <c r="A143" t="s">
        <v>14</v>
      </c>
      <c r="B143" t="s">
        <v>15</v>
      </c>
      <c r="C143" t="s">
        <v>16</v>
      </c>
      <c r="D143" t="s">
        <v>4923</v>
      </c>
      <c r="E143" t="s">
        <v>118</v>
      </c>
      <c r="F143" t="s">
        <v>33</v>
      </c>
      <c r="G143" t="s">
        <v>25</v>
      </c>
      <c r="H143" t="s">
        <v>45</v>
      </c>
      <c r="I143" t="s">
        <v>46</v>
      </c>
      <c r="J143">
        <v>3.6</v>
      </c>
      <c r="K143">
        <v>3600</v>
      </c>
      <c r="L143" s="1">
        <v>46219</v>
      </c>
      <c r="M143">
        <v>480</v>
      </c>
      <c r="N143" t="s">
        <v>19</v>
      </c>
    </row>
    <row r="144" spans="1:14" x14ac:dyDescent="0.35">
      <c r="A144" t="s">
        <v>14</v>
      </c>
      <c r="B144" t="s">
        <v>15</v>
      </c>
      <c r="C144" t="s">
        <v>16</v>
      </c>
      <c r="D144" t="s">
        <v>4923</v>
      </c>
      <c r="E144" t="s">
        <v>118</v>
      </c>
      <c r="F144" t="s">
        <v>36</v>
      </c>
      <c r="G144" t="s">
        <v>25</v>
      </c>
      <c r="H144" t="s">
        <v>4924</v>
      </c>
      <c r="I144" t="s">
        <v>4925</v>
      </c>
      <c r="J144">
        <v>1.8</v>
      </c>
      <c r="K144">
        <v>1800</v>
      </c>
      <c r="L144" s="1">
        <v>46219</v>
      </c>
      <c r="M144">
        <v>312.36</v>
      </c>
      <c r="N144" t="s">
        <v>19</v>
      </c>
    </row>
    <row r="145" spans="1:14" x14ac:dyDescent="0.35">
      <c r="A145" t="s">
        <v>14</v>
      </c>
      <c r="B145" t="s">
        <v>15</v>
      </c>
      <c r="C145" t="s">
        <v>16</v>
      </c>
      <c r="D145" t="s">
        <v>4923</v>
      </c>
      <c r="E145" t="s">
        <v>118</v>
      </c>
      <c r="F145" t="s">
        <v>39</v>
      </c>
      <c r="G145" t="s">
        <v>25</v>
      </c>
      <c r="H145" t="s">
        <v>51</v>
      </c>
      <c r="I145" t="s">
        <v>52</v>
      </c>
      <c r="J145">
        <v>5.4</v>
      </c>
      <c r="K145">
        <v>5400</v>
      </c>
      <c r="L145" s="1">
        <v>46219</v>
      </c>
      <c r="M145">
        <v>249.45</v>
      </c>
      <c r="N145" t="s">
        <v>19</v>
      </c>
    </row>
    <row r="146" spans="1:14" x14ac:dyDescent="0.35">
      <c r="A146" t="s">
        <v>14</v>
      </c>
      <c r="B146" t="s">
        <v>15</v>
      </c>
      <c r="C146" t="s">
        <v>16</v>
      </c>
      <c r="D146" t="s">
        <v>4923</v>
      </c>
      <c r="E146" t="s">
        <v>118</v>
      </c>
      <c r="F146" t="s">
        <v>40</v>
      </c>
      <c r="G146" t="s">
        <v>25</v>
      </c>
      <c r="H146" t="s">
        <v>45</v>
      </c>
      <c r="I146" t="s">
        <v>46</v>
      </c>
      <c r="J146">
        <v>3.6</v>
      </c>
      <c r="K146">
        <v>3600</v>
      </c>
      <c r="L146" s="1">
        <v>46220</v>
      </c>
      <c r="M146">
        <v>480</v>
      </c>
      <c r="N146" t="s">
        <v>19</v>
      </c>
    </row>
    <row r="147" spans="1:14" x14ac:dyDescent="0.35">
      <c r="A147" t="s">
        <v>14</v>
      </c>
      <c r="B147" t="s">
        <v>15</v>
      </c>
      <c r="C147" t="s">
        <v>16</v>
      </c>
      <c r="D147" t="s">
        <v>4923</v>
      </c>
      <c r="E147" t="s">
        <v>118</v>
      </c>
      <c r="F147" t="s">
        <v>41</v>
      </c>
      <c r="G147" t="s">
        <v>25</v>
      </c>
      <c r="H147" t="s">
        <v>4924</v>
      </c>
      <c r="I147" t="s">
        <v>4925</v>
      </c>
      <c r="J147">
        <v>1.8</v>
      </c>
      <c r="K147">
        <v>1800</v>
      </c>
      <c r="L147" s="1">
        <v>46220</v>
      </c>
      <c r="M147">
        <v>312.36</v>
      </c>
      <c r="N147" t="s">
        <v>19</v>
      </c>
    </row>
    <row r="148" spans="1:14" x14ac:dyDescent="0.35">
      <c r="A148" t="s">
        <v>14</v>
      </c>
      <c r="B148" t="s">
        <v>15</v>
      </c>
      <c r="C148" t="s">
        <v>16</v>
      </c>
      <c r="D148" t="s">
        <v>4923</v>
      </c>
      <c r="E148" t="s">
        <v>118</v>
      </c>
      <c r="F148" t="s">
        <v>42</v>
      </c>
      <c r="G148" t="s">
        <v>25</v>
      </c>
      <c r="H148" t="s">
        <v>51</v>
      </c>
      <c r="I148" t="s">
        <v>52</v>
      </c>
      <c r="J148">
        <v>5.4</v>
      </c>
      <c r="K148">
        <v>5400</v>
      </c>
      <c r="L148" s="1">
        <v>46220</v>
      </c>
      <c r="M148">
        <v>249.45</v>
      </c>
      <c r="N148" t="s">
        <v>19</v>
      </c>
    </row>
    <row r="149" spans="1:14" x14ac:dyDescent="0.35">
      <c r="A149" t="s">
        <v>14</v>
      </c>
      <c r="B149" t="s">
        <v>15</v>
      </c>
      <c r="C149" t="s">
        <v>16</v>
      </c>
      <c r="D149" t="s">
        <v>4923</v>
      </c>
      <c r="E149" t="s">
        <v>118</v>
      </c>
      <c r="F149" t="s">
        <v>43</v>
      </c>
      <c r="G149" t="s">
        <v>25</v>
      </c>
      <c r="H149" t="s">
        <v>71</v>
      </c>
      <c r="I149" t="s">
        <v>72</v>
      </c>
      <c r="J149">
        <v>0.7</v>
      </c>
      <c r="K149">
        <v>700</v>
      </c>
      <c r="L149" s="1">
        <v>46221</v>
      </c>
      <c r="M149">
        <v>480</v>
      </c>
      <c r="N149" t="s">
        <v>19</v>
      </c>
    </row>
    <row r="150" spans="1:14" x14ac:dyDescent="0.35">
      <c r="A150" t="s">
        <v>14</v>
      </c>
      <c r="B150" t="s">
        <v>15</v>
      </c>
      <c r="C150" t="s">
        <v>16</v>
      </c>
      <c r="D150" t="s">
        <v>4923</v>
      </c>
      <c r="E150" t="s">
        <v>118</v>
      </c>
      <c r="F150" t="s">
        <v>44</v>
      </c>
      <c r="G150" t="s">
        <v>25</v>
      </c>
      <c r="H150" t="s">
        <v>63</v>
      </c>
      <c r="I150" t="s">
        <v>64</v>
      </c>
      <c r="J150">
        <v>1.4</v>
      </c>
      <c r="K150">
        <v>1400</v>
      </c>
      <c r="L150" s="1">
        <v>46221</v>
      </c>
      <c r="M150">
        <v>249.45</v>
      </c>
      <c r="N150" t="s">
        <v>19</v>
      </c>
    </row>
    <row r="151" spans="1:14" x14ac:dyDescent="0.35">
      <c r="A151" t="s">
        <v>14</v>
      </c>
      <c r="B151" t="s">
        <v>15</v>
      </c>
      <c r="C151" t="s">
        <v>16</v>
      </c>
      <c r="D151" t="s">
        <v>4923</v>
      </c>
      <c r="E151" t="s">
        <v>118</v>
      </c>
      <c r="F151" t="s">
        <v>47</v>
      </c>
      <c r="G151" t="s">
        <v>25</v>
      </c>
      <c r="H151" t="s">
        <v>71</v>
      </c>
      <c r="I151" t="s">
        <v>72</v>
      </c>
      <c r="J151">
        <v>1.4</v>
      </c>
      <c r="K151">
        <v>1400</v>
      </c>
      <c r="L151" s="1">
        <v>46221</v>
      </c>
      <c r="M151">
        <v>480</v>
      </c>
      <c r="N151" t="s">
        <v>19</v>
      </c>
    </row>
    <row r="152" spans="1:14" x14ac:dyDescent="0.35">
      <c r="A152" t="s">
        <v>14</v>
      </c>
      <c r="B152" t="s">
        <v>15</v>
      </c>
      <c r="C152" t="s">
        <v>16</v>
      </c>
      <c r="D152" t="s">
        <v>4923</v>
      </c>
      <c r="E152" t="s">
        <v>118</v>
      </c>
      <c r="F152" t="s">
        <v>50</v>
      </c>
      <c r="G152" t="s">
        <v>25</v>
      </c>
      <c r="H152" t="s">
        <v>63</v>
      </c>
      <c r="I152" t="s">
        <v>64</v>
      </c>
      <c r="J152">
        <v>2.8</v>
      </c>
      <c r="K152">
        <v>2800</v>
      </c>
      <c r="L152" s="1">
        <v>46221</v>
      </c>
      <c r="M152">
        <v>249.45</v>
      </c>
      <c r="N152" t="s">
        <v>19</v>
      </c>
    </row>
    <row r="153" spans="1:14" x14ac:dyDescent="0.35">
      <c r="A153" t="s">
        <v>14</v>
      </c>
      <c r="B153" t="s">
        <v>15</v>
      </c>
      <c r="C153" t="s">
        <v>16</v>
      </c>
      <c r="D153" t="s">
        <v>4923</v>
      </c>
      <c r="E153" t="s">
        <v>118</v>
      </c>
      <c r="F153" t="s">
        <v>53</v>
      </c>
      <c r="G153" t="s">
        <v>25</v>
      </c>
      <c r="H153" t="s">
        <v>71</v>
      </c>
      <c r="I153" t="s">
        <v>72</v>
      </c>
      <c r="J153">
        <v>3.6</v>
      </c>
      <c r="K153">
        <v>3600</v>
      </c>
      <c r="L153" s="1">
        <v>46223</v>
      </c>
      <c r="M153">
        <v>480</v>
      </c>
      <c r="N153" t="s">
        <v>19</v>
      </c>
    </row>
    <row r="154" spans="1:14" x14ac:dyDescent="0.35">
      <c r="A154" t="s">
        <v>14</v>
      </c>
      <c r="B154" t="s">
        <v>15</v>
      </c>
      <c r="C154" t="s">
        <v>16</v>
      </c>
      <c r="D154" t="s">
        <v>4923</v>
      </c>
      <c r="E154" t="s">
        <v>118</v>
      </c>
      <c r="F154" t="s">
        <v>54</v>
      </c>
      <c r="G154" t="s">
        <v>25</v>
      </c>
      <c r="H154" t="s">
        <v>4926</v>
      </c>
      <c r="I154" t="s">
        <v>4927</v>
      </c>
      <c r="J154">
        <v>3.6</v>
      </c>
      <c r="K154">
        <v>3600</v>
      </c>
      <c r="L154" s="1">
        <v>46223</v>
      </c>
      <c r="M154">
        <v>360</v>
      </c>
      <c r="N154" t="s">
        <v>19</v>
      </c>
    </row>
    <row r="155" spans="1:14" x14ac:dyDescent="0.35">
      <c r="A155" t="s">
        <v>14</v>
      </c>
      <c r="B155" t="s">
        <v>15</v>
      </c>
      <c r="C155" t="s">
        <v>16</v>
      </c>
      <c r="D155" t="s">
        <v>4923</v>
      </c>
      <c r="E155" t="s">
        <v>118</v>
      </c>
      <c r="F155" t="s">
        <v>55</v>
      </c>
      <c r="G155" t="s">
        <v>25</v>
      </c>
      <c r="H155" t="s">
        <v>63</v>
      </c>
      <c r="I155" t="s">
        <v>64</v>
      </c>
      <c r="J155">
        <v>3.6</v>
      </c>
      <c r="K155">
        <v>3600</v>
      </c>
      <c r="L155" s="1">
        <v>46223</v>
      </c>
      <c r="M155">
        <v>249.45</v>
      </c>
      <c r="N155" t="s">
        <v>19</v>
      </c>
    </row>
    <row r="156" spans="1:14" x14ac:dyDescent="0.35">
      <c r="A156" t="s">
        <v>14</v>
      </c>
      <c r="B156" t="s">
        <v>15</v>
      </c>
      <c r="C156" t="s">
        <v>16</v>
      </c>
      <c r="D156" t="s">
        <v>4923</v>
      </c>
      <c r="E156" t="s">
        <v>118</v>
      </c>
      <c r="F156" t="s">
        <v>56</v>
      </c>
      <c r="G156" t="s">
        <v>25</v>
      </c>
      <c r="H156" t="s">
        <v>148</v>
      </c>
      <c r="I156" t="s">
        <v>149</v>
      </c>
      <c r="J156">
        <v>3.6</v>
      </c>
      <c r="K156">
        <v>3600</v>
      </c>
      <c r="L156" s="1">
        <v>46224</v>
      </c>
      <c r="M156">
        <v>480</v>
      </c>
      <c r="N156" t="s">
        <v>19</v>
      </c>
    </row>
    <row r="157" spans="1:14" x14ac:dyDescent="0.35">
      <c r="A157" t="s">
        <v>14</v>
      </c>
      <c r="B157" t="s">
        <v>15</v>
      </c>
      <c r="C157" t="s">
        <v>16</v>
      </c>
      <c r="D157" t="s">
        <v>4923</v>
      </c>
      <c r="E157" t="s">
        <v>118</v>
      </c>
      <c r="F157" t="s">
        <v>85</v>
      </c>
      <c r="G157" t="s">
        <v>25</v>
      </c>
      <c r="H157" t="s">
        <v>4928</v>
      </c>
      <c r="I157" t="s">
        <v>4929</v>
      </c>
      <c r="J157">
        <v>3.6</v>
      </c>
      <c r="K157">
        <v>3600</v>
      </c>
      <c r="L157" s="1">
        <v>46224</v>
      </c>
      <c r="M157">
        <v>360</v>
      </c>
      <c r="N157" t="s">
        <v>19</v>
      </c>
    </row>
    <row r="158" spans="1:14" x14ac:dyDescent="0.35">
      <c r="A158" t="s">
        <v>14</v>
      </c>
      <c r="B158" t="s">
        <v>15</v>
      </c>
      <c r="C158" t="s">
        <v>16</v>
      </c>
      <c r="D158" t="s">
        <v>4923</v>
      </c>
      <c r="E158" t="s">
        <v>118</v>
      </c>
      <c r="F158" t="s">
        <v>88</v>
      </c>
      <c r="G158" t="s">
        <v>25</v>
      </c>
      <c r="H158" t="s">
        <v>112</v>
      </c>
      <c r="I158" t="s">
        <v>113</v>
      </c>
      <c r="J158">
        <v>3.6</v>
      </c>
      <c r="K158">
        <v>3600</v>
      </c>
      <c r="L158" s="1">
        <v>46224</v>
      </c>
      <c r="M158">
        <v>249.45</v>
      </c>
      <c r="N158" t="s">
        <v>19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388F6-C0AB-41C3-9ADD-9A5F2ED498ED}">
  <sheetPr codeName="Sheet4">
    <tabColor rgb="FF0070C0"/>
  </sheetPr>
  <dimension ref="A1:W2720"/>
  <sheetViews>
    <sheetView topLeftCell="G1" workbookViewId="0">
      <selection activeCell="L11" sqref="L11"/>
    </sheetView>
  </sheetViews>
  <sheetFormatPr defaultRowHeight="14.5" x14ac:dyDescent="0.35"/>
  <cols>
    <col min="1" max="1" width="15.36328125" bestFit="1" customWidth="1"/>
    <col min="2" max="2" width="7.453125" bestFit="1" customWidth="1"/>
    <col min="3" max="3" width="20" bestFit="1" customWidth="1"/>
    <col min="4" max="4" width="63.7265625" bestFit="1" customWidth="1"/>
    <col min="5" max="5" width="43.7265625" bestFit="1" customWidth="1"/>
    <col min="6" max="6" width="10.26953125" bestFit="1" customWidth="1"/>
    <col min="7" max="7" width="22.54296875" bestFit="1" customWidth="1"/>
    <col min="8" max="8" width="16.08984375" bestFit="1" customWidth="1"/>
    <col min="9" max="9" width="12.54296875" bestFit="1" customWidth="1"/>
    <col min="10" max="10" width="6.90625" bestFit="1" customWidth="1"/>
    <col min="11" max="11" width="8.36328125" bestFit="1" customWidth="1"/>
    <col min="12" max="12" width="9.1796875" bestFit="1" customWidth="1"/>
    <col min="13" max="13" width="16.26953125" bestFit="1" customWidth="1"/>
    <col min="14" max="14" width="11.81640625" bestFit="1" customWidth="1"/>
    <col min="15" max="15" width="10.90625" bestFit="1" customWidth="1"/>
    <col min="16" max="16" width="12" bestFit="1" customWidth="1"/>
    <col min="17" max="17" width="8.6328125" bestFit="1" customWidth="1"/>
    <col min="18" max="18" width="52" bestFit="1" customWidth="1"/>
    <col min="19" max="19" width="25.7265625" bestFit="1" customWidth="1"/>
    <col min="20" max="20" width="26.1796875" bestFit="1" customWidth="1"/>
    <col min="21" max="21" width="14.54296875" bestFit="1" customWidth="1"/>
    <col min="22" max="22" width="10.36328125" bestFit="1" customWidth="1"/>
    <col min="23" max="23" width="14.26953125" bestFit="1" customWidth="1"/>
  </cols>
  <sheetData>
    <row r="1" spans="1:23" x14ac:dyDescent="0.35">
      <c r="A1" t="s">
        <v>198</v>
      </c>
      <c r="B1" t="s">
        <v>1</v>
      </c>
      <c r="C1" t="s">
        <v>7</v>
      </c>
      <c r="D1" t="s">
        <v>199</v>
      </c>
      <c r="E1" t="s">
        <v>200</v>
      </c>
      <c r="F1" t="s">
        <v>6</v>
      </c>
      <c r="G1" t="s">
        <v>201</v>
      </c>
      <c r="H1" t="s">
        <v>202</v>
      </c>
      <c r="I1" t="s">
        <v>203</v>
      </c>
      <c r="J1" t="s">
        <v>2</v>
      </c>
      <c r="K1" t="s">
        <v>204</v>
      </c>
      <c r="L1" t="s">
        <v>205</v>
      </c>
      <c r="M1" t="s">
        <v>206</v>
      </c>
      <c r="N1" t="s">
        <v>207</v>
      </c>
      <c r="O1" t="s">
        <v>208</v>
      </c>
      <c r="P1" t="s">
        <v>209</v>
      </c>
      <c r="Q1" t="s">
        <v>210</v>
      </c>
      <c r="R1" t="s">
        <v>211</v>
      </c>
      <c r="S1" t="s">
        <v>212</v>
      </c>
      <c r="T1" t="s">
        <v>213</v>
      </c>
      <c r="U1" t="s">
        <v>214</v>
      </c>
      <c r="V1" t="s">
        <v>215</v>
      </c>
      <c r="W1" t="s">
        <v>216</v>
      </c>
    </row>
    <row r="2" spans="1:23" x14ac:dyDescent="0.35">
      <c r="A2" t="s">
        <v>14</v>
      </c>
      <c r="B2" t="s">
        <v>15</v>
      </c>
      <c r="C2" t="s">
        <v>320</v>
      </c>
      <c r="D2" t="s">
        <v>321</v>
      </c>
      <c r="E2" t="s">
        <v>322</v>
      </c>
      <c r="F2" t="s">
        <v>20</v>
      </c>
      <c r="G2" t="s">
        <v>323</v>
      </c>
      <c r="H2" s="15">
        <v>46027</v>
      </c>
      <c r="I2" t="s">
        <v>324</v>
      </c>
      <c r="J2" t="s">
        <v>16</v>
      </c>
      <c r="K2" t="s">
        <v>185</v>
      </c>
      <c r="N2">
        <v>0</v>
      </c>
      <c r="O2" t="s">
        <v>222</v>
      </c>
      <c r="P2">
        <v>0</v>
      </c>
      <c r="U2" s="15"/>
    </row>
    <row r="3" spans="1:23" x14ac:dyDescent="0.35">
      <c r="A3" t="s">
        <v>14</v>
      </c>
      <c r="B3" t="s">
        <v>15</v>
      </c>
      <c r="C3" t="s">
        <v>320</v>
      </c>
      <c r="D3" t="s">
        <v>321</v>
      </c>
      <c r="E3" t="s">
        <v>322</v>
      </c>
      <c r="F3" t="s">
        <v>20</v>
      </c>
      <c r="G3" t="s">
        <v>325</v>
      </c>
      <c r="H3" s="15">
        <v>46028</v>
      </c>
      <c r="I3" t="s">
        <v>326</v>
      </c>
      <c r="J3" t="s">
        <v>16</v>
      </c>
      <c r="K3" t="s">
        <v>185</v>
      </c>
      <c r="N3">
        <v>0</v>
      </c>
      <c r="O3" t="s">
        <v>222</v>
      </c>
      <c r="P3">
        <v>0</v>
      </c>
      <c r="U3" s="15"/>
    </row>
    <row r="4" spans="1:23" x14ac:dyDescent="0.35">
      <c r="A4" t="s">
        <v>14</v>
      </c>
      <c r="B4" t="s">
        <v>15</v>
      </c>
      <c r="C4" t="s">
        <v>327</v>
      </c>
      <c r="D4" t="s">
        <v>328</v>
      </c>
      <c r="E4" t="s">
        <v>329</v>
      </c>
      <c r="F4" t="s">
        <v>20</v>
      </c>
      <c r="G4" t="s">
        <v>330</v>
      </c>
      <c r="H4" s="15">
        <v>46034</v>
      </c>
      <c r="I4" t="s">
        <v>331</v>
      </c>
      <c r="J4" t="s">
        <v>16</v>
      </c>
      <c r="K4" t="s">
        <v>185</v>
      </c>
      <c r="N4">
        <v>0</v>
      </c>
      <c r="O4" t="s">
        <v>222</v>
      </c>
      <c r="P4">
        <v>0</v>
      </c>
      <c r="U4" s="15"/>
    </row>
    <row r="5" spans="1:23" x14ac:dyDescent="0.35">
      <c r="A5" t="s">
        <v>14</v>
      </c>
      <c r="B5" t="s">
        <v>15</v>
      </c>
      <c r="C5" t="s">
        <v>320</v>
      </c>
      <c r="D5" t="s">
        <v>321</v>
      </c>
      <c r="E5" t="s">
        <v>322</v>
      </c>
      <c r="F5" t="s">
        <v>20</v>
      </c>
      <c r="G5" t="s">
        <v>332</v>
      </c>
      <c r="H5" s="15">
        <v>46036</v>
      </c>
      <c r="I5" t="s">
        <v>333</v>
      </c>
      <c r="J5" t="s">
        <v>16</v>
      </c>
      <c r="K5" t="s">
        <v>185</v>
      </c>
      <c r="N5">
        <v>0</v>
      </c>
      <c r="O5" t="s">
        <v>222</v>
      </c>
      <c r="P5">
        <v>0</v>
      </c>
      <c r="U5" s="15"/>
    </row>
    <row r="6" spans="1:23" x14ac:dyDescent="0.35">
      <c r="A6" t="s">
        <v>14</v>
      </c>
      <c r="B6" t="s">
        <v>15</v>
      </c>
      <c r="C6" t="s">
        <v>320</v>
      </c>
      <c r="D6" t="s">
        <v>321</v>
      </c>
      <c r="E6" t="s">
        <v>322</v>
      </c>
      <c r="F6" t="s">
        <v>20</v>
      </c>
      <c r="G6" t="s">
        <v>334</v>
      </c>
      <c r="H6" s="15">
        <v>46041</v>
      </c>
      <c r="I6" t="s">
        <v>335</v>
      </c>
      <c r="J6" t="s">
        <v>16</v>
      </c>
      <c r="K6" t="s">
        <v>185</v>
      </c>
      <c r="N6">
        <v>0</v>
      </c>
      <c r="O6" t="s">
        <v>222</v>
      </c>
      <c r="P6">
        <v>0</v>
      </c>
      <c r="U6" s="15"/>
    </row>
    <row r="7" spans="1:23" x14ac:dyDescent="0.35">
      <c r="A7" t="s">
        <v>14</v>
      </c>
      <c r="B7" t="s">
        <v>15</v>
      </c>
      <c r="C7" t="s">
        <v>320</v>
      </c>
      <c r="D7" t="s">
        <v>321</v>
      </c>
      <c r="E7" t="s">
        <v>322</v>
      </c>
      <c r="F7" t="s">
        <v>20</v>
      </c>
      <c r="G7" t="s">
        <v>336</v>
      </c>
      <c r="H7" s="15">
        <v>46042</v>
      </c>
      <c r="I7" t="s">
        <v>337</v>
      </c>
      <c r="J7" t="s">
        <v>16</v>
      </c>
      <c r="K7" t="s">
        <v>185</v>
      </c>
      <c r="N7">
        <v>0</v>
      </c>
      <c r="O7" t="s">
        <v>222</v>
      </c>
      <c r="P7">
        <v>0</v>
      </c>
      <c r="U7" s="15"/>
    </row>
    <row r="8" spans="1:23" x14ac:dyDescent="0.35">
      <c r="A8" t="s">
        <v>14</v>
      </c>
      <c r="B8" t="s">
        <v>15</v>
      </c>
      <c r="C8" t="s">
        <v>327</v>
      </c>
      <c r="D8" t="s">
        <v>328</v>
      </c>
      <c r="E8" t="s">
        <v>329</v>
      </c>
      <c r="F8" t="s">
        <v>20</v>
      </c>
      <c r="G8" t="s">
        <v>338</v>
      </c>
      <c r="H8" s="15">
        <v>46050</v>
      </c>
      <c r="I8" t="s">
        <v>339</v>
      </c>
      <c r="J8" t="s">
        <v>16</v>
      </c>
      <c r="K8" t="s">
        <v>185</v>
      </c>
      <c r="N8">
        <v>0</v>
      </c>
      <c r="O8" t="s">
        <v>222</v>
      </c>
      <c r="P8">
        <v>0</v>
      </c>
      <c r="U8" s="15"/>
    </row>
    <row r="9" spans="1:23" x14ac:dyDescent="0.35">
      <c r="A9" t="s">
        <v>14</v>
      </c>
      <c r="B9" t="s">
        <v>15</v>
      </c>
      <c r="C9" t="s">
        <v>320</v>
      </c>
      <c r="D9" t="s">
        <v>321</v>
      </c>
      <c r="E9" t="s">
        <v>322</v>
      </c>
      <c r="F9" t="s">
        <v>20</v>
      </c>
      <c r="G9" t="s">
        <v>340</v>
      </c>
      <c r="H9" s="15">
        <v>46051</v>
      </c>
      <c r="I9" t="s">
        <v>341</v>
      </c>
      <c r="J9" t="s">
        <v>16</v>
      </c>
      <c r="K9" t="s">
        <v>185</v>
      </c>
      <c r="N9">
        <v>0</v>
      </c>
      <c r="O9" t="s">
        <v>222</v>
      </c>
      <c r="P9">
        <v>0</v>
      </c>
      <c r="U9" s="15"/>
    </row>
    <row r="10" spans="1:23" x14ac:dyDescent="0.35">
      <c r="A10" t="s">
        <v>14</v>
      </c>
      <c r="B10" t="s">
        <v>15</v>
      </c>
      <c r="C10" t="s">
        <v>320</v>
      </c>
      <c r="D10" t="s">
        <v>321</v>
      </c>
      <c r="E10" t="s">
        <v>322</v>
      </c>
      <c r="F10" t="s">
        <v>20</v>
      </c>
      <c r="G10" t="s">
        <v>342</v>
      </c>
      <c r="H10" s="15">
        <v>46052</v>
      </c>
      <c r="I10" t="s">
        <v>343</v>
      </c>
      <c r="J10" t="s">
        <v>16</v>
      </c>
      <c r="K10" t="s">
        <v>185</v>
      </c>
      <c r="N10">
        <v>0</v>
      </c>
      <c r="O10" t="s">
        <v>222</v>
      </c>
      <c r="P10">
        <v>0</v>
      </c>
      <c r="U10" s="15"/>
    </row>
    <row r="11" spans="1:23" x14ac:dyDescent="0.35">
      <c r="A11" t="s">
        <v>14</v>
      </c>
      <c r="B11" t="s">
        <v>15</v>
      </c>
      <c r="C11" t="s">
        <v>344</v>
      </c>
      <c r="D11" t="s">
        <v>345</v>
      </c>
      <c r="E11" t="s">
        <v>346</v>
      </c>
      <c r="F11" t="s">
        <v>20</v>
      </c>
      <c r="G11" t="s">
        <v>342</v>
      </c>
      <c r="H11" s="15">
        <v>46052</v>
      </c>
      <c r="I11" t="s">
        <v>347</v>
      </c>
      <c r="J11" t="s">
        <v>16</v>
      </c>
      <c r="K11" t="s">
        <v>185</v>
      </c>
      <c r="N11">
        <v>0</v>
      </c>
      <c r="O11" t="s">
        <v>222</v>
      </c>
      <c r="P11">
        <v>0</v>
      </c>
      <c r="U11" s="15"/>
    </row>
    <row r="12" spans="1:23" x14ac:dyDescent="0.35">
      <c r="A12" t="s">
        <v>14</v>
      </c>
      <c r="B12" t="s">
        <v>15</v>
      </c>
      <c r="C12" t="s">
        <v>320</v>
      </c>
      <c r="D12" t="s">
        <v>321</v>
      </c>
      <c r="E12" t="s">
        <v>322</v>
      </c>
      <c r="F12" t="s">
        <v>20</v>
      </c>
      <c r="G12" t="s">
        <v>348</v>
      </c>
      <c r="H12" s="15">
        <v>46053</v>
      </c>
      <c r="I12" t="s">
        <v>349</v>
      </c>
      <c r="J12" t="s">
        <v>16</v>
      </c>
      <c r="K12" t="s">
        <v>185</v>
      </c>
      <c r="N12">
        <v>0</v>
      </c>
      <c r="O12" t="s">
        <v>222</v>
      </c>
      <c r="P12">
        <v>0</v>
      </c>
      <c r="U12" s="15"/>
    </row>
    <row r="13" spans="1:23" x14ac:dyDescent="0.35">
      <c r="A13" t="s">
        <v>14</v>
      </c>
      <c r="B13" t="s">
        <v>15</v>
      </c>
      <c r="C13" t="s">
        <v>344</v>
      </c>
      <c r="D13" t="s">
        <v>345</v>
      </c>
      <c r="E13" t="s">
        <v>346</v>
      </c>
      <c r="F13" t="s">
        <v>20</v>
      </c>
      <c r="G13" t="s">
        <v>350</v>
      </c>
      <c r="H13" s="15">
        <v>46062</v>
      </c>
      <c r="I13" t="s">
        <v>351</v>
      </c>
      <c r="J13" t="s">
        <v>16</v>
      </c>
      <c r="K13" t="s">
        <v>185</v>
      </c>
      <c r="N13">
        <v>0</v>
      </c>
      <c r="O13" t="s">
        <v>222</v>
      </c>
      <c r="P13">
        <v>0</v>
      </c>
      <c r="U13" s="15"/>
    </row>
    <row r="14" spans="1:23" x14ac:dyDescent="0.35">
      <c r="A14" t="s">
        <v>14</v>
      </c>
      <c r="B14" t="s">
        <v>15</v>
      </c>
      <c r="C14" t="s">
        <v>344</v>
      </c>
      <c r="D14" t="s">
        <v>345</v>
      </c>
      <c r="E14" t="s">
        <v>346</v>
      </c>
      <c r="F14" t="s">
        <v>20</v>
      </c>
      <c r="G14" t="s">
        <v>352</v>
      </c>
      <c r="H14" s="15">
        <v>46035</v>
      </c>
      <c r="I14" t="s">
        <v>353</v>
      </c>
      <c r="J14" t="s">
        <v>16</v>
      </c>
      <c r="K14" t="s">
        <v>185</v>
      </c>
      <c r="N14">
        <v>0</v>
      </c>
      <c r="O14" t="s">
        <v>222</v>
      </c>
      <c r="P14">
        <v>0</v>
      </c>
      <c r="U14" s="15"/>
    </row>
    <row r="15" spans="1:23" x14ac:dyDescent="0.35">
      <c r="A15" t="s">
        <v>14</v>
      </c>
      <c r="B15" t="s">
        <v>15</v>
      </c>
      <c r="C15" t="s">
        <v>354</v>
      </c>
      <c r="D15" t="s">
        <v>355</v>
      </c>
      <c r="E15" t="s">
        <v>356</v>
      </c>
      <c r="F15" t="s">
        <v>20</v>
      </c>
      <c r="G15" t="s">
        <v>352</v>
      </c>
      <c r="H15" s="15">
        <v>46035</v>
      </c>
      <c r="I15" t="s">
        <v>357</v>
      </c>
      <c r="J15" t="s">
        <v>16</v>
      </c>
      <c r="K15" t="s">
        <v>185</v>
      </c>
      <c r="N15">
        <v>0</v>
      </c>
      <c r="O15" t="s">
        <v>222</v>
      </c>
      <c r="P15">
        <v>0</v>
      </c>
      <c r="U15" s="15"/>
    </row>
    <row r="16" spans="1:23" x14ac:dyDescent="0.35">
      <c r="A16" t="s">
        <v>14</v>
      </c>
      <c r="B16" t="s">
        <v>15</v>
      </c>
      <c r="C16" t="s">
        <v>344</v>
      </c>
      <c r="D16" t="s">
        <v>345</v>
      </c>
      <c r="E16" t="s">
        <v>346</v>
      </c>
      <c r="F16" t="s">
        <v>20</v>
      </c>
      <c r="G16" t="s">
        <v>358</v>
      </c>
      <c r="H16" s="15">
        <v>46063</v>
      </c>
      <c r="I16" t="s">
        <v>359</v>
      </c>
      <c r="J16" t="s">
        <v>16</v>
      </c>
      <c r="K16" t="s">
        <v>185</v>
      </c>
      <c r="N16">
        <v>0</v>
      </c>
      <c r="O16" t="s">
        <v>222</v>
      </c>
      <c r="P16">
        <v>0</v>
      </c>
      <c r="U16" s="15"/>
    </row>
    <row r="17" spans="1:21" x14ac:dyDescent="0.35">
      <c r="A17" t="s">
        <v>14</v>
      </c>
      <c r="B17" t="s">
        <v>15</v>
      </c>
      <c r="C17" t="s">
        <v>217</v>
      </c>
      <c r="D17" t="s">
        <v>218</v>
      </c>
      <c r="E17" t="s">
        <v>219</v>
      </c>
      <c r="F17" t="s">
        <v>22</v>
      </c>
      <c r="G17" t="s">
        <v>220</v>
      </c>
      <c r="H17" s="15">
        <v>46031</v>
      </c>
      <c r="I17" t="s">
        <v>221</v>
      </c>
      <c r="J17" t="s">
        <v>16</v>
      </c>
      <c r="K17" t="s">
        <v>185</v>
      </c>
      <c r="N17">
        <v>0</v>
      </c>
      <c r="O17" t="s">
        <v>222</v>
      </c>
      <c r="P17">
        <v>0</v>
      </c>
      <c r="U17" s="15"/>
    </row>
    <row r="18" spans="1:21" x14ac:dyDescent="0.35">
      <c r="A18" t="s">
        <v>14</v>
      </c>
      <c r="B18" t="s">
        <v>15</v>
      </c>
      <c r="C18" t="s">
        <v>223</v>
      </c>
      <c r="D18" t="s">
        <v>224</v>
      </c>
      <c r="E18" t="s">
        <v>225</v>
      </c>
      <c r="F18" t="s">
        <v>22</v>
      </c>
      <c r="G18" t="s">
        <v>226</v>
      </c>
      <c r="H18" s="15">
        <v>46032</v>
      </c>
      <c r="I18" t="s">
        <v>227</v>
      </c>
      <c r="J18" t="s">
        <v>16</v>
      </c>
      <c r="K18" t="s">
        <v>185</v>
      </c>
      <c r="N18">
        <v>0</v>
      </c>
      <c r="O18" t="s">
        <v>222</v>
      </c>
      <c r="P18">
        <v>0</v>
      </c>
      <c r="U18" s="15"/>
    </row>
    <row r="19" spans="1:21" x14ac:dyDescent="0.35">
      <c r="A19" t="s">
        <v>14</v>
      </c>
      <c r="B19" t="s">
        <v>15</v>
      </c>
      <c r="C19" t="s">
        <v>228</v>
      </c>
      <c r="D19" t="s">
        <v>229</v>
      </c>
      <c r="E19" t="s">
        <v>230</v>
      </c>
      <c r="F19" t="s">
        <v>22</v>
      </c>
      <c r="G19" t="s">
        <v>231</v>
      </c>
      <c r="H19" s="15">
        <v>46032</v>
      </c>
      <c r="I19" t="s">
        <v>232</v>
      </c>
      <c r="J19" t="s">
        <v>233</v>
      </c>
      <c r="K19" t="s">
        <v>185</v>
      </c>
      <c r="N19">
        <v>0</v>
      </c>
      <c r="O19" t="s">
        <v>222</v>
      </c>
      <c r="P19">
        <v>0</v>
      </c>
      <c r="U19" s="15"/>
    </row>
    <row r="20" spans="1:21" x14ac:dyDescent="0.35">
      <c r="A20" t="s">
        <v>14</v>
      </c>
      <c r="B20" t="s">
        <v>15</v>
      </c>
      <c r="C20" t="s">
        <v>234</v>
      </c>
      <c r="D20" t="s">
        <v>235</v>
      </c>
      <c r="E20" t="s">
        <v>236</v>
      </c>
      <c r="F20" t="s">
        <v>22</v>
      </c>
      <c r="G20" t="s">
        <v>237</v>
      </c>
      <c r="H20" s="15">
        <v>46034</v>
      </c>
      <c r="I20" t="s">
        <v>238</v>
      </c>
      <c r="J20" t="s">
        <v>16</v>
      </c>
      <c r="K20" t="s">
        <v>185</v>
      </c>
      <c r="N20">
        <v>0</v>
      </c>
      <c r="O20" t="s">
        <v>222</v>
      </c>
      <c r="P20">
        <v>0</v>
      </c>
      <c r="U20" s="15"/>
    </row>
    <row r="21" spans="1:21" x14ac:dyDescent="0.35">
      <c r="A21" t="s">
        <v>14</v>
      </c>
      <c r="B21" t="s">
        <v>15</v>
      </c>
      <c r="C21" t="s">
        <v>234</v>
      </c>
      <c r="D21" t="s">
        <v>235</v>
      </c>
      <c r="E21" t="s">
        <v>236</v>
      </c>
      <c r="F21" t="s">
        <v>22</v>
      </c>
      <c r="G21" t="s">
        <v>239</v>
      </c>
      <c r="H21" s="15">
        <v>46036</v>
      </c>
      <c r="I21" t="s">
        <v>240</v>
      </c>
      <c r="J21" t="s">
        <v>16</v>
      </c>
      <c r="K21" t="s">
        <v>185</v>
      </c>
      <c r="N21">
        <v>0</v>
      </c>
      <c r="O21" t="s">
        <v>222</v>
      </c>
      <c r="P21">
        <v>0</v>
      </c>
      <c r="U21" s="15"/>
    </row>
    <row r="22" spans="1:21" x14ac:dyDescent="0.35">
      <c r="A22" t="s">
        <v>14</v>
      </c>
      <c r="B22" t="s">
        <v>15</v>
      </c>
      <c r="C22" t="s">
        <v>234</v>
      </c>
      <c r="D22" t="s">
        <v>235</v>
      </c>
      <c r="E22" t="s">
        <v>236</v>
      </c>
      <c r="F22" t="s">
        <v>22</v>
      </c>
      <c r="G22" t="s">
        <v>241</v>
      </c>
      <c r="H22" s="15">
        <v>46035</v>
      </c>
      <c r="I22" t="s">
        <v>242</v>
      </c>
      <c r="J22" t="s">
        <v>16</v>
      </c>
      <c r="K22" t="s">
        <v>185</v>
      </c>
      <c r="N22">
        <v>0</v>
      </c>
      <c r="O22" t="s">
        <v>222</v>
      </c>
      <c r="P22">
        <v>0</v>
      </c>
      <c r="U22" s="15"/>
    </row>
    <row r="23" spans="1:21" x14ac:dyDescent="0.35">
      <c r="A23" t="s">
        <v>14</v>
      </c>
      <c r="B23" t="s">
        <v>15</v>
      </c>
      <c r="C23" t="s">
        <v>234</v>
      </c>
      <c r="D23" t="s">
        <v>235</v>
      </c>
      <c r="E23" t="s">
        <v>236</v>
      </c>
      <c r="F23" t="s">
        <v>22</v>
      </c>
      <c r="G23" t="s">
        <v>243</v>
      </c>
      <c r="H23" s="15">
        <v>46037</v>
      </c>
      <c r="I23" t="s">
        <v>244</v>
      </c>
      <c r="J23" t="s">
        <v>16</v>
      </c>
      <c r="K23" t="s">
        <v>185</v>
      </c>
      <c r="N23">
        <v>0</v>
      </c>
      <c r="O23" t="s">
        <v>222</v>
      </c>
      <c r="P23">
        <v>0</v>
      </c>
      <c r="U23" s="15"/>
    </row>
    <row r="24" spans="1:21" x14ac:dyDescent="0.35">
      <c r="A24" t="s">
        <v>14</v>
      </c>
      <c r="B24" t="s">
        <v>15</v>
      </c>
      <c r="C24" t="s">
        <v>234</v>
      </c>
      <c r="D24" t="s">
        <v>235</v>
      </c>
      <c r="E24" t="s">
        <v>236</v>
      </c>
      <c r="F24" t="s">
        <v>22</v>
      </c>
      <c r="G24" t="s">
        <v>245</v>
      </c>
      <c r="H24" s="15">
        <v>46038</v>
      </c>
      <c r="I24" t="s">
        <v>246</v>
      </c>
      <c r="J24" t="s">
        <v>16</v>
      </c>
      <c r="K24" t="s">
        <v>185</v>
      </c>
      <c r="N24">
        <v>0</v>
      </c>
      <c r="O24" t="s">
        <v>222</v>
      </c>
      <c r="P24">
        <v>0</v>
      </c>
      <c r="U24" s="15"/>
    </row>
    <row r="25" spans="1:21" x14ac:dyDescent="0.35">
      <c r="A25" t="s">
        <v>14</v>
      </c>
      <c r="B25" t="s">
        <v>15</v>
      </c>
      <c r="C25" t="s">
        <v>234</v>
      </c>
      <c r="D25" t="s">
        <v>235</v>
      </c>
      <c r="E25" t="s">
        <v>236</v>
      </c>
      <c r="F25" t="s">
        <v>22</v>
      </c>
      <c r="G25" t="s">
        <v>247</v>
      </c>
      <c r="H25" s="15">
        <v>46039</v>
      </c>
      <c r="I25" t="s">
        <v>248</v>
      </c>
      <c r="J25" t="s">
        <v>16</v>
      </c>
      <c r="K25" t="s">
        <v>185</v>
      </c>
      <c r="N25">
        <v>0</v>
      </c>
      <c r="O25" t="s">
        <v>222</v>
      </c>
      <c r="P25">
        <v>0</v>
      </c>
      <c r="U25" s="15"/>
    </row>
    <row r="26" spans="1:21" x14ac:dyDescent="0.35">
      <c r="A26" t="s">
        <v>14</v>
      </c>
      <c r="B26" t="s">
        <v>15</v>
      </c>
      <c r="C26" t="s">
        <v>234</v>
      </c>
      <c r="D26" t="s">
        <v>235</v>
      </c>
      <c r="E26" t="s">
        <v>236</v>
      </c>
      <c r="F26" t="s">
        <v>22</v>
      </c>
      <c r="G26" t="s">
        <v>249</v>
      </c>
      <c r="H26" s="15">
        <v>46045</v>
      </c>
      <c r="I26" t="s">
        <v>250</v>
      </c>
      <c r="J26" t="s">
        <v>16</v>
      </c>
      <c r="K26" t="s">
        <v>185</v>
      </c>
      <c r="N26">
        <v>0</v>
      </c>
      <c r="O26" t="s">
        <v>222</v>
      </c>
      <c r="P26">
        <v>0</v>
      </c>
      <c r="U26" s="15"/>
    </row>
    <row r="27" spans="1:21" x14ac:dyDescent="0.35">
      <c r="A27" t="s">
        <v>14</v>
      </c>
      <c r="B27" t="s">
        <v>15</v>
      </c>
      <c r="C27" t="s">
        <v>234</v>
      </c>
      <c r="D27" t="s">
        <v>235</v>
      </c>
      <c r="E27" t="s">
        <v>236</v>
      </c>
      <c r="F27" t="s">
        <v>22</v>
      </c>
      <c r="G27" t="s">
        <v>251</v>
      </c>
      <c r="H27" s="15">
        <v>46046</v>
      </c>
      <c r="I27" t="s">
        <v>252</v>
      </c>
      <c r="J27" t="s">
        <v>16</v>
      </c>
      <c r="K27" t="s">
        <v>185</v>
      </c>
      <c r="N27">
        <v>0</v>
      </c>
      <c r="O27" t="s">
        <v>222</v>
      </c>
      <c r="P27">
        <v>0</v>
      </c>
      <c r="U27" s="15"/>
    </row>
    <row r="28" spans="1:21" x14ac:dyDescent="0.35">
      <c r="A28" t="s">
        <v>14</v>
      </c>
      <c r="B28" t="s">
        <v>15</v>
      </c>
      <c r="C28" t="s">
        <v>234</v>
      </c>
      <c r="D28" t="s">
        <v>235</v>
      </c>
      <c r="E28" t="s">
        <v>236</v>
      </c>
      <c r="F28" t="s">
        <v>22</v>
      </c>
      <c r="G28" t="s">
        <v>253</v>
      </c>
      <c r="H28" s="15">
        <v>46044</v>
      </c>
      <c r="I28" t="s">
        <v>254</v>
      </c>
      <c r="J28" t="s">
        <v>16</v>
      </c>
      <c r="K28" t="s">
        <v>185</v>
      </c>
      <c r="N28">
        <v>0</v>
      </c>
      <c r="O28" t="s">
        <v>222</v>
      </c>
      <c r="P28">
        <v>0</v>
      </c>
      <c r="U28" s="15"/>
    </row>
    <row r="29" spans="1:21" x14ac:dyDescent="0.35">
      <c r="A29" t="s">
        <v>14</v>
      </c>
      <c r="B29" t="s">
        <v>15</v>
      </c>
      <c r="C29" t="s">
        <v>234</v>
      </c>
      <c r="D29" t="s">
        <v>235</v>
      </c>
      <c r="E29" t="s">
        <v>236</v>
      </c>
      <c r="F29" t="s">
        <v>22</v>
      </c>
      <c r="G29" t="s">
        <v>255</v>
      </c>
      <c r="H29" s="15">
        <v>46041</v>
      </c>
      <c r="I29" t="s">
        <v>256</v>
      </c>
      <c r="J29" t="s">
        <v>16</v>
      </c>
      <c r="K29" t="s">
        <v>185</v>
      </c>
      <c r="N29">
        <v>0</v>
      </c>
      <c r="O29" t="s">
        <v>222</v>
      </c>
      <c r="P29">
        <v>0</v>
      </c>
      <c r="U29" s="15"/>
    </row>
    <row r="30" spans="1:21" x14ac:dyDescent="0.35">
      <c r="A30" t="s">
        <v>14</v>
      </c>
      <c r="B30" t="s">
        <v>15</v>
      </c>
      <c r="C30" t="s">
        <v>234</v>
      </c>
      <c r="D30" t="s">
        <v>235</v>
      </c>
      <c r="E30" t="s">
        <v>236</v>
      </c>
      <c r="F30" t="s">
        <v>22</v>
      </c>
      <c r="G30" t="s">
        <v>257</v>
      </c>
      <c r="H30" s="15">
        <v>46042</v>
      </c>
      <c r="I30" t="s">
        <v>258</v>
      </c>
      <c r="J30" t="s">
        <v>16</v>
      </c>
      <c r="K30" t="s">
        <v>185</v>
      </c>
      <c r="N30">
        <v>0</v>
      </c>
      <c r="O30" t="s">
        <v>222</v>
      </c>
      <c r="P30">
        <v>0</v>
      </c>
      <c r="U30" s="15"/>
    </row>
    <row r="31" spans="1:21" x14ac:dyDescent="0.35">
      <c r="A31" t="s">
        <v>14</v>
      </c>
      <c r="B31" t="s">
        <v>15</v>
      </c>
      <c r="C31" t="s">
        <v>234</v>
      </c>
      <c r="D31" t="s">
        <v>235</v>
      </c>
      <c r="E31" t="s">
        <v>236</v>
      </c>
      <c r="F31" t="s">
        <v>22</v>
      </c>
      <c r="G31" t="s">
        <v>259</v>
      </c>
      <c r="H31" s="15">
        <v>46048</v>
      </c>
      <c r="I31" t="s">
        <v>260</v>
      </c>
      <c r="J31" t="s">
        <v>16</v>
      </c>
      <c r="K31" t="s">
        <v>185</v>
      </c>
      <c r="N31">
        <v>0</v>
      </c>
      <c r="O31" t="s">
        <v>222</v>
      </c>
      <c r="P31">
        <v>0</v>
      </c>
      <c r="U31" s="15"/>
    </row>
    <row r="32" spans="1:21" x14ac:dyDescent="0.35">
      <c r="A32" t="s">
        <v>14</v>
      </c>
      <c r="B32" t="s">
        <v>15</v>
      </c>
      <c r="C32" t="s">
        <v>234</v>
      </c>
      <c r="D32" t="s">
        <v>235</v>
      </c>
      <c r="E32" t="s">
        <v>236</v>
      </c>
      <c r="F32" t="s">
        <v>22</v>
      </c>
      <c r="G32" t="s">
        <v>261</v>
      </c>
      <c r="H32" s="15">
        <v>46049</v>
      </c>
      <c r="I32" t="s">
        <v>262</v>
      </c>
      <c r="J32" t="s">
        <v>16</v>
      </c>
      <c r="K32" t="s">
        <v>185</v>
      </c>
      <c r="N32">
        <v>0</v>
      </c>
      <c r="O32" t="s">
        <v>222</v>
      </c>
      <c r="P32">
        <v>0</v>
      </c>
      <c r="U32" s="15"/>
    </row>
    <row r="33" spans="1:21" x14ac:dyDescent="0.35">
      <c r="A33" t="s">
        <v>14</v>
      </c>
      <c r="B33" t="s">
        <v>15</v>
      </c>
      <c r="C33" t="s">
        <v>228</v>
      </c>
      <c r="D33" t="s">
        <v>229</v>
      </c>
      <c r="E33" t="s">
        <v>230</v>
      </c>
      <c r="F33" t="s">
        <v>22</v>
      </c>
      <c r="G33" t="s">
        <v>263</v>
      </c>
      <c r="H33" s="15">
        <v>46050</v>
      </c>
      <c r="I33" t="s">
        <v>264</v>
      </c>
      <c r="J33" t="s">
        <v>16</v>
      </c>
      <c r="K33" t="s">
        <v>185</v>
      </c>
      <c r="N33">
        <v>0</v>
      </c>
      <c r="O33" t="s">
        <v>222</v>
      </c>
      <c r="P33">
        <v>0</v>
      </c>
      <c r="U33" s="15"/>
    </row>
    <row r="34" spans="1:21" x14ac:dyDescent="0.35">
      <c r="A34" t="s">
        <v>14</v>
      </c>
      <c r="B34" t="s">
        <v>15</v>
      </c>
      <c r="C34" t="s">
        <v>228</v>
      </c>
      <c r="D34" t="s">
        <v>229</v>
      </c>
      <c r="E34" t="s">
        <v>230</v>
      </c>
      <c r="F34" t="s">
        <v>22</v>
      </c>
      <c r="G34" t="s">
        <v>265</v>
      </c>
      <c r="H34" s="15">
        <v>46052</v>
      </c>
      <c r="I34" t="s">
        <v>266</v>
      </c>
      <c r="J34" t="s">
        <v>16</v>
      </c>
      <c r="K34" t="s">
        <v>185</v>
      </c>
      <c r="N34">
        <v>0</v>
      </c>
      <c r="O34" t="s">
        <v>222</v>
      </c>
      <c r="P34">
        <v>0</v>
      </c>
      <c r="U34" s="15"/>
    </row>
    <row r="35" spans="1:21" x14ac:dyDescent="0.35">
      <c r="A35" t="s">
        <v>14</v>
      </c>
      <c r="B35" t="s">
        <v>15</v>
      </c>
      <c r="C35" t="s">
        <v>223</v>
      </c>
      <c r="D35" t="s">
        <v>224</v>
      </c>
      <c r="E35" t="s">
        <v>225</v>
      </c>
      <c r="F35" t="s">
        <v>22</v>
      </c>
      <c r="G35" t="s">
        <v>267</v>
      </c>
      <c r="H35" s="15">
        <v>46055</v>
      </c>
      <c r="I35" t="s">
        <v>268</v>
      </c>
      <c r="J35" t="s">
        <v>16</v>
      </c>
      <c r="K35" t="s">
        <v>185</v>
      </c>
      <c r="N35">
        <v>0</v>
      </c>
      <c r="O35" t="s">
        <v>222</v>
      </c>
      <c r="P35">
        <v>0</v>
      </c>
      <c r="U35" s="15"/>
    </row>
    <row r="36" spans="1:21" x14ac:dyDescent="0.35">
      <c r="A36" t="s">
        <v>14</v>
      </c>
      <c r="B36" t="s">
        <v>15</v>
      </c>
      <c r="C36" t="s">
        <v>234</v>
      </c>
      <c r="D36" t="s">
        <v>235</v>
      </c>
      <c r="E36" t="s">
        <v>236</v>
      </c>
      <c r="F36" t="s">
        <v>22</v>
      </c>
      <c r="G36" t="s">
        <v>269</v>
      </c>
      <c r="H36" s="15">
        <v>46057</v>
      </c>
      <c r="I36" t="s">
        <v>270</v>
      </c>
      <c r="J36" t="s">
        <v>16</v>
      </c>
      <c r="K36" t="s">
        <v>185</v>
      </c>
      <c r="N36">
        <v>0</v>
      </c>
      <c r="O36" t="s">
        <v>222</v>
      </c>
      <c r="P36">
        <v>0</v>
      </c>
      <c r="U36" s="15"/>
    </row>
    <row r="37" spans="1:21" x14ac:dyDescent="0.35">
      <c r="A37" t="s">
        <v>14</v>
      </c>
      <c r="B37" t="s">
        <v>15</v>
      </c>
      <c r="C37" t="s">
        <v>234</v>
      </c>
      <c r="D37" t="s">
        <v>235</v>
      </c>
      <c r="E37" t="s">
        <v>236</v>
      </c>
      <c r="F37" t="s">
        <v>22</v>
      </c>
      <c r="G37" t="s">
        <v>271</v>
      </c>
      <c r="H37" s="15">
        <v>46059</v>
      </c>
      <c r="I37" t="s">
        <v>272</v>
      </c>
      <c r="J37" t="s">
        <v>16</v>
      </c>
      <c r="K37" t="s">
        <v>185</v>
      </c>
      <c r="N37">
        <v>0</v>
      </c>
      <c r="O37" t="s">
        <v>222</v>
      </c>
      <c r="P37">
        <v>0</v>
      </c>
      <c r="U37" s="15"/>
    </row>
    <row r="38" spans="1:21" x14ac:dyDescent="0.35">
      <c r="A38" t="s">
        <v>14</v>
      </c>
      <c r="B38" t="s">
        <v>15</v>
      </c>
      <c r="C38" t="s">
        <v>234</v>
      </c>
      <c r="D38" t="s">
        <v>235</v>
      </c>
      <c r="E38" t="s">
        <v>236</v>
      </c>
      <c r="F38" t="s">
        <v>22</v>
      </c>
      <c r="G38" t="s">
        <v>273</v>
      </c>
      <c r="H38" s="15">
        <v>46058</v>
      </c>
      <c r="I38" t="s">
        <v>274</v>
      </c>
      <c r="J38" t="s">
        <v>16</v>
      </c>
      <c r="K38" t="s">
        <v>185</v>
      </c>
      <c r="N38">
        <v>0</v>
      </c>
      <c r="O38" t="s">
        <v>222</v>
      </c>
      <c r="P38">
        <v>0</v>
      </c>
      <c r="U38" s="15"/>
    </row>
    <row r="39" spans="1:21" x14ac:dyDescent="0.35">
      <c r="A39" t="s">
        <v>14</v>
      </c>
      <c r="B39" t="s">
        <v>15</v>
      </c>
      <c r="C39" t="s">
        <v>234</v>
      </c>
      <c r="D39" t="s">
        <v>235</v>
      </c>
      <c r="E39" t="s">
        <v>236</v>
      </c>
      <c r="F39" t="s">
        <v>22</v>
      </c>
      <c r="G39" t="s">
        <v>275</v>
      </c>
      <c r="H39" s="15">
        <v>46063</v>
      </c>
      <c r="I39" t="s">
        <v>276</v>
      </c>
      <c r="J39" t="s">
        <v>16</v>
      </c>
      <c r="K39" t="s">
        <v>185</v>
      </c>
      <c r="N39">
        <v>0</v>
      </c>
      <c r="O39" t="s">
        <v>222</v>
      </c>
      <c r="P39">
        <v>0</v>
      </c>
      <c r="U39" s="15"/>
    </row>
    <row r="40" spans="1:21" x14ac:dyDescent="0.35">
      <c r="A40" t="s">
        <v>14</v>
      </c>
      <c r="B40" t="s">
        <v>15</v>
      </c>
      <c r="C40" t="s">
        <v>277</v>
      </c>
      <c r="D40" t="s">
        <v>278</v>
      </c>
      <c r="E40" t="s">
        <v>279</v>
      </c>
      <c r="F40" t="s">
        <v>22</v>
      </c>
      <c r="G40" t="s">
        <v>280</v>
      </c>
      <c r="H40" s="15">
        <v>46064</v>
      </c>
      <c r="I40" t="s">
        <v>281</v>
      </c>
      <c r="J40" t="s">
        <v>16</v>
      </c>
      <c r="K40" t="s">
        <v>185</v>
      </c>
      <c r="N40">
        <v>0</v>
      </c>
      <c r="O40" t="s">
        <v>222</v>
      </c>
      <c r="P40">
        <v>0</v>
      </c>
      <c r="U40" s="15"/>
    </row>
    <row r="41" spans="1:21" x14ac:dyDescent="0.35">
      <c r="A41" t="s">
        <v>14</v>
      </c>
      <c r="B41" t="s">
        <v>15</v>
      </c>
      <c r="C41" t="s">
        <v>234</v>
      </c>
      <c r="D41" t="s">
        <v>235</v>
      </c>
      <c r="E41" t="s">
        <v>236</v>
      </c>
      <c r="F41" t="s">
        <v>22</v>
      </c>
      <c r="G41" t="s">
        <v>282</v>
      </c>
      <c r="H41" s="15">
        <v>46065</v>
      </c>
      <c r="I41" t="s">
        <v>283</v>
      </c>
      <c r="J41" t="s">
        <v>16</v>
      </c>
      <c r="K41" t="s">
        <v>185</v>
      </c>
      <c r="N41">
        <v>0</v>
      </c>
      <c r="O41" t="s">
        <v>222</v>
      </c>
      <c r="P41">
        <v>0</v>
      </c>
      <c r="U41" s="15"/>
    </row>
    <row r="42" spans="1:21" x14ac:dyDescent="0.35">
      <c r="A42" t="s">
        <v>14</v>
      </c>
      <c r="B42" t="s">
        <v>15</v>
      </c>
      <c r="C42" t="s">
        <v>234</v>
      </c>
      <c r="D42" t="s">
        <v>235</v>
      </c>
      <c r="E42" t="s">
        <v>236</v>
      </c>
      <c r="F42" t="s">
        <v>22</v>
      </c>
      <c r="G42" t="s">
        <v>284</v>
      </c>
      <c r="H42" s="15">
        <v>46066</v>
      </c>
      <c r="I42" t="s">
        <v>285</v>
      </c>
      <c r="J42" t="s">
        <v>16</v>
      </c>
      <c r="K42" t="s">
        <v>185</v>
      </c>
      <c r="N42">
        <v>0</v>
      </c>
      <c r="O42" t="s">
        <v>222</v>
      </c>
      <c r="P42">
        <v>0</v>
      </c>
      <c r="U42" s="15"/>
    </row>
    <row r="43" spans="1:21" x14ac:dyDescent="0.35">
      <c r="A43" t="s">
        <v>14</v>
      </c>
      <c r="B43" t="s">
        <v>15</v>
      </c>
      <c r="C43" t="s">
        <v>228</v>
      </c>
      <c r="D43" t="s">
        <v>229</v>
      </c>
      <c r="E43" t="s">
        <v>230</v>
      </c>
      <c r="F43" t="s">
        <v>22</v>
      </c>
      <c r="G43" t="s">
        <v>286</v>
      </c>
      <c r="H43" s="15">
        <v>46069</v>
      </c>
      <c r="I43" t="s">
        <v>287</v>
      </c>
      <c r="J43" t="s">
        <v>16</v>
      </c>
      <c r="K43" t="s">
        <v>185</v>
      </c>
      <c r="N43">
        <v>0</v>
      </c>
      <c r="O43" t="s">
        <v>222</v>
      </c>
      <c r="P43">
        <v>0</v>
      </c>
      <c r="U43" s="15"/>
    </row>
    <row r="44" spans="1:21" x14ac:dyDescent="0.35">
      <c r="A44" t="s">
        <v>14</v>
      </c>
      <c r="B44" t="s">
        <v>15</v>
      </c>
      <c r="C44" t="s">
        <v>234</v>
      </c>
      <c r="D44" t="s">
        <v>235</v>
      </c>
      <c r="E44" t="s">
        <v>236</v>
      </c>
      <c r="F44" t="s">
        <v>22</v>
      </c>
      <c r="G44" t="s">
        <v>288</v>
      </c>
      <c r="H44" s="15">
        <v>46067</v>
      </c>
      <c r="I44" t="s">
        <v>289</v>
      </c>
      <c r="J44" t="s">
        <v>16</v>
      </c>
      <c r="K44" t="s">
        <v>185</v>
      </c>
      <c r="N44">
        <v>0</v>
      </c>
      <c r="O44" t="s">
        <v>222</v>
      </c>
      <c r="P44">
        <v>0</v>
      </c>
      <c r="U44" s="15"/>
    </row>
    <row r="45" spans="1:21" x14ac:dyDescent="0.35">
      <c r="A45" t="s">
        <v>14</v>
      </c>
      <c r="B45" t="s">
        <v>497</v>
      </c>
      <c r="C45" t="s">
        <v>641</v>
      </c>
      <c r="D45" t="s">
        <v>642</v>
      </c>
      <c r="E45" t="s">
        <v>643</v>
      </c>
      <c r="F45" t="s">
        <v>644</v>
      </c>
      <c r="G45" t="s">
        <v>645</v>
      </c>
      <c r="H45" s="15">
        <v>46027</v>
      </c>
      <c r="I45" t="s">
        <v>646</v>
      </c>
      <c r="J45" t="s">
        <v>16</v>
      </c>
      <c r="K45" t="s">
        <v>185</v>
      </c>
      <c r="N45">
        <v>0</v>
      </c>
      <c r="O45" t="s">
        <v>222</v>
      </c>
      <c r="P45">
        <v>0</v>
      </c>
      <c r="U45" s="15"/>
    </row>
    <row r="46" spans="1:21" x14ac:dyDescent="0.35">
      <c r="A46" t="s">
        <v>14</v>
      </c>
      <c r="B46" t="s">
        <v>497</v>
      </c>
      <c r="C46" t="s">
        <v>647</v>
      </c>
      <c r="D46" t="s">
        <v>648</v>
      </c>
      <c r="E46" t="s">
        <v>649</v>
      </c>
      <c r="F46" t="s">
        <v>644</v>
      </c>
      <c r="G46" t="s">
        <v>645</v>
      </c>
      <c r="H46" s="15">
        <v>46027</v>
      </c>
      <c r="I46" t="s">
        <v>650</v>
      </c>
      <c r="J46" t="s">
        <v>16</v>
      </c>
      <c r="K46" t="s">
        <v>185</v>
      </c>
      <c r="N46">
        <v>0</v>
      </c>
      <c r="O46" t="s">
        <v>222</v>
      </c>
      <c r="P46">
        <v>0</v>
      </c>
      <c r="U46" s="15"/>
    </row>
    <row r="47" spans="1:21" x14ac:dyDescent="0.35">
      <c r="A47" t="s">
        <v>14</v>
      </c>
      <c r="B47" t="s">
        <v>497</v>
      </c>
      <c r="C47" t="s">
        <v>651</v>
      </c>
      <c r="D47" t="s">
        <v>652</v>
      </c>
      <c r="E47" t="s">
        <v>653</v>
      </c>
      <c r="F47" t="s">
        <v>644</v>
      </c>
      <c r="G47" t="s">
        <v>654</v>
      </c>
      <c r="H47" s="15">
        <v>46027</v>
      </c>
      <c r="I47" t="s">
        <v>655</v>
      </c>
      <c r="J47" t="s">
        <v>233</v>
      </c>
      <c r="K47" t="s">
        <v>185</v>
      </c>
      <c r="N47">
        <v>0</v>
      </c>
      <c r="O47" t="s">
        <v>222</v>
      </c>
      <c r="P47">
        <v>0</v>
      </c>
      <c r="U47" s="15"/>
    </row>
    <row r="48" spans="1:21" x14ac:dyDescent="0.35">
      <c r="A48" t="s">
        <v>14</v>
      </c>
      <c r="B48" t="s">
        <v>497</v>
      </c>
      <c r="C48" t="s">
        <v>651</v>
      </c>
      <c r="D48" t="s">
        <v>652</v>
      </c>
      <c r="E48" t="s">
        <v>653</v>
      </c>
      <c r="F48" t="s">
        <v>644</v>
      </c>
      <c r="G48" t="s">
        <v>656</v>
      </c>
      <c r="H48" s="15">
        <v>46028</v>
      </c>
      <c r="I48" t="s">
        <v>657</v>
      </c>
      <c r="J48" t="s">
        <v>16</v>
      </c>
      <c r="K48" t="s">
        <v>185</v>
      </c>
      <c r="N48">
        <v>0</v>
      </c>
      <c r="O48" t="s">
        <v>222</v>
      </c>
      <c r="P48">
        <v>0</v>
      </c>
      <c r="U48" s="15"/>
    </row>
    <row r="49" spans="1:21" x14ac:dyDescent="0.35">
      <c r="A49" t="s">
        <v>14</v>
      </c>
      <c r="B49" t="s">
        <v>497</v>
      </c>
      <c r="C49" t="s">
        <v>658</v>
      </c>
      <c r="D49" t="s">
        <v>659</v>
      </c>
      <c r="E49" t="s">
        <v>660</v>
      </c>
      <c r="F49" t="s">
        <v>644</v>
      </c>
      <c r="G49" t="s">
        <v>656</v>
      </c>
      <c r="H49" s="15">
        <v>46028</v>
      </c>
      <c r="I49" t="s">
        <v>661</v>
      </c>
      <c r="J49" t="s">
        <v>16</v>
      </c>
      <c r="K49" t="s">
        <v>185</v>
      </c>
      <c r="N49">
        <v>0</v>
      </c>
      <c r="O49" t="s">
        <v>222</v>
      </c>
      <c r="P49">
        <v>0</v>
      </c>
      <c r="U49" s="15"/>
    </row>
    <row r="50" spans="1:21" x14ac:dyDescent="0.35">
      <c r="A50" t="s">
        <v>14</v>
      </c>
      <c r="B50" t="s">
        <v>497</v>
      </c>
      <c r="C50" t="s">
        <v>662</v>
      </c>
      <c r="D50" t="s">
        <v>663</v>
      </c>
      <c r="E50" t="s">
        <v>664</v>
      </c>
      <c r="F50" t="s">
        <v>644</v>
      </c>
      <c r="G50" t="s">
        <v>665</v>
      </c>
      <c r="H50" s="15">
        <v>46029</v>
      </c>
      <c r="I50" t="s">
        <v>666</v>
      </c>
      <c r="J50" t="s">
        <v>16</v>
      </c>
      <c r="K50" t="s">
        <v>185</v>
      </c>
      <c r="N50">
        <v>0</v>
      </c>
      <c r="O50" t="s">
        <v>222</v>
      </c>
      <c r="P50">
        <v>0</v>
      </c>
      <c r="U50" s="15"/>
    </row>
    <row r="51" spans="1:21" x14ac:dyDescent="0.35">
      <c r="A51" t="s">
        <v>14</v>
      </c>
      <c r="B51" t="s">
        <v>497</v>
      </c>
      <c r="C51" t="s">
        <v>667</v>
      </c>
      <c r="D51" t="s">
        <v>668</v>
      </c>
      <c r="E51" t="s">
        <v>669</v>
      </c>
      <c r="F51" t="s">
        <v>644</v>
      </c>
      <c r="G51" t="s">
        <v>665</v>
      </c>
      <c r="H51" s="15">
        <v>46029</v>
      </c>
      <c r="I51" t="s">
        <v>670</v>
      </c>
      <c r="J51" t="s">
        <v>16</v>
      </c>
      <c r="K51" t="s">
        <v>185</v>
      </c>
      <c r="N51">
        <v>0</v>
      </c>
      <c r="O51" t="s">
        <v>222</v>
      </c>
      <c r="P51">
        <v>0</v>
      </c>
      <c r="U51" s="15"/>
    </row>
    <row r="52" spans="1:21" x14ac:dyDescent="0.35">
      <c r="A52" t="s">
        <v>14</v>
      </c>
      <c r="B52" t="s">
        <v>497</v>
      </c>
      <c r="C52" t="s">
        <v>671</v>
      </c>
      <c r="D52" t="s">
        <v>672</v>
      </c>
      <c r="E52" t="s">
        <v>673</v>
      </c>
      <c r="F52" t="s">
        <v>644</v>
      </c>
      <c r="G52" t="s">
        <v>674</v>
      </c>
      <c r="H52" s="15">
        <v>46029</v>
      </c>
      <c r="I52" t="s">
        <v>675</v>
      </c>
      <c r="J52" t="s">
        <v>233</v>
      </c>
      <c r="K52" t="s">
        <v>185</v>
      </c>
      <c r="N52">
        <v>0</v>
      </c>
      <c r="O52" t="s">
        <v>222</v>
      </c>
      <c r="P52">
        <v>0</v>
      </c>
      <c r="U52" s="15"/>
    </row>
    <row r="53" spans="1:21" x14ac:dyDescent="0.35">
      <c r="A53" t="s">
        <v>14</v>
      </c>
      <c r="B53" t="s">
        <v>497</v>
      </c>
      <c r="C53" t="s">
        <v>651</v>
      </c>
      <c r="D53" t="s">
        <v>652</v>
      </c>
      <c r="E53" t="s">
        <v>653</v>
      </c>
      <c r="F53" t="s">
        <v>644</v>
      </c>
      <c r="G53" t="s">
        <v>676</v>
      </c>
      <c r="H53" s="15">
        <v>46030</v>
      </c>
      <c r="I53" t="s">
        <v>677</v>
      </c>
      <c r="J53" t="s">
        <v>16</v>
      </c>
      <c r="K53" t="s">
        <v>185</v>
      </c>
      <c r="N53">
        <v>0</v>
      </c>
      <c r="O53" t="s">
        <v>222</v>
      </c>
      <c r="P53">
        <v>0</v>
      </c>
      <c r="U53" s="15"/>
    </row>
    <row r="54" spans="1:21" x14ac:dyDescent="0.35">
      <c r="A54" t="s">
        <v>14</v>
      </c>
      <c r="B54" t="s">
        <v>497</v>
      </c>
      <c r="C54" t="s">
        <v>678</v>
      </c>
      <c r="D54" t="s">
        <v>679</v>
      </c>
      <c r="E54" t="s">
        <v>679</v>
      </c>
      <c r="F54" t="s">
        <v>644</v>
      </c>
      <c r="G54" t="s">
        <v>680</v>
      </c>
      <c r="H54" s="15">
        <v>46030</v>
      </c>
      <c r="I54" t="s">
        <v>681</v>
      </c>
      <c r="J54" t="s">
        <v>233</v>
      </c>
      <c r="K54" t="s">
        <v>185</v>
      </c>
      <c r="N54">
        <v>0</v>
      </c>
      <c r="O54" t="s">
        <v>222</v>
      </c>
      <c r="P54">
        <v>0</v>
      </c>
      <c r="U54" s="15"/>
    </row>
    <row r="55" spans="1:21" x14ac:dyDescent="0.35">
      <c r="A55" t="s">
        <v>14</v>
      </c>
      <c r="B55" t="s">
        <v>497</v>
      </c>
      <c r="C55" t="s">
        <v>682</v>
      </c>
      <c r="D55" t="s">
        <v>683</v>
      </c>
      <c r="E55" t="s">
        <v>683</v>
      </c>
      <c r="F55" t="s">
        <v>644</v>
      </c>
      <c r="G55" t="s">
        <v>680</v>
      </c>
      <c r="H55" s="15">
        <v>46030</v>
      </c>
      <c r="I55" t="s">
        <v>684</v>
      </c>
      <c r="J55" t="s">
        <v>233</v>
      </c>
      <c r="K55" t="s">
        <v>185</v>
      </c>
      <c r="N55">
        <v>0</v>
      </c>
      <c r="O55" t="s">
        <v>222</v>
      </c>
      <c r="P55">
        <v>0</v>
      </c>
      <c r="U55" s="15"/>
    </row>
    <row r="56" spans="1:21" x14ac:dyDescent="0.35">
      <c r="A56" t="s">
        <v>14</v>
      </c>
      <c r="B56" t="s">
        <v>497</v>
      </c>
      <c r="C56" t="s">
        <v>662</v>
      </c>
      <c r="D56" t="s">
        <v>663</v>
      </c>
      <c r="E56" t="s">
        <v>664</v>
      </c>
      <c r="F56" t="s">
        <v>644</v>
      </c>
      <c r="G56" t="s">
        <v>685</v>
      </c>
      <c r="H56" s="15">
        <v>46031</v>
      </c>
      <c r="I56" t="s">
        <v>686</v>
      </c>
      <c r="J56" t="s">
        <v>16</v>
      </c>
      <c r="K56" t="s">
        <v>185</v>
      </c>
      <c r="N56">
        <v>0</v>
      </c>
      <c r="O56" t="s">
        <v>222</v>
      </c>
      <c r="P56">
        <v>0</v>
      </c>
      <c r="U56" s="15"/>
    </row>
    <row r="57" spans="1:21" x14ac:dyDescent="0.35">
      <c r="A57" t="s">
        <v>14</v>
      </c>
      <c r="B57" t="s">
        <v>497</v>
      </c>
      <c r="C57" t="s">
        <v>647</v>
      </c>
      <c r="D57" t="s">
        <v>648</v>
      </c>
      <c r="E57" t="s">
        <v>649</v>
      </c>
      <c r="F57" t="s">
        <v>644</v>
      </c>
      <c r="G57" t="s">
        <v>685</v>
      </c>
      <c r="H57" s="15">
        <v>46031</v>
      </c>
      <c r="I57" t="s">
        <v>687</v>
      </c>
      <c r="J57" t="s">
        <v>16</v>
      </c>
      <c r="K57" t="s">
        <v>185</v>
      </c>
      <c r="N57">
        <v>0</v>
      </c>
      <c r="O57" t="s">
        <v>222</v>
      </c>
      <c r="P57">
        <v>0</v>
      </c>
      <c r="U57" s="15"/>
    </row>
    <row r="58" spans="1:21" x14ac:dyDescent="0.35">
      <c r="A58" t="s">
        <v>14</v>
      </c>
      <c r="B58" t="s">
        <v>497</v>
      </c>
      <c r="C58" t="s">
        <v>651</v>
      </c>
      <c r="D58" t="s">
        <v>652</v>
      </c>
      <c r="E58" t="s">
        <v>653</v>
      </c>
      <c r="F58" t="s">
        <v>644</v>
      </c>
      <c r="G58" t="s">
        <v>688</v>
      </c>
      <c r="H58" s="15">
        <v>46031</v>
      </c>
      <c r="I58" t="s">
        <v>689</v>
      </c>
      <c r="J58" t="s">
        <v>233</v>
      </c>
      <c r="K58" t="s">
        <v>185</v>
      </c>
      <c r="N58">
        <v>0</v>
      </c>
      <c r="O58" t="s">
        <v>222</v>
      </c>
      <c r="P58">
        <v>0</v>
      </c>
      <c r="U58" s="15"/>
    </row>
    <row r="59" spans="1:21" x14ac:dyDescent="0.35">
      <c r="A59" t="s">
        <v>14</v>
      </c>
      <c r="B59" t="s">
        <v>497</v>
      </c>
      <c r="C59" t="s">
        <v>651</v>
      </c>
      <c r="D59" t="s">
        <v>652</v>
      </c>
      <c r="E59" t="s">
        <v>653</v>
      </c>
      <c r="F59" t="s">
        <v>644</v>
      </c>
      <c r="G59" t="s">
        <v>690</v>
      </c>
      <c r="H59" s="15">
        <v>46032</v>
      </c>
      <c r="I59" t="s">
        <v>691</v>
      </c>
      <c r="J59" t="s">
        <v>16</v>
      </c>
      <c r="K59" t="s">
        <v>185</v>
      </c>
      <c r="N59">
        <v>0</v>
      </c>
      <c r="O59" t="s">
        <v>222</v>
      </c>
      <c r="P59">
        <v>0</v>
      </c>
      <c r="U59" s="15"/>
    </row>
    <row r="60" spans="1:21" x14ac:dyDescent="0.35">
      <c r="A60" t="s">
        <v>14</v>
      </c>
      <c r="B60" t="s">
        <v>497</v>
      </c>
      <c r="C60" t="s">
        <v>692</v>
      </c>
      <c r="D60" t="s">
        <v>693</v>
      </c>
      <c r="E60" t="s">
        <v>694</v>
      </c>
      <c r="F60" t="s">
        <v>644</v>
      </c>
      <c r="G60" t="s">
        <v>695</v>
      </c>
      <c r="H60" s="15">
        <v>46034</v>
      </c>
      <c r="I60" t="s">
        <v>696</v>
      </c>
      <c r="J60" t="s">
        <v>16</v>
      </c>
      <c r="K60" t="s">
        <v>185</v>
      </c>
      <c r="N60">
        <v>0</v>
      </c>
      <c r="O60" t="s">
        <v>222</v>
      </c>
      <c r="P60">
        <v>0</v>
      </c>
      <c r="U60" s="15"/>
    </row>
    <row r="61" spans="1:21" x14ac:dyDescent="0.35">
      <c r="A61" t="s">
        <v>14</v>
      </c>
      <c r="B61" t="s">
        <v>497</v>
      </c>
      <c r="C61" t="s">
        <v>697</v>
      </c>
      <c r="D61" t="s">
        <v>698</v>
      </c>
      <c r="E61" t="s">
        <v>699</v>
      </c>
      <c r="F61" t="s">
        <v>644</v>
      </c>
      <c r="G61" t="s">
        <v>695</v>
      </c>
      <c r="H61" s="15">
        <v>46034</v>
      </c>
      <c r="I61" t="s">
        <v>700</v>
      </c>
      <c r="J61" t="s">
        <v>16</v>
      </c>
      <c r="K61" t="s">
        <v>185</v>
      </c>
      <c r="N61">
        <v>0</v>
      </c>
      <c r="O61" t="s">
        <v>222</v>
      </c>
      <c r="P61">
        <v>0</v>
      </c>
      <c r="U61" s="15"/>
    </row>
    <row r="62" spans="1:21" x14ac:dyDescent="0.35">
      <c r="A62" t="s">
        <v>14</v>
      </c>
      <c r="B62" t="s">
        <v>497</v>
      </c>
      <c r="C62" t="s">
        <v>651</v>
      </c>
      <c r="D62" t="s">
        <v>652</v>
      </c>
      <c r="E62" t="s">
        <v>653</v>
      </c>
      <c r="F62" t="s">
        <v>644</v>
      </c>
      <c r="G62" t="s">
        <v>701</v>
      </c>
      <c r="H62" s="15">
        <v>46034</v>
      </c>
      <c r="I62" t="s">
        <v>702</v>
      </c>
      <c r="J62" t="s">
        <v>233</v>
      </c>
      <c r="K62" t="s">
        <v>185</v>
      </c>
      <c r="N62">
        <v>0</v>
      </c>
      <c r="O62" t="s">
        <v>222</v>
      </c>
      <c r="P62">
        <v>0</v>
      </c>
      <c r="U62" s="15"/>
    </row>
    <row r="63" spans="1:21" x14ac:dyDescent="0.35">
      <c r="A63" t="s">
        <v>14</v>
      </c>
      <c r="B63" t="s">
        <v>497</v>
      </c>
      <c r="C63" t="s">
        <v>651</v>
      </c>
      <c r="D63" t="s">
        <v>652</v>
      </c>
      <c r="E63" t="s">
        <v>653</v>
      </c>
      <c r="F63" t="s">
        <v>644</v>
      </c>
      <c r="G63" t="s">
        <v>703</v>
      </c>
      <c r="H63" s="15">
        <v>46035</v>
      </c>
      <c r="I63" t="s">
        <v>704</v>
      </c>
      <c r="J63" t="s">
        <v>16</v>
      </c>
      <c r="K63" t="s">
        <v>185</v>
      </c>
      <c r="N63">
        <v>0</v>
      </c>
      <c r="O63" t="s">
        <v>222</v>
      </c>
      <c r="P63">
        <v>0</v>
      </c>
      <c r="U63" s="15"/>
    </row>
    <row r="64" spans="1:21" x14ac:dyDescent="0.35">
      <c r="A64" t="s">
        <v>14</v>
      </c>
      <c r="B64" t="s">
        <v>497</v>
      </c>
      <c r="C64" t="s">
        <v>667</v>
      </c>
      <c r="D64" t="s">
        <v>668</v>
      </c>
      <c r="E64" t="s">
        <v>669</v>
      </c>
      <c r="F64" t="s">
        <v>644</v>
      </c>
      <c r="G64" t="s">
        <v>703</v>
      </c>
      <c r="H64" s="15">
        <v>46035</v>
      </c>
      <c r="I64" t="s">
        <v>705</v>
      </c>
      <c r="J64" t="s">
        <v>16</v>
      </c>
      <c r="K64" t="s">
        <v>185</v>
      </c>
      <c r="N64">
        <v>0</v>
      </c>
      <c r="O64" t="s">
        <v>222</v>
      </c>
      <c r="P64">
        <v>0</v>
      </c>
      <c r="U64" s="15"/>
    </row>
    <row r="65" spans="1:21" x14ac:dyDescent="0.35">
      <c r="A65" t="s">
        <v>14</v>
      </c>
      <c r="B65" t="s">
        <v>497</v>
      </c>
      <c r="C65" t="s">
        <v>641</v>
      </c>
      <c r="D65" t="s">
        <v>642</v>
      </c>
      <c r="E65" t="s">
        <v>643</v>
      </c>
      <c r="F65" t="s">
        <v>644</v>
      </c>
      <c r="G65" t="s">
        <v>706</v>
      </c>
      <c r="H65" s="15">
        <v>46036</v>
      </c>
      <c r="I65" t="s">
        <v>707</v>
      </c>
      <c r="J65" t="s">
        <v>16</v>
      </c>
      <c r="K65" t="s">
        <v>185</v>
      </c>
      <c r="N65">
        <v>0</v>
      </c>
      <c r="O65" t="s">
        <v>222</v>
      </c>
      <c r="P65">
        <v>0</v>
      </c>
      <c r="U65" s="15"/>
    </row>
    <row r="66" spans="1:21" x14ac:dyDescent="0.35">
      <c r="A66" t="s">
        <v>14</v>
      </c>
      <c r="B66" t="s">
        <v>497</v>
      </c>
      <c r="C66" t="s">
        <v>667</v>
      </c>
      <c r="D66" t="s">
        <v>668</v>
      </c>
      <c r="E66" t="s">
        <v>669</v>
      </c>
      <c r="F66" t="s">
        <v>644</v>
      </c>
      <c r="G66" t="s">
        <v>706</v>
      </c>
      <c r="H66" s="15">
        <v>46036</v>
      </c>
      <c r="I66" t="s">
        <v>708</v>
      </c>
      <c r="J66" t="s">
        <v>16</v>
      </c>
      <c r="K66" t="s">
        <v>185</v>
      </c>
      <c r="N66">
        <v>0</v>
      </c>
      <c r="O66" t="s">
        <v>222</v>
      </c>
      <c r="P66">
        <v>0</v>
      </c>
      <c r="U66" s="15"/>
    </row>
    <row r="67" spans="1:21" x14ac:dyDescent="0.35">
      <c r="A67" t="s">
        <v>14</v>
      </c>
      <c r="B67" t="s">
        <v>497</v>
      </c>
      <c r="C67" t="s">
        <v>651</v>
      </c>
      <c r="D67" t="s">
        <v>652</v>
      </c>
      <c r="E67" t="s">
        <v>653</v>
      </c>
      <c r="F67" t="s">
        <v>644</v>
      </c>
      <c r="G67" t="s">
        <v>709</v>
      </c>
      <c r="H67" s="15">
        <v>46036</v>
      </c>
      <c r="I67" t="s">
        <v>710</v>
      </c>
      <c r="J67" t="s">
        <v>233</v>
      </c>
      <c r="K67" t="s">
        <v>185</v>
      </c>
      <c r="N67">
        <v>0</v>
      </c>
      <c r="O67" t="s">
        <v>222</v>
      </c>
      <c r="P67">
        <v>0</v>
      </c>
      <c r="U67" s="15"/>
    </row>
    <row r="68" spans="1:21" x14ac:dyDescent="0.35">
      <c r="A68" t="s">
        <v>14</v>
      </c>
      <c r="B68" t="s">
        <v>497</v>
      </c>
      <c r="C68" t="s">
        <v>711</v>
      </c>
      <c r="D68" t="s">
        <v>712</v>
      </c>
      <c r="E68" t="s">
        <v>713</v>
      </c>
      <c r="F68" t="s">
        <v>644</v>
      </c>
      <c r="G68" t="s">
        <v>714</v>
      </c>
      <c r="H68" s="15">
        <v>46037</v>
      </c>
      <c r="I68" t="s">
        <v>715</v>
      </c>
      <c r="J68" t="s">
        <v>16</v>
      </c>
      <c r="K68" t="s">
        <v>185</v>
      </c>
      <c r="N68">
        <v>0</v>
      </c>
      <c r="O68" t="s">
        <v>222</v>
      </c>
      <c r="P68">
        <v>0</v>
      </c>
      <c r="U68" s="15"/>
    </row>
    <row r="69" spans="1:21" x14ac:dyDescent="0.35">
      <c r="A69" t="s">
        <v>14</v>
      </c>
      <c r="B69" t="s">
        <v>497</v>
      </c>
      <c r="C69" t="s">
        <v>716</v>
      </c>
      <c r="D69" t="s">
        <v>717</v>
      </c>
      <c r="E69" t="s">
        <v>718</v>
      </c>
      <c r="F69" t="s">
        <v>644</v>
      </c>
      <c r="G69" t="s">
        <v>714</v>
      </c>
      <c r="H69" s="15">
        <v>46037</v>
      </c>
      <c r="I69" t="s">
        <v>719</v>
      </c>
      <c r="J69" t="s">
        <v>16</v>
      </c>
      <c r="K69" t="s">
        <v>185</v>
      </c>
      <c r="N69">
        <v>0</v>
      </c>
      <c r="O69" t="s">
        <v>222</v>
      </c>
      <c r="P69">
        <v>0</v>
      </c>
      <c r="U69" s="15"/>
    </row>
    <row r="70" spans="1:21" x14ac:dyDescent="0.35">
      <c r="A70" t="s">
        <v>14</v>
      </c>
      <c r="B70" t="s">
        <v>497</v>
      </c>
      <c r="C70" t="s">
        <v>667</v>
      </c>
      <c r="D70" t="s">
        <v>668</v>
      </c>
      <c r="E70" t="s">
        <v>669</v>
      </c>
      <c r="F70" t="s">
        <v>644</v>
      </c>
      <c r="G70" t="s">
        <v>714</v>
      </c>
      <c r="H70" s="15">
        <v>46037</v>
      </c>
      <c r="I70" t="s">
        <v>720</v>
      </c>
      <c r="J70" t="s">
        <v>16</v>
      </c>
      <c r="K70" t="s">
        <v>185</v>
      </c>
      <c r="N70">
        <v>0</v>
      </c>
      <c r="O70" t="s">
        <v>222</v>
      </c>
      <c r="P70">
        <v>0</v>
      </c>
      <c r="U70" s="15"/>
    </row>
    <row r="71" spans="1:21" x14ac:dyDescent="0.35">
      <c r="A71" t="s">
        <v>14</v>
      </c>
      <c r="B71" t="s">
        <v>497</v>
      </c>
      <c r="C71" t="s">
        <v>692</v>
      </c>
      <c r="D71" t="s">
        <v>693</v>
      </c>
      <c r="E71" t="s">
        <v>694</v>
      </c>
      <c r="F71" t="s">
        <v>644</v>
      </c>
      <c r="G71" t="s">
        <v>721</v>
      </c>
      <c r="H71" s="15">
        <v>46038</v>
      </c>
      <c r="I71" t="s">
        <v>722</v>
      </c>
      <c r="J71" t="s">
        <v>16</v>
      </c>
      <c r="K71" t="s">
        <v>185</v>
      </c>
      <c r="N71">
        <v>0</v>
      </c>
      <c r="O71" t="s">
        <v>222</v>
      </c>
      <c r="P71">
        <v>0</v>
      </c>
      <c r="U71" s="15"/>
    </row>
    <row r="72" spans="1:21" x14ac:dyDescent="0.35">
      <c r="A72" t="s">
        <v>14</v>
      </c>
      <c r="B72" t="s">
        <v>497</v>
      </c>
      <c r="C72" t="s">
        <v>658</v>
      </c>
      <c r="D72" t="s">
        <v>659</v>
      </c>
      <c r="E72" t="s">
        <v>660</v>
      </c>
      <c r="F72" t="s">
        <v>644</v>
      </c>
      <c r="G72" t="s">
        <v>723</v>
      </c>
      <c r="H72" s="15">
        <v>46038</v>
      </c>
      <c r="I72" t="s">
        <v>724</v>
      </c>
      <c r="J72" t="s">
        <v>233</v>
      </c>
      <c r="K72" t="s">
        <v>185</v>
      </c>
      <c r="N72">
        <v>0</v>
      </c>
      <c r="O72" t="s">
        <v>222</v>
      </c>
      <c r="P72">
        <v>0</v>
      </c>
      <c r="U72" s="15"/>
    </row>
    <row r="73" spans="1:21" x14ac:dyDescent="0.35">
      <c r="A73" t="s">
        <v>14</v>
      </c>
      <c r="B73" t="s">
        <v>497</v>
      </c>
      <c r="C73" t="s">
        <v>658</v>
      </c>
      <c r="D73" t="s">
        <v>659</v>
      </c>
      <c r="E73" t="s">
        <v>660</v>
      </c>
      <c r="F73" t="s">
        <v>644</v>
      </c>
      <c r="G73" t="s">
        <v>723</v>
      </c>
      <c r="H73" s="15">
        <v>46038</v>
      </c>
      <c r="I73" t="s">
        <v>724</v>
      </c>
      <c r="J73" t="s">
        <v>233</v>
      </c>
      <c r="K73" t="s">
        <v>185</v>
      </c>
      <c r="N73">
        <v>0</v>
      </c>
      <c r="O73" t="s">
        <v>222</v>
      </c>
      <c r="P73">
        <v>0</v>
      </c>
      <c r="U73" s="15"/>
    </row>
    <row r="74" spans="1:21" x14ac:dyDescent="0.35">
      <c r="A74" t="s">
        <v>14</v>
      </c>
      <c r="B74" t="s">
        <v>497</v>
      </c>
      <c r="C74" t="s">
        <v>725</v>
      </c>
      <c r="D74" t="s">
        <v>726</v>
      </c>
      <c r="E74" t="s">
        <v>727</v>
      </c>
      <c r="F74" t="s">
        <v>644</v>
      </c>
      <c r="G74" t="s">
        <v>723</v>
      </c>
      <c r="H74" s="15">
        <v>46038</v>
      </c>
      <c r="I74" t="s">
        <v>728</v>
      </c>
      <c r="J74" t="s">
        <v>233</v>
      </c>
      <c r="K74" t="s">
        <v>185</v>
      </c>
      <c r="N74">
        <v>0</v>
      </c>
      <c r="O74" t="s">
        <v>222</v>
      </c>
      <c r="P74">
        <v>0</v>
      </c>
      <c r="U74" s="15"/>
    </row>
    <row r="75" spans="1:21" x14ac:dyDescent="0.35">
      <c r="A75" t="s">
        <v>14</v>
      </c>
      <c r="B75" t="s">
        <v>497</v>
      </c>
      <c r="C75" t="s">
        <v>729</v>
      </c>
      <c r="D75" t="s">
        <v>730</v>
      </c>
      <c r="E75" t="s">
        <v>731</v>
      </c>
      <c r="F75" t="s">
        <v>644</v>
      </c>
      <c r="G75" t="s">
        <v>732</v>
      </c>
      <c r="H75" s="15">
        <v>46041</v>
      </c>
      <c r="I75" t="s">
        <v>733</v>
      </c>
      <c r="J75" t="s">
        <v>233</v>
      </c>
      <c r="K75" t="s">
        <v>185</v>
      </c>
      <c r="N75">
        <v>0</v>
      </c>
      <c r="O75" t="s">
        <v>222</v>
      </c>
      <c r="P75">
        <v>0</v>
      </c>
      <c r="U75" s="15"/>
    </row>
    <row r="76" spans="1:21" x14ac:dyDescent="0.35">
      <c r="A76" t="s">
        <v>14</v>
      </c>
      <c r="B76" t="s">
        <v>497</v>
      </c>
      <c r="C76" t="s">
        <v>667</v>
      </c>
      <c r="D76" t="s">
        <v>668</v>
      </c>
      <c r="E76" t="s">
        <v>669</v>
      </c>
      <c r="F76" t="s">
        <v>644</v>
      </c>
      <c r="G76" t="s">
        <v>732</v>
      </c>
      <c r="H76" s="15">
        <v>46041</v>
      </c>
      <c r="I76" t="s">
        <v>734</v>
      </c>
      <c r="J76" t="s">
        <v>233</v>
      </c>
      <c r="K76" t="s">
        <v>185</v>
      </c>
      <c r="N76">
        <v>0</v>
      </c>
      <c r="O76" t="s">
        <v>222</v>
      </c>
      <c r="P76">
        <v>0</v>
      </c>
      <c r="U76" s="15"/>
    </row>
    <row r="77" spans="1:21" x14ac:dyDescent="0.35">
      <c r="A77" t="s">
        <v>14</v>
      </c>
      <c r="B77" t="s">
        <v>497</v>
      </c>
      <c r="C77" t="s">
        <v>641</v>
      </c>
      <c r="D77" t="s">
        <v>642</v>
      </c>
      <c r="E77" t="s">
        <v>643</v>
      </c>
      <c r="F77" t="s">
        <v>644</v>
      </c>
      <c r="G77" t="s">
        <v>735</v>
      </c>
      <c r="H77" s="15">
        <v>46042</v>
      </c>
      <c r="I77" t="s">
        <v>736</v>
      </c>
      <c r="J77" t="s">
        <v>16</v>
      </c>
      <c r="K77" t="s">
        <v>185</v>
      </c>
      <c r="N77">
        <v>0</v>
      </c>
      <c r="O77" t="s">
        <v>222</v>
      </c>
      <c r="P77">
        <v>0</v>
      </c>
      <c r="U77" s="15"/>
    </row>
    <row r="78" spans="1:21" x14ac:dyDescent="0.35">
      <c r="A78" t="s">
        <v>14</v>
      </c>
      <c r="B78" t="s">
        <v>497</v>
      </c>
      <c r="C78" t="s">
        <v>737</v>
      </c>
      <c r="D78" t="s">
        <v>738</v>
      </c>
      <c r="E78" t="s">
        <v>739</v>
      </c>
      <c r="F78" t="s">
        <v>644</v>
      </c>
      <c r="G78" t="s">
        <v>735</v>
      </c>
      <c r="H78" s="15">
        <v>46042</v>
      </c>
      <c r="I78" t="s">
        <v>740</v>
      </c>
      <c r="J78" t="s">
        <v>16</v>
      </c>
      <c r="K78" t="s">
        <v>185</v>
      </c>
      <c r="N78">
        <v>0</v>
      </c>
      <c r="O78" t="s">
        <v>222</v>
      </c>
      <c r="P78">
        <v>0</v>
      </c>
      <c r="U78" s="15"/>
    </row>
    <row r="79" spans="1:21" x14ac:dyDescent="0.35">
      <c r="A79" t="s">
        <v>14</v>
      </c>
      <c r="B79" t="s">
        <v>497</v>
      </c>
      <c r="C79" t="s">
        <v>711</v>
      </c>
      <c r="D79" t="s">
        <v>712</v>
      </c>
      <c r="E79" t="s">
        <v>713</v>
      </c>
      <c r="F79" t="s">
        <v>644</v>
      </c>
      <c r="G79" t="s">
        <v>741</v>
      </c>
      <c r="H79" s="15">
        <v>46042</v>
      </c>
      <c r="I79" t="s">
        <v>742</v>
      </c>
      <c r="J79" t="s">
        <v>233</v>
      </c>
      <c r="K79" t="s">
        <v>185</v>
      </c>
      <c r="N79">
        <v>0</v>
      </c>
      <c r="O79" t="s">
        <v>222</v>
      </c>
      <c r="P79">
        <v>0</v>
      </c>
      <c r="U79" s="15"/>
    </row>
    <row r="80" spans="1:21" x14ac:dyDescent="0.35">
      <c r="A80" t="s">
        <v>14</v>
      </c>
      <c r="B80" t="s">
        <v>497</v>
      </c>
      <c r="C80" t="s">
        <v>651</v>
      </c>
      <c r="D80" t="s">
        <v>652</v>
      </c>
      <c r="E80" t="s">
        <v>653</v>
      </c>
      <c r="F80" t="s">
        <v>644</v>
      </c>
      <c r="G80" t="s">
        <v>743</v>
      </c>
      <c r="H80" s="15">
        <v>46043</v>
      </c>
      <c r="I80" t="s">
        <v>744</v>
      </c>
      <c r="J80" t="s">
        <v>16</v>
      </c>
      <c r="K80" t="s">
        <v>185</v>
      </c>
      <c r="N80">
        <v>0</v>
      </c>
      <c r="O80" t="s">
        <v>222</v>
      </c>
      <c r="P80">
        <v>0</v>
      </c>
      <c r="U80" s="15"/>
    </row>
    <row r="81" spans="1:21" x14ac:dyDescent="0.35">
      <c r="A81" t="s">
        <v>14</v>
      </c>
      <c r="B81" t="s">
        <v>497</v>
      </c>
      <c r="C81" t="s">
        <v>667</v>
      </c>
      <c r="D81" t="s">
        <v>668</v>
      </c>
      <c r="E81" t="s">
        <v>669</v>
      </c>
      <c r="F81" t="s">
        <v>644</v>
      </c>
      <c r="G81" t="s">
        <v>743</v>
      </c>
      <c r="H81" s="15">
        <v>46043</v>
      </c>
      <c r="I81" t="s">
        <v>745</v>
      </c>
      <c r="J81" t="s">
        <v>16</v>
      </c>
      <c r="K81" t="s">
        <v>185</v>
      </c>
      <c r="N81">
        <v>0</v>
      </c>
      <c r="O81" t="s">
        <v>222</v>
      </c>
      <c r="P81">
        <v>0</v>
      </c>
      <c r="U81" s="15"/>
    </row>
    <row r="82" spans="1:21" x14ac:dyDescent="0.35">
      <c r="A82" t="s">
        <v>14</v>
      </c>
      <c r="B82" t="s">
        <v>497</v>
      </c>
      <c r="C82" t="s">
        <v>662</v>
      </c>
      <c r="D82" t="s">
        <v>663</v>
      </c>
      <c r="E82" t="s">
        <v>664</v>
      </c>
      <c r="F82" t="s">
        <v>644</v>
      </c>
      <c r="G82" t="s">
        <v>746</v>
      </c>
      <c r="H82" s="15">
        <v>46044</v>
      </c>
      <c r="I82" t="s">
        <v>747</v>
      </c>
      <c r="J82" t="s">
        <v>16</v>
      </c>
      <c r="K82" t="s">
        <v>185</v>
      </c>
      <c r="N82">
        <v>0</v>
      </c>
      <c r="O82" t="s">
        <v>222</v>
      </c>
      <c r="P82">
        <v>0</v>
      </c>
      <c r="U82" s="15"/>
    </row>
    <row r="83" spans="1:21" x14ac:dyDescent="0.35">
      <c r="A83" t="s">
        <v>14</v>
      </c>
      <c r="B83" t="s">
        <v>497</v>
      </c>
      <c r="C83" t="s">
        <v>498</v>
      </c>
      <c r="D83" t="s">
        <v>499</v>
      </c>
      <c r="E83" t="s">
        <v>500</v>
      </c>
      <c r="F83" t="s">
        <v>501</v>
      </c>
      <c r="G83" t="s">
        <v>502</v>
      </c>
      <c r="H83" s="15">
        <v>46027</v>
      </c>
      <c r="I83" t="s">
        <v>503</v>
      </c>
      <c r="J83" t="s">
        <v>16</v>
      </c>
      <c r="K83" t="s">
        <v>185</v>
      </c>
      <c r="N83">
        <v>0</v>
      </c>
      <c r="O83" t="s">
        <v>222</v>
      </c>
      <c r="P83">
        <v>0</v>
      </c>
      <c r="U83" s="15"/>
    </row>
    <row r="84" spans="1:21" x14ac:dyDescent="0.35">
      <c r="A84" t="s">
        <v>14</v>
      </c>
      <c r="B84" t="s">
        <v>497</v>
      </c>
      <c r="C84" t="s">
        <v>504</v>
      </c>
      <c r="D84" t="s">
        <v>505</v>
      </c>
      <c r="E84" t="s">
        <v>506</v>
      </c>
      <c r="F84" t="s">
        <v>501</v>
      </c>
      <c r="G84" t="s">
        <v>502</v>
      </c>
      <c r="H84" s="15">
        <v>46027</v>
      </c>
      <c r="I84" t="s">
        <v>507</v>
      </c>
      <c r="J84" t="s">
        <v>16</v>
      </c>
      <c r="K84" t="s">
        <v>185</v>
      </c>
      <c r="N84">
        <v>0</v>
      </c>
      <c r="O84" t="s">
        <v>222</v>
      </c>
      <c r="P84">
        <v>0</v>
      </c>
      <c r="U84" s="15"/>
    </row>
    <row r="85" spans="1:21" x14ac:dyDescent="0.35">
      <c r="A85" t="s">
        <v>14</v>
      </c>
      <c r="B85" t="s">
        <v>497</v>
      </c>
      <c r="C85" t="s">
        <v>737</v>
      </c>
      <c r="D85" t="s">
        <v>738</v>
      </c>
      <c r="E85" t="s">
        <v>739</v>
      </c>
      <c r="F85" t="s">
        <v>644</v>
      </c>
      <c r="G85" t="s">
        <v>748</v>
      </c>
      <c r="H85" s="15">
        <v>46044</v>
      </c>
      <c r="I85" t="s">
        <v>749</v>
      </c>
      <c r="J85" t="s">
        <v>233</v>
      </c>
      <c r="K85" t="s">
        <v>185</v>
      </c>
      <c r="N85">
        <v>0</v>
      </c>
      <c r="O85" t="s">
        <v>222</v>
      </c>
      <c r="P85">
        <v>0</v>
      </c>
      <c r="U85" s="15"/>
    </row>
    <row r="86" spans="1:21" x14ac:dyDescent="0.35">
      <c r="A86" t="s">
        <v>14</v>
      </c>
      <c r="B86" t="s">
        <v>497</v>
      </c>
      <c r="C86" t="s">
        <v>750</v>
      </c>
      <c r="D86" t="s">
        <v>751</v>
      </c>
      <c r="E86" t="s">
        <v>752</v>
      </c>
      <c r="F86" t="s">
        <v>644</v>
      </c>
      <c r="G86" t="s">
        <v>753</v>
      </c>
      <c r="H86" s="15">
        <v>46045</v>
      </c>
      <c r="I86" t="s">
        <v>754</v>
      </c>
      <c r="J86" t="s">
        <v>16</v>
      </c>
      <c r="K86" t="s">
        <v>185</v>
      </c>
      <c r="N86">
        <v>0</v>
      </c>
      <c r="O86" t="s">
        <v>222</v>
      </c>
      <c r="P86">
        <v>0</v>
      </c>
      <c r="U86" s="15"/>
    </row>
    <row r="87" spans="1:21" x14ac:dyDescent="0.35">
      <c r="A87" t="s">
        <v>14</v>
      </c>
      <c r="B87" t="s">
        <v>497</v>
      </c>
      <c r="C87" t="s">
        <v>697</v>
      </c>
      <c r="D87" t="s">
        <v>698</v>
      </c>
      <c r="E87" t="s">
        <v>699</v>
      </c>
      <c r="F87" t="s">
        <v>644</v>
      </c>
      <c r="G87" t="s">
        <v>755</v>
      </c>
      <c r="H87" s="15">
        <v>46045</v>
      </c>
      <c r="I87" t="s">
        <v>756</v>
      </c>
      <c r="J87" t="s">
        <v>233</v>
      </c>
      <c r="K87" t="s">
        <v>185</v>
      </c>
      <c r="N87">
        <v>0</v>
      </c>
      <c r="O87" t="s">
        <v>222</v>
      </c>
      <c r="P87">
        <v>0</v>
      </c>
      <c r="U87" s="15"/>
    </row>
    <row r="88" spans="1:21" x14ac:dyDescent="0.35">
      <c r="A88" t="s">
        <v>14</v>
      </c>
      <c r="B88" t="s">
        <v>497</v>
      </c>
      <c r="C88" t="s">
        <v>498</v>
      </c>
      <c r="D88" t="s">
        <v>499</v>
      </c>
      <c r="E88" t="s">
        <v>500</v>
      </c>
      <c r="F88" t="s">
        <v>501</v>
      </c>
      <c r="G88" t="s">
        <v>508</v>
      </c>
      <c r="H88" s="15">
        <v>46027</v>
      </c>
      <c r="I88" t="s">
        <v>509</v>
      </c>
      <c r="J88" t="s">
        <v>233</v>
      </c>
      <c r="K88" t="s">
        <v>185</v>
      </c>
      <c r="N88">
        <v>0</v>
      </c>
      <c r="O88" t="s">
        <v>222</v>
      </c>
      <c r="P88">
        <v>0</v>
      </c>
      <c r="U88" s="15"/>
    </row>
    <row r="89" spans="1:21" x14ac:dyDescent="0.35">
      <c r="A89" t="s">
        <v>14</v>
      </c>
      <c r="B89" t="s">
        <v>497</v>
      </c>
      <c r="C89" t="s">
        <v>498</v>
      </c>
      <c r="D89" t="s">
        <v>499</v>
      </c>
      <c r="E89" t="s">
        <v>500</v>
      </c>
      <c r="F89" t="s">
        <v>501</v>
      </c>
      <c r="G89" t="s">
        <v>510</v>
      </c>
      <c r="H89" s="15">
        <v>46028</v>
      </c>
      <c r="I89" t="s">
        <v>511</v>
      </c>
      <c r="J89" t="s">
        <v>16</v>
      </c>
      <c r="K89" t="s">
        <v>185</v>
      </c>
      <c r="N89">
        <v>0</v>
      </c>
      <c r="O89" t="s">
        <v>222</v>
      </c>
      <c r="P89">
        <v>0</v>
      </c>
      <c r="U89" s="15"/>
    </row>
    <row r="90" spans="1:21" x14ac:dyDescent="0.35">
      <c r="A90" t="s">
        <v>14</v>
      </c>
      <c r="B90" t="s">
        <v>497</v>
      </c>
      <c r="C90" t="s">
        <v>504</v>
      </c>
      <c r="D90" t="s">
        <v>505</v>
      </c>
      <c r="E90" t="s">
        <v>506</v>
      </c>
      <c r="F90" t="s">
        <v>501</v>
      </c>
      <c r="G90" t="s">
        <v>510</v>
      </c>
      <c r="H90" s="15">
        <v>46028</v>
      </c>
      <c r="I90" t="s">
        <v>512</v>
      </c>
      <c r="J90" t="s">
        <v>16</v>
      </c>
      <c r="K90" t="s">
        <v>185</v>
      </c>
      <c r="N90">
        <v>0</v>
      </c>
      <c r="O90" t="s">
        <v>222</v>
      </c>
      <c r="P90">
        <v>0</v>
      </c>
      <c r="U90" s="15"/>
    </row>
    <row r="91" spans="1:21" x14ac:dyDescent="0.35">
      <c r="A91" t="s">
        <v>14</v>
      </c>
      <c r="B91" t="s">
        <v>497</v>
      </c>
      <c r="C91" t="s">
        <v>504</v>
      </c>
      <c r="D91" t="s">
        <v>505</v>
      </c>
      <c r="E91" t="s">
        <v>506</v>
      </c>
      <c r="F91" t="s">
        <v>501</v>
      </c>
      <c r="G91" t="s">
        <v>510</v>
      </c>
      <c r="H91" s="15">
        <v>46028</v>
      </c>
      <c r="I91" t="s">
        <v>512</v>
      </c>
      <c r="J91" t="s">
        <v>16</v>
      </c>
      <c r="K91" t="s">
        <v>185</v>
      </c>
      <c r="N91">
        <v>0</v>
      </c>
      <c r="O91" t="s">
        <v>222</v>
      </c>
      <c r="P91">
        <v>0</v>
      </c>
      <c r="U91" s="15"/>
    </row>
    <row r="92" spans="1:21" x14ac:dyDescent="0.35">
      <c r="A92" t="s">
        <v>14</v>
      </c>
      <c r="B92" t="s">
        <v>497</v>
      </c>
      <c r="C92" t="s">
        <v>757</v>
      </c>
      <c r="D92" t="s">
        <v>758</v>
      </c>
      <c r="E92" t="s">
        <v>759</v>
      </c>
      <c r="F92" t="s">
        <v>644</v>
      </c>
      <c r="G92" t="s">
        <v>755</v>
      </c>
      <c r="H92" s="15">
        <v>46045</v>
      </c>
      <c r="I92" t="s">
        <v>760</v>
      </c>
      <c r="J92" t="s">
        <v>233</v>
      </c>
      <c r="K92" t="s">
        <v>185</v>
      </c>
      <c r="N92">
        <v>0</v>
      </c>
      <c r="O92" t="s">
        <v>222</v>
      </c>
      <c r="P92">
        <v>0</v>
      </c>
      <c r="U92" s="15"/>
    </row>
    <row r="93" spans="1:21" x14ac:dyDescent="0.35">
      <c r="A93" t="s">
        <v>14</v>
      </c>
      <c r="B93" t="s">
        <v>497</v>
      </c>
      <c r="C93" t="s">
        <v>662</v>
      </c>
      <c r="D93" t="s">
        <v>663</v>
      </c>
      <c r="E93" t="s">
        <v>664</v>
      </c>
      <c r="F93" t="s">
        <v>644</v>
      </c>
      <c r="G93" t="s">
        <v>761</v>
      </c>
      <c r="H93" s="15">
        <v>46046</v>
      </c>
      <c r="I93" t="s">
        <v>762</v>
      </c>
      <c r="J93" t="s">
        <v>16</v>
      </c>
      <c r="K93" t="s">
        <v>185</v>
      </c>
      <c r="N93">
        <v>0</v>
      </c>
      <c r="O93" t="s">
        <v>222</v>
      </c>
      <c r="P93">
        <v>0</v>
      </c>
      <c r="U93" s="15"/>
    </row>
    <row r="94" spans="1:21" x14ac:dyDescent="0.35">
      <c r="A94" t="s">
        <v>14</v>
      </c>
      <c r="B94" t="s">
        <v>497</v>
      </c>
      <c r="C94" t="s">
        <v>498</v>
      </c>
      <c r="D94" t="s">
        <v>499</v>
      </c>
      <c r="E94" t="s">
        <v>500</v>
      </c>
      <c r="F94" t="s">
        <v>501</v>
      </c>
      <c r="G94" t="s">
        <v>513</v>
      </c>
      <c r="H94" s="15">
        <v>46028</v>
      </c>
      <c r="I94" t="s">
        <v>514</v>
      </c>
      <c r="J94" t="s">
        <v>233</v>
      </c>
      <c r="K94" t="s">
        <v>185</v>
      </c>
      <c r="N94">
        <v>0</v>
      </c>
      <c r="O94" t="s">
        <v>222</v>
      </c>
      <c r="P94">
        <v>0</v>
      </c>
      <c r="U94" s="15"/>
    </row>
    <row r="95" spans="1:21" x14ac:dyDescent="0.35">
      <c r="A95" t="s">
        <v>14</v>
      </c>
      <c r="B95" t="s">
        <v>497</v>
      </c>
      <c r="C95" t="s">
        <v>515</v>
      </c>
      <c r="D95" t="s">
        <v>516</v>
      </c>
      <c r="E95" t="s">
        <v>517</v>
      </c>
      <c r="F95" t="s">
        <v>501</v>
      </c>
      <c r="G95" t="s">
        <v>518</v>
      </c>
      <c r="H95" s="15">
        <v>46029</v>
      </c>
      <c r="I95" t="s">
        <v>519</v>
      </c>
      <c r="J95" t="s">
        <v>16</v>
      </c>
      <c r="K95" t="s">
        <v>185</v>
      </c>
      <c r="N95">
        <v>0</v>
      </c>
      <c r="O95" t="s">
        <v>222</v>
      </c>
      <c r="P95">
        <v>0</v>
      </c>
      <c r="U95" s="15"/>
    </row>
    <row r="96" spans="1:21" x14ac:dyDescent="0.35">
      <c r="A96" t="s">
        <v>14</v>
      </c>
      <c r="B96" t="s">
        <v>497</v>
      </c>
      <c r="C96" t="s">
        <v>692</v>
      </c>
      <c r="D96" t="s">
        <v>693</v>
      </c>
      <c r="E96" t="s">
        <v>694</v>
      </c>
      <c r="F96" t="s">
        <v>644</v>
      </c>
      <c r="G96" t="s">
        <v>763</v>
      </c>
      <c r="H96" s="15">
        <v>46048</v>
      </c>
      <c r="I96" t="s">
        <v>764</v>
      </c>
      <c r="J96" t="s">
        <v>16</v>
      </c>
      <c r="K96" t="s">
        <v>185</v>
      </c>
      <c r="N96">
        <v>0</v>
      </c>
      <c r="O96" t="s">
        <v>222</v>
      </c>
      <c r="P96">
        <v>0</v>
      </c>
      <c r="U96" s="15"/>
    </row>
    <row r="97" spans="1:21" x14ac:dyDescent="0.35">
      <c r="A97" t="s">
        <v>14</v>
      </c>
      <c r="B97" t="s">
        <v>497</v>
      </c>
      <c r="C97" t="s">
        <v>765</v>
      </c>
      <c r="D97" t="s">
        <v>766</v>
      </c>
      <c r="E97" t="s">
        <v>767</v>
      </c>
      <c r="F97" t="s">
        <v>644</v>
      </c>
      <c r="G97" t="s">
        <v>763</v>
      </c>
      <c r="H97" s="15">
        <v>46048</v>
      </c>
      <c r="I97" t="s">
        <v>768</v>
      </c>
      <c r="J97" t="s">
        <v>16</v>
      </c>
      <c r="K97" t="s">
        <v>185</v>
      </c>
      <c r="N97">
        <v>0</v>
      </c>
      <c r="O97" t="s">
        <v>222</v>
      </c>
      <c r="P97">
        <v>0</v>
      </c>
      <c r="U97" s="15"/>
    </row>
    <row r="98" spans="1:21" x14ac:dyDescent="0.35">
      <c r="A98" t="s">
        <v>14</v>
      </c>
      <c r="B98" t="s">
        <v>497</v>
      </c>
      <c r="C98" t="s">
        <v>678</v>
      </c>
      <c r="D98" t="s">
        <v>679</v>
      </c>
      <c r="E98" t="s">
        <v>679</v>
      </c>
      <c r="F98" t="s">
        <v>644</v>
      </c>
      <c r="G98" t="s">
        <v>763</v>
      </c>
      <c r="H98" s="15">
        <v>46048</v>
      </c>
      <c r="I98" t="s">
        <v>769</v>
      </c>
      <c r="J98" t="s">
        <v>16</v>
      </c>
      <c r="K98" t="s">
        <v>185</v>
      </c>
      <c r="N98">
        <v>0</v>
      </c>
      <c r="O98" t="s">
        <v>222</v>
      </c>
      <c r="P98">
        <v>0</v>
      </c>
      <c r="U98" s="15"/>
    </row>
    <row r="99" spans="1:21" x14ac:dyDescent="0.35">
      <c r="A99" t="s">
        <v>14</v>
      </c>
      <c r="B99" t="s">
        <v>497</v>
      </c>
      <c r="C99" t="s">
        <v>504</v>
      </c>
      <c r="D99" t="s">
        <v>505</v>
      </c>
      <c r="E99" t="s">
        <v>506</v>
      </c>
      <c r="F99" t="s">
        <v>501</v>
      </c>
      <c r="G99" t="s">
        <v>518</v>
      </c>
      <c r="H99" s="15">
        <v>46029</v>
      </c>
      <c r="I99" t="s">
        <v>520</v>
      </c>
      <c r="J99" t="s">
        <v>16</v>
      </c>
      <c r="K99" t="s">
        <v>185</v>
      </c>
      <c r="N99">
        <v>0</v>
      </c>
      <c r="O99" t="s">
        <v>222</v>
      </c>
      <c r="P99">
        <v>0</v>
      </c>
      <c r="U99" s="15"/>
    </row>
    <row r="100" spans="1:21" x14ac:dyDescent="0.35">
      <c r="A100" t="s">
        <v>14</v>
      </c>
      <c r="B100" t="s">
        <v>497</v>
      </c>
      <c r="C100" t="s">
        <v>521</v>
      </c>
      <c r="D100" t="s">
        <v>522</v>
      </c>
      <c r="E100" t="s">
        <v>523</v>
      </c>
      <c r="F100" t="s">
        <v>501</v>
      </c>
      <c r="G100" t="s">
        <v>524</v>
      </c>
      <c r="H100" s="15">
        <v>46029</v>
      </c>
      <c r="I100" t="s">
        <v>525</v>
      </c>
      <c r="J100" t="s">
        <v>233</v>
      </c>
      <c r="K100" t="s">
        <v>185</v>
      </c>
      <c r="N100">
        <v>0</v>
      </c>
      <c r="O100" t="s">
        <v>222</v>
      </c>
      <c r="P100">
        <v>0</v>
      </c>
      <c r="U100" s="15"/>
    </row>
    <row r="101" spans="1:21" x14ac:dyDescent="0.35">
      <c r="A101" t="s">
        <v>14</v>
      </c>
      <c r="B101" t="s">
        <v>497</v>
      </c>
      <c r="C101" t="s">
        <v>498</v>
      </c>
      <c r="D101" t="s">
        <v>499</v>
      </c>
      <c r="E101" t="s">
        <v>500</v>
      </c>
      <c r="F101" t="s">
        <v>501</v>
      </c>
      <c r="G101" t="s">
        <v>526</v>
      </c>
      <c r="H101" s="15">
        <v>46030</v>
      </c>
      <c r="I101" t="s">
        <v>527</v>
      </c>
      <c r="J101" t="s">
        <v>16</v>
      </c>
      <c r="K101" t="s">
        <v>185</v>
      </c>
      <c r="N101">
        <v>0</v>
      </c>
      <c r="O101" t="s">
        <v>222</v>
      </c>
      <c r="P101">
        <v>0</v>
      </c>
      <c r="U101" s="15"/>
    </row>
    <row r="102" spans="1:21" x14ac:dyDescent="0.35">
      <c r="A102" t="s">
        <v>14</v>
      </c>
      <c r="B102" t="s">
        <v>497</v>
      </c>
      <c r="C102" t="s">
        <v>750</v>
      </c>
      <c r="D102" t="s">
        <v>751</v>
      </c>
      <c r="E102" t="s">
        <v>752</v>
      </c>
      <c r="F102" t="s">
        <v>644</v>
      </c>
      <c r="G102" t="s">
        <v>770</v>
      </c>
      <c r="H102" s="15">
        <v>46048</v>
      </c>
      <c r="I102" t="s">
        <v>771</v>
      </c>
      <c r="J102" t="s">
        <v>233</v>
      </c>
      <c r="K102" t="s">
        <v>185</v>
      </c>
      <c r="N102">
        <v>0</v>
      </c>
      <c r="O102" t="s">
        <v>222</v>
      </c>
      <c r="P102">
        <v>0</v>
      </c>
      <c r="U102" s="15"/>
    </row>
    <row r="103" spans="1:21" x14ac:dyDescent="0.35">
      <c r="A103" t="s">
        <v>14</v>
      </c>
      <c r="B103" t="s">
        <v>497</v>
      </c>
      <c r="C103" t="s">
        <v>772</v>
      </c>
      <c r="D103" t="s">
        <v>773</v>
      </c>
      <c r="E103" t="s">
        <v>774</v>
      </c>
      <c r="F103" t="s">
        <v>644</v>
      </c>
      <c r="G103" t="s">
        <v>775</v>
      </c>
      <c r="H103" s="15">
        <v>46049</v>
      </c>
      <c r="I103" t="s">
        <v>776</v>
      </c>
      <c r="J103" t="s">
        <v>16</v>
      </c>
      <c r="K103" t="s">
        <v>185</v>
      </c>
      <c r="N103">
        <v>0</v>
      </c>
      <c r="O103" t="s">
        <v>222</v>
      </c>
      <c r="P103">
        <v>0</v>
      </c>
      <c r="U103" s="15"/>
    </row>
    <row r="104" spans="1:21" x14ac:dyDescent="0.35">
      <c r="A104" t="s">
        <v>14</v>
      </c>
      <c r="B104" t="s">
        <v>497</v>
      </c>
      <c r="C104" t="s">
        <v>777</v>
      </c>
      <c r="D104" t="s">
        <v>778</v>
      </c>
      <c r="E104" t="s">
        <v>779</v>
      </c>
      <c r="F104" t="s">
        <v>644</v>
      </c>
      <c r="G104" t="s">
        <v>775</v>
      </c>
      <c r="H104" s="15">
        <v>46049</v>
      </c>
      <c r="I104" t="s">
        <v>780</v>
      </c>
      <c r="J104" t="s">
        <v>16</v>
      </c>
      <c r="K104" t="s">
        <v>185</v>
      </c>
      <c r="N104">
        <v>0</v>
      </c>
      <c r="O104" t="s">
        <v>222</v>
      </c>
      <c r="P104">
        <v>0</v>
      </c>
      <c r="U104" s="15"/>
    </row>
    <row r="105" spans="1:21" x14ac:dyDescent="0.35">
      <c r="A105" t="s">
        <v>14</v>
      </c>
      <c r="B105" t="s">
        <v>497</v>
      </c>
      <c r="C105" t="s">
        <v>504</v>
      </c>
      <c r="D105" t="s">
        <v>505</v>
      </c>
      <c r="E105" t="s">
        <v>506</v>
      </c>
      <c r="F105" t="s">
        <v>501</v>
      </c>
      <c r="G105" t="s">
        <v>526</v>
      </c>
      <c r="H105" s="15">
        <v>46030</v>
      </c>
      <c r="I105" t="s">
        <v>528</v>
      </c>
      <c r="J105" t="s">
        <v>16</v>
      </c>
      <c r="K105" t="s">
        <v>185</v>
      </c>
      <c r="N105">
        <v>0</v>
      </c>
      <c r="O105" t="s">
        <v>222</v>
      </c>
      <c r="P105">
        <v>0</v>
      </c>
      <c r="U105" s="15"/>
    </row>
    <row r="106" spans="1:21" x14ac:dyDescent="0.35">
      <c r="A106" t="s">
        <v>14</v>
      </c>
      <c r="B106" t="s">
        <v>497</v>
      </c>
      <c r="C106" t="s">
        <v>781</v>
      </c>
      <c r="D106" t="s">
        <v>782</v>
      </c>
      <c r="E106" t="s">
        <v>783</v>
      </c>
      <c r="F106" t="s">
        <v>644</v>
      </c>
      <c r="G106" t="s">
        <v>784</v>
      </c>
      <c r="H106" s="15">
        <v>46049</v>
      </c>
      <c r="I106" t="s">
        <v>785</v>
      </c>
      <c r="J106" t="s">
        <v>233</v>
      </c>
      <c r="K106" t="s">
        <v>185</v>
      </c>
      <c r="N106">
        <v>0</v>
      </c>
      <c r="O106" t="s">
        <v>222</v>
      </c>
      <c r="P106">
        <v>0</v>
      </c>
      <c r="U106" s="15"/>
    </row>
    <row r="107" spans="1:21" x14ac:dyDescent="0.35">
      <c r="A107" t="s">
        <v>14</v>
      </c>
      <c r="B107" t="s">
        <v>497</v>
      </c>
      <c r="C107" t="s">
        <v>651</v>
      </c>
      <c r="D107" t="s">
        <v>652</v>
      </c>
      <c r="E107" t="s">
        <v>653</v>
      </c>
      <c r="F107" t="s">
        <v>644</v>
      </c>
      <c r="G107" t="s">
        <v>784</v>
      </c>
      <c r="H107" s="15">
        <v>46049</v>
      </c>
      <c r="I107" t="s">
        <v>786</v>
      </c>
      <c r="J107" t="s">
        <v>233</v>
      </c>
      <c r="K107" t="s">
        <v>185</v>
      </c>
      <c r="N107">
        <v>0</v>
      </c>
      <c r="O107" t="s">
        <v>222</v>
      </c>
      <c r="P107">
        <v>0</v>
      </c>
      <c r="U107" s="15"/>
    </row>
    <row r="108" spans="1:21" x14ac:dyDescent="0.35">
      <c r="A108" t="s">
        <v>14</v>
      </c>
      <c r="B108" t="s">
        <v>497</v>
      </c>
      <c r="C108" t="s">
        <v>641</v>
      </c>
      <c r="D108" t="s">
        <v>642</v>
      </c>
      <c r="E108" t="s">
        <v>643</v>
      </c>
      <c r="F108" t="s">
        <v>644</v>
      </c>
      <c r="G108" t="s">
        <v>787</v>
      </c>
      <c r="H108" s="15">
        <v>46050</v>
      </c>
      <c r="I108" t="s">
        <v>788</v>
      </c>
      <c r="J108" t="s">
        <v>16</v>
      </c>
      <c r="K108" t="s">
        <v>185</v>
      </c>
      <c r="N108">
        <v>0</v>
      </c>
      <c r="O108" t="s">
        <v>222</v>
      </c>
      <c r="P108">
        <v>0</v>
      </c>
      <c r="U108" s="15"/>
    </row>
    <row r="109" spans="1:21" x14ac:dyDescent="0.35">
      <c r="A109" t="s">
        <v>14</v>
      </c>
      <c r="B109" t="s">
        <v>497</v>
      </c>
      <c r="C109" t="s">
        <v>515</v>
      </c>
      <c r="D109" t="s">
        <v>516</v>
      </c>
      <c r="E109" t="s">
        <v>517</v>
      </c>
      <c r="F109" t="s">
        <v>501</v>
      </c>
      <c r="G109" t="s">
        <v>529</v>
      </c>
      <c r="H109" s="15">
        <v>46030</v>
      </c>
      <c r="I109" t="s">
        <v>530</v>
      </c>
      <c r="J109" t="s">
        <v>233</v>
      </c>
      <c r="K109" t="s">
        <v>185</v>
      </c>
      <c r="N109">
        <v>0</v>
      </c>
      <c r="O109" t="s">
        <v>222</v>
      </c>
      <c r="P109">
        <v>0</v>
      </c>
      <c r="U109" s="15"/>
    </row>
    <row r="110" spans="1:21" x14ac:dyDescent="0.35">
      <c r="A110" t="s">
        <v>14</v>
      </c>
      <c r="B110" t="s">
        <v>497</v>
      </c>
      <c r="C110" t="s">
        <v>667</v>
      </c>
      <c r="D110" t="s">
        <v>668</v>
      </c>
      <c r="E110" t="s">
        <v>669</v>
      </c>
      <c r="F110" t="s">
        <v>644</v>
      </c>
      <c r="G110" t="s">
        <v>789</v>
      </c>
      <c r="H110" s="15">
        <v>46050</v>
      </c>
      <c r="I110" t="s">
        <v>790</v>
      </c>
      <c r="J110" t="s">
        <v>233</v>
      </c>
      <c r="K110" t="s">
        <v>185</v>
      </c>
      <c r="N110">
        <v>0</v>
      </c>
      <c r="O110" t="s">
        <v>222</v>
      </c>
      <c r="P110">
        <v>0</v>
      </c>
      <c r="U110" s="15"/>
    </row>
    <row r="111" spans="1:21" x14ac:dyDescent="0.35">
      <c r="A111" t="s">
        <v>14</v>
      </c>
      <c r="B111" t="s">
        <v>497</v>
      </c>
      <c r="C111" t="s">
        <v>791</v>
      </c>
      <c r="D111" t="s">
        <v>792</v>
      </c>
      <c r="E111" t="s">
        <v>793</v>
      </c>
      <c r="F111" t="s">
        <v>644</v>
      </c>
      <c r="G111" t="s">
        <v>789</v>
      </c>
      <c r="H111" s="15">
        <v>46050</v>
      </c>
      <c r="I111" t="s">
        <v>794</v>
      </c>
      <c r="J111" t="s">
        <v>233</v>
      </c>
      <c r="K111" t="s">
        <v>185</v>
      </c>
      <c r="N111">
        <v>0</v>
      </c>
      <c r="O111" t="s">
        <v>222</v>
      </c>
      <c r="P111">
        <v>0</v>
      </c>
      <c r="U111" s="15"/>
    </row>
    <row r="112" spans="1:21" x14ac:dyDescent="0.35">
      <c r="A112" t="s">
        <v>14</v>
      </c>
      <c r="B112" t="s">
        <v>497</v>
      </c>
      <c r="C112" t="s">
        <v>667</v>
      </c>
      <c r="D112" t="s">
        <v>668</v>
      </c>
      <c r="E112" t="s">
        <v>669</v>
      </c>
      <c r="F112" t="s">
        <v>644</v>
      </c>
      <c r="G112" t="s">
        <v>795</v>
      </c>
      <c r="H112" s="15">
        <v>46051</v>
      </c>
      <c r="I112" t="s">
        <v>796</v>
      </c>
      <c r="J112" t="s">
        <v>16</v>
      </c>
      <c r="K112" t="s">
        <v>185</v>
      </c>
      <c r="N112">
        <v>0</v>
      </c>
      <c r="O112" t="s">
        <v>222</v>
      </c>
      <c r="P112">
        <v>0</v>
      </c>
      <c r="U112" s="15"/>
    </row>
    <row r="113" spans="1:21" x14ac:dyDescent="0.35">
      <c r="A113" t="s">
        <v>14</v>
      </c>
      <c r="B113" t="s">
        <v>497</v>
      </c>
      <c r="C113" t="s">
        <v>531</v>
      </c>
      <c r="D113" t="s">
        <v>532</v>
      </c>
      <c r="E113" t="s">
        <v>533</v>
      </c>
      <c r="F113" t="s">
        <v>501</v>
      </c>
      <c r="G113" t="s">
        <v>534</v>
      </c>
      <c r="H113" s="15">
        <v>46031</v>
      </c>
      <c r="I113" t="s">
        <v>535</v>
      </c>
      <c r="J113" t="s">
        <v>16</v>
      </c>
      <c r="K113" t="s">
        <v>185</v>
      </c>
      <c r="N113">
        <v>0</v>
      </c>
      <c r="O113" t="s">
        <v>222</v>
      </c>
      <c r="P113">
        <v>0</v>
      </c>
      <c r="U113" s="15"/>
    </row>
    <row r="114" spans="1:21" x14ac:dyDescent="0.35">
      <c r="A114" t="s">
        <v>14</v>
      </c>
      <c r="B114" t="s">
        <v>497</v>
      </c>
      <c r="C114" t="s">
        <v>536</v>
      </c>
      <c r="D114" t="s">
        <v>537</v>
      </c>
      <c r="E114" t="s">
        <v>538</v>
      </c>
      <c r="F114" t="s">
        <v>501</v>
      </c>
      <c r="G114" t="s">
        <v>534</v>
      </c>
      <c r="H114" s="15">
        <v>46031</v>
      </c>
      <c r="I114" t="s">
        <v>539</v>
      </c>
      <c r="J114" t="s">
        <v>16</v>
      </c>
      <c r="K114" t="s">
        <v>185</v>
      </c>
      <c r="N114">
        <v>0</v>
      </c>
      <c r="O114" t="s">
        <v>222</v>
      </c>
      <c r="P114">
        <v>0</v>
      </c>
      <c r="U114" s="15"/>
    </row>
    <row r="115" spans="1:21" x14ac:dyDescent="0.35">
      <c r="A115" t="s">
        <v>14</v>
      </c>
      <c r="B115" t="s">
        <v>497</v>
      </c>
      <c r="C115" t="s">
        <v>651</v>
      </c>
      <c r="D115" t="s">
        <v>652</v>
      </c>
      <c r="E115" t="s">
        <v>653</v>
      </c>
      <c r="F115" t="s">
        <v>644</v>
      </c>
      <c r="G115" t="s">
        <v>797</v>
      </c>
      <c r="H115" s="15">
        <v>46051</v>
      </c>
      <c r="I115" t="s">
        <v>798</v>
      </c>
      <c r="J115" t="s">
        <v>233</v>
      </c>
      <c r="K115" t="s">
        <v>185</v>
      </c>
      <c r="N115">
        <v>0</v>
      </c>
      <c r="O115" t="s">
        <v>222</v>
      </c>
      <c r="P115">
        <v>0</v>
      </c>
      <c r="U115" s="15"/>
    </row>
    <row r="116" spans="1:21" x14ac:dyDescent="0.35">
      <c r="A116" t="s">
        <v>14</v>
      </c>
      <c r="B116" t="s">
        <v>497</v>
      </c>
      <c r="C116" t="s">
        <v>667</v>
      </c>
      <c r="D116" t="s">
        <v>668</v>
      </c>
      <c r="E116" t="s">
        <v>669</v>
      </c>
      <c r="F116" t="s">
        <v>644</v>
      </c>
      <c r="G116" t="s">
        <v>799</v>
      </c>
      <c r="H116" s="15">
        <v>46052</v>
      </c>
      <c r="I116" t="s">
        <v>800</v>
      </c>
      <c r="J116" t="s">
        <v>16</v>
      </c>
      <c r="K116" t="s">
        <v>185</v>
      </c>
      <c r="N116">
        <v>0</v>
      </c>
      <c r="O116" t="s">
        <v>222</v>
      </c>
      <c r="P116">
        <v>0</v>
      </c>
      <c r="U116" s="15"/>
    </row>
    <row r="117" spans="1:21" x14ac:dyDescent="0.35">
      <c r="A117" t="s">
        <v>14</v>
      </c>
      <c r="B117" t="s">
        <v>497</v>
      </c>
      <c r="C117" t="s">
        <v>531</v>
      </c>
      <c r="D117" t="s">
        <v>532</v>
      </c>
      <c r="E117" t="s">
        <v>533</v>
      </c>
      <c r="F117" t="s">
        <v>501</v>
      </c>
      <c r="G117" t="s">
        <v>540</v>
      </c>
      <c r="H117" s="15">
        <v>46031</v>
      </c>
      <c r="I117" t="s">
        <v>541</v>
      </c>
      <c r="J117" t="s">
        <v>233</v>
      </c>
      <c r="K117" t="s">
        <v>185</v>
      </c>
      <c r="N117">
        <v>0</v>
      </c>
      <c r="O117" t="s">
        <v>222</v>
      </c>
      <c r="P117">
        <v>0</v>
      </c>
      <c r="U117" s="15"/>
    </row>
    <row r="118" spans="1:21" x14ac:dyDescent="0.35">
      <c r="A118" t="s">
        <v>14</v>
      </c>
      <c r="B118" t="s">
        <v>497</v>
      </c>
      <c r="C118" t="s">
        <v>542</v>
      </c>
      <c r="D118" t="s">
        <v>543</v>
      </c>
      <c r="E118" t="s">
        <v>544</v>
      </c>
      <c r="F118" t="s">
        <v>501</v>
      </c>
      <c r="G118" t="s">
        <v>540</v>
      </c>
      <c r="H118" s="15">
        <v>46031</v>
      </c>
      <c r="I118" t="s">
        <v>545</v>
      </c>
      <c r="J118" t="s">
        <v>233</v>
      </c>
      <c r="K118" t="s">
        <v>185</v>
      </c>
      <c r="N118">
        <v>0</v>
      </c>
      <c r="O118" t="s">
        <v>222</v>
      </c>
      <c r="P118">
        <v>0</v>
      </c>
      <c r="U118" s="15"/>
    </row>
    <row r="119" spans="1:21" x14ac:dyDescent="0.35">
      <c r="A119" t="s">
        <v>14</v>
      </c>
      <c r="B119" t="s">
        <v>497</v>
      </c>
      <c r="C119" t="s">
        <v>662</v>
      </c>
      <c r="D119" t="s">
        <v>663</v>
      </c>
      <c r="E119" t="s">
        <v>664</v>
      </c>
      <c r="F119" t="s">
        <v>644</v>
      </c>
      <c r="G119" t="s">
        <v>799</v>
      </c>
      <c r="H119" s="15">
        <v>46052</v>
      </c>
      <c r="I119" t="s">
        <v>801</v>
      </c>
      <c r="J119" t="s">
        <v>16</v>
      </c>
      <c r="K119" t="s">
        <v>185</v>
      </c>
      <c r="N119">
        <v>0</v>
      </c>
      <c r="O119" t="s">
        <v>222</v>
      </c>
      <c r="P119">
        <v>0</v>
      </c>
      <c r="U119" s="15"/>
    </row>
    <row r="120" spans="1:21" x14ac:dyDescent="0.35">
      <c r="A120" t="s">
        <v>14</v>
      </c>
      <c r="B120" t="s">
        <v>497</v>
      </c>
      <c r="C120" t="s">
        <v>651</v>
      </c>
      <c r="D120" t="s">
        <v>652</v>
      </c>
      <c r="E120" t="s">
        <v>653</v>
      </c>
      <c r="F120" t="s">
        <v>644</v>
      </c>
      <c r="G120" t="s">
        <v>802</v>
      </c>
      <c r="H120" s="15">
        <v>46052</v>
      </c>
      <c r="I120" t="s">
        <v>803</v>
      </c>
      <c r="J120" t="s">
        <v>233</v>
      </c>
      <c r="K120" t="s">
        <v>185</v>
      </c>
      <c r="N120">
        <v>0</v>
      </c>
      <c r="O120" t="s">
        <v>222</v>
      </c>
      <c r="P120">
        <v>0</v>
      </c>
      <c r="U120" s="15"/>
    </row>
    <row r="121" spans="1:21" x14ac:dyDescent="0.35">
      <c r="A121" t="s">
        <v>14</v>
      </c>
      <c r="B121" t="s">
        <v>497</v>
      </c>
      <c r="C121" t="s">
        <v>641</v>
      </c>
      <c r="D121" t="s">
        <v>642</v>
      </c>
      <c r="E121" t="s">
        <v>643</v>
      </c>
      <c r="F121" t="s">
        <v>644</v>
      </c>
      <c r="G121" t="s">
        <v>804</v>
      </c>
      <c r="H121" s="15">
        <v>46053</v>
      </c>
      <c r="I121" t="s">
        <v>805</v>
      </c>
      <c r="J121" t="s">
        <v>16</v>
      </c>
      <c r="K121" t="s">
        <v>185</v>
      </c>
      <c r="N121">
        <v>0</v>
      </c>
      <c r="O121" t="s">
        <v>222</v>
      </c>
      <c r="P121">
        <v>0</v>
      </c>
      <c r="U121" s="15"/>
    </row>
    <row r="122" spans="1:21" x14ac:dyDescent="0.35">
      <c r="A122" t="s">
        <v>14</v>
      </c>
      <c r="B122" t="s">
        <v>497</v>
      </c>
      <c r="C122" t="s">
        <v>504</v>
      </c>
      <c r="D122" t="s">
        <v>505</v>
      </c>
      <c r="E122" t="s">
        <v>506</v>
      </c>
      <c r="F122" t="s">
        <v>501</v>
      </c>
      <c r="G122" t="s">
        <v>546</v>
      </c>
      <c r="H122" s="15">
        <v>46032</v>
      </c>
      <c r="I122" t="s">
        <v>547</v>
      </c>
      <c r="J122" t="s">
        <v>16</v>
      </c>
      <c r="K122" t="s">
        <v>185</v>
      </c>
      <c r="N122">
        <v>0</v>
      </c>
      <c r="O122" t="s">
        <v>222</v>
      </c>
      <c r="P122">
        <v>0</v>
      </c>
      <c r="U122" s="15"/>
    </row>
    <row r="123" spans="1:21" x14ac:dyDescent="0.35">
      <c r="A123" t="s">
        <v>14</v>
      </c>
      <c r="B123" t="s">
        <v>497</v>
      </c>
      <c r="C123" t="s">
        <v>498</v>
      </c>
      <c r="D123" t="s">
        <v>499</v>
      </c>
      <c r="E123" t="s">
        <v>500</v>
      </c>
      <c r="F123" t="s">
        <v>501</v>
      </c>
      <c r="G123" t="s">
        <v>548</v>
      </c>
      <c r="H123" s="15">
        <v>46032</v>
      </c>
      <c r="I123" t="s">
        <v>549</v>
      </c>
      <c r="J123" t="s">
        <v>233</v>
      </c>
      <c r="K123" t="s">
        <v>185</v>
      </c>
      <c r="N123">
        <v>0</v>
      </c>
      <c r="O123" t="s">
        <v>222</v>
      </c>
      <c r="P123">
        <v>0</v>
      </c>
      <c r="U123" s="15"/>
    </row>
    <row r="124" spans="1:21" x14ac:dyDescent="0.35">
      <c r="A124" t="s">
        <v>14</v>
      </c>
      <c r="B124" t="s">
        <v>497</v>
      </c>
      <c r="C124" t="s">
        <v>682</v>
      </c>
      <c r="D124" t="s">
        <v>683</v>
      </c>
      <c r="E124" t="s">
        <v>683</v>
      </c>
      <c r="F124" t="s">
        <v>644</v>
      </c>
      <c r="G124" t="s">
        <v>806</v>
      </c>
      <c r="H124" s="15">
        <v>46055</v>
      </c>
      <c r="I124" t="s">
        <v>807</v>
      </c>
      <c r="J124" t="s">
        <v>233</v>
      </c>
      <c r="K124" t="s">
        <v>185</v>
      </c>
      <c r="N124">
        <v>0</v>
      </c>
      <c r="O124" t="s">
        <v>222</v>
      </c>
      <c r="P124">
        <v>0</v>
      </c>
      <c r="U124" s="15"/>
    </row>
    <row r="125" spans="1:21" x14ac:dyDescent="0.35">
      <c r="A125" t="s">
        <v>14</v>
      </c>
      <c r="B125" t="s">
        <v>497</v>
      </c>
      <c r="C125" t="s">
        <v>641</v>
      </c>
      <c r="D125" t="s">
        <v>642</v>
      </c>
      <c r="E125" t="s">
        <v>643</v>
      </c>
      <c r="F125" t="s">
        <v>644</v>
      </c>
      <c r="G125" t="s">
        <v>808</v>
      </c>
      <c r="H125" s="15">
        <v>46056</v>
      </c>
      <c r="I125" t="s">
        <v>809</v>
      </c>
      <c r="J125" t="s">
        <v>16</v>
      </c>
      <c r="K125" t="s">
        <v>185</v>
      </c>
      <c r="N125">
        <v>0</v>
      </c>
      <c r="O125" t="s">
        <v>222</v>
      </c>
      <c r="P125">
        <v>0</v>
      </c>
      <c r="U125" s="15"/>
    </row>
    <row r="126" spans="1:21" x14ac:dyDescent="0.35">
      <c r="A126" t="s">
        <v>14</v>
      </c>
      <c r="B126" t="s">
        <v>497</v>
      </c>
      <c r="C126" t="s">
        <v>777</v>
      </c>
      <c r="D126" t="s">
        <v>778</v>
      </c>
      <c r="E126" t="s">
        <v>779</v>
      </c>
      <c r="F126" t="s">
        <v>644</v>
      </c>
      <c r="G126" t="s">
        <v>808</v>
      </c>
      <c r="H126" s="15">
        <v>46056</v>
      </c>
      <c r="I126" t="s">
        <v>810</v>
      </c>
      <c r="J126" t="s">
        <v>16</v>
      </c>
      <c r="K126" t="s">
        <v>185</v>
      </c>
      <c r="N126">
        <v>0</v>
      </c>
      <c r="O126" t="s">
        <v>222</v>
      </c>
      <c r="P126">
        <v>0</v>
      </c>
      <c r="U126" s="15"/>
    </row>
    <row r="127" spans="1:21" x14ac:dyDescent="0.35">
      <c r="A127" t="s">
        <v>14</v>
      </c>
      <c r="B127" t="s">
        <v>497</v>
      </c>
      <c r="C127" t="s">
        <v>498</v>
      </c>
      <c r="D127" t="s">
        <v>499</v>
      </c>
      <c r="E127" t="s">
        <v>500</v>
      </c>
      <c r="F127" t="s">
        <v>501</v>
      </c>
      <c r="G127" t="s">
        <v>550</v>
      </c>
      <c r="H127" s="15">
        <v>46034</v>
      </c>
      <c r="I127" t="s">
        <v>551</v>
      </c>
      <c r="J127" t="s">
        <v>233</v>
      </c>
      <c r="K127" t="s">
        <v>185</v>
      </c>
      <c r="N127">
        <v>0</v>
      </c>
      <c r="O127" t="s">
        <v>222</v>
      </c>
      <c r="P127">
        <v>0</v>
      </c>
      <c r="U127" s="15"/>
    </row>
    <row r="128" spans="1:21" x14ac:dyDescent="0.35">
      <c r="A128" t="s">
        <v>14</v>
      </c>
      <c r="B128" t="s">
        <v>497</v>
      </c>
      <c r="C128" t="s">
        <v>552</v>
      </c>
      <c r="D128" t="s">
        <v>553</v>
      </c>
      <c r="E128" t="s">
        <v>554</v>
      </c>
      <c r="F128" t="s">
        <v>501</v>
      </c>
      <c r="G128" t="s">
        <v>555</v>
      </c>
      <c r="H128" s="15">
        <v>46035</v>
      </c>
      <c r="I128" t="s">
        <v>556</v>
      </c>
      <c r="J128" t="s">
        <v>16</v>
      </c>
      <c r="K128" t="s">
        <v>185</v>
      </c>
      <c r="N128">
        <v>0</v>
      </c>
      <c r="O128" t="s">
        <v>222</v>
      </c>
      <c r="P128">
        <v>0</v>
      </c>
      <c r="U128" s="15"/>
    </row>
    <row r="129" spans="1:21" x14ac:dyDescent="0.35">
      <c r="A129" t="s">
        <v>14</v>
      </c>
      <c r="B129" t="s">
        <v>497</v>
      </c>
      <c r="C129" t="s">
        <v>557</v>
      </c>
      <c r="D129" t="s">
        <v>558</v>
      </c>
      <c r="E129" t="s">
        <v>559</v>
      </c>
      <c r="F129" t="s">
        <v>501</v>
      </c>
      <c r="G129" t="s">
        <v>555</v>
      </c>
      <c r="H129" s="15">
        <v>46035</v>
      </c>
      <c r="I129" t="s">
        <v>560</v>
      </c>
      <c r="J129" t="s">
        <v>16</v>
      </c>
      <c r="K129" t="s">
        <v>185</v>
      </c>
      <c r="N129">
        <v>0</v>
      </c>
      <c r="O129" t="s">
        <v>222</v>
      </c>
      <c r="P129">
        <v>0</v>
      </c>
      <c r="U129" s="15"/>
    </row>
    <row r="130" spans="1:21" x14ac:dyDescent="0.35">
      <c r="A130" t="s">
        <v>14</v>
      </c>
      <c r="B130" t="s">
        <v>497</v>
      </c>
      <c r="C130" t="s">
        <v>811</v>
      </c>
      <c r="D130" t="s">
        <v>812</v>
      </c>
      <c r="E130" t="s">
        <v>813</v>
      </c>
      <c r="F130" t="s">
        <v>644</v>
      </c>
      <c r="G130" t="s">
        <v>814</v>
      </c>
      <c r="H130" s="15">
        <v>46056</v>
      </c>
      <c r="I130" t="s">
        <v>815</v>
      </c>
      <c r="J130" t="s">
        <v>233</v>
      </c>
      <c r="K130" t="s">
        <v>185</v>
      </c>
      <c r="N130">
        <v>0</v>
      </c>
      <c r="O130" t="s">
        <v>222</v>
      </c>
      <c r="P130">
        <v>0</v>
      </c>
      <c r="U130" s="15"/>
    </row>
    <row r="131" spans="1:21" x14ac:dyDescent="0.35">
      <c r="A131" t="s">
        <v>14</v>
      </c>
      <c r="B131" t="s">
        <v>497</v>
      </c>
      <c r="C131" t="s">
        <v>816</v>
      </c>
      <c r="D131" t="s">
        <v>817</v>
      </c>
      <c r="E131" t="s">
        <v>818</v>
      </c>
      <c r="F131" t="s">
        <v>644</v>
      </c>
      <c r="G131" t="s">
        <v>819</v>
      </c>
      <c r="H131" s="15">
        <v>46057</v>
      </c>
      <c r="I131" t="s">
        <v>820</v>
      </c>
      <c r="J131" t="s">
        <v>16</v>
      </c>
      <c r="K131" t="s">
        <v>185</v>
      </c>
      <c r="N131">
        <v>0</v>
      </c>
      <c r="O131" t="s">
        <v>222</v>
      </c>
      <c r="P131">
        <v>0</v>
      </c>
      <c r="U131" s="15"/>
    </row>
    <row r="132" spans="1:21" x14ac:dyDescent="0.35">
      <c r="A132" t="s">
        <v>14</v>
      </c>
      <c r="B132" t="s">
        <v>497</v>
      </c>
      <c r="C132" t="s">
        <v>561</v>
      </c>
      <c r="D132" t="s">
        <v>562</v>
      </c>
      <c r="E132" t="s">
        <v>562</v>
      </c>
      <c r="F132" t="s">
        <v>501</v>
      </c>
      <c r="G132" t="s">
        <v>563</v>
      </c>
      <c r="H132" s="15">
        <v>46035</v>
      </c>
      <c r="I132" t="s">
        <v>564</v>
      </c>
      <c r="J132" t="s">
        <v>233</v>
      </c>
      <c r="K132" t="s">
        <v>185</v>
      </c>
      <c r="N132">
        <v>0</v>
      </c>
      <c r="O132" t="s">
        <v>222</v>
      </c>
      <c r="P132">
        <v>0</v>
      </c>
      <c r="U132" s="15"/>
    </row>
    <row r="133" spans="1:21" x14ac:dyDescent="0.35">
      <c r="A133" t="s">
        <v>14</v>
      </c>
      <c r="B133" t="s">
        <v>497</v>
      </c>
      <c r="C133" t="s">
        <v>821</v>
      </c>
      <c r="D133" t="s">
        <v>822</v>
      </c>
      <c r="E133" t="s">
        <v>823</v>
      </c>
      <c r="F133" t="s">
        <v>644</v>
      </c>
      <c r="G133" t="s">
        <v>819</v>
      </c>
      <c r="H133" s="15">
        <v>46057</v>
      </c>
      <c r="I133" t="s">
        <v>824</v>
      </c>
      <c r="J133" t="s">
        <v>16</v>
      </c>
      <c r="K133" t="s">
        <v>185</v>
      </c>
      <c r="N133">
        <v>0</v>
      </c>
      <c r="O133" t="s">
        <v>222</v>
      </c>
      <c r="P133">
        <v>0</v>
      </c>
      <c r="U133" s="15"/>
    </row>
    <row r="134" spans="1:21" x14ac:dyDescent="0.35">
      <c r="A134" t="s">
        <v>14</v>
      </c>
      <c r="B134" t="s">
        <v>497</v>
      </c>
      <c r="C134" t="s">
        <v>671</v>
      </c>
      <c r="D134" t="s">
        <v>672</v>
      </c>
      <c r="E134" t="s">
        <v>673</v>
      </c>
      <c r="F134" t="s">
        <v>644</v>
      </c>
      <c r="G134" t="s">
        <v>825</v>
      </c>
      <c r="H134" s="15">
        <v>46057</v>
      </c>
      <c r="I134" t="s">
        <v>826</v>
      </c>
      <c r="J134" t="s">
        <v>233</v>
      </c>
      <c r="K134" t="s">
        <v>185</v>
      </c>
      <c r="N134">
        <v>0</v>
      </c>
      <c r="O134" t="s">
        <v>222</v>
      </c>
      <c r="P134">
        <v>0</v>
      </c>
      <c r="U134" s="15"/>
    </row>
    <row r="135" spans="1:21" x14ac:dyDescent="0.35">
      <c r="A135" t="s">
        <v>14</v>
      </c>
      <c r="B135" t="s">
        <v>497</v>
      </c>
      <c r="C135" t="s">
        <v>498</v>
      </c>
      <c r="D135" t="s">
        <v>499</v>
      </c>
      <c r="E135" t="s">
        <v>500</v>
      </c>
      <c r="F135" t="s">
        <v>501</v>
      </c>
      <c r="G135" t="s">
        <v>565</v>
      </c>
      <c r="H135" s="15">
        <v>46036</v>
      </c>
      <c r="I135" t="s">
        <v>566</v>
      </c>
      <c r="J135" t="s">
        <v>16</v>
      </c>
      <c r="K135" t="s">
        <v>185</v>
      </c>
      <c r="N135">
        <v>0</v>
      </c>
      <c r="O135" t="s">
        <v>222</v>
      </c>
      <c r="P135">
        <v>0</v>
      </c>
      <c r="U135" s="15"/>
    </row>
    <row r="136" spans="1:21" x14ac:dyDescent="0.35">
      <c r="A136" t="s">
        <v>14</v>
      </c>
      <c r="B136" t="s">
        <v>497</v>
      </c>
      <c r="C136" t="s">
        <v>504</v>
      </c>
      <c r="D136" t="s">
        <v>505</v>
      </c>
      <c r="E136" t="s">
        <v>506</v>
      </c>
      <c r="F136" t="s">
        <v>501</v>
      </c>
      <c r="G136" t="s">
        <v>565</v>
      </c>
      <c r="H136" s="15">
        <v>46036</v>
      </c>
      <c r="I136" t="s">
        <v>567</v>
      </c>
      <c r="J136" t="s">
        <v>16</v>
      </c>
      <c r="K136" t="s">
        <v>185</v>
      </c>
      <c r="N136">
        <v>0</v>
      </c>
      <c r="O136" t="s">
        <v>222</v>
      </c>
      <c r="P136">
        <v>0</v>
      </c>
      <c r="U136" s="15"/>
    </row>
    <row r="137" spans="1:21" x14ac:dyDescent="0.35">
      <c r="A137" t="s">
        <v>14</v>
      </c>
      <c r="B137" t="s">
        <v>497</v>
      </c>
      <c r="C137" t="s">
        <v>662</v>
      </c>
      <c r="D137" t="s">
        <v>663</v>
      </c>
      <c r="E137" t="s">
        <v>664</v>
      </c>
      <c r="F137" t="s">
        <v>644</v>
      </c>
      <c r="G137" t="s">
        <v>827</v>
      </c>
      <c r="H137" s="15">
        <v>46058</v>
      </c>
      <c r="I137" t="s">
        <v>828</v>
      </c>
      <c r="J137" t="s">
        <v>16</v>
      </c>
      <c r="K137" t="s">
        <v>185</v>
      </c>
      <c r="N137">
        <v>0</v>
      </c>
      <c r="O137" t="s">
        <v>222</v>
      </c>
      <c r="P137">
        <v>0</v>
      </c>
      <c r="U137" s="15"/>
    </row>
    <row r="138" spans="1:21" x14ac:dyDescent="0.35">
      <c r="A138" t="s">
        <v>14</v>
      </c>
      <c r="B138" t="s">
        <v>497</v>
      </c>
      <c r="C138" t="s">
        <v>667</v>
      </c>
      <c r="D138" t="s">
        <v>668</v>
      </c>
      <c r="E138" t="s">
        <v>669</v>
      </c>
      <c r="F138" t="s">
        <v>644</v>
      </c>
      <c r="G138" t="s">
        <v>827</v>
      </c>
      <c r="H138" s="15">
        <v>46058</v>
      </c>
      <c r="I138" t="s">
        <v>829</v>
      </c>
      <c r="J138" t="s">
        <v>16</v>
      </c>
      <c r="K138" t="s">
        <v>185</v>
      </c>
      <c r="N138">
        <v>0</v>
      </c>
      <c r="O138" t="s">
        <v>222</v>
      </c>
      <c r="P138">
        <v>0</v>
      </c>
      <c r="U138" s="15"/>
    </row>
    <row r="139" spans="1:21" x14ac:dyDescent="0.35">
      <c r="A139" t="s">
        <v>14</v>
      </c>
      <c r="B139" t="s">
        <v>497</v>
      </c>
      <c r="C139" t="s">
        <v>651</v>
      </c>
      <c r="D139" t="s">
        <v>652</v>
      </c>
      <c r="E139" t="s">
        <v>653</v>
      </c>
      <c r="F139" t="s">
        <v>644</v>
      </c>
      <c r="G139" t="s">
        <v>830</v>
      </c>
      <c r="H139" s="15">
        <v>46058</v>
      </c>
      <c r="I139" t="s">
        <v>831</v>
      </c>
      <c r="J139" t="s">
        <v>233</v>
      </c>
      <c r="K139" t="s">
        <v>185</v>
      </c>
      <c r="N139">
        <v>0</v>
      </c>
      <c r="O139" t="s">
        <v>222</v>
      </c>
      <c r="P139">
        <v>0</v>
      </c>
      <c r="U139" s="15"/>
    </row>
    <row r="140" spans="1:21" x14ac:dyDescent="0.35">
      <c r="A140" t="s">
        <v>14</v>
      </c>
      <c r="B140" t="s">
        <v>497</v>
      </c>
      <c r="C140" t="s">
        <v>498</v>
      </c>
      <c r="D140" t="s">
        <v>499</v>
      </c>
      <c r="E140" t="s">
        <v>500</v>
      </c>
      <c r="F140" t="s">
        <v>501</v>
      </c>
      <c r="G140" t="s">
        <v>568</v>
      </c>
      <c r="H140" s="15">
        <v>46036</v>
      </c>
      <c r="I140" t="s">
        <v>569</v>
      </c>
      <c r="J140" t="s">
        <v>233</v>
      </c>
      <c r="K140" t="s">
        <v>185</v>
      </c>
      <c r="N140">
        <v>0</v>
      </c>
      <c r="O140" t="s">
        <v>222</v>
      </c>
      <c r="P140">
        <v>0</v>
      </c>
      <c r="U140" s="15"/>
    </row>
    <row r="141" spans="1:21" x14ac:dyDescent="0.35">
      <c r="A141" t="s">
        <v>14</v>
      </c>
      <c r="B141" t="s">
        <v>497</v>
      </c>
      <c r="C141" t="s">
        <v>570</v>
      </c>
      <c r="D141" t="s">
        <v>571</v>
      </c>
      <c r="E141" t="s">
        <v>572</v>
      </c>
      <c r="F141" t="s">
        <v>501</v>
      </c>
      <c r="G141" t="s">
        <v>568</v>
      </c>
      <c r="H141" s="15">
        <v>46036</v>
      </c>
      <c r="I141" t="s">
        <v>573</v>
      </c>
      <c r="J141" t="s">
        <v>233</v>
      </c>
      <c r="K141" t="s">
        <v>185</v>
      </c>
      <c r="N141">
        <v>0</v>
      </c>
      <c r="O141" t="s">
        <v>222</v>
      </c>
      <c r="P141">
        <v>0</v>
      </c>
      <c r="U141" s="15"/>
    </row>
    <row r="142" spans="1:21" x14ac:dyDescent="0.35">
      <c r="A142" t="s">
        <v>14</v>
      </c>
      <c r="B142" t="s">
        <v>497</v>
      </c>
      <c r="C142" t="s">
        <v>552</v>
      </c>
      <c r="D142" t="s">
        <v>553</v>
      </c>
      <c r="E142" t="s">
        <v>554</v>
      </c>
      <c r="F142" t="s">
        <v>501</v>
      </c>
      <c r="G142" t="s">
        <v>574</v>
      </c>
      <c r="H142" s="15">
        <v>46037</v>
      </c>
      <c r="I142" t="s">
        <v>575</v>
      </c>
      <c r="J142" t="s">
        <v>16</v>
      </c>
      <c r="K142" t="s">
        <v>185</v>
      </c>
      <c r="N142">
        <v>0</v>
      </c>
      <c r="O142" t="s">
        <v>222</v>
      </c>
      <c r="P142">
        <v>0</v>
      </c>
      <c r="U142" s="15"/>
    </row>
    <row r="143" spans="1:21" x14ac:dyDescent="0.35">
      <c r="A143" t="s">
        <v>14</v>
      </c>
      <c r="B143" t="s">
        <v>497</v>
      </c>
      <c r="C143" t="s">
        <v>552</v>
      </c>
      <c r="D143" t="s">
        <v>553</v>
      </c>
      <c r="E143" t="s">
        <v>554</v>
      </c>
      <c r="F143" t="s">
        <v>501</v>
      </c>
      <c r="G143" t="s">
        <v>574</v>
      </c>
      <c r="H143" s="15">
        <v>46037</v>
      </c>
      <c r="I143" t="s">
        <v>575</v>
      </c>
      <c r="J143" t="s">
        <v>16</v>
      </c>
      <c r="K143" t="s">
        <v>185</v>
      </c>
      <c r="N143">
        <v>0</v>
      </c>
      <c r="O143" t="s">
        <v>222</v>
      </c>
      <c r="P143">
        <v>0</v>
      </c>
      <c r="U143" s="15"/>
    </row>
    <row r="144" spans="1:21" x14ac:dyDescent="0.35">
      <c r="A144" t="s">
        <v>14</v>
      </c>
      <c r="B144" t="s">
        <v>497</v>
      </c>
      <c r="C144" t="s">
        <v>832</v>
      </c>
      <c r="D144" t="s">
        <v>833</v>
      </c>
      <c r="E144" t="s">
        <v>834</v>
      </c>
      <c r="F144" t="s">
        <v>644</v>
      </c>
      <c r="G144" t="s">
        <v>835</v>
      </c>
      <c r="H144" s="15">
        <v>46059</v>
      </c>
      <c r="I144" t="s">
        <v>836</v>
      </c>
      <c r="J144" t="s">
        <v>16</v>
      </c>
      <c r="K144" t="s">
        <v>185</v>
      </c>
      <c r="N144">
        <v>0</v>
      </c>
      <c r="O144" t="s">
        <v>222</v>
      </c>
      <c r="P144">
        <v>0</v>
      </c>
      <c r="U144" s="15"/>
    </row>
    <row r="145" spans="1:21" x14ac:dyDescent="0.35">
      <c r="A145" t="s">
        <v>14</v>
      </c>
      <c r="B145" t="s">
        <v>497</v>
      </c>
      <c r="C145" t="s">
        <v>658</v>
      </c>
      <c r="D145" t="s">
        <v>659</v>
      </c>
      <c r="E145" t="s">
        <v>660</v>
      </c>
      <c r="F145" t="s">
        <v>644</v>
      </c>
      <c r="G145" t="s">
        <v>835</v>
      </c>
      <c r="H145" s="15">
        <v>46059</v>
      </c>
      <c r="I145" t="s">
        <v>837</v>
      </c>
      <c r="J145" t="s">
        <v>16</v>
      </c>
      <c r="K145" t="s">
        <v>185</v>
      </c>
      <c r="N145">
        <v>0</v>
      </c>
      <c r="O145" t="s">
        <v>222</v>
      </c>
      <c r="P145">
        <v>0</v>
      </c>
      <c r="U145" s="15"/>
    </row>
    <row r="146" spans="1:21" x14ac:dyDescent="0.35">
      <c r="A146" t="s">
        <v>14</v>
      </c>
      <c r="B146" t="s">
        <v>497</v>
      </c>
      <c r="C146" t="s">
        <v>651</v>
      </c>
      <c r="D146" t="s">
        <v>652</v>
      </c>
      <c r="E146" t="s">
        <v>653</v>
      </c>
      <c r="F146" t="s">
        <v>644</v>
      </c>
      <c r="G146" t="s">
        <v>838</v>
      </c>
      <c r="H146" s="15">
        <v>46059</v>
      </c>
      <c r="I146" t="s">
        <v>839</v>
      </c>
      <c r="J146" t="s">
        <v>233</v>
      </c>
      <c r="K146" t="s">
        <v>185</v>
      </c>
      <c r="N146">
        <v>0</v>
      </c>
      <c r="O146" t="s">
        <v>222</v>
      </c>
      <c r="P146">
        <v>0</v>
      </c>
      <c r="U146" s="15"/>
    </row>
    <row r="147" spans="1:21" x14ac:dyDescent="0.35">
      <c r="A147" t="s">
        <v>14</v>
      </c>
      <c r="B147" t="s">
        <v>497</v>
      </c>
      <c r="C147" t="s">
        <v>504</v>
      </c>
      <c r="D147" t="s">
        <v>505</v>
      </c>
      <c r="E147" t="s">
        <v>506</v>
      </c>
      <c r="F147" t="s">
        <v>501</v>
      </c>
      <c r="G147" t="s">
        <v>574</v>
      </c>
      <c r="H147" s="15">
        <v>46037</v>
      </c>
      <c r="I147" t="s">
        <v>576</v>
      </c>
      <c r="J147" t="s">
        <v>16</v>
      </c>
      <c r="K147" t="s">
        <v>185</v>
      </c>
      <c r="N147">
        <v>0</v>
      </c>
      <c r="O147" t="s">
        <v>222</v>
      </c>
      <c r="P147">
        <v>0</v>
      </c>
      <c r="U147" s="15"/>
    </row>
    <row r="148" spans="1:21" x14ac:dyDescent="0.35">
      <c r="A148" t="s">
        <v>14</v>
      </c>
      <c r="B148" t="s">
        <v>497</v>
      </c>
      <c r="C148" t="s">
        <v>498</v>
      </c>
      <c r="D148" t="s">
        <v>499</v>
      </c>
      <c r="E148" t="s">
        <v>500</v>
      </c>
      <c r="F148" t="s">
        <v>501</v>
      </c>
      <c r="G148" t="s">
        <v>577</v>
      </c>
      <c r="H148" s="15">
        <v>46037</v>
      </c>
      <c r="I148" t="s">
        <v>578</v>
      </c>
      <c r="J148" t="s">
        <v>233</v>
      </c>
      <c r="K148" t="s">
        <v>185</v>
      </c>
      <c r="N148">
        <v>0</v>
      </c>
      <c r="O148" t="s">
        <v>222</v>
      </c>
      <c r="P148">
        <v>0</v>
      </c>
      <c r="U148" s="15"/>
    </row>
    <row r="149" spans="1:21" x14ac:dyDescent="0.35">
      <c r="A149" t="s">
        <v>14</v>
      </c>
      <c r="B149" t="s">
        <v>497</v>
      </c>
      <c r="C149" t="s">
        <v>641</v>
      </c>
      <c r="D149" t="s">
        <v>642</v>
      </c>
      <c r="E149" t="s">
        <v>643</v>
      </c>
      <c r="F149" t="s">
        <v>644</v>
      </c>
      <c r="G149" t="s">
        <v>840</v>
      </c>
      <c r="H149" s="15">
        <v>46060</v>
      </c>
      <c r="I149" t="s">
        <v>841</v>
      </c>
      <c r="J149" t="s">
        <v>16</v>
      </c>
      <c r="K149" t="s">
        <v>185</v>
      </c>
      <c r="N149">
        <v>0</v>
      </c>
      <c r="O149" t="s">
        <v>222</v>
      </c>
      <c r="P149">
        <v>0</v>
      </c>
      <c r="U149" s="15"/>
    </row>
    <row r="150" spans="1:21" x14ac:dyDescent="0.35">
      <c r="A150" t="s">
        <v>14</v>
      </c>
      <c r="B150" t="s">
        <v>497</v>
      </c>
      <c r="C150" t="s">
        <v>641</v>
      </c>
      <c r="D150" t="s">
        <v>642</v>
      </c>
      <c r="E150" t="s">
        <v>643</v>
      </c>
      <c r="F150" t="s">
        <v>644</v>
      </c>
      <c r="G150" t="s">
        <v>842</v>
      </c>
      <c r="H150" s="15">
        <v>46062</v>
      </c>
      <c r="I150" t="s">
        <v>843</v>
      </c>
      <c r="J150" t="s">
        <v>16</v>
      </c>
      <c r="K150" t="s">
        <v>185</v>
      </c>
      <c r="N150">
        <v>0</v>
      </c>
      <c r="O150" t="s">
        <v>222</v>
      </c>
      <c r="P150">
        <v>0</v>
      </c>
      <c r="U150" s="15"/>
    </row>
    <row r="151" spans="1:21" x14ac:dyDescent="0.35">
      <c r="A151" t="s">
        <v>14</v>
      </c>
      <c r="B151" t="s">
        <v>497</v>
      </c>
      <c r="C151" t="s">
        <v>777</v>
      </c>
      <c r="D151" t="s">
        <v>778</v>
      </c>
      <c r="E151" t="s">
        <v>779</v>
      </c>
      <c r="F151" t="s">
        <v>644</v>
      </c>
      <c r="G151" t="s">
        <v>842</v>
      </c>
      <c r="H151" s="15">
        <v>46062</v>
      </c>
      <c r="I151" t="s">
        <v>844</v>
      </c>
      <c r="J151" t="s">
        <v>16</v>
      </c>
      <c r="K151" t="s">
        <v>185</v>
      </c>
      <c r="N151">
        <v>0</v>
      </c>
      <c r="O151" t="s">
        <v>222</v>
      </c>
      <c r="P151">
        <v>0</v>
      </c>
      <c r="U151" s="15"/>
    </row>
    <row r="152" spans="1:21" x14ac:dyDescent="0.35">
      <c r="A152" t="s">
        <v>14</v>
      </c>
      <c r="B152" t="s">
        <v>497</v>
      </c>
      <c r="C152" t="s">
        <v>498</v>
      </c>
      <c r="D152" t="s">
        <v>499</v>
      </c>
      <c r="E152" t="s">
        <v>500</v>
      </c>
      <c r="F152" t="s">
        <v>501</v>
      </c>
      <c r="G152" t="s">
        <v>579</v>
      </c>
      <c r="H152" s="15">
        <v>46038</v>
      </c>
      <c r="I152" t="s">
        <v>580</v>
      </c>
      <c r="J152" t="s">
        <v>16</v>
      </c>
      <c r="K152" t="s">
        <v>185</v>
      </c>
      <c r="N152">
        <v>0</v>
      </c>
      <c r="O152" t="s">
        <v>222</v>
      </c>
      <c r="P152">
        <v>0</v>
      </c>
      <c r="U152" s="15"/>
    </row>
    <row r="153" spans="1:21" x14ac:dyDescent="0.35">
      <c r="A153" t="s">
        <v>14</v>
      </c>
      <c r="B153" t="s">
        <v>497</v>
      </c>
      <c r="C153" t="s">
        <v>581</v>
      </c>
      <c r="D153" t="s">
        <v>582</v>
      </c>
      <c r="E153" t="s">
        <v>583</v>
      </c>
      <c r="F153" t="s">
        <v>501</v>
      </c>
      <c r="G153" t="s">
        <v>579</v>
      </c>
      <c r="H153" s="15">
        <v>46038</v>
      </c>
      <c r="I153" t="s">
        <v>584</v>
      </c>
      <c r="J153" t="s">
        <v>16</v>
      </c>
      <c r="K153" t="s">
        <v>185</v>
      </c>
      <c r="N153">
        <v>0</v>
      </c>
      <c r="O153" t="s">
        <v>585</v>
      </c>
      <c r="P153">
        <v>0</v>
      </c>
      <c r="U153" s="15"/>
    </row>
    <row r="154" spans="1:21" x14ac:dyDescent="0.35">
      <c r="A154" t="s">
        <v>14</v>
      </c>
      <c r="B154" t="s">
        <v>497</v>
      </c>
      <c r="C154" t="s">
        <v>586</v>
      </c>
      <c r="D154" t="s">
        <v>587</v>
      </c>
      <c r="E154" t="s">
        <v>588</v>
      </c>
      <c r="F154" t="s">
        <v>501</v>
      </c>
      <c r="G154" t="s">
        <v>589</v>
      </c>
      <c r="H154" s="15">
        <v>46038</v>
      </c>
      <c r="I154" t="s">
        <v>590</v>
      </c>
      <c r="J154" t="s">
        <v>233</v>
      </c>
      <c r="K154" t="s">
        <v>185</v>
      </c>
      <c r="N154">
        <v>0</v>
      </c>
      <c r="O154" t="s">
        <v>222</v>
      </c>
      <c r="P154">
        <v>0</v>
      </c>
      <c r="U154" s="15"/>
    </row>
    <row r="155" spans="1:21" x14ac:dyDescent="0.35">
      <c r="A155" t="s">
        <v>14</v>
      </c>
      <c r="B155" t="s">
        <v>497</v>
      </c>
      <c r="C155" t="s">
        <v>781</v>
      </c>
      <c r="D155" t="s">
        <v>782</v>
      </c>
      <c r="E155" t="s">
        <v>783</v>
      </c>
      <c r="F155" t="s">
        <v>644</v>
      </c>
      <c r="G155" t="s">
        <v>845</v>
      </c>
      <c r="H155" s="15">
        <v>46062</v>
      </c>
      <c r="I155" t="s">
        <v>846</v>
      </c>
      <c r="J155" t="s">
        <v>233</v>
      </c>
      <c r="K155" t="s">
        <v>185</v>
      </c>
      <c r="N155">
        <v>0</v>
      </c>
      <c r="O155" t="s">
        <v>222</v>
      </c>
      <c r="P155">
        <v>0</v>
      </c>
      <c r="U155" s="15"/>
    </row>
    <row r="156" spans="1:21" x14ac:dyDescent="0.35">
      <c r="A156" t="s">
        <v>14</v>
      </c>
      <c r="B156" t="s">
        <v>497</v>
      </c>
      <c r="C156" t="s">
        <v>651</v>
      </c>
      <c r="D156" t="s">
        <v>652</v>
      </c>
      <c r="E156" t="s">
        <v>653</v>
      </c>
      <c r="F156" t="s">
        <v>644</v>
      </c>
      <c r="G156" t="s">
        <v>845</v>
      </c>
      <c r="H156" s="15">
        <v>46062</v>
      </c>
      <c r="I156" t="s">
        <v>847</v>
      </c>
      <c r="J156" t="s">
        <v>233</v>
      </c>
      <c r="K156" t="s">
        <v>185</v>
      </c>
      <c r="N156">
        <v>0</v>
      </c>
      <c r="O156" t="s">
        <v>222</v>
      </c>
      <c r="P156">
        <v>0</v>
      </c>
      <c r="U156" s="15"/>
    </row>
    <row r="157" spans="1:21" x14ac:dyDescent="0.35">
      <c r="A157" t="s">
        <v>14</v>
      </c>
      <c r="B157" t="s">
        <v>497</v>
      </c>
      <c r="C157" t="s">
        <v>651</v>
      </c>
      <c r="D157" t="s">
        <v>652</v>
      </c>
      <c r="E157" t="s">
        <v>653</v>
      </c>
      <c r="F157" t="s">
        <v>644</v>
      </c>
      <c r="G157" t="s">
        <v>848</v>
      </c>
      <c r="H157" s="15">
        <v>46063</v>
      </c>
      <c r="I157" t="s">
        <v>849</v>
      </c>
      <c r="J157" t="s">
        <v>233</v>
      </c>
      <c r="K157" t="s">
        <v>185</v>
      </c>
      <c r="N157">
        <v>0</v>
      </c>
      <c r="O157" t="s">
        <v>222</v>
      </c>
      <c r="P157">
        <v>0</v>
      </c>
      <c r="U157" s="15"/>
    </row>
    <row r="158" spans="1:21" x14ac:dyDescent="0.35">
      <c r="A158" t="s">
        <v>14</v>
      </c>
      <c r="B158" t="s">
        <v>497</v>
      </c>
      <c r="C158" t="s">
        <v>515</v>
      </c>
      <c r="D158" t="s">
        <v>516</v>
      </c>
      <c r="E158" t="s">
        <v>517</v>
      </c>
      <c r="F158" t="s">
        <v>501</v>
      </c>
      <c r="G158" t="s">
        <v>589</v>
      </c>
      <c r="H158" s="15">
        <v>46038</v>
      </c>
      <c r="I158" t="s">
        <v>591</v>
      </c>
      <c r="J158" t="s">
        <v>233</v>
      </c>
      <c r="K158" t="s">
        <v>185</v>
      </c>
      <c r="N158">
        <v>0</v>
      </c>
      <c r="O158" t="s">
        <v>222</v>
      </c>
      <c r="P158">
        <v>0</v>
      </c>
      <c r="U158" s="15"/>
    </row>
    <row r="159" spans="1:21" x14ac:dyDescent="0.35">
      <c r="A159" t="s">
        <v>14</v>
      </c>
      <c r="B159" t="s">
        <v>497</v>
      </c>
      <c r="C159" t="s">
        <v>581</v>
      </c>
      <c r="D159" t="s">
        <v>582</v>
      </c>
      <c r="E159" t="s">
        <v>583</v>
      </c>
      <c r="F159" t="s">
        <v>501</v>
      </c>
      <c r="G159" t="s">
        <v>592</v>
      </c>
      <c r="H159" s="15">
        <v>46039</v>
      </c>
      <c r="I159" t="s">
        <v>593</v>
      </c>
      <c r="J159" t="s">
        <v>16</v>
      </c>
      <c r="K159" t="s">
        <v>185</v>
      </c>
      <c r="N159">
        <v>0</v>
      </c>
      <c r="O159" t="s">
        <v>585</v>
      </c>
      <c r="P159">
        <v>0</v>
      </c>
      <c r="U159" s="15"/>
    </row>
    <row r="160" spans="1:21" x14ac:dyDescent="0.35">
      <c r="A160" t="s">
        <v>14</v>
      </c>
      <c r="B160" t="s">
        <v>497</v>
      </c>
      <c r="C160" t="s">
        <v>697</v>
      </c>
      <c r="D160" t="s">
        <v>698</v>
      </c>
      <c r="E160" t="s">
        <v>699</v>
      </c>
      <c r="F160" t="s">
        <v>644</v>
      </c>
      <c r="G160" t="s">
        <v>850</v>
      </c>
      <c r="H160" s="15">
        <v>46063</v>
      </c>
      <c r="I160" t="s">
        <v>851</v>
      </c>
      <c r="J160" t="s">
        <v>16</v>
      </c>
      <c r="K160" t="s">
        <v>185</v>
      </c>
      <c r="N160">
        <v>0</v>
      </c>
      <c r="O160" t="s">
        <v>222</v>
      </c>
      <c r="P160">
        <v>0</v>
      </c>
      <c r="U160" s="15"/>
    </row>
    <row r="161" spans="1:21" x14ac:dyDescent="0.35">
      <c r="A161" t="s">
        <v>14</v>
      </c>
      <c r="B161" t="s">
        <v>497</v>
      </c>
      <c r="C161" t="s">
        <v>662</v>
      </c>
      <c r="D161" t="s">
        <v>663</v>
      </c>
      <c r="E161" t="s">
        <v>664</v>
      </c>
      <c r="F161" t="s">
        <v>644</v>
      </c>
      <c r="G161" t="s">
        <v>852</v>
      </c>
      <c r="H161" s="15">
        <v>46064</v>
      </c>
      <c r="I161" t="s">
        <v>853</v>
      </c>
      <c r="J161" t="s">
        <v>16</v>
      </c>
      <c r="K161" t="s">
        <v>185</v>
      </c>
      <c r="N161">
        <v>0</v>
      </c>
      <c r="O161" t="s">
        <v>222</v>
      </c>
      <c r="P161">
        <v>0</v>
      </c>
      <c r="U161" s="15"/>
    </row>
    <row r="162" spans="1:21" x14ac:dyDescent="0.35">
      <c r="A162" t="s">
        <v>14</v>
      </c>
      <c r="B162" t="s">
        <v>497</v>
      </c>
      <c r="C162" t="s">
        <v>658</v>
      </c>
      <c r="D162" t="s">
        <v>659</v>
      </c>
      <c r="E162" t="s">
        <v>660</v>
      </c>
      <c r="F162" t="s">
        <v>644</v>
      </c>
      <c r="G162" t="s">
        <v>852</v>
      </c>
      <c r="H162" s="15">
        <v>46064</v>
      </c>
      <c r="I162" t="s">
        <v>854</v>
      </c>
      <c r="J162" t="s">
        <v>16</v>
      </c>
      <c r="K162" t="s">
        <v>185</v>
      </c>
      <c r="N162">
        <v>0</v>
      </c>
      <c r="O162" t="s">
        <v>222</v>
      </c>
      <c r="P162">
        <v>0</v>
      </c>
      <c r="U162" s="15"/>
    </row>
    <row r="163" spans="1:21" x14ac:dyDescent="0.35">
      <c r="A163" t="s">
        <v>14</v>
      </c>
      <c r="B163" t="s">
        <v>497</v>
      </c>
      <c r="C163" t="s">
        <v>515</v>
      </c>
      <c r="D163" t="s">
        <v>516</v>
      </c>
      <c r="E163" t="s">
        <v>517</v>
      </c>
      <c r="F163" t="s">
        <v>501</v>
      </c>
      <c r="G163" t="s">
        <v>594</v>
      </c>
      <c r="H163" s="15">
        <v>46039</v>
      </c>
      <c r="I163" t="s">
        <v>595</v>
      </c>
      <c r="J163" t="s">
        <v>233</v>
      </c>
      <c r="K163" t="s">
        <v>185</v>
      </c>
      <c r="N163">
        <v>0</v>
      </c>
      <c r="O163" t="s">
        <v>222</v>
      </c>
      <c r="P163">
        <v>0</v>
      </c>
      <c r="U163" s="15"/>
    </row>
    <row r="164" spans="1:21" x14ac:dyDescent="0.35">
      <c r="A164" t="s">
        <v>14</v>
      </c>
      <c r="B164" t="s">
        <v>497</v>
      </c>
      <c r="C164" t="s">
        <v>498</v>
      </c>
      <c r="D164" t="s">
        <v>499</v>
      </c>
      <c r="E164" t="s">
        <v>500</v>
      </c>
      <c r="F164" t="s">
        <v>501</v>
      </c>
      <c r="G164" t="s">
        <v>596</v>
      </c>
      <c r="H164" s="15">
        <v>46041</v>
      </c>
      <c r="I164" t="s">
        <v>597</v>
      </c>
      <c r="J164" t="s">
        <v>16</v>
      </c>
      <c r="K164" t="s">
        <v>185</v>
      </c>
      <c r="N164">
        <v>0</v>
      </c>
      <c r="O164" t="s">
        <v>222</v>
      </c>
      <c r="P164">
        <v>0</v>
      </c>
      <c r="U164" s="15"/>
    </row>
    <row r="165" spans="1:21" x14ac:dyDescent="0.35">
      <c r="A165" t="s">
        <v>14</v>
      </c>
      <c r="B165" t="s">
        <v>497</v>
      </c>
      <c r="C165" t="s">
        <v>651</v>
      </c>
      <c r="D165" t="s">
        <v>652</v>
      </c>
      <c r="E165" t="s">
        <v>653</v>
      </c>
      <c r="F165" t="s">
        <v>644</v>
      </c>
      <c r="G165" t="s">
        <v>855</v>
      </c>
      <c r="H165" s="15">
        <v>46064</v>
      </c>
      <c r="I165" t="s">
        <v>856</v>
      </c>
      <c r="J165" t="s">
        <v>233</v>
      </c>
      <c r="K165" t="s">
        <v>185</v>
      </c>
      <c r="N165">
        <v>0</v>
      </c>
      <c r="O165" t="s">
        <v>222</v>
      </c>
      <c r="P165">
        <v>0</v>
      </c>
      <c r="U165" s="15"/>
    </row>
    <row r="166" spans="1:21" x14ac:dyDescent="0.35">
      <c r="A166" t="s">
        <v>14</v>
      </c>
      <c r="B166" t="s">
        <v>497</v>
      </c>
      <c r="C166" t="s">
        <v>641</v>
      </c>
      <c r="D166" t="s">
        <v>642</v>
      </c>
      <c r="E166" t="s">
        <v>643</v>
      </c>
      <c r="F166" t="s">
        <v>644</v>
      </c>
      <c r="G166" t="s">
        <v>857</v>
      </c>
      <c r="H166" s="15">
        <v>46065</v>
      </c>
      <c r="I166" t="s">
        <v>858</v>
      </c>
      <c r="J166" t="s">
        <v>16</v>
      </c>
      <c r="K166" t="s">
        <v>185</v>
      </c>
      <c r="N166">
        <v>0</v>
      </c>
      <c r="O166" t="s">
        <v>222</v>
      </c>
      <c r="P166">
        <v>0</v>
      </c>
      <c r="U166" s="15"/>
    </row>
    <row r="167" spans="1:21" x14ac:dyDescent="0.35">
      <c r="A167" t="s">
        <v>14</v>
      </c>
      <c r="B167" t="s">
        <v>497</v>
      </c>
      <c r="C167" t="s">
        <v>667</v>
      </c>
      <c r="D167" t="s">
        <v>668</v>
      </c>
      <c r="E167" t="s">
        <v>669</v>
      </c>
      <c r="F167" t="s">
        <v>644</v>
      </c>
      <c r="G167" t="s">
        <v>859</v>
      </c>
      <c r="H167" s="15">
        <v>46065</v>
      </c>
      <c r="I167" t="s">
        <v>860</v>
      </c>
      <c r="J167" t="s">
        <v>233</v>
      </c>
      <c r="K167" t="s">
        <v>185</v>
      </c>
      <c r="N167">
        <v>0</v>
      </c>
      <c r="O167" t="s">
        <v>222</v>
      </c>
      <c r="P167">
        <v>0</v>
      </c>
      <c r="U167" s="15"/>
    </row>
    <row r="168" spans="1:21" x14ac:dyDescent="0.35">
      <c r="A168" t="s">
        <v>14</v>
      </c>
      <c r="B168" t="s">
        <v>497</v>
      </c>
      <c r="C168" t="s">
        <v>598</v>
      </c>
      <c r="D168" t="s">
        <v>599</v>
      </c>
      <c r="E168" t="s">
        <v>600</v>
      </c>
      <c r="F168" t="s">
        <v>501</v>
      </c>
      <c r="G168" t="s">
        <v>596</v>
      </c>
      <c r="H168" s="15">
        <v>46041</v>
      </c>
      <c r="I168" t="s">
        <v>601</v>
      </c>
      <c r="J168" t="s">
        <v>16</v>
      </c>
      <c r="K168" t="s">
        <v>185</v>
      </c>
      <c r="N168">
        <v>0</v>
      </c>
      <c r="O168" t="s">
        <v>222</v>
      </c>
      <c r="P168">
        <v>0</v>
      </c>
      <c r="U168" s="15"/>
    </row>
    <row r="169" spans="1:21" x14ac:dyDescent="0.35">
      <c r="A169" t="s">
        <v>14</v>
      </c>
      <c r="B169" t="s">
        <v>497</v>
      </c>
      <c r="C169" t="s">
        <v>521</v>
      </c>
      <c r="D169" t="s">
        <v>522</v>
      </c>
      <c r="E169" t="s">
        <v>523</v>
      </c>
      <c r="F169" t="s">
        <v>501</v>
      </c>
      <c r="G169" t="s">
        <v>602</v>
      </c>
      <c r="H169" s="15">
        <v>46041</v>
      </c>
      <c r="I169" t="s">
        <v>603</v>
      </c>
      <c r="J169" t="s">
        <v>233</v>
      </c>
      <c r="K169" t="s">
        <v>185</v>
      </c>
      <c r="N169">
        <v>0</v>
      </c>
      <c r="O169" t="s">
        <v>222</v>
      </c>
      <c r="P169">
        <v>0</v>
      </c>
      <c r="U169" s="15"/>
    </row>
    <row r="170" spans="1:21" x14ac:dyDescent="0.35">
      <c r="A170" t="s">
        <v>14</v>
      </c>
      <c r="B170" t="s">
        <v>497</v>
      </c>
      <c r="C170" t="s">
        <v>515</v>
      </c>
      <c r="D170" t="s">
        <v>516</v>
      </c>
      <c r="E170" t="s">
        <v>517</v>
      </c>
      <c r="F170" t="s">
        <v>501</v>
      </c>
      <c r="G170" t="s">
        <v>602</v>
      </c>
      <c r="H170" s="15">
        <v>46041</v>
      </c>
      <c r="I170" t="s">
        <v>604</v>
      </c>
      <c r="J170" t="s">
        <v>233</v>
      </c>
      <c r="K170" t="s">
        <v>185</v>
      </c>
      <c r="N170">
        <v>0</v>
      </c>
      <c r="O170" t="s">
        <v>222</v>
      </c>
      <c r="P170">
        <v>0</v>
      </c>
      <c r="U170" s="15"/>
    </row>
    <row r="171" spans="1:21" x14ac:dyDescent="0.35">
      <c r="A171" t="s">
        <v>14</v>
      </c>
      <c r="B171" t="s">
        <v>497</v>
      </c>
      <c r="C171" t="s">
        <v>692</v>
      </c>
      <c r="D171" t="s">
        <v>693</v>
      </c>
      <c r="E171" t="s">
        <v>694</v>
      </c>
      <c r="F171" t="s">
        <v>644</v>
      </c>
      <c r="G171" t="s">
        <v>861</v>
      </c>
      <c r="H171" s="15">
        <v>46066</v>
      </c>
      <c r="I171" t="s">
        <v>862</v>
      </c>
      <c r="J171" t="s">
        <v>16</v>
      </c>
      <c r="K171" t="s">
        <v>185</v>
      </c>
      <c r="N171">
        <v>0</v>
      </c>
      <c r="O171" t="s">
        <v>222</v>
      </c>
      <c r="P171">
        <v>0</v>
      </c>
      <c r="U171" s="15"/>
    </row>
    <row r="172" spans="1:21" x14ac:dyDescent="0.35">
      <c r="A172" t="s">
        <v>14</v>
      </c>
      <c r="B172" t="s">
        <v>497</v>
      </c>
      <c r="C172" t="s">
        <v>667</v>
      </c>
      <c r="D172" t="s">
        <v>668</v>
      </c>
      <c r="E172" t="s">
        <v>669</v>
      </c>
      <c r="F172" t="s">
        <v>644</v>
      </c>
      <c r="G172" t="s">
        <v>861</v>
      </c>
      <c r="H172" s="15">
        <v>46066</v>
      </c>
      <c r="I172" t="s">
        <v>863</v>
      </c>
      <c r="J172" t="s">
        <v>16</v>
      </c>
      <c r="K172" t="s">
        <v>185</v>
      </c>
      <c r="N172">
        <v>0</v>
      </c>
      <c r="O172" t="s">
        <v>222</v>
      </c>
      <c r="P172">
        <v>0</v>
      </c>
      <c r="U172" s="15"/>
    </row>
    <row r="173" spans="1:21" x14ac:dyDescent="0.35">
      <c r="A173" t="s">
        <v>14</v>
      </c>
      <c r="B173" t="s">
        <v>497</v>
      </c>
      <c r="C173" t="s">
        <v>498</v>
      </c>
      <c r="D173" t="s">
        <v>499</v>
      </c>
      <c r="E173" t="s">
        <v>500</v>
      </c>
      <c r="F173" t="s">
        <v>501</v>
      </c>
      <c r="G173" t="s">
        <v>605</v>
      </c>
      <c r="H173" s="15">
        <v>46042</v>
      </c>
      <c r="I173" t="s">
        <v>606</v>
      </c>
      <c r="J173" t="s">
        <v>16</v>
      </c>
      <c r="K173" t="s">
        <v>185</v>
      </c>
      <c r="N173">
        <v>0</v>
      </c>
      <c r="O173" t="s">
        <v>222</v>
      </c>
      <c r="P173">
        <v>0</v>
      </c>
      <c r="U173" s="15"/>
    </row>
    <row r="174" spans="1:21" x14ac:dyDescent="0.35">
      <c r="A174" t="s">
        <v>14</v>
      </c>
      <c r="B174" t="s">
        <v>497</v>
      </c>
      <c r="C174" t="s">
        <v>536</v>
      </c>
      <c r="D174" t="s">
        <v>537</v>
      </c>
      <c r="E174" t="s">
        <v>538</v>
      </c>
      <c r="F174" t="s">
        <v>501</v>
      </c>
      <c r="G174" t="s">
        <v>605</v>
      </c>
      <c r="H174" s="15">
        <v>46042</v>
      </c>
      <c r="I174" t="s">
        <v>607</v>
      </c>
      <c r="J174" t="s">
        <v>16</v>
      </c>
      <c r="K174" t="s">
        <v>185</v>
      </c>
      <c r="N174">
        <v>0</v>
      </c>
      <c r="O174" t="s">
        <v>222</v>
      </c>
      <c r="P174">
        <v>0</v>
      </c>
      <c r="U174" s="15"/>
    </row>
    <row r="175" spans="1:21" x14ac:dyDescent="0.35">
      <c r="A175" t="s">
        <v>14</v>
      </c>
      <c r="B175" t="s">
        <v>497</v>
      </c>
      <c r="C175" t="s">
        <v>791</v>
      </c>
      <c r="D175" t="s">
        <v>792</v>
      </c>
      <c r="E175" t="s">
        <v>793</v>
      </c>
      <c r="F175" t="s">
        <v>644</v>
      </c>
      <c r="G175" t="s">
        <v>864</v>
      </c>
      <c r="H175" s="15">
        <v>46066</v>
      </c>
      <c r="I175" t="s">
        <v>865</v>
      </c>
      <c r="J175" t="s">
        <v>233</v>
      </c>
      <c r="K175" t="s">
        <v>185</v>
      </c>
      <c r="N175">
        <v>0</v>
      </c>
      <c r="O175" t="s">
        <v>222</v>
      </c>
      <c r="P175">
        <v>0</v>
      </c>
      <c r="U175" s="15"/>
    </row>
    <row r="176" spans="1:21" x14ac:dyDescent="0.35">
      <c r="A176" t="s">
        <v>14</v>
      </c>
      <c r="B176" t="s">
        <v>497</v>
      </c>
      <c r="C176" t="s">
        <v>711</v>
      </c>
      <c r="D176" t="s">
        <v>712</v>
      </c>
      <c r="E176" t="s">
        <v>713</v>
      </c>
      <c r="F176" t="s">
        <v>644</v>
      </c>
      <c r="G176" t="s">
        <v>886</v>
      </c>
      <c r="H176" s="15">
        <v>46067</v>
      </c>
      <c r="I176" t="s">
        <v>887</v>
      </c>
      <c r="J176" t="s">
        <v>16</v>
      </c>
      <c r="K176" t="s">
        <v>185</v>
      </c>
      <c r="N176">
        <v>0</v>
      </c>
      <c r="O176" t="s">
        <v>222</v>
      </c>
      <c r="P176">
        <v>0</v>
      </c>
      <c r="U176" s="15"/>
    </row>
    <row r="177" spans="1:21" x14ac:dyDescent="0.35">
      <c r="A177" t="s">
        <v>14</v>
      </c>
      <c r="B177" t="s">
        <v>497</v>
      </c>
      <c r="C177" t="s">
        <v>832</v>
      </c>
      <c r="D177" t="s">
        <v>833</v>
      </c>
      <c r="E177" t="s">
        <v>834</v>
      </c>
      <c r="F177" t="s">
        <v>644</v>
      </c>
      <c r="G177" t="s">
        <v>888</v>
      </c>
      <c r="H177" s="15">
        <v>46069</v>
      </c>
      <c r="I177" t="s">
        <v>889</v>
      </c>
      <c r="J177" t="s">
        <v>233</v>
      </c>
      <c r="K177" t="s">
        <v>185</v>
      </c>
      <c r="N177">
        <v>0</v>
      </c>
      <c r="O177" t="s">
        <v>222</v>
      </c>
      <c r="P177">
        <v>0</v>
      </c>
      <c r="U177" s="15"/>
    </row>
    <row r="178" spans="1:21" x14ac:dyDescent="0.35">
      <c r="A178" t="s">
        <v>14</v>
      </c>
      <c r="B178" t="s">
        <v>497</v>
      </c>
      <c r="C178" t="s">
        <v>531</v>
      </c>
      <c r="D178" t="s">
        <v>532</v>
      </c>
      <c r="E178" t="s">
        <v>533</v>
      </c>
      <c r="F178" t="s">
        <v>501</v>
      </c>
      <c r="G178" t="s">
        <v>608</v>
      </c>
      <c r="H178" s="15">
        <v>46042</v>
      </c>
      <c r="I178" t="s">
        <v>609</v>
      </c>
      <c r="J178" t="s">
        <v>233</v>
      </c>
      <c r="K178" t="s">
        <v>185</v>
      </c>
      <c r="N178">
        <v>0</v>
      </c>
      <c r="O178" t="s">
        <v>222</v>
      </c>
      <c r="P178">
        <v>0</v>
      </c>
      <c r="U178" s="15"/>
    </row>
    <row r="179" spans="1:21" x14ac:dyDescent="0.35">
      <c r="A179" t="s">
        <v>14</v>
      </c>
      <c r="B179" t="s">
        <v>497</v>
      </c>
      <c r="C179" t="s">
        <v>515</v>
      </c>
      <c r="D179" t="s">
        <v>516</v>
      </c>
      <c r="E179" t="s">
        <v>517</v>
      </c>
      <c r="F179" t="s">
        <v>501</v>
      </c>
      <c r="G179" t="s">
        <v>610</v>
      </c>
      <c r="H179" s="15">
        <v>46043</v>
      </c>
      <c r="I179" t="s">
        <v>611</v>
      </c>
      <c r="J179" t="s">
        <v>16</v>
      </c>
      <c r="K179" t="s">
        <v>185</v>
      </c>
      <c r="N179">
        <v>0</v>
      </c>
      <c r="O179" t="s">
        <v>222</v>
      </c>
      <c r="P179">
        <v>0</v>
      </c>
      <c r="U179" s="15"/>
    </row>
    <row r="180" spans="1:21" x14ac:dyDescent="0.35">
      <c r="A180" t="s">
        <v>14</v>
      </c>
      <c r="B180" t="s">
        <v>497</v>
      </c>
      <c r="C180" t="s">
        <v>504</v>
      </c>
      <c r="D180" t="s">
        <v>505</v>
      </c>
      <c r="E180" t="s">
        <v>506</v>
      </c>
      <c r="F180" t="s">
        <v>501</v>
      </c>
      <c r="G180" t="s">
        <v>610</v>
      </c>
      <c r="H180" s="15">
        <v>46043</v>
      </c>
      <c r="I180" t="s">
        <v>612</v>
      </c>
      <c r="J180" t="s">
        <v>16</v>
      </c>
      <c r="K180" t="s">
        <v>185</v>
      </c>
      <c r="N180">
        <v>0</v>
      </c>
      <c r="O180" t="s">
        <v>222</v>
      </c>
      <c r="P180">
        <v>0</v>
      </c>
      <c r="U180" s="15"/>
    </row>
    <row r="181" spans="1:21" x14ac:dyDescent="0.35">
      <c r="A181" t="s">
        <v>14</v>
      </c>
      <c r="B181" t="s">
        <v>497</v>
      </c>
      <c r="C181" t="s">
        <v>777</v>
      </c>
      <c r="D181" t="s">
        <v>778</v>
      </c>
      <c r="E181" t="s">
        <v>779</v>
      </c>
      <c r="F181" t="s">
        <v>644</v>
      </c>
      <c r="G181" t="s">
        <v>888</v>
      </c>
      <c r="H181" s="15">
        <v>46069</v>
      </c>
      <c r="I181" t="s">
        <v>892</v>
      </c>
      <c r="J181" t="s">
        <v>233</v>
      </c>
      <c r="K181" t="s">
        <v>185</v>
      </c>
      <c r="N181">
        <v>0</v>
      </c>
      <c r="O181" t="s">
        <v>222</v>
      </c>
      <c r="P181">
        <v>0</v>
      </c>
      <c r="U181" s="15"/>
    </row>
    <row r="182" spans="1:21" x14ac:dyDescent="0.35">
      <c r="A182" t="s">
        <v>14</v>
      </c>
      <c r="B182" t="s">
        <v>497</v>
      </c>
      <c r="C182" t="s">
        <v>662</v>
      </c>
      <c r="D182" t="s">
        <v>663</v>
      </c>
      <c r="E182" t="s">
        <v>664</v>
      </c>
      <c r="F182" t="s">
        <v>644</v>
      </c>
      <c r="G182" t="s">
        <v>893</v>
      </c>
      <c r="H182" s="15">
        <v>46070</v>
      </c>
      <c r="I182" t="s">
        <v>894</v>
      </c>
      <c r="J182" t="s">
        <v>16</v>
      </c>
      <c r="K182" t="s">
        <v>185</v>
      </c>
      <c r="N182">
        <v>0</v>
      </c>
      <c r="O182" t="s">
        <v>222</v>
      </c>
      <c r="P182">
        <v>0</v>
      </c>
      <c r="U182" s="15"/>
    </row>
    <row r="183" spans="1:21" x14ac:dyDescent="0.35">
      <c r="A183" t="s">
        <v>14</v>
      </c>
      <c r="B183" t="s">
        <v>497</v>
      </c>
      <c r="C183" t="s">
        <v>498</v>
      </c>
      <c r="D183" t="s">
        <v>499</v>
      </c>
      <c r="E183" t="s">
        <v>500</v>
      </c>
      <c r="F183" t="s">
        <v>501</v>
      </c>
      <c r="G183" t="s">
        <v>613</v>
      </c>
      <c r="H183" s="15">
        <v>46043</v>
      </c>
      <c r="I183" t="s">
        <v>614</v>
      </c>
      <c r="J183" t="s">
        <v>233</v>
      </c>
      <c r="K183" t="s">
        <v>185</v>
      </c>
      <c r="N183">
        <v>0</v>
      </c>
      <c r="O183" t="s">
        <v>222</v>
      </c>
      <c r="P183">
        <v>0</v>
      </c>
      <c r="U183" s="15"/>
    </row>
    <row r="184" spans="1:21" x14ac:dyDescent="0.35">
      <c r="A184" t="s">
        <v>14</v>
      </c>
      <c r="B184" t="s">
        <v>497</v>
      </c>
      <c r="C184" t="s">
        <v>615</v>
      </c>
      <c r="D184" t="s">
        <v>616</v>
      </c>
      <c r="E184" t="s">
        <v>617</v>
      </c>
      <c r="F184" t="s">
        <v>501</v>
      </c>
      <c r="G184" t="s">
        <v>618</v>
      </c>
      <c r="H184" s="15">
        <v>46044</v>
      </c>
      <c r="I184" t="s">
        <v>619</v>
      </c>
      <c r="J184" t="s">
        <v>16</v>
      </c>
      <c r="K184" t="s">
        <v>185</v>
      </c>
      <c r="N184">
        <v>0</v>
      </c>
      <c r="O184" t="s">
        <v>222</v>
      </c>
      <c r="P184">
        <v>0</v>
      </c>
      <c r="U184" s="15"/>
    </row>
    <row r="185" spans="1:21" x14ac:dyDescent="0.35">
      <c r="A185" t="s">
        <v>14</v>
      </c>
      <c r="B185" t="s">
        <v>497</v>
      </c>
      <c r="C185" t="s">
        <v>777</v>
      </c>
      <c r="D185" t="s">
        <v>778</v>
      </c>
      <c r="E185" t="s">
        <v>779</v>
      </c>
      <c r="F185" t="s">
        <v>644</v>
      </c>
      <c r="G185" t="s">
        <v>893</v>
      </c>
      <c r="H185" s="15">
        <v>46070</v>
      </c>
      <c r="I185" t="s">
        <v>903</v>
      </c>
      <c r="J185" t="s">
        <v>16</v>
      </c>
      <c r="K185" t="s">
        <v>185</v>
      </c>
      <c r="N185">
        <v>0</v>
      </c>
      <c r="O185" t="s">
        <v>222</v>
      </c>
      <c r="P185">
        <v>0</v>
      </c>
      <c r="U185" s="15"/>
    </row>
    <row r="186" spans="1:21" x14ac:dyDescent="0.35">
      <c r="A186" t="s">
        <v>14</v>
      </c>
      <c r="B186" t="s">
        <v>497</v>
      </c>
      <c r="C186" t="s">
        <v>651</v>
      </c>
      <c r="D186" t="s">
        <v>652</v>
      </c>
      <c r="E186" t="s">
        <v>653</v>
      </c>
      <c r="F186" t="s">
        <v>644</v>
      </c>
      <c r="G186" t="s">
        <v>904</v>
      </c>
      <c r="H186" s="15">
        <v>46070</v>
      </c>
      <c r="I186" t="s">
        <v>905</v>
      </c>
      <c r="J186" t="s">
        <v>233</v>
      </c>
      <c r="K186" t="s">
        <v>185</v>
      </c>
      <c r="N186">
        <v>0</v>
      </c>
      <c r="O186" t="s">
        <v>222</v>
      </c>
      <c r="P186">
        <v>0</v>
      </c>
      <c r="U186" s="15"/>
    </row>
    <row r="187" spans="1:21" x14ac:dyDescent="0.35">
      <c r="A187" t="s">
        <v>14</v>
      </c>
      <c r="B187" t="s">
        <v>497</v>
      </c>
      <c r="C187" t="s">
        <v>504</v>
      </c>
      <c r="D187" t="s">
        <v>505</v>
      </c>
      <c r="E187" t="s">
        <v>506</v>
      </c>
      <c r="F187" t="s">
        <v>501</v>
      </c>
      <c r="G187" t="s">
        <v>618</v>
      </c>
      <c r="H187" s="15">
        <v>46044</v>
      </c>
      <c r="I187" t="s">
        <v>620</v>
      </c>
      <c r="J187" t="s">
        <v>16</v>
      </c>
      <c r="K187" t="s">
        <v>185</v>
      </c>
      <c r="N187">
        <v>0</v>
      </c>
      <c r="O187" t="s">
        <v>222</v>
      </c>
      <c r="P187">
        <v>0</v>
      </c>
      <c r="U187" s="15"/>
    </row>
    <row r="188" spans="1:21" x14ac:dyDescent="0.35">
      <c r="A188" t="s">
        <v>14</v>
      </c>
      <c r="B188" t="s">
        <v>497</v>
      </c>
      <c r="C188" t="s">
        <v>816</v>
      </c>
      <c r="D188" t="s">
        <v>817</v>
      </c>
      <c r="E188" t="s">
        <v>818</v>
      </c>
      <c r="F188" t="s">
        <v>644</v>
      </c>
      <c r="G188" t="s">
        <v>910</v>
      </c>
      <c r="H188" s="15">
        <v>46071</v>
      </c>
      <c r="I188" t="s">
        <v>911</v>
      </c>
      <c r="J188" t="s">
        <v>233</v>
      </c>
      <c r="K188" t="s">
        <v>185</v>
      </c>
      <c r="N188">
        <v>0</v>
      </c>
      <c r="O188" t="s">
        <v>222</v>
      </c>
      <c r="P188">
        <v>0</v>
      </c>
      <c r="U188" s="15"/>
    </row>
    <row r="189" spans="1:21" x14ac:dyDescent="0.35">
      <c r="A189" t="s">
        <v>14</v>
      </c>
      <c r="B189" t="s">
        <v>497</v>
      </c>
      <c r="C189" t="s">
        <v>821</v>
      </c>
      <c r="D189" t="s">
        <v>822</v>
      </c>
      <c r="E189" t="s">
        <v>823</v>
      </c>
      <c r="F189" t="s">
        <v>644</v>
      </c>
      <c r="G189" t="s">
        <v>910</v>
      </c>
      <c r="H189" s="15">
        <v>46071</v>
      </c>
      <c r="I189" t="s">
        <v>912</v>
      </c>
      <c r="J189" t="s">
        <v>233</v>
      </c>
      <c r="K189" t="s">
        <v>185</v>
      </c>
      <c r="N189">
        <v>0</v>
      </c>
      <c r="O189" t="s">
        <v>222</v>
      </c>
      <c r="P189">
        <v>0</v>
      </c>
      <c r="U189" s="15"/>
    </row>
    <row r="190" spans="1:21" x14ac:dyDescent="0.35">
      <c r="A190" t="s">
        <v>14</v>
      </c>
      <c r="B190" t="s">
        <v>497</v>
      </c>
      <c r="C190" t="s">
        <v>515</v>
      </c>
      <c r="D190" t="s">
        <v>516</v>
      </c>
      <c r="E190" t="s">
        <v>517</v>
      </c>
      <c r="F190" t="s">
        <v>501</v>
      </c>
      <c r="G190" t="s">
        <v>621</v>
      </c>
      <c r="H190" s="15">
        <v>46044</v>
      </c>
      <c r="I190" t="s">
        <v>622</v>
      </c>
      <c r="J190" t="s">
        <v>233</v>
      </c>
      <c r="K190" t="s">
        <v>185</v>
      </c>
      <c r="N190">
        <v>0</v>
      </c>
      <c r="O190" t="s">
        <v>222</v>
      </c>
      <c r="P190">
        <v>0</v>
      </c>
      <c r="U190" s="15"/>
    </row>
    <row r="191" spans="1:21" x14ac:dyDescent="0.35">
      <c r="A191" t="s">
        <v>14</v>
      </c>
      <c r="B191" t="s">
        <v>497</v>
      </c>
      <c r="C191" t="s">
        <v>570</v>
      </c>
      <c r="D191" t="s">
        <v>571</v>
      </c>
      <c r="E191" t="s">
        <v>572</v>
      </c>
      <c r="F191" t="s">
        <v>501</v>
      </c>
      <c r="G191" t="s">
        <v>623</v>
      </c>
      <c r="H191" s="15">
        <v>46045</v>
      </c>
      <c r="I191" t="s">
        <v>624</v>
      </c>
      <c r="J191" t="s">
        <v>233</v>
      </c>
      <c r="K191" t="s">
        <v>185</v>
      </c>
      <c r="N191">
        <v>0</v>
      </c>
      <c r="O191" t="s">
        <v>222</v>
      </c>
      <c r="P191">
        <v>0</v>
      </c>
      <c r="U191" s="15"/>
    </row>
    <row r="192" spans="1:21" x14ac:dyDescent="0.35">
      <c r="A192" t="s">
        <v>14</v>
      </c>
      <c r="B192" t="s">
        <v>497</v>
      </c>
      <c r="C192" t="s">
        <v>662</v>
      </c>
      <c r="D192" t="s">
        <v>663</v>
      </c>
      <c r="E192" t="s">
        <v>664</v>
      </c>
      <c r="F192" t="s">
        <v>644</v>
      </c>
      <c r="G192" t="s">
        <v>917</v>
      </c>
      <c r="H192" s="15">
        <v>46071</v>
      </c>
      <c r="I192" t="s">
        <v>918</v>
      </c>
      <c r="J192" t="s">
        <v>16</v>
      </c>
      <c r="K192" t="s">
        <v>185</v>
      </c>
      <c r="N192">
        <v>0</v>
      </c>
      <c r="O192" t="s">
        <v>222</v>
      </c>
      <c r="P192">
        <v>0</v>
      </c>
      <c r="U192" s="15"/>
    </row>
    <row r="193" spans="1:21" x14ac:dyDescent="0.35">
      <c r="A193" t="s">
        <v>14</v>
      </c>
      <c r="B193" t="s">
        <v>497</v>
      </c>
      <c r="C193" t="s">
        <v>641</v>
      </c>
      <c r="D193" t="s">
        <v>642</v>
      </c>
      <c r="E193" t="s">
        <v>643</v>
      </c>
      <c r="F193" t="s">
        <v>644</v>
      </c>
      <c r="G193" t="s">
        <v>919</v>
      </c>
      <c r="H193" s="15">
        <v>46072</v>
      </c>
      <c r="I193" t="s">
        <v>920</v>
      </c>
      <c r="J193" t="s">
        <v>16</v>
      </c>
      <c r="K193" t="s">
        <v>185</v>
      </c>
      <c r="N193">
        <v>0</v>
      </c>
      <c r="O193" t="s">
        <v>222</v>
      </c>
      <c r="P193">
        <v>0</v>
      </c>
      <c r="U193" s="15"/>
    </row>
    <row r="194" spans="1:21" x14ac:dyDescent="0.35">
      <c r="A194" t="s">
        <v>14</v>
      </c>
      <c r="B194" t="s">
        <v>497</v>
      </c>
      <c r="C194" t="s">
        <v>682</v>
      </c>
      <c r="D194" t="s">
        <v>683</v>
      </c>
      <c r="E194" t="s">
        <v>683</v>
      </c>
      <c r="F194" t="s">
        <v>644</v>
      </c>
      <c r="G194" t="s">
        <v>919</v>
      </c>
      <c r="H194" s="15">
        <v>46072</v>
      </c>
      <c r="I194" t="s">
        <v>921</v>
      </c>
      <c r="J194" t="s">
        <v>16</v>
      </c>
      <c r="K194" t="s">
        <v>185</v>
      </c>
      <c r="N194">
        <v>0</v>
      </c>
      <c r="O194" t="s">
        <v>222</v>
      </c>
      <c r="P194">
        <v>0</v>
      </c>
      <c r="U194" s="15"/>
    </row>
    <row r="195" spans="1:21" x14ac:dyDescent="0.35">
      <c r="A195" t="s">
        <v>14</v>
      </c>
      <c r="B195" t="s">
        <v>497</v>
      </c>
      <c r="C195" t="s">
        <v>498</v>
      </c>
      <c r="D195" t="s">
        <v>499</v>
      </c>
      <c r="E195" t="s">
        <v>500</v>
      </c>
      <c r="F195" t="s">
        <v>501</v>
      </c>
      <c r="G195" t="s">
        <v>623</v>
      </c>
      <c r="H195" s="15">
        <v>46045</v>
      </c>
      <c r="I195" t="s">
        <v>625</v>
      </c>
      <c r="J195" t="s">
        <v>233</v>
      </c>
      <c r="K195" t="s">
        <v>185</v>
      </c>
      <c r="N195">
        <v>0</v>
      </c>
      <c r="O195" t="s">
        <v>222</v>
      </c>
      <c r="P195">
        <v>0</v>
      </c>
      <c r="U195" s="15"/>
    </row>
    <row r="196" spans="1:21" x14ac:dyDescent="0.35">
      <c r="A196" t="s">
        <v>14</v>
      </c>
      <c r="B196" t="s">
        <v>497</v>
      </c>
      <c r="C196" t="s">
        <v>504</v>
      </c>
      <c r="D196" t="s">
        <v>505</v>
      </c>
      <c r="E196" t="s">
        <v>506</v>
      </c>
      <c r="F196" t="s">
        <v>501</v>
      </c>
      <c r="G196" t="s">
        <v>626</v>
      </c>
      <c r="H196" s="15">
        <v>46045</v>
      </c>
      <c r="I196" t="s">
        <v>627</v>
      </c>
      <c r="J196" t="s">
        <v>16</v>
      </c>
      <c r="K196" t="s">
        <v>185</v>
      </c>
      <c r="N196">
        <v>0</v>
      </c>
      <c r="O196" t="s">
        <v>222</v>
      </c>
      <c r="P196">
        <v>0</v>
      </c>
      <c r="U196" s="15"/>
    </row>
    <row r="197" spans="1:21" x14ac:dyDescent="0.35">
      <c r="A197" t="s">
        <v>14</v>
      </c>
      <c r="B197" t="s">
        <v>497</v>
      </c>
      <c r="C197" t="s">
        <v>651</v>
      </c>
      <c r="D197" t="s">
        <v>652</v>
      </c>
      <c r="E197" t="s">
        <v>653</v>
      </c>
      <c r="F197" t="s">
        <v>644</v>
      </c>
      <c r="G197" t="s">
        <v>923</v>
      </c>
      <c r="H197" s="15">
        <v>46072</v>
      </c>
      <c r="I197" t="s">
        <v>924</v>
      </c>
      <c r="J197" t="s">
        <v>233</v>
      </c>
      <c r="K197" t="s">
        <v>185</v>
      </c>
      <c r="N197">
        <v>0</v>
      </c>
      <c r="O197" t="s">
        <v>222</v>
      </c>
      <c r="P197">
        <v>0</v>
      </c>
      <c r="U197" s="15"/>
    </row>
    <row r="198" spans="1:21" x14ac:dyDescent="0.35">
      <c r="A198" t="s">
        <v>14</v>
      </c>
      <c r="B198" t="s">
        <v>497</v>
      </c>
      <c r="C198" t="s">
        <v>641</v>
      </c>
      <c r="D198" t="s">
        <v>642</v>
      </c>
      <c r="E198" t="s">
        <v>643</v>
      </c>
      <c r="F198" t="s">
        <v>644</v>
      </c>
      <c r="G198" t="s">
        <v>925</v>
      </c>
      <c r="H198" s="15">
        <v>46073</v>
      </c>
      <c r="I198" t="s">
        <v>926</v>
      </c>
      <c r="J198" t="s">
        <v>16</v>
      </c>
      <c r="K198" t="s">
        <v>185</v>
      </c>
      <c r="N198">
        <v>0</v>
      </c>
      <c r="O198" t="s">
        <v>222</v>
      </c>
      <c r="P198">
        <v>0</v>
      </c>
      <c r="U198" s="15"/>
    </row>
    <row r="199" spans="1:21" x14ac:dyDescent="0.35">
      <c r="A199" t="s">
        <v>14</v>
      </c>
      <c r="B199" t="s">
        <v>497</v>
      </c>
      <c r="C199" t="s">
        <v>531</v>
      </c>
      <c r="D199" t="s">
        <v>532</v>
      </c>
      <c r="E199" t="s">
        <v>533</v>
      </c>
      <c r="F199" t="s">
        <v>501</v>
      </c>
      <c r="G199" t="s">
        <v>626</v>
      </c>
      <c r="H199" s="15">
        <v>46045</v>
      </c>
      <c r="I199" t="s">
        <v>628</v>
      </c>
      <c r="J199" t="s">
        <v>16</v>
      </c>
      <c r="K199" t="s">
        <v>185</v>
      </c>
      <c r="N199">
        <v>0</v>
      </c>
      <c r="O199" t="s">
        <v>222</v>
      </c>
      <c r="P199">
        <v>0</v>
      </c>
      <c r="U199" s="15"/>
    </row>
    <row r="200" spans="1:21" x14ac:dyDescent="0.35">
      <c r="A200" t="s">
        <v>14</v>
      </c>
      <c r="B200" t="s">
        <v>497</v>
      </c>
      <c r="C200" t="s">
        <v>531</v>
      </c>
      <c r="D200" t="s">
        <v>532</v>
      </c>
      <c r="E200" t="s">
        <v>533</v>
      </c>
      <c r="F200" t="s">
        <v>501</v>
      </c>
      <c r="G200" t="s">
        <v>626</v>
      </c>
      <c r="H200" s="15">
        <v>46045</v>
      </c>
      <c r="I200" t="s">
        <v>628</v>
      </c>
      <c r="J200" t="s">
        <v>16</v>
      </c>
      <c r="K200" t="s">
        <v>185</v>
      </c>
      <c r="N200">
        <v>0</v>
      </c>
      <c r="O200" t="s">
        <v>222</v>
      </c>
      <c r="P200">
        <v>0</v>
      </c>
      <c r="U200" s="15"/>
    </row>
    <row r="201" spans="1:21" x14ac:dyDescent="0.35">
      <c r="A201" t="s">
        <v>14</v>
      </c>
      <c r="B201" t="s">
        <v>497</v>
      </c>
      <c r="C201" t="s">
        <v>932</v>
      </c>
      <c r="D201" t="s">
        <v>933</v>
      </c>
      <c r="E201" t="s">
        <v>934</v>
      </c>
      <c r="F201" t="s">
        <v>644</v>
      </c>
      <c r="G201" t="s">
        <v>935</v>
      </c>
      <c r="H201" s="15">
        <v>46073</v>
      </c>
      <c r="I201" t="s">
        <v>936</v>
      </c>
      <c r="J201" t="s">
        <v>233</v>
      </c>
      <c r="K201" t="s">
        <v>185</v>
      </c>
      <c r="N201">
        <v>0</v>
      </c>
      <c r="O201" t="s">
        <v>222</v>
      </c>
      <c r="P201">
        <v>0</v>
      </c>
      <c r="U201" s="15"/>
    </row>
    <row r="202" spans="1:21" x14ac:dyDescent="0.35">
      <c r="A202" t="s">
        <v>14</v>
      </c>
      <c r="B202" t="s">
        <v>497</v>
      </c>
      <c r="C202" t="s">
        <v>765</v>
      </c>
      <c r="D202" t="s">
        <v>766</v>
      </c>
      <c r="E202" t="s">
        <v>767</v>
      </c>
      <c r="F202" t="s">
        <v>644</v>
      </c>
      <c r="G202" t="s">
        <v>935</v>
      </c>
      <c r="H202" s="15">
        <v>46073</v>
      </c>
      <c r="I202" t="s">
        <v>937</v>
      </c>
      <c r="J202" t="s">
        <v>233</v>
      </c>
      <c r="K202" t="s">
        <v>185</v>
      </c>
      <c r="N202">
        <v>0</v>
      </c>
      <c r="O202" t="s">
        <v>222</v>
      </c>
      <c r="P202">
        <v>0</v>
      </c>
      <c r="U202" s="15"/>
    </row>
    <row r="203" spans="1:21" x14ac:dyDescent="0.35">
      <c r="A203" t="s">
        <v>14</v>
      </c>
      <c r="B203" t="s">
        <v>497</v>
      </c>
      <c r="C203" t="s">
        <v>692</v>
      </c>
      <c r="D203" t="s">
        <v>693</v>
      </c>
      <c r="E203" t="s">
        <v>694</v>
      </c>
      <c r="F203" t="s">
        <v>644</v>
      </c>
      <c r="G203" t="s">
        <v>938</v>
      </c>
      <c r="H203" s="15">
        <v>46074</v>
      </c>
      <c r="I203" t="s">
        <v>939</v>
      </c>
      <c r="J203" t="s">
        <v>16</v>
      </c>
      <c r="K203" t="s">
        <v>185</v>
      </c>
      <c r="N203">
        <v>0</v>
      </c>
      <c r="O203" t="s">
        <v>222</v>
      </c>
      <c r="P203">
        <v>0</v>
      </c>
      <c r="U203" s="15"/>
    </row>
    <row r="204" spans="1:21" x14ac:dyDescent="0.35">
      <c r="A204" t="s">
        <v>14</v>
      </c>
      <c r="B204" t="s">
        <v>497</v>
      </c>
      <c r="C204" t="s">
        <v>531</v>
      </c>
      <c r="D204" t="s">
        <v>532</v>
      </c>
      <c r="E204" t="s">
        <v>533</v>
      </c>
      <c r="F204" t="s">
        <v>501</v>
      </c>
      <c r="G204" t="s">
        <v>629</v>
      </c>
      <c r="H204" s="15">
        <v>46046</v>
      </c>
      <c r="I204" t="s">
        <v>630</v>
      </c>
      <c r="J204" t="s">
        <v>233</v>
      </c>
      <c r="K204" t="s">
        <v>185</v>
      </c>
      <c r="N204">
        <v>0</v>
      </c>
      <c r="O204" t="s">
        <v>222</v>
      </c>
      <c r="P204">
        <v>0</v>
      </c>
      <c r="U204" s="15"/>
    </row>
    <row r="205" spans="1:21" x14ac:dyDescent="0.35">
      <c r="A205" t="s">
        <v>14</v>
      </c>
      <c r="B205" t="s">
        <v>497</v>
      </c>
      <c r="C205" t="s">
        <v>552</v>
      </c>
      <c r="D205" t="s">
        <v>553</v>
      </c>
      <c r="E205" t="s">
        <v>554</v>
      </c>
      <c r="F205" t="s">
        <v>501</v>
      </c>
      <c r="G205" t="s">
        <v>631</v>
      </c>
      <c r="H205" s="15">
        <v>46048</v>
      </c>
      <c r="I205" t="s">
        <v>632</v>
      </c>
      <c r="J205" t="s">
        <v>233</v>
      </c>
      <c r="K205" t="s">
        <v>185</v>
      </c>
      <c r="N205">
        <v>0</v>
      </c>
      <c r="O205" t="s">
        <v>222</v>
      </c>
      <c r="P205">
        <v>0</v>
      </c>
      <c r="U205" s="15"/>
    </row>
    <row r="206" spans="1:21" x14ac:dyDescent="0.35">
      <c r="A206" t="s">
        <v>14</v>
      </c>
      <c r="B206" t="s">
        <v>497</v>
      </c>
      <c r="C206" t="s">
        <v>515</v>
      </c>
      <c r="D206" t="s">
        <v>516</v>
      </c>
      <c r="E206" t="s">
        <v>517</v>
      </c>
      <c r="F206" t="s">
        <v>501</v>
      </c>
      <c r="G206" t="s">
        <v>633</v>
      </c>
      <c r="H206" s="15">
        <v>46049</v>
      </c>
      <c r="I206" t="s">
        <v>634</v>
      </c>
      <c r="J206" t="s">
        <v>16</v>
      </c>
      <c r="K206" t="s">
        <v>185</v>
      </c>
      <c r="N206">
        <v>0</v>
      </c>
      <c r="O206" t="s">
        <v>222</v>
      </c>
      <c r="P206">
        <v>0</v>
      </c>
      <c r="U206" s="15"/>
    </row>
    <row r="207" spans="1:21" x14ac:dyDescent="0.35">
      <c r="A207" t="s">
        <v>14</v>
      </c>
      <c r="B207" t="s">
        <v>497</v>
      </c>
      <c r="C207" t="s">
        <v>515</v>
      </c>
      <c r="D207" t="s">
        <v>516</v>
      </c>
      <c r="E207" t="s">
        <v>517</v>
      </c>
      <c r="F207" t="s">
        <v>501</v>
      </c>
      <c r="G207" t="s">
        <v>633</v>
      </c>
      <c r="H207" s="15">
        <v>46049</v>
      </c>
      <c r="I207" t="s">
        <v>634</v>
      </c>
      <c r="J207" t="s">
        <v>16</v>
      </c>
      <c r="K207" t="s">
        <v>185</v>
      </c>
      <c r="N207">
        <v>0</v>
      </c>
      <c r="O207" t="s">
        <v>222</v>
      </c>
      <c r="P207">
        <v>0</v>
      </c>
      <c r="U207" s="15"/>
    </row>
    <row r="208" spans="1:21" x14ac:dyDescent="0.35">
      <c r="A208" t="s">
        <v>14</v>
      </c>
      <c r="B208" t="s">
        <v>497</v>
      </c>
      <c r="C208" t="s">
        <v>641</v>
      </c>
      <c r="D208" t="s">
        <v>642</v>
      </c>
      <c r="E208" t="s">
        <v>643</v>
      </c>
      <c r="F208" t="s">
        <v>644</v>
      </c>
      <c r="G208" t="s">
        <v>947</v>
      </c>
      <c r="H208" s="15">
        <v>46076</v>
      </c>
      <c r="I208" t="s">
        <v>948</v>
      </c>
      <c r="J208" t="s">
        <v>16</v>
      </c>
      <c r="K208" t="s">
        <v>185</v>
      </c>
      <c r="N208">
        <v>0</v>
      </c>
      <c r="O208" t="s">
        <v>222</v>
      </c>
      <c r="P208">
        <v>0</v>
      </c>
      <c r="U208" s="15"/>
    </row>
    <row r="209" spans="1:21" x14ac:dyDescent="0.35">
      <c r="A209" t="s">
        <v>14</v>
      </c>
      <c r="B209" t="s">
        <v>497</v>
      </c>
      <c r="C209" t="s">
        <v>504</v>
      </c>
      <c r="D209" t="s">
        <v>505</v>
      </c>
      <c r="E209" t="s">
        <v>506</v>
      </c>
      <c r="F209" t="s">
        <v>501</v>
      </c>
      <c r="G209" t="s">
        <v>633</v>
      </c>
      <c r="H209" s="15">
        <v>46049</v>
      </c>
      <c r="I209" t="s">
        <v>635</v>
      </c>
      <c r="J209" t="s">
        <v>16</v>
      </c>
      <c r="K209" t="s">
        <v>185</v>
      </c>
      <c r="N209">
        <v>0</v>
      </c>
      <c r="O209" t="s">
        <v>222</v>
      </c>
      <c r="P209">
        <v>0</v>
      </c>
      <c r="U209" s="15"/>
    </row>
    <row r="210" spans="1:21" x14ac:dyDescent="0.35">
      <c r="A210" t="s">
        <v>14</v>
      </c>
      <c r="B210" t="s">
        <v>497</v>
      </c>
      <c r="C210" t="s">
        <v>615</v>
      </c>
      <c r="D210" t="s">
        <v>616</v>
      </c>
      <c r="E210" t="s">
        <v>617</v>
      </c>
      <c r="F210" t="s">
        <v>501</v>
      </c>
      <c r="G210" t="s">
        <v>636</v>
      </c>
      <c r="H210" s="15">
        <v>46049</v>
      </c>
      <c r="I210" t="s">
        <v>637</v>
      </c>
      <c r="J210" t="s">
        <v>233</v>
      </c>
      <c r="K210" t="s">
        <v>185</v>
      </c>
      <c r="N210">
        <v>0</v>
      </c>
      <c r="O210" t="s">
        <v>222</v>
      </c>
      <c r="P210">
        <v>0</v>
      </c>
      <c r="U210" s="15"/>
    </row>
    <row r="211" spans="1:21" x14ac:dyDescent="0.35">
      <c r="A211" t="s">
        <v>14</v>
      </c>
      <c r="B211" t="s">
        <v>497</v>
      </c>
      <c r="C211" t="s">
        <v>932</v>
      </c>
      <c r="D211" t="s">
        <v>933</v>
      </c>
      <c r="E211" t="s">
        <v>934</v>
      </c>
      <c r="F211" t="s">
        <v>644</v>
      </c>
      <c r="G211" t="s">
        <v>954</v>
      </c>
      <c r="H211" s="15">
        <v>46076</v>
      </c>
      <c r="I211" t="s">
        <v>955</v>
      </c>
      <c r="J211" t="s">
        <v>233</v>
      </c>
      <c r="K211" t="s">
        <v>185</v>
      </c>
      <c r="N211">
        <v>0</v>
      </c>
      <c r="O211" t="s">
        <v>222</v>
      </c>
      <c r="P211">
        <v>0</v>
      </c>
      <c r="U211" s="15"/>
    </row>
    <row r="212" spans="1:21" x14ac:dyDescent="0.35">
      <c r="A212" t="s">
        <v>14</v>
      </c>
      <c r="B212" t="s">
        <v>497</v>
      </c>
      <c r="C212" t="s">
        <v>750</v>
      </c>
      <c r="D212" t="s">
        <v>751</v>
      </c>
      <c r="E212" t="s">
        <v>752</v>
      </c>
      <c r="F212" t="s">
        <v>644</v>
      </c>
      <c r="G212" t="s">
        <v>954</v>
      </c>
      <c r="H212" s="15">
        <v>46076</v>
      </c>
      <c r="I212" t="s">
        <v>956</v>
      </c>
      <c r="J212" t="s">
        <v>233</v>
      </c>
      <c r="K212" t="s">
        <v>185</v>
      </c>
      <c r="N212">
        <v>0</v>
      </c>
      <c r="O212" t="s">
        <v>222</v>
      </c>
      <c r="P212">
        <v>0</v>
      </c>
      <c r="U212" s="15"/>
    </row>
    <row r="213" spans="1:21" x14ac:dyDescent="0.35">
      <c r="A213" t="s">
        <v>14</v>
      </c>
      <c r="B213" t="s">
        <v>497</v>
      </c>
      <c r="C213" t="s">
        <v>662</v>
      </c>
      <c r="D213" t="s">
        <v>663</v>
      </c>
      <c r="E213" t="s">
        <v>664</v>
      </c>
      <c r="F213" t="s">
        <v>644</v>
      </c>
      <c r="G213" t="s">
        <v>957</v>
      </c>
      <c r="H213" s="15">
        <v>46077</v>
      </c>
      <c r="I213" t="s">
        <v>958</v>
      </c>
      <c r="J213" t="s">
        <v>16</v>
      </c>
      <c r="K213" t="s">
        <v>185</v>
      </c>
      <c r="N213">
        <v>0</v>
      </c>
      <c r="O213" t="s">
        <v>222</v>
      </c>
      <c r="P213">
        <v>0</v>
      </c>
      <c r="U213" s="15"/>
    </row>
    <row r="214" spans="1:21" x14ac:dyDescent="0.35">
      <c r="A214" t="s">
        <v>14</v>
      </c>
      <c r="B214" t="s">
        <v>497</v>
      </c>
      <c r="C214" t="s">
        <v>531</v>
      </c>
      <c r="D214" t="s">
        <v>532</v>
      </c>
      <c r="E214" t="s">
        <v>533</v>
      </c>
      <c r="F214" t="s">
        <v>501</v>
      </c>
      <c r="G214" t="s">
        <v>638</v>
      </c>
      <c r="H214" s="15">
        <v>46050</v>
      </c>
      <c r="I214" t="s">
        <v>639</v>
      </c>
      <c r="J214" t="s">
        <v>16</v>
      </c>
      <c r="K214" t="s">
        <v>185</v>
      </c>
      <c r="N214">
        <v>0</v>
      </c>
      <c r="O214" t="s">
        <v>222</v>
      </c>
      <c r="P214">
        <v>0</v>
      </c>
      <c r="U214" s="15"/>
    </row>
    <row r="215" spans="1:21" x14ac:dyDescent="0.35">
      <c r="A215" t="s">
        <v>14</v>
      </c>
      <c r="B215" t="s">
        <v>497</v>
      </c>
      <c r="C215" t="s">
        <v>536</v>
      </c>
      <c r="D215" t="s">
        <v>537</v>
      </c>
      <c r="E215" t="s">
        <v>538</v>
      </c>
      <c r="F215" t="s">
        <v>501</v>
      </c>
      <c r="G215" t="s">
        <v>638</v>
      </c>
      <c r="H215" s="15">
        <v>46050</v>
      </c>
      <c r="I215" t="s">
        <v>640</v>
      </c>
      <c r="J215" t="s">
        <v>16</v>
      </c>
      <c r="K215" t="s">
        <v>185</v>
      </c>
      <c r="N215">
        <v>0</v>
      </c>
      <c r="O215" t="s">
        <v>222</v>
      </c>
      <c r="P215">
        <v>0</v>
      </c>
      <c r="U215" s="15"/>
    </row>
    <row r="216" spans="1:21" x14ac:dyDescent="0.35">
      <c r="A216" t="s">
        <v>14</v>
      </c>
      <c r="B216" t="s">
        <v>497</v>
      </c>
      <c r="C216" t="s">
        <v>866</v>
      </c>
      <c r="D216" t="s">
        <v>867</v>
      </c>
      <c r="E216" t="s">
        <v>868</v>
      </c>
      <c r="F216" t="s">
        <v>501</v>
      </c>
      <c r="G216" t="s">
        <v>869</v>
      </c>
      <c r="H216" s="15">
        <v>46050</v>
      </c>
      <c r="I216" t="s">
        <v>870</v>
      </c>
      <c r="J216" t="s">
        <v>233</v>
      </c>
      <c r="K216" t="s">
        <v>185</v>
      </c>
      <c r="N216">
        <v>0</v>
      </c>
      <c r="O216" t="s">
        <v>222</v>
      </c>
      <c r="P216">
        <v>0</v>
      </c>
      <c r="U216" s="15"/>
    </row>
    <row r="217" spans="1:21" x14ac:dyDescent="0.35">
      <c r="A217" t="s">
        <v>14</v>
      </c>
      <c r="B217" t="s">
        <v>497</v>
      </c>
      <c r="C217" t="s">
        <v>765</v>
      </c>
      <c r="D217" t="s">
        <v>766</v>
      </c>
      <c r="E217" t="s">
        <v>767</v>
      </c>
      <c r="F217" t="s">
        <v>644</v>
      </c>
      <c r="G217" t="s">
        <v>963</v>
      </c>
      <c r="H217" s="15">
        <v>46077</v>
      </c>
      <c r="I217" t="s">
        <v>964</v>
      </c>
      <c r="J217" t="s">
        <v>233</v>
      </c>
      <c r="K217" t="s">
        <v>185</v>
      </c>
      <c r="N217">
        <v>0</v>
      </c>
      <c r="O217" t="s">
        <v>222</v>
      </c>
      <c r="P217">
        <v>0</v>
      </c>
      <c r="U217" s="15"/>
    </row>
    <row r="218" spans="1:21" x14ac:dyDescent="0.35">
      <c r="A218" t="s">
        <v>14</v>
      </c>
      <c r="B218" t="s">
        <v>497</v>
      </c>
      <c r="C218" t="s">
        <v>821</v>
      </c>
      <c r="D218" t="s">
        <v>822</v>
      </c>
      <c r="E218" t="s">
        <v>823</v>
      </c>
      <c r="F218" t="s">
        <v>644</v>
      </c>
      <c r="G218" t="s">
        <v>963</v>
      </c>
      <c r="H218" s="15">
        <v>46077</v>
      </c>
      <c r="I218" t="s">
        <v>965</v>
      </c>
      <c r="J218" t="s">
        <v>233</v>
      </c>
      <c r="K218" t="s">
        <v>185</v>
      </c>
      <c r="N218">
        <v>0</v>
      </c>
      <c r="O218" t="s">
        <v>222</v>
      </c>
      <c r="P218">
        <v>0</v>
      </c>
      <c r="U218" s="15"/>
    </row>
    <row r="219" spans="1:21" x14ac:dyDescent="0.35">
      <c r="A219" t="s">
        <v>14</v>
      </c>
      <c r="B219" t="s">
        <v>497</v>
      </c>
      <c r="C219" t="s">
        <v>641</v>
      </c>
      <c r="D219" t="s">
        <v>642</v>
      </c>
      <c r="E219" t="s">
        <v>643</v>
      </c>
      <c r="F219" t="s">
        <v>644</v>
      </c>
      <c r="G219" t="s">
        <v>966</v>
      </c>
      <c r="H219" s="15">
        <v>46078</v>
      </c>
      <c r="I219" t="s">
        <v>967</v>
      </c>
      <c r="J219" t="s">
        <v>16</v>
      </c>
      <c r="K219" t="s">
        <v>185</v>
      </c>
      <c r="N219">
        <v>0</v>
      </c>
      <c r="O219" t="s">
        <v>222</v>
      </c>
      <c r="P219">
        <v>0</v>
      </c>
      <c r="U219" s="15"/>
    </row>
    <row r="220" spans="1:21" x14ac:dyDescent="0.35">
      <c r="A220" t="s">
        <v>14</v>
      </c>
      <c r="B220" t="s">
        <v>497</v>
      </c>
      <c r="C220" t="s">
        <v>515</v>
      </c>
      <c r="D220" t="s">
        <v>516</v>
      </c>
      <c r="E220" t="s">
        <v>517</v>
      </c>
      <c r="F220" t="s">
        <v>501</v>
      </c>
      <c r="G220" t="s">
        <v>871</v>
      </c>
      <c r="H220" s="15">
        <v>46051</v>
      </c>
      <c r="I220" t="s">
        <v>872</v>
      </c>
      <c r="J220" t="s">
        <v>16</v>
      </c>
      <c r="K220" t="s">
        <v>185</v>
      </c>
      <c r="N220">
        <v>0</v>
      </c>
      <c r="O220" t="s">
        <v>222</v>
      </c>
      <c r="P220">
        <v>0</v>
      </c>
      <c r="U220" s="15"/>
    </row>
    <row r="221" spans="1:21" x14ac:dyDescent="0.35">
      <c r="A221" t="s">
        <v>14</v>
      </c>
      <c r="B221" t="s">
        <v>497</v>
      </c>
      <c r="C221" t="s">
        <v>504</v>
      </c>
      <c r="D221" t="s">
        <v>505</v>
      </c>
      <c r="E221" t="s">
        <v>506</v>
      </c>
      <c r="F221" t="s">
        <v>501</v>
      </c>
      <c r="G221" t="s">
        <v>871</v>
      </c>
      <c r="H221" s="15">
        <v>46051</v>
      </c>
      <c r="I221" t="s">
        <v>873</v>
      </c>
      <c r="J221" t="s">
        <v>16</v>
      </c>
      <c r="K221" t="s">
        <v>185</v>
      </c>
      <c r="N221">
        <v>0</v>
      </c>
      <c r="O221" t="s">
        <v>222</v>
      </c>
      <c r="P221">
        <v>0</v>
      </c>
      <c r="U221" s="15"/>
    </row>
    <row r="222" spans="1:21" x14ac:dyDescent="0.35">
      <c r="A222" t="s">
        <v>14</v>
      </c>
      <c r="B222" t="s">
        <v>497</v>
      </c>
      <c r="C222" t="s">
        <v>667</v>
      </c>
      <c r="D222" t="s">
        <v>668</v>
      </c>
      <c r="E222" t="s">
        <v>669</v>
      </c>
      <c r="F222" t="s">
        <v>644</v>
      </c>
      <c r="G222" t="s">
        <v>966</v>
      </c>
      <c r="H222" s="15">
        <v>46078</v>
      </c>
      <c r="I222" t="s">
        <v>971</v>
      </c>
      <c r="J222" t="s">
        <v>16</v>
      </c>
      <c r="K222" t="s">
        <v>185</v>
      </c>
      <c r="N222">
        <v>0</v>
      </c>
      <c r="O222" t="s">
        <v>222</v>
      </c>
      <c r="P222">
        <v>0</v>
      </c>
      <c r="U222" s="15"/>
    </row>
    <row r="223" spans="1:21" x14ac:dyDescent="0.35">
      <c r="A223" t="s">
        <v>14</v>
      </c>
      <c r="B223" t="s">
        <v>497</v>
      </c>
      <c r="C223" t="s">
        <v>651</v>
      </c>
      <c r="D223" t="s">
        <v>652</v>
      </c>
      <c r="E223" t="s">
        <v>653</v>
      </c>
      <c r="F223" t="s">
        <v>644</v>
      </c>
      <c r="G223" t="s">
        <v>972</v>
      </c>
      <c r="H223" s="15">
        <v>46078</v>
      </c>
      <c r="I223" t="s">
        <v>973</v>
      </c>
      <c r="J223" t="s">
        <v>233</v>
      </c>
      <c r="K223" t="s">
        <v>185</v>
      </c>
      <c r="N223">
        <v>0</v>
      </c>
      <c r="O223" t="s">
        <v>222</v>
      </c>
      <c r="P223">
        <v>0</v>
      </c>
      <c r="U223" s="15"/>
    </row>
    <row r="224" spans="1:21" x14ac:dyDescent="0.35">
      <c r="A224" t="s">
        <v>14</v>
      </c>
      <c r="B224" t="s">
        <v>497</v>
      </c>
      <c r="C224" t="s">
        <v>662</v>
      </c>
      <c r="D224" t="s">
        <v>663</v>
      </c>
      <c r="E224" t="s">
        <v>664</v>
      </c>
      <c r="F224" t="s">
        <v>644</v>
      </c>
      <c r="G224" t="s">
        <v>974</v>
      </c>
      <c r="H224" s="15">
        <v>46079</v>
      </c>
      <c r="I224" t="s">
        <v>975</v>
      </c>
      <c r="J224" t="s">
        <v>16</v>
      </c>
      <c r="K224" t="s">
        <v>185</v>
      </c>
      <c r="N224">
        <v>0</v>
      </c>
      <c r="O224" t="s">
        <v>222</v>
      </c>
      <c r="P224">
        <v>0</v>
      </c>
      <c r="U224" s="15"/>
    </row>
    <row r="225" spans="1:21" x14ac:dyDescent="0.35">
      <c r="A225" t="s">
        <v>14</v>
      </c>
      <c r="B225" t="s">
        <v>497</v>
      </c>
      <c r="C225" t="s">
        <v>667</v>
      </c>
      <c r="D225" t="s">
        <v>668</v>
      </c>
      <c r="E225" t="s">
        <v>669</v>
      </c>
      <c r="F225" t="s">
        <v>644</v>
      </c>
      <c r="G225" t="s">
        <v>985</v>
      </c>
      <c r="H225" s="15">
        <v>46079</v>
      </c>
      <c r="I225" t="s">
        <v>986</v>
      </c>
      <c r="J225" t="s">
        <v>233</v>
      </c>
      <c r="K225" t="s">
        <v>185</v>
      </c>
      <c r="N225">
        <v>0</v>
      </c>
      <c r="O225" t="s">
        <v>222</v>
      </c>
      <c r="P225">
        <v>0</v>
      </c>
      <c r="U225" s="15"/>
    </row>
    <row r="226" spans="1:21" x14ac:dyDescent="0.35">
      <c r="A226" t="s">
        <v>14</v>
      </c>
      <c r="B226" t="s">
        <v>497</v>
      </c>
      <c r="C226" t="s">
        <v>692</v>
      </c>
      <c r="D226" t="s">
        <v>693</v>
      </c>
      <c r="E226" t="s">
        <v>694</v>
      </c>
      <c r="F226" t="s">
        <v>644</v>
      </c>
      <c r="G226" t="s">
        <v>987</v>
      </c>
      <c r="H226" s="15">
        <v>46080</v>
      </c>
      <c r="I226" t="s">
        <v>988</v>
      </c>
      <c r="J226" t="s">
        <v>16</v>
      </c>
      <c r="K226" t="s">
        <v>185</v>
      </c>
      <c r="N226">
        <v>0</v>
      </c>
      <c r="O226" t="s">
        <v>222</v>
      </c>
      <c r="P226">
        <v>0</v>
      </c>
      <c r="U226" s="15"/>
    </row>
    <row r="227" spans="1:21" x14ac:dyDescent="0.35">
      <c r="A227" t="s">
        <v>14</v>
      </c>
      <c r="B227" t="s">
        <v>497</v>
      </c>
      <c r="C227" t="s">
        <v>542</v>
      </c>
      <c r="D227" t="s">
        <v>543</v>
      </c>
      <c r="E227" t="s">
        <v>544</v>
      </c>
      <c r="F227" t="s">
        <v>501</v>
      </c>
      <c r="G227" t="s">
        <v>874</v>
      </c>
      <c r="H227" s="15">
        <v>46051</v>
      </c>
      <c r="I227" t="s">
        <v>875</v>
      </c>
      <c r="J227" t="s">
        <v>233</v>
      </c>
      <c r="K227" t="s">
        <v>185</v>
      </c>
      <c r="N227">
        <v>0</v>
      </c>
      <c r="O227" t="s">
        <v>222</v>
      </c>
      <c r="P227">
        <v>0</v>
      </c>
      <c r="U227" s="15"/>
    </row>
    <row r="228" spans="1:21" x14ac:dyDescent="0.35">
      <c r="A228" t="s">
        <v>14</v>
      </c>
      <c r="B228" t="s">
        <v>497</v>
      </c>
      <c r="C228" t="s">
        <v>498</v>
      </c>
      <c r="D228" t="s">
        <v>499</v>
      </c>
      <c r="E228" t="s">
        <v>500</v>
      </c>
      <c r="F228" t="s">
        <v>501</v>
      </c>
      <c r="G228" t="s">
        <v>874</v>
      </c>
      <c r="H228" s="15">
        <v>46051</v>
      </c>
      <c r="I228" t="s">
        <v>876</v>
      </c>
      <c r="J228" t="s">
        <v>233</v>
      </c>
      <c r="K228" t="s">
        <v>185</v>
      </c>
      <c r="N228">
        <v>0</v>
      </c>
      <c r="O228" t="s">
        <v>222</v>
      </c>
      <c r="P228">
        <v>0</v>
      </c>
      <c r="U228" s="15"/>
    </row>
    <row r="229" spans="1:21" x14ac:dyDescent="0.35">
      <c r="A229" t="s">
        <v>14</v>
      </c>
      <c r="B229" t="s">
        <v>497</v>
      </c>
      <c r="C229" t="s">
        <v>504</v>
      </c>
      <c r="D229" t="s">
        <v>505</v>
      </c>
      <c r="E229" t="s">
        <v>506</v>
      </c>
      <c r="F229" t="s">
        <v>501</v>
      </c>
      <c r="G229" t="s">
        <v>877</v>
      </c>
      <c r="H229" s="15">
        <v>46052</v>
      </c>
      <c r="I229" t="s">
        <v>878</v>
      </c>
      <c r="J229" t="s">
        <v>233</v>
      </c>
      <c r="K229" t="s">
        <v>185</v>
      </c>
      <c r="N229">
        <v>0</v>
      </c>
      <c r="O229" t="s">
        <v>222</v>
      </c>
      <c r="P229">
        <v>0</v>
      </c>
      <c r="U229" s="15"/>
    </row>
    <row r="230" spans="1:21" x14ac:dyDescent="0.35">
      <c r="A230" t="s">
        <v>14</v>
      </c>
      <c r="B230" t="s">
        <v>497</v>
      </c>
      <c r="C230" t="s">
        <v>498</v>
      </c>
      <c r="D230" t="s">
        <v>499</v>
      </c>
      <c r="E230" t="s">
        <v>500</v>
      </c>
      <c r="F230" t="s">
        <v>501</v>
      </c>
      <c r="G230" t="s">
        <v>877</v>
      </c>
      <c r="H230" s="15">
        <v>46052</v>
      </c>
      <c r="I230" t="s">
        <v>879</v>
      </c>
      <c r="J230" t="s">
        <v>233</v>
      </c>
      <c r="K230" t="s">
        <v>185</v>
      </c>
      <c r="N230">
        <v>0</v>
      </c>
      <c r="O230" t="s">
        <v>222</v>
      </c>
      <c r="P230">
        <v>0</v>
      </c>
      <c r="U230" s="15"/>
    </row>
    <row r="231" spans="1:21" x14ac:dyDescent="0.35">
      <c r="A231" t="s">
        <v>14</v>
      </c>
      <c r="B231" t="s">
        <v>497</v>
      </c>
      <c r="C231" t="s">
        <v>667</v>
      </c>
      <c r="D231" t="s">
        <v>668</v>
      </c>
      <c r="E231" t="s">
        <v>669</v>
      </c>
      <c r="F231" t="s">
        <v>644</v>
      </c>
      <c r="G231" t="s">
        <v>987</v>
      </c>
      <c r="H231" s="15">
        <v>46080</v>
      </c>
      <c r="I231" t="s">
        <v>989</v>
      </c>
      <c r="J231" t="s">
        <v>16</v>
      </c>
      <c r="K231" t="s">
        <v>185</v>
      </c>
      <c r="N231">
        <v>0</v>
      </c>
      <c r="O231" t="s">
        <v>222</v>
      </c>
      <c r="P231">
        <v>0</v>
      </c>
      <c r="U231" s="15"/>
    </row>
    <row r="232" spans="1:21" x14ac:dyDescent="0.35">
      <c r="A232" t="s">
        <v>14</v>
      </c>
      <c r="B232" t="s">
        <v>497</v>
      </c>
      <c r="C232" t="s">
        <v>651</v>
      </c>
      <c r="D232" t="s">
        <v>652</v>
      </c>
      <c r="E232" t="s">
        <v>653</v>
      </c>
      <c r="F232" t="s">
        <v>644</v>
      </c>
      <c r="G232" t="s">
        <v>996</v>
      </c>
      <c r="H232" s="15">
        <v>46080</v>
      </c>
      <c r="I232" t="s">
        <v>997</v>
      </c>
      <c r="J232" t="s">
        <v>233</v>
      </c>
      <c r="K232" t="s">
        <v>185</v>
      </c>
      <c r="N232">
        <v>0</v>
      </c>
      <c r="O232" t="s">
        <v>222</v>
      </c>
      <c r="P232">
        <v>0</v>
      </c>
      <c r="U232" s="15"/>
    </row>
    <row r="233" spans="1:21" x14ac:dyDescent="0.35">
      <c r="A233" t="s">
        <v>14</v>
      </c>
      <c r="B233" t="s">
        <v>497</v>
      </c>
      <c r="C233" t="s">
        <v>641</v>
      </c>
      <c r="D233" t="s">
        <v>642</v>
      </c>
      <c r="E233" t="s">
        <v>643</v>
      </c>
      <c r="F233" t="s">
        <v>644</v>
      </c>
      <c r="G233" t="s">
        <v>998</v>
      </c>
      <c r="H233" s="15">
        <v>46081</v>
      </c>
      <c r="I233" t="s">
        <v>999</v>
      </c>
      <c r="J233" t="s">
        <v>16</v>
      </c>
      <c r="K233" t="s">
        <v>185</v>
      </c>
      <c r="N233">
        <v>0</v>
      </c>
      <c r="O233" t="s">
        <v>222</v>
      </c>
      <c r="P233">
        <v>0</v>
      </c>
      <c r="U233" s="15"/>
    </row>
    <row r="234" spans="1:21" x14ac:dyDescent="0.35">
      <c r="A234" t="s">
        <v>14</v>
      </c>
      <c r="B234" t="s">
        <v>497</v>
      </c>
      <c r="C234" t="s">
        <v>880</v>
      </c>
      <c r="D234" t="s">
        <v>881</v>
      </c>
      <c r="E234" t="s">
        <v>882</v>
      </c>
      <c r="F234" t="s">
        <v>501</v>
      </c>
      <c r="G234" t="s">
        <v>883</v>
      </c>
      <c r="H234" s="15">
        <v>46052</v>
      </c>
      <c r="I234" t="s">
        <v>884</v>
      </c>
      <c r="J234" t="s">
        <v>16</v>
      </c>
      <c r="K234" t="s">
        <v>185</v>
      </c>
      <c r="N234">
        <v>0</v>
      </c>
      <c r="O234" t="s">
        <v>222</v>
      </c>
      <c r="P234">
        <v>0</v>
      </c>
      <c r="U234" s="15"/>
    </row>
    <row r="235" spans="1:21" x14ac:dyDescent="0.35">
      <c r="A235" t="s">
        <v>14</v>
      </c>
      <c r="B235" t="s">
        <v>497</v>
      </c>
      <c r="C235" t="s">
        <v>498</v>
      </c>
      <c r="D235" t="s">
        <v>499</v>
      </c>
      <c r="E235" t="s">
        <v>500</v>
      </c>
      <c r="F235" t="s">
        <v>501</v>
      </c>
      <c r="G235" t="s">
        <v>883</v>
      </c>
      <c r="H235" s="15">
        <v>46052</v>
      </c>
      <c r="I235" t="s">
        <v>885</v>
      </c>
      <c r="J235" t="s">
        <v>16</v>
      </c>
      <c r="K235" t="s">
        <v>185</v>
      </c>
      <c r="N235">
        <v>0</v>
      </c>
      <c r="O235" t="s">
        <v>222</v>
      </c>
      <c r="P235">
        <v>0</v>
      </c>
      <c r="U235" s="15"/>
    </row>
    <row r="236" spans="1:21" x14ac:dyDescent="0.35">
      <c r="A236" t="s">
        <v>14</v>
      </c>
      <c r="B236" t="s">
        <v>497</v>
      </c>
      <c r="C236" t="s">
        <v>757</v>
      </c>
      <c r="D236" t="s">
        <v>758</v>
      </c>
      <c r="E236" t="s">
        <v>759</v>
      </c>
      <c r="F236" t="s">
        <v>644</v>
      </c>
      <c r="G236" t="s">
        <v>1010</v>
      </c>
      <c r="H236" s="15">
        <v>46081</v>
      </c>
      <c r="I236" t="s">
        <v>1011</v>
      </c>
      <c r="J236" t="s">
        <v>233</v>
      </c>
      <c r="K236" t="s">
        <v>185</v>
      </c>
      <c r="N236">
        <v>0</v>
      </c>
      <c r="O236" t="s">
        <v>222</v>
      </c>
      <c r="P236">
        <v>0</v>
      </c>
      <c r="U236" s="15"/>
    </row>
    <row r="237" spans="1:21" x14ac:dyDescent="0.35">
      <c r="A237" t="s">
        <v>14</v>
      </c>
      <c r="B237" t="s">
        <v>497</v>
      </c>
      <c r="C237" t="s">
        <v>667</v>
      </c>
      <c r="D237" t="s">
        <v>668</v>
      </c>
      <c r="E237" t="s">
        <v>669</v>
      </c>
      <c r="F237" t="s">
        <v>644</v>
      </c>
      <c r="G237" t="s">
        <v>1010</v>
      </c>
      <c r="H237" s="15">
        <v>46081</v>
      </c>
      <c r="I237" t="s">
        <v>1012</v>
      </c>
      <c r="J237" t="s">
        <v>233</v>
      </c>
      <c r="K237" t="s">
        <v>185</v>
      </c>
      <c r="N237">
        <v>0</v>
      </c>
      <c r="O237" t="s">
        <v>222</v>
      </c>
      <c r="P237">
        <v>0</v>
      </c>
      <c r="U237" s="15"/>
    </row>
    <row r="238" spans="1:21" x14ac:dyDescent="0.35">
      <c r="A238" t="s">
        <v>14</v>
      </c>
      <c r="B238" t="s">
        <v>497</v>
      </c>
      <c r="C238" t="s">
        <v>504</v>
      </c>
      <c r="D238" t="s">
        <v>505</v>
      </c>
      <c r="E238" t="s">
        <v>506</v>
      </c>
      <c r="F238" t="s">
        <v>501</v>
      </c>
      <c r="G238" t="s">
        <v>890</v>
      </c>
      <c r="H238" s="15">
        <v>46053</v>
      </c>
      <c r="I238" t="s">
        <v>891</v>
      </c>
      <c r="J238" t="s">
        <v>16</v>
      </c>
      <c r="K238" t="s">
        <v>185</v>
      </c>
      <c r="N238">
        <v>0</v>
      </c>
      <c r="O238" t="s">
        <v>222</v>
      </c>
      <c r="P238">
        <v>0</v>
      </c>
      <c r="U238" s="15"/>
    </row>
    <row r="239" spans="1:21" x14ac:dyDescent="0.35">
      <c r="A239" t="s">
        <v>14</v>
      </c>
      <c r="B239" t="s">
        <v>497</v>
      </c>
      <c r="C239" t="s">
        <v>662</v>
      </c>
      <c r="D239" t="s">
        <v>663</v>
      </c>
      <c r="E239" t="s">
        <v>664</v>
      </c>
      <c r="F239" t="s">
        <v>644</v>
      </c>
      <c r="G239" t="s">
        <v>1013</v>
      </c>
      <c r="H239" s="15">
        <v>46083</v>
      </c>
      <c r="I239" t="s">
        <v>1014</v>
      </c>
      <c r="J239" t="s">
        <v>233</v>
      </c>
      <c r="K239" t="s">
        <v>185</v>
      </c>
      <c r="N239">
        <v>0</v>
      </c>
      <c r="O239" t="s">
        <v>222</v>
      </c>
      <c r="P239">
        <v>0</v>
      </c>
      <c r="U239" s="15"/>
    </row>
    <row r="240" spans="1:21" x14ac:dyDescent="0.35">
      <c r="A240" t="s">
        <v>14</v>
      </c>
      <c r="B240" t="s">
        <v>497</v>
      </c>
      <c r="C240" t="s">
        <v>821</v>
      </c>
      <c r="D240" t="s">
        <v>822</v>
      </c>
      <c r="E240" t="s">
        <v>823</v>
      </c>
      <c r="F240" t="s">
        <v>644</v>
      </c>
      <c r="G240" t="s">
        <v>1013</v>
      </c>
      <c r="H240" s="15">
        <v>46083</v>
      </c>
      <c r="I240" t="s">
        <v>1016</v>
      </c>
      <c r="J240" t="s">
        <v>233</v>
      </c>
      <c r="K240" t="s">
        <v>185</v>
      </c>
      <c r="N240">
        <v>0</v>
      </c>
      <c r="O240" t="s">
        <v>222</v>
      </c>
      <c r="P240">
        <v>0</v>
      </c>
      <c r="U240" s="15"/>
    </row>
    <row r="241" spans="1:21" x14ac:dyDescent="0.35">
      <c r="A241" t="s">
        <v>14</v>
      </c>
      <c r="B241" t="s">
        <v>497</v>
      </c>
      <c r="C241" t="s">
        <v>641</v>
      </c>
      <c r="D241" t="s">
        <v>642</v>
      </c>
      <c r="E241" t="s">
        <v>643</v>
      </c>
      <c r="F241" t="s">
        <v>644</v>
      </c>
      <c r="G241" t="s">
        <v>1017</v>
      </c>
      <c r="H241" s="15">
        <v>46084</v>
      </c>
      <c r="I241" t="s">
        <v>1018</v>
      </c>
      <c r="J241" t="s">
        <v>16</v>
      </c>
      <c r="K241" t="s">
        <v>185</v>
      </c>
      <c r="N241">
        <v>0</v>
      </c>
      <c r="O241" t="s">
        <v>222</v>
      </c>
      <c r="P241">
        <v>0</v>
      </c>
      <c r="U241" s="15"/>
    </row>
    <row r="242" spans="1:21" x14ac:dyDescent="0.35">
      <c r="A242" t="s">
        <v>14</v>
      </c>
      <c r="B242" t="s">
        <v>497</v>
      </c>
      <c r="C242" t="s">
        <v>498</v>
      </c>
      <c r="D242" t="s">
        <v>499</v>
      </c>
      <c r="E242" t="s">
        <v>500</v>
      </c>
      <c r="F242" t="s">
        <v>501</v>
      </c>
      <c r="G242" t="s">
        <v>895</v>
      </c>
      <c r="H242" s="15">
        <v>46053</v>
      </c>
      <c r="I242" t="s">
        <v>896</v>
      </c>
      <c r="J242" t="s">
        <v>233</v>
      </c>
      <c r="K242" t="s">
        <v>185</v>
      </c>
      <c r="N242">
        <v>0</v>
      </c>
      <c r="O242" t="s">
        <v>222</v>
      </c>
      <c r="P242">
        <v>0</v>
      </c>
      <c r="U242" s="15"/>
    </row>
    <row r="243" spans="1:21" x14ac:dyDescent="0.35">
      <c r="A243" t="s">
        <v>14</v>
      </c>
      <c r="B243" t="s">
        <v>497</v>
      </c>
      <c r="C243" t="s">
        <v>615</v>
      </c>
      <c r="D243" t="s">
        <v>616</v>
      </c>
      <c r="E243" t="s">
        <v>617</v>
      </c>
      <c r="F243" t="s">
        <v>501</v>
      </c>
      <c r="G243" t="s">
        <v>897</v>
      </c>
      <c r="H243" s="15">
        <v>46055</v>
      </c>
      <c r="I243" t="s">
        <v>898</v>
      </c>
      <c r="J243" t="s">
        <v>16</v>
      </c>
      <c r="K243" t="s">
        <v>185</v>
      </c>
      <c r="N243">
        <v>0</v>
      </c>
      <c r="O243" t="s">
        <v>222</v>
      </c>
      <c r="P243">
        <v>0</v>
      </c>
      <c r="U243" s="15"/>
    </row>
    <row r="244" spans="1:21" x14ac:dyDescent="0.35">
      <c r="A244" t="s">
        <v>14</v>
      </c>
      <c r="B244" t="s">
        <v>497</v>
      </c>
      <c r="C244" t="s">
        <v>899</v>
      </c>
      <c r="D244" t="s">
        <v>900</v>
      </c>
      <c r="E244" t="s">
        <v>901</v>
      </c>
      <c r="F244" t="s">
        <v>501</v>
      </c>
      <c r="G244" t="s">
        <v>897</v>
      </c>
      <c r="H244" s="15">
        <v>46055</v>
      </c>
      <c r="I244" t="s">
        <v>902</v>
      </c>
      <c r="J244" t="s">
        <v>16</v>
      </c>
      <c r="K244" t="s">
        <v>185</v>
      </c>
      <c r="N244">
        <v>0</v>
      </c>
      <c r="O244" t="s">
        <v>222</v>
      </c>
      <c r="P244">
        <v>0</v>
      </c>
      <c r="U244" s="15"/>
    </row>
    <row r="245" spans="1:21" x14ac:dyDescent="0.35">
      <c r="A245" t="s">
        <v>14</v>
      </c>
      <c r="B245" t="s">
        <v>497</v>
      </c>
      <c r="C245" t="s">
        <v>515</v>
      </c>
      <c r="D245" t="s">
        <v>516</v>
      </c>
      <c r="E245" t="s">
        <v>517</v>
      </c>
      <c r="F245" t="s">
        <v>501</v>
      </c>
      <c r="G245" t="s">
        <v>906</v>
      </c>
      <c r="H245" s="15">
        <v>46055</v>
      </c>
      <c r="I245" t="s">
        <v>907</v>
      </c>
      <c r="J245" t="s">
        <v>233</v>
      </c>
      <c r="K245" t="s">
        <v>185</v>
      </c>
      <c r="N245">
        <v>0</v>
      </c>
      <c r="O245" t="s">
        <v>222</v>
      </c>
      <c r="P245">
        <v>0</v>
      </c>
      <c r="U245" s="15"/>
    </row>
    <row r="246" spans="1:21" x14ac:dyDescent="0.35">
      <c r="A246" t="s">
        <v>14</v>
      </c>
      <c r="B246" t="s">
        <v>497</v>
      </c>
      <c r="C246" t="s">
        <v>678</v>
      </c>
      <c r="D246" t="s">
        <v>679</v>
      </c>
      <c r="E246" t="s">
        <v>679</v>
      </c>
      <c r="F246" t="s">
        <v>644</v>
      </c>
      <c r="G246" t="s">
        <v>1026</v>
      </c>
      <c r="H246" s="15">
        <v>46084</v>
      </c>
      <c r="I246" t="s">
        <v>1027</v>
      </c>
      <c r="J246" t="s">
        <v>233</v>
      </c>
      <c r="K246" t="s">
        <v>185</v>
      </c>
      <c r="N246">
        <v>0</v>
      </c>
      <c r="O246" t="s">
        <v>222</v>
      </c>
      <c r="P246">
        <v>0</v>
      </c>
      <c r="U246" s="15"/>
    </row>
    <row r="247" spans="1:21" x14ac:dyDescent="0.35">
      <c r="A247" t="s">
        <v>14</v>
      </c>
      <c r="B247" t="s">
        <v>497</v>
      </c>
      <c r="C247" t="s">
        <v>737</v>
      </c>
      <c r="D247" t="s">
        <v>738</v>
      </c>
      <c r="E247" t="s">
        <v>739</v>
      </c>
      <c r="F247" t="s">
        <v>644</v>
      </c>
      <c r="G247" t="s">
        <v>1026</v>
      </c>
      <c r="H247" s="15">
        <v>46084</v>
      </c>
      <c r="I247" t="s">
        <v>1028</v>
      </c>
      <c r="J247" t="s">
        <v>233</v>
      </c>
      <c r="K247" t="s">
        <v>185</v>
      </c>
      <c r="N247">
        <v>0</v>
      </c>
      <c r="O247" t="s">
        <v>222</v>
      </c>
      <c r="P247">
        <v>0</v>
      </c>
      <c r="U247" s="15"/>
    </row>
    <row r="248" spans="1:21" x14ac:dyDescent="0.35">
      <c r="A248" t="s">
        <v>14</v>
      </c>
      <c r="B248" t="s">
        <v>497</v>
      </c>
      <c r="C248" t="s">
        <v>662</v>
      </c>
      <c r="D248" t="s">
        <v>663</v>
      </c>
      <c r="E248" t="s">
        <v>664</v>
      </c>
      <c r="F248" t="s">
        <v>644</v>
      </c>
      <c r="G248" t="s">
        <v>1029</v>
      </c>
      <c r="H248" s="15">
        <v>46085</v>
      </c>
      <c r="I248" t="s">
        <v>1030</v>
      </c>
      <c r="J248" t="s">
        <v>16</v>
      </c>
      <c r="K248" t="s">
        <v>185</v>
      </c>
      <c r="N248">
        <v>0</v>
      </c>
      <c r="O248" t="s">
        <v>222</v>
      </c>
      <c r="P248">
        <v>0</v>
      </c>
      <c r="U248" s="15"/>
    </row>
    <row r="249" spans="1:21" x14ac:dyDescent="0.35">
      <c r="A249" t="s">
        <v>14</v>
      </c>
      <c r="B249" t="s">
        <v>497</v>
      </c>
      <c r="C249" t="s">
        <v>504</v>
      </c>
      <c r="D249" t="s">
        <v>505</v>
      </c>
      <c r="E249" t="s">
        <v>506</v>
      </c>
      <c r="F249" t="s">
        <v>501</v>
      </c>
      <c r="G249" t="s">
        <v>908</v>
      </c>
      <c r="H249" s="15">
        <v>46056</v>
      </c>
      <c r="I249" t="s">
        <v>909</v>
      </c>
      <c r="J249" t="s">
        <v>16</v>
      </c>
      <c r="K249" t="s">
        <v>185</v>
      </c>
      <c r="N249">
        <v>0</v>
      </c>
      <c r="O249" t="s">
        <v>222</v>
      </c>
      <c r="P249">
        <v>0</v>
      </c>
      <c r="U249" s="15"/>
    </row>
    <row r="250" spans="1:21" x14ac:dyDescent="0.35">
      <c r="A250" t="s">
        <v>14</v>
      </c>
      <c r="B250" t="s">
        <v>497</v>
      </c>
      <c r="C250" t="s">
        <v>1032</v>
      </c>
      <c r="D250" t="s">
        <v>1033</v>
      </c>
      <c r="E250" t="s">
        <v>1034</v>
      </c>
      <c r="F250" t="s">
        <v>644</v>
      </c>
      <c r="G250" t="s">
        <v>1029</v>
      </c>
      <c r="H250" s="15">
        <v>46085</v>
      </c>
      <c r="I250" t="s">
        <v>1035</v>
      </c>
      <c r="J250" t="s">
        <v>16</v>
      </c>
      <c r="K250" t="s">
        <v>185</v>
      </c>
      <c r="N250">
        <v>0</v>
      </c>
      <c r="O250" t="s">
        <v>222</v>
      </c>
      <c r="P250">
        <v>0</v>
      </c>
      <c r="U250" s="15"/>
    </row>
    <row r="251" spans="1:21" x14ac:dyDescent="0.35">
      <c r="A251" t="s">
        <v>14</v>
      </c>
      <c r="B251" t="s">
        <v>497</v>
      </c>
      <c r="C251" t="s">
        <v>1036</v>
      </c>
      <c r="D251" t="s">
        <v>1037</v>
      </c>
      <c r="E251" t="s">
        <v>1038</v>
      </c>
      <c r="F251" t="s">
        <v>644</v>
      </c>
      <c r="G251" t="s">
        <v>1029</v>
      </c>
      <c r="H251" s="15">
        <v>46085</v>
      </c>
      <c r="I251" t="s">
        <v>1039</v>
      </c>
      <c r="J251" t="s">
        <v>16</v>
      </c>
      <c r="K251" t="s">
        <v>185</v>
      </c>
      <c r="N251">
        <v>0</v>
      </c>
      <c r="O251" t="s">
        <v>222</v>
      </c>
      <c r="P251">
        <v>0</v>
      </c>
      <c r="U251" s="15"/>
    </row>
    <row r="252" spans="1:21" x14ac:dyDescent="0.35">
      <c r="A252" t="s">
        <v>14</v>
      </c>
      <c r="B252" t="s">
        <v>497</v>
      </c>
      <c r="C252" t="s">
        <v>816</v>
      </c>
      <c r="D252" t="s">
        <v>817</v>
      </c>
      <c r="E252" t="s">
        <v>818</v>
      </c>
      <c r="F252" t="s">
        <v>644</v>
      </c>
      <c r="G252" t="s">
        <v>1040</v>
      </c>
      <c r="H252" s="15">
        <v>46085</v>
      </c>
      <c r="I252" t="s">
        <v>1041</v>
      </c>
      <c r="J252" t="s">
        <v>233</v>
      </c>
      <c r="K252" t="s">
        <v>185</v>
      </c>
      <c r="N252">
        <v>0</v>
      </c>
      <c r="O252" t="s">
        <v>222</v>
      </c>
      <c r="P252">
        <v>0</v>
      </c>
      <c r="U252" s="15"/>
    </row>
    <row r="253" spans="1:21" x14ac:dyDescent="0.35">
      <c r="A253" t="s">
        <v>14</v>
      </c>
      <c r="B253" t="s">
        <v>497</v>
      </c>
      <c r="C253" t="s">
        <v>498</v>
      </c>
      <c r="D253" t="s">
        <v>499</v>
      </c>
      <c r="E253" t="s">
        <v>500</v>
      </c>
      <c r="F253" t="s">
        <v>501</v>
      </c>
      <c r="G253" t="s">
        <v>913</v>
      </c>
      <c r="H253" s="15">
        <v>46056</v>
      </c>
      <c r="I253" t="s">
        <v>914</v>
      </c>
      <c r="J253" t="s">
        <v>233</v>
      </c>
      <c r="K253" t="s">
        <v>185</v>
      </c>
      <c r="N253">
        <v>0</v>
      </c>
      <c r="O253" t="s">
        <v>222</v>
      </c>
      <c r="P253">
        <v>0</v>
      </c>
      <c r="U253" s="15"/>
    </row>
    <row r="254" spans="1:21" x14ac:dyDescent="0.35">
      <c r="A254" t="s">
        <v>14</v>
      </c>
      <c r="B254" t="s">
        <v>497</v>
      </c>
      <c r="C254" t="s">
        <v>498</v>
      </c>
      <c r="D254" t="s">
        <v>499</v>
      </c>
      <c r="E254" t="s">
        <v>500</v>
      </c>
      <c r="F254" t="s">
        <v>501</v>
      </c>
      <c r="G254" t="s">
        <v>915</v>
      </c>
      <c r="H254" s="15">
        <v>46057</v>
      </c>
      <c r="I254" t="s">
        <v>916</v>
      </c>
      <c r="J254" t="s">
        <v>16</v>
      </c>
      <c r="K254" t="s">
        <v>185</v>
      </c>
      <c r="N254">
        <v>0</v>
      </c>
      <c r="O254" t="s">
        <v>222</v>
      </c>
      <c r="P254">
        <v>0</v>
      </c>
      <c r="U254" s="15"/>
    </row>
    <row r="255" spans="1:21" x14ac:dyDescent="0.35">
      <c r="A255" t="s">
        <v>14</v>
      </c>
      <c r="B255" t="s">
        <v>497</v>
      </c>
      <c r="C255" t="s">
        <v>899</v>
      </c>
      <c r="D255" t="s">
        <v>900</v>
      </c>
      <c r="E255" t="s">
        <v>901</v>
      </c>
      <c r="F255" t="s">
        <v>501</v>
      </c>
      <c r="G255" t="s">
        <v>915</v>
      </c>
      <c r="H255" s="15">
        <v>46057</v>
      </c>
      <c r="I255" t="s">
        <v>922</v>
      </c>
      <c r="J255" t="s">
        <v>16</v>
      </c>
      <c r="K255" t="s">
        <v>185</v>
      </c>
      <c r="N255">
        <v>0</v>
      </c>
      <c r="O255" t="s">
        <v>222</v>
      </c>
      <c r="P255">
        <v>0</v>
      </c>
      <c r="U255" s="15"/>
    </row>
    <row r="256" spans="1:21" x14ac:dyDescent="0.35">
      <c r="A256" t="s">
        <v>14</v>
      </c>
      <c r="B256" t="s">
        <v>497</v>
      </c>
      <c r="C256" t="s">
        <v>531</v>
      </c>
      <c r="D256" t="s">
        <v>532</v>
      </c>
      <c r="E256" t="s">
        <v>533</v>
      </c>
      <c r="F256" t="s">
        <v>501</v>
      </c>
      <c r="G256" t="s">
        <v>927</v>
      </c>
      <c r="H256" s="15">
        <v>46057</v>
      </c>
      <c r="I256" t="s">
        <v>928</v>
      </c>
      <c r="J256" t="s">
        <v>233</v>
      </c>
      <c r="K256" t="s">
        <v>185</v>
      </c>
      <c r="N256">
        <v>0</v>
      </c>
      <c r="O256" t="s">
        <v>222</v>
      </c>
      <c r="P256">
        <v>0</v>
      </c>
      <c r="U256" s="15"/>
    </row>
    <row r="257" spans="1:21" x14ac:dyDescent="0.35">
      <c r="A257" t="s">
        <v>14</v>
      </c>
      <c r="B257" t="s">
        <v>497</v>
      </c>
      <c r="C257" t="s">
        <v>750</v>
      </c>
      <c r="D257" t="s">
        <v>751</v>
      </c>
      <c r="E257" t="s">
        <v>752</v>
      </c>
      <c r="F257" t="s">
        <v>644</v>
      </c>
      <c r="G257" t="s">
        <v>1040</v>
      </c>
      <c r="H257" s="15">
        <v>46085</v>
      </c>
      <c r="I257" t="s">
        <v>1047</v>
      </c>
      <c r="J257" t="s">
        <v>233</v>
      </c>
      <c r="K257" t="s">
        <v>185</v>
      </c>
      <c r="N257">
        <v>0</v>
      </c>
      <c r="O257" t="s">
        <v>222</v>
      </c>
      <c r="P257">
        <v>0</v>
      </c>
      <c r="U257" s="15"/>
    </row>
    <row r="258" spans="1:21" x14ac:dyDescent="0.35">
      <c r="A258" t="s">
        <v>14</v>
      </c>
      <c r="B258" t="s">
        <v>497</v>
      </c>
      <c r="C258" t="s">
        <v>692</v>
      </c>
      <c r="D258" t="s">
        <v>693</v>
      </c>
      <c r="E258" t="s">
        <v>694</v>
      </c>
      <c r="F258" t="s">
        <v>644</v>
      </c>
      <c r="G258" t="s">
        <v>1048</v>
      </c>
      <c r="H258" s="15">
        <v>46086</v>
      </c>
      <c r="I258" t="s">
        <v>1049</v>
      </c>
      <c r="J258" t="s">
        <v>16</v>
      </c>
      <c r="K258" t="s">
        <v>185</v>
      </c>
      <c r="N258">
        <v>0</v>
      </c>
      <c r="O258" t="s">
        <v>222</v>
      </c>
      <c r="P258">
        <v>0</v>
      </c>
      <c r="U258" s="15"/>
    </row>
    <row r="259" spans="1:21" x14ac:dyDescent="0.35">
      <c r="A259" t="s">
        <v>14</v>
      </c>
      <c r="B259" t="s">
        <v>497</v>
      </c>
      <c r="C259" t="s">
        <v>777</v>
      </c>
      <c r="D259" t="s">
        <v>778</v>
      </c>
      <c r="E259" t="s">
        <v>779</v>
      </c>
      <c r="F259" t="s">
        <v>644</v>
      </c>
      <c r="G259" t="s">
        <v>1050</v>
      </c>
      <c r="H259" s="15">
        <v>46086</v>
      </c>
      <c r="I259" t="s">
        <v>1051</v>
      </c>
      <c r="J259" t="s">
        <v>233</v>
      </c>
      <c r="K259" t="s">
        <v>185</v>
      </c>
      <c r="N259">
        <v>0</v>
      </c>
      <c r="O259" t="s">
        <v>222</v>
      </c>
      <c r="P259">
        <v>0</v>
      </c>
      <c r="U259" s="15"/>
    </row>
    <row r="260" spans="1:21" x14ac:dyDescent="0.35">
      <c r="A260" t="s">
        <v>14</v>
      </c>
      <c r="B260" t="s">
        <v>497</v>
      </c>
      <c r="C260" t="s">
        <v>531</v>
      </c>
      <c r="D260" t="s">
        <v>532</v>
      </c>
      <c r="E260" t="s">
        <v>533</v>
      </c>
      <c r="F260" t="s">
        <v>501</v>
      </c>
      <c r="G260" t="s">
        <v>929</v>
      </c>
      <c r="H260" s="15">
        <v>46058</v>
      </c>
      <c r="I260" t="s">
        <v>930</v>
      </c>
      <c r="J260" t="s">
        <v>16</v>
      </c>
      <c r="K260" t="s">
        <v>185</v>
      </c>
      <c r="N260">
        <v>0</v>
      </c>
      <c r="O260" t="s">
        <v>222</v>
      </c>
      <c r="P260">
        <v>0</v>
      </c>
      <c r="U260" s="15"/>
    </row>
    <row r="261" spans="1:21" x14ac:dyDescent="0.35">
      <c r="A261" t="s">
        <v>14</v>
      </c>
      <c r="B261" t="s">
        <v>497</v>
      </c>
      <c r="C261" t="s">
        <v>504</v>
      </c>
      <c r="D261" t="s">
        <v>505</v>
      </c>
      <c r="E261" t="s">
        <v>506</v>
      </c>
      <c r="F261" t="s">
        <v>501</v>
      </c>
      <c r="G261" t="s">
        <v>929</v>
      </c>
      <c r="H261" s="15">
        <v>46058</v>
      </c>
      <c r="I261" t="s">
        <v>931</v>
      </c>
      <c r="J261" t="s">
        <v>16</v>
      </c>
      <c r="K261" t="s">
        <v>185</v>
      </c>
      <c r="N261">
        <v>0</v>
      </c>
      <c r="O261" t="s">
        <v>222</v>
      </c>
      <c r="P261">
        <v>0</v>
      </c>
      <c r="U261" s="15"/>
    </row>
    <row r="262" spans="1:21" x14ac:dyDescent="0.35">
      <c r="A262" t="s">
        <v>14</v>
      </c>
      <c r="B262" t="s">
        <v>497</v>
      </c>
      <c r="C262" t="s">
        <v>641</v>
      </c>
      <c r="D262" t="s">
        <v>642</v>
      </c>
      <c r="E262" t="s">
        <v>643</v>
      </c>
      <c r="F262" t="s">
        <v>644</v>
      </c>
      <c r="G262" t="s">
        <v>1056</v>
      </c>
      <c r="H262" s="15">
        <v>46087</v>
      </c>
      <c r="I262" t="s">
        <v>1057</v>
      </c>
      <c r="J262" t="s">
        <v>16</v>
      </c>
      <c r="K262" t="s">
        <v>185</v>
      </c>
      <c r="N262">
        <v>0</v>
      </c>
      <c r="O262" t="s">
        <v>222</v>
      </c>
      <c r="P262">
        <v>0</v>
      </c>
      <c r="U262" s="15"/>
    </row>
    <row r="263" spans="1:21" x14ac:dyDescent="0.35">
      <c r="A263" t="s">
        <v>14</v>
      </c>
      <c r="B263" t="s">
        <v>497</v>
      </c>
      <c r="C263" t="s">
        <v>641</v>
      </c>
      <c r="D263" t="s">
        <v>642</v>
      </c>
      <c r="E263" t="s">
        <v>643</v>
      </c>
      <c r="F263" t="s">
        <v>644</v>
      </c>
      <c r="G263" t="s">
        <v>1056</v>
      </c>
      <c r="H263" s="15">
        <v>46087</v>
      </c>
      <c r="I263" t="s">
        <v>1057</v>
      </c>
      <c r="J263" t="s">
        <v>16</v>
      </c>
      <c r="K263" t="s">
        <v>185</v>
      </c>
      <c r="N263">
        <v>0</v>
      </c>
      <c r="O263" t="s">
        <v>222</v>
      </c>
      <c r="P263">
        <v>0</v>
      </c>
      <c r="U263" s="15"/>
    </row>
    <row r="264" spans="1:21" x14ac:dyDescent="0.35">
      <c r="A264" t="s">
        <v>14</v>
      </c>
      <c r="B264" t="s">
        <v>497</v>
      </c>
      <c r="C264" t="s">
        <v>1058</v>
      </c>
      <c r="D264" t="s">
        <v>1059</v>
      </c>
      <c r="E264" t="s">
        <v>1060</v>
      </c>
      <c r="F264" t="s">
        <v>644</v>
      </c>
      <c r="G264" t="s">
        <v>1056</v>
      </c>
      <c r="H264" s="15">
        <v>46087</v>
      </c>
      <c r="I264" t="s">
        <v>1061</v>
      </c>
      <c r="J264" t="s">
        <v>16</v>
      </c>
      <c r="K264" t="s">
        <v>185</v>
      </c>
      <c r="N264">
        <v>0</v>
      </c>
      <c r="O264" t="s">
        <v>222</v>
      </c>
      <c r="P264">
        <v>0</v>
      </c>
      <c r="U264" s="15"/>
    </row>
    <row r="265" spans="1:21" x14ac:dyDescent="0.35">
      <c r="A265" t="s">
        <v>14</v>
      </c>
      <c r="B265" t="s">
        <v>497</v>
      </c>
      <c r="C265" t="s">
        <v>667</v>
      </c>
      <c r="D265" t="s">
        <v>668</v>
      </c>
      <c r="E265" t="s">
        <v>669</v>
      </c>
      <c r="F265" t="s">
        <v>644</v>
      </c>
      <c r="G265" t="s">
        <v>1056</v>
      </c>
      <c r="H265" s="15">
        <v>46087</v>
      </c>
      <c r="I265" t="s">
        <v>1062</v>
      </c>
      <c r="J265" t="s">
        <v>16</v>
      </c>
      <c r="K265" t="s">
        <v>185</v>
      </c>
      <c r="N265">
        <v>0</v>
      </c>
      <c r="O265" t="s">
        <v>222</v>
      </c>
      <c r="P265">
        <v>0</v>
      </c>
      <c r="U265" s="15"/>
    </row>
    <row r="266" spans="1:21" x14ac:dyDescent="0.35">
      <c r="A266" t="s">
        <v>14</v>
      </c>
      <c r="B266" t="s">
        <v>497</v>
      </c>
      <c r="C266" t="s">
        <v>651</v>
      </c>
      <c r="D266" t="s">
        <v>652</v>
      </c>
      <c r="E266" t="s">
        <v>653</v>
      </c>
      <c r="F266" t="s">
        <v>644</v>
      </c>
      <c r="G266" t="s">
        <v>1064</v>
      </c>
      <c r="H266" s="15">
        <v>46087</v>
      </c>
      <c r="I266" t="s">
        <v>1065</v>
      </c>
      <c r="J266" t="s">
        <v>233</v>
      </c>
      <c r="K266" t="s">
        <v>185</v>
      </c>
      <c r="N266">
        <v>0</v>
      </c>
      <c r="O266" t="s">
        <v>222</v>
      </c>
      <c r="P266">
        <v>0</v>
      </c>
      <c r="U266" s="15"/>
    </row>
    <row r="267" spans="1:21" x14ac:dyDescent="0.35">
      <c r="A267" t="s">
        <v>14</v>
      </c>
      <c r="B267" t="s">
        <v>497</v>
      </c>
      <c r="C267" t="s">
        <v>662</v>
      </c>
      <c r="D267" t="s">
        <v>663</v>
      </c>
      <c r="E267" t="s">
        <v>664</v>
      </c>
      <c r="F267" t="s">
        <v>644</v>
      </c>
      <c r="G267" t="s">
        <v>1066</v>
      </c>
      <c r="H267" s="15">
        <v>46088</v>
      </c>
      <c r="I267" t="s">
        <v>1067</v>
      </c>
      <c r="J267" t="s">
        <v>16</v>
      </c>
      <c r="K267" t="s">
        <v>185</v>
      </c>
      <c r="N267">
        <v>0</v>
      </c>
      <c r="O267" t="s">
        <v>222</v>
      </c>
      <c r="P267">
        <v>0</v>
      </c>
      <c r="U267" s="15"/>
    </row>
    <row r="268" spans="1:21" x14ac:dyDescent="0.35">
      <c r="A268" t="s">
        <v>14</v>
      </c>
      <c r="B268" t="s">
        <v>497</v>
      </c>
      <c r="C268" t="s">
        <v>940</v>
      </c>
      <c r="D268" t="s">
        <v>941</v>
      </c>
      <c r="E268" t="s">
        <v>942</v>
      </c>
      <c r="F268" t="s">
        <v>501</v>
      </c>
      <c r="G268" t="s">
        <v>943</v>
      </c>
      <c r="H268" s="15">
        <v>46058</v>
      </c>
      <c r="I268" t="s">
        <v>944</v>
      </c>
      <c r="J268" t="s">
        <v>233</v>
      </c>
      <c r="K268" t="s">
        <v>185</v>
      </c>
      <c r="N268">
        <v>0</v>
      </c>
      <c r="O268" t="s">
        <v>222</v>
      </c>
      <c r="P268">
        <v>0</v>
      </c>
      <c r="U268" s="15"/>
    </row>
    <row r="269" spans="1:21" x14ac:dyDescent="0.35">
      <c r="A269" t="s">
        <v>14</v>
      </c>
      <c r="B269" t="s">
        <v>497</v>
      </c>
      <c r="C269" t="s">
        <v>515</v>
      </c>
      <c r="D269" t="s">
        <v>516</v>
      </c>
      <c r="E269" t="s">
        <v>517</v>
      </c>
      <c r="F269" t="s">
        <v>501</v>
      </c>
      <c r="G269" t="s">
        <v>945</v>
      </c>
      <c r="H269" s="15">
        <v>46059</v>
      </c>
      <c r="I269" t="s">
        <v>946</v>
      </c>
      <c r="J269" t="s">
        <v>16</v>
      </c>
      <c r="K269" t="s">
        <v>185</v>
      </c>
      <c r="N269">
        <v>0</v>
      </c>
      <c r="O269" t="s">
        <v>222</v>
      </c>
      <c r="P269">
        <v>0</v>
      </c>
      <c r="U269" s="15"/>
    </row>
    <row r="270" spans="1:21" x14ac:dyDescent="0.35">
      <c r="A270" t="s">
        <v>14</v>
      </c>
      <c r="B270" t="s">
        <v>497</v>
      </c>
      <c r="C270" t="s">
        <v>504</v>
      </c>
      <c r="D270" t="s">
        <v>505</v>
      </c>
      <c r="E270" t="s">
        <v>506</v>
      </c>
      <c r="F270" t="s">
        <v>501</v>
      </c>
      <c r="G270" t="s">
        <v>945</v>
      </c>
      <c r="H270" s="15">
        <v>46059</v>
      </c>
      <c r="I270" t="s">
        <v>949</v>
      </c>
      <c r="J270" t="s">
        <v>16</v>
      </c>
      <c r="K270" t="s">
        <v>185</v>
      </c>
      <c r="N270">
        <v>0</v>
      </c>
      <c r="O270" t="s">
        <v>222</v>
      </c>
      <c r="P270">
        <v>0</v>
      </c>
      <c r="U270" s="15"/>
    </row>
    <row r="271" spans="1:21" x14ac:dyDescent="0.35">
      <c r="A271" t="s">
        <v>14</v>
      </c>
      <c r="B271" t="s">
        <v>497</v>
      </c>
      <c r="C271" t="s">
        <v>667</v>
      </c>
      <c r="D271" t="s">
        <v>668</v>
      </c>
      <c r="E271" t="s">
        <v>669</v>
      </c>
      <c r="F271" t="s">
        <v>644</v>
      </c>
      <c r="G271" t="s">
        <v>1073</v>
      </c>
      <c r="H271" s="15">
        <v>46088</v>
      </c>
      <c r="I271" t="s">
        <v>1074</v>
      </c>
      <c r="J271" t="s">
        <v>233</v>
      </c>
      <c r="K271" t="s">
        <v>185</v>
      </c>
      <c r="N271">
        <v>0</v>
      </c>
      <c r="O271" t="s">
        <v>222</v>
      </c>
      <c r="P271">
        <v>0</v>
      </c>
      <c r="U271" s="15"/>
    </row>
    <row r="272" spans="1:21" x14ac:dyDescent="0.35">
      <c r="A272" t="s">
        <v>14</v>
      </c>
      <c r="B272" t="s">
        <v>497</v>
      </c>
      <c r="C272" t="s">
        <v>641</v>
      </c>
      <c r="D272" t="s">
        <v>642</v>
      </c>
      <c r="E272" t="s">
        <v>643</v>
      </c>
      <c r="F272" t="s">
        <v>644</v>
      </c>
      <c r="G272" t="s">
        <v>1075</v>
      </c>
      <c r="H272" s="15">
        <v>46090</v>
      </c>
      <c r="I272" t="s">
        <v>1076</v>
      </c>
      <c r="J272" t="s">
        <v>16</v>
      </c>
      <c r="K272" t="s">
        <v>185</v>
      </c>
      <c r="N272">
        <v>0</v>
      </c>
      <c r="O272" t="s">
        <v>222</v>
      </c>
      <c r="P272">
        <v>0</v>
      </c>
      <c r="U272" s="15"/>
    </row>
    <row r="273" spans="1:21" x14ac:dyDescent="0.35">
      <c r="A273" t="s">
        <v>14</v>
      </c>
      <c r="B273" t="s">
        <v>497</v>
      </c>
      <c r="C273" t="s">
        <v>521</v>
      </c>
      <c r="D273" t="s">
        <v>522</v>
      </c>
      <c r="E273" t="s">
        <v>523</v>
      </c>
      <c r="F273" t="s">
        <v>501</v>
      </c>
      <c r="G273" t="s">
        <v>950</v>
      </c>
      <c r="H273" s="15">
        <v>46059</v>
      </c>
      <c r="I273" t="s">
        <v>951</v>
      </c>
      <c r="J273" t="s">
        <v>233</v>
      </c>
      <c r="K273" t="s">
        <v>185</v>
      </c>
      <c r="N273">
        <v>0</v>
      </c>
      <c r="O273" t="s">
        <v>222</v>
      </c>
      <c r="P273">
        <v>0</v>
      </c>
      <c r="U273" s="15"/>
    </row>
    <row r="274" spans="1:21" x14ac:dyDescent="0.35">
      <c r="A274" t="s">
        <v>14</v>
      </c>
      <c r="B274" t="s">
        <v>497</v>
      </c>
      <c r="C274" t="s">
        <v>498</v>
      </c>
      <c r="D274" t="s">
        <v>499</v>
      </c>
      <c r="E274" t="s">
        <v>500</v>
      </c>
      <c r="F274" t="s">
        <v>501</v>
      </c>
      <c r="G274" t="s">
        <v>952</v>
      </c>
      <c r="H274" s="15">
        <v>46060</v>
      </c>
      <c r="I274" t="s">
        <v>953</v>
      </c>
      <c r="J274" t="s">
        <v>233</v>
      </c>
      <c r="K274" t="s">
        <v>185</v>
      </c>
      <c r="N274">
        <v>0</v>
      </c>
      <c r="O274" t="s">
        <v>222</v>
      </c>
      <c r="P274">
        <v>0</v>
      </c>
      <c r="U274" s="15"/>
    </row>
    <row r="275" spans="1:21" x14ac:dyDescent="0.35">
      <c r="A275" t="s">
        <v>14</v>
      </c>
      <c r="B275" t="s">
        <v>497</v>
      </c>
      <c r="C275" t="s">
        <v>716</v>
      </c>
      <c r="D275" t="s">
        <v>717</v>
      </c>
      <c r="E275" t="s">
        <v>718</v>
      </c>
      <c r="F275" t="s">
        <v>644</v>
      </c>
      <c r="G275" t="s">
        <v>1075</v>
      </c>
      <c r="H275" s="15">
        <v>46090</v>
      </c>
      <c r="I275" t="s">
        <v>1077</v>
      </c>
      <c r="J275" t="s">
        <v>16</v>
      </c>
      <c r="K275" t="s">
        <v>185</v>
      </c>
      <c r="N275">
        <v>0</v>
      </c>
      <c r="O275" t="s">
        <v>222</v>
      </c>
      <c r="P275">
        <v>0</v>
      </c>
      <c r="U275" s="15"/>
    </row>
    <row r="276" spans="1:21" x14ac:dyDescent="0.35">
      <c r="A276" t="s">
        <v>14</v>
      </c>
      <c r="B276" t="s">
        <v>497</v>
      </c>
      <c r="C276" t="s">
        <v>697</v>
      </c>
      <c r="D276" t="s">
        <v>698</v>
      </c>
      <c r="E276" t="s">
        <v>699</v>
      </c>
      <c r="F276" t="s">
        <v>644</v>
      </c>
      <c r="G276" t="s">
        <v>1075</v>
      </c>
      <c r="H276" s="15">
        <v>46090</v>
      </c>
      <c r="I276" t="s">
        <v>1083</v>
      </c>
      <c r="J276" t="s">
        <v>16</v>
      </c>
      <c r="K276" t="s">
        <v>185</v>
      </c>
      <c r="N276">
        <v>0</v>
      </c>
      <c r="O276" t="s">
        <v>222</v>
      </c>
      <c r="P276">
        <v>0</v>
      </c>
      <c r="U276" s="15"/>
    </row>
    <row r="277" spans="1:21" x14ac:dyDescent="0.35">
      <c r="A277" t="s">
        <v>14</v>
      </c>
      <c r="B277" t="s">
        <v>497</v>
      </c>
      <c r="C277" t="s">
        <v>651</v>
      </c>
      <c r="D277" t="s">
        <v>652</v>
      </c>
      <c r="E277" t="s">
        <v>653</v>
      </c>
      <c r="F277" t="s">
        <v>644</v>
      </c>
      <c r="G277" t="s">
        <v>1084</v>
      </c>
      <c r="H277" s="15">
        <v>46090</v>
      </c>
      <c r="I277" t="s">
        <v>1085</v>
      </c>
      <c r="J277" t="s">
        <v>233</v>
      </c>
      <c r="K277" t="s">
        <v>185</v>
      </c>
      <c r="N277">
        <v>0</v>
      </c>
      <c r="O277" t="s">
        <v>222</v>
      </c>
      <c r="P277">
        <v>0</v>
      </c>
      <c r="U277" s="15"/>
    </row>
    <row r="278" spans="1:21" x14ac:dyDescent="0.35">
      <c r="A278" t="s">
        <v>14</v>
      </c>
      <c r="B278" t="s">
        <v>497</v>
      </c>
      <c r="C278" t="s">
        <v>504</v>
      </c>
      <c r="D278" t="s">
        <v>505</v>
      </c>
      <c r="E278" t="s">
        <v>506</v>
      </c>
      <c r="F278" t="s">
        <v>501</v>
      </c>
      <c r="G278" t="s">
        <v>959</v>
      </c>
      <c r="H278" s="15">
        <v>46060</v>
      </c>
      <c r="I278" t="s">
        <v>960</v>
      </c>
      <c r="J278" t="s">
        <v>16</v>
      </c>
      <c r="K278" t="s">
        <v>185</v>
      </c>
      <c r="N278">
        <v>0</v>
      </c>
      <c r="O278" t="s">
        <v>222</v>
      </c>
      <c r="P278">
        <v>0</v>
      </c>
      <c r="U278" s="15"/>
    </row>
    <row r="279" spans="1:21" x14ac:dyDescent="0.35">
      <c r="A279" t="s">
        <v>14</v>
      </c>
      <c r="B279" t="s">
        <v>497</v>
      </c>
      <c r="C279" t="s">
        <v>581</v>
      </c>
      <c r="D279" t="s">
        <v>582</v>
      </c>
      <c r="E279" t="s">
        <v>583</v>
      </c>
      <c r="F279" t="s">
        <v>501</v>
      </c>
      <c r="G279" t="s">
        <v>961</v>
      </c>
      <c r="H279" s="15">
        <v>46062</v>
      </c>
      <c r="I279" t="s">
        <v>962</v>
      </c>
      <c r="J279" t="s">
        <v>233</v>
      </c>
      <c r="K279" t="s">
        <v>185</v>
      </c>
      <c r="N279">
        <v>0</v>
      </c>
      <c r="O279" t="s">
        <v>585</v>
      </c>
      <c r="P279">
        <v>0</v>
      </c>
      <c r="U279" s="15"/>
    </row>
    <row r="280" spans="1:21" x14ac:dyDescent="0.35">
      <c r="A280" t="s">
        <v>14</v>
      </c>
      <c r="B280" t="s">
        <v>497</v>
      </c>
      <c r="C280" t="s">
        <v>561</v>
      </c>
      <c r="D280" t="s">
        <v>562</v>
      </c>
      <c r="E280" t="s">
        <v>562</v>
      </c>
      <c r="F280" t="s">
        <v>501</v>
      </c>
      <c r="G280" t="s">
        <v>961</v>
      </c>
      <c r="H280" s="15">
        <v>46062</v>
      </c>
      <c r="I280" t="s">
        <v>968</v>
      </c>
      <c r="J280" t="s">
        <v>233</v>
      </c>
      <c r="K280" t="s">
        <v>185</v>
      </c>
      <c r="N280">
        <v>0</v>
      </c>
      <c r="O280" t="s">
        <v>222</v>
      </c>
      <c r="P280">
        <v>0</v>
      </c>
      <c r="U280" s="15"/>
    </row>
    <row r="281" spans="1:21" x14ac:dyDescent="0.35">
      <c r="A281" t="s">
        <v>14</v>
      </c>
      <c r="B281" t="s">
        <v>497</v>
      </c>
      <c r="C281" t="s">
        <v>581</v>
      </c>
      <c r="D281" t="s">
        <v>582</v>
      </c>
      <c r="E281" t="s">
        <v>583</v>
      </c>
      <c r="F281" t="s">
        <v>501</v>
      </c>
      <c r="G281" t="s">
        <v>969</v>
      </c>
      <c r="H281" s="15">
        <v>46063</v>
      </c>
      <c r="I281" t="s">
        <v>970</v>
      </c>
      <c r="J281" t="s">
        <v>16</v>
      </c>
      <c r="K281" t="s">
        <v>185</v>
      </c>
      <c r="N281">
        <v>0</v>
      </c>
      <c r="O281" t="s">
        <v>585</v>
      </c>
      <c r="P281">
        <v>0</v>
      </c>
      <c r="U281" s="15"/>
    </row>
    <row r="282" spans="1:21" x14ac:dyDescent="0.35">
      <c r="A282" t="s">
        <v>14</v>
      </c>
      <c r="B282" t="s">
        <v>497</v>
      </c>
      <c r="C282" t="s">
        <v>641</v>
      </c>
      <c r="D282" t="s">
        <v>642</v>
      </c>
      <c r="E282" t="s">
        <v>643</v>
      </c>
      <c r="F282" t="s">
        <v>644</v>
      </c>
      <c r="G282" t="s">
        <v>1086</v>
      </c>
      <c r="H282" s="15">
        <v>46091</v>
      </c>
      <c r="I282" t="s">
        <v>1087</v>
      </c>
      <c r="J282" t="s">
        <v>16</v>
      </c>
      <c r="K282" t="s">
        <v>185</v>
      </c>
      <c r="N282">
        <v>0</v>
      </c>
      <c r="O282" t="s">
        <v>222</v>
      </c>
      <c r="P282">
        <v>0</v>
      </c>
      <c r="U282" s="15"/>
    </row>
    <row r="283" spans="1:21" x14ac:dyDescent="0.35">
      <c r="A283" t="s">
        <v>14</v>
      </c>
      <c r="B283" t="s">
        <v>497</v>
      </c>
      <c r="C283" t="s">
        <v>816</v>
      </c>
      <c r="D283" t="s">
        <v>817</v>
      </c>
      <c r="E283" t="s">
        <v>818</v>
      </c>
      <c r="F283" t="s">
        <v>644</v>
      </c>
      <c r="G283" t="s">
        <v>1093</v>
      </c>
      <c r="H283" s="15">
        <v>46091</v>
      </c>
      <c r="I283" t="s">
        <v>1094</v>
      </c>
      <c r="J283" t="s">
        <v>233</v>
      </c>
      <c r="K283" t="s">
        <v>185</v>
      </c>
      <c r="N283">
        <v>0</v>
      </c>
      <c r="O283" t="s">
        <v>222</v>
      </c>
      <c r="P283">
        <v>0</v>
      </c>
      <c r="U283" s="15"/>
    </row>
    <row r="284" spans="1:21" x14ac:dyDescent="0.35">
      <c r="A284" t="s">
        <v>14</v>
      </c>
      <c r="B284" t="s">
        <v>497</v>
      </c>
      <c r="C284" t="s">
        <v>765</v>
      </c>
      <c r="D284" t="s">
        <v>766</v>
      </c>
      <c r="E284" t="s">
        <v>767</v>
      </c>
      <c r="F284" t="s">
        <v>644</v>
      </c>
      <c r="G284" t="s">
        <v>1093</v>
      </c>
      <c r="H284" s="15">
        <v>46091</v>
      </c>
      <c r="I284" t="s">
        <v>1095</v>
      </c>
      <c r="J284" t="s">
        <v>233</v>
      </c>
      <c r="K284" t="s">
        <v>185</v>
      </c>
      <c r="N284">
        <v>0</v>
      </c>
      <c r="O284" t="s">
        <v>222</v>
      </c>
      <c r="P284">
        <v>0</v>
      </c>
      <c r="U284" s="15"/>
    </row>
    <row r="285" spans="1:21" x14ac:dyDescent="0.35">
      <c r="A285" t="s">
        <v>14</v>
      </c>
      <c r="B285" t="s">
        <v>497</v>
      </c>
      <c r="C285" t="s">
        <v>662</v>
      </c>
      <c r="D285" t="s">
        <v>663</v>
      </c>
      <c r="E285" t="s">
        <v>664</v>
      </c>
      <c r="F285" t="s">
        <v>644</v>
      </c>
      <c r="G285" t="s">
        <v>1096</v>
      </c>
      <c r="H285" s="15">
        <v>46092</v>
      </c>
      <c r="I285" t="s">
        <v>1097</v>
      </c>
      <c r="J285" t="s">
        <v>16</v>
      </c>
      <c r="K285" t="s">
        <v>185</v>
      </c>
      <c r="N285">
        <v>0</v>
      </c>
      <c r="O285" t="s">
        <v>222</v>
      </c>
      <c r="P285">
        <v>0</v>
      </c>
      <c r="U285" s="15"/>
    </row>
    <row r="286" spans="1:21" x14ac:dyDescent="0.35">
      <c r="A286" t="s">
        <v>14</v>
      </c>
      <c r="B286" t="s">
        <v>497</v>
      </c>
      <c r="C286" t="s">
        <v>832</v>
      </c>
      <c r="D286" t="s">
        <v>833</v>
      </c>
      <c r="E286" t="s">
        <v>834</v>
      </c>
      <c r="F286" t="s">
        <v>644</v>
      </c>
      <c r="G286" t="s">
        <v>1108</v>
      </c>
      <c r="H286" s="15">
        <v>46092</v>
      </c>
      <c r="I286" t="s">
        <v>1109</v>
      </c>
      <c r="J286" t="s">
        <v>233</v>
      </c>
      <c r="K286" t="s">
        <v>185</v>
      </c>
      <c r="N286">
        <v>0</v>
      </c>
      <c r="O286" t="s">
        <v>222</v>
      </c>
      <c r="P286">
        <v>0</v>
      </c>
      <c r="U286" s="15"/>
    </row>
    <row r="287" spans="1:21" x14ac:dyDescent="0.35">
      <c r="A287" t="s">
        <v>14</v>
      </c>
      <c r="B287" t="s">
        <v>497</v>
      </c>
      <c r="C287" t="s">
        <v>777</v>
      </c>
      <c r="D287" t="s">
        <v>778</v>
      </c>
      <c r="E287" t="s">
        <v>779</v>
      </c>
      <c r="F287" t="s">
        <v>644</v>
      </c>
      <c r="G287" t="s">
        <v>1108</v>
      </c>
      <c r="H287" s="15">
        <v>46092</v>
      </c>
      <c r="I287" t="s">
        <v>1110</v>
      </c>
      <c r="J287" t="s">
        <v>233</v>
      </c>
      <c r="K287" t="s">
        <v>185</v>
      </c>
      <c r="N287">
        <v>0</v>
      </c>
      <c r="O287" t="s">
        <v>222</v>
      </c>
      <c r="P287">
        <v>0</v>
      </c>
      <c r="U287" s="15"/>
    </row>
    <row r="288" spans="1:21" x14ac:dyDescent="0.35">
      <c r="A288" t="s">
        <v>14</v>
      </c>
      <c r="B288" t="s">
        <v>497</v>
      </c>
      <c r="C288" t="s">
        <v>651</v>
      </c>
      <c r="D288" t="s">
        <v>652</v>
      </c>
      <c r="E288" t="s">
        <v>653</v>
      </c>
      <c r="F288" t="s">
        <v>644</v>
      </c>
      <c r="G288" t="s">
        <v>1108</v>
      </c>
      <c r="H288" s="15">
        <v>46092</v>
      </c>
      <c r="I288" t="s">
        <v>1111</v>
      </c>
      <c r="J288" t="s">
        <v>233</v>
      </c>
      <c r="K288" t="s">
        <v>185</v>
      </c>
      <c r="N288">
        <v>0</v>
      </c>
      <c r="O288" t="s">
        <v>222</v>
      </c>
      <c r="P288">
        <v>0</v>
      </c>
      <c r="U288" s="15"/>
    </row>
    <row r="289" spans="1:21" x14ac:dyDescent="0.35">
      <c r="A289" t="s">
        <v>14</v>
      </c>
      <c r="B289" t="s">
        <v>497</v>
      </c>
      <c r="C289" t="s">
        <v>531</v>
      </c>
      <c r="D289" t="s">
        <v>532</v>
      </c>
      <c r="E289" t="s">
        <v>533</v>
      </c>
      <c r="F289" t="s">
        <v>501</v>
      </c>
      <c r="G289" t="s">
        <v>969</v>
      </c>
      <c r="H289" s="15">
        <v>46063</v>
      </c>
      <c r="I289" t="s">
        <v>976</v>
      </c>
      <c r="J289" t="s">
        <v>16</v>
      </c>
      <c r="K289" t="s">
        <v>185</v>
      </c>
      <c r="N289">
        <v>0</v>
      </c>
      <c r="O289" t="s">
        <v>222</v>
      </c>
      <c r="P289">
        <v>0</v>
      </c>
      <c r="U289" s="15"/>
    </row>
    <row r="290" spans="1:21" x14ac:dyDescent="0.35">
      <c r="A290" t="s">
        <v>14</v>
      </c>
      <c r="B290" t="s">
        <v>497</v>
      </c>
      <c r="C290" t="s">
        <v>977</v>
      </c>
      <c r="D290" t="s">
        <v>978</v>
      </c>
      <c r="E290" t="s">
        <v>979</v>
      </c>
      <c r="F290" t="s">
        <v>501</v>
      </c>
      <c r="G290" t="s">
        <v>980</v>
      </c>
      <c r="H290" s="15">
        <v>46063</v>
      </c>
      <c r="I290" t="s">
        <v>981</v>
      </c>
      <c r="J290" t="s">
        <v>233</v>
      </c>
      <c r="K290" t="s">
        <v>185</v>
      </c>
      <c r="N290">
        <v>0</v>
      </c>
      <c r="O290" t="s">
        <v>222</v>
      </c>
      <c r="P290">
        <v>0</v>
      </c>
      <c r="U290" s="15"/>
    </row>
    <row r="291" spans="1:21" x14ac:dyDescent="0.35">
      <c r="A291" t="s">
        <v>14</v>
      </c>
      <c r="B291" t="s">
        <v>497</v>
      </c>
      <c r="C291" t="s">
        <v>651</v>
      </c>
      <c r="D291" t="s">
        <v>652</v>
      </c>
      <c r="E291" t="s">
        <v>653</v>
      </c>
      <c r="F291" t="s">
        <v>644</v>
      </c>
      <c r="G291" t="s">
        <v>1108</v>
      </c>
      <c r="H291" s="15">
        <v>46092</v>
      </c>
      <c r="I291" t="s">
        <v>1111</v>
      </c>
      <c r="J291" t="s">
        <v>233</v>
      </c>
      <c r="K291" t="s">
        <v>185</v>
      </c>
      <c r="N291">
        <v>0</v>
      </c>
      <c r="O291" t="s">
        <v>222</v>
      </c>
      <c r="P291">
        <v>0</v>
      </c>
      <c r="U291" s="15"/>
    </row>
    <row r="292" spans="1:21" x14ac:dyDescent="0.35">
      <c r="A292" t="s">
        <v>14</v>
      </c>
      <c r="B292" t="s">
        <v>497</v>
      </c>
      <c r="C292" t="s">
        <v>729</v>
      </c>
      <c r="D292" t="s">
        <v>730</v>
      </c>
      <c r="E292" t="s">
        <v>731</v>
      </c>
      <c r="F292" t="s">
        <v>644</v>
      </c>
      <c r="G292" t="s">
        <v>1120</v>
      </c>
      <c r="H292" s="15">
        <v>46093</v>
      </c>
      <c r="I292" t="s">
        <v>1121</v>
      </c>
      <c r="J292" t="s">
        <v>16</v>
      </c>
      <c r="K292" t="s">
        <v>185</v>
      </c>
      <c r="N292">
        <v>0</v>
      </c>
      <c r="O292" t="s">
        <v>222</v>
      </c>
      <c r="P292">
        <v>0</v>
      </c>
      <c r="U292" s="15"/>
    </row>
    <row r="293" spans="1:21" x14ac:dyDescent="0.35">
      <c r="A293" t="s">
        <v>14</v>
      </c>
      <c r="B293" t="s">
        <v>497</v>
      </c>
      <c r="C293" t="s">
        <v>667</v>
      </c>
      <c r="D293" t="s">
        <v>668</v>
      </c>
      <c r="E293" t="s">
        <v>669</v>
      </c>
      <c r="F293" t="s">
        <v>644</v>
      </c>
      <c r="G293" t="s">
        <v>1120</v>
      </c>
      <c r="H293" s="15">
        <v>46093</v>
      </c>
      <c r="I293" t="s">
        <v>1122</v>
      </c>
      <c r="J293" t="s">
        <v>16</v>
      </c>
      <c r="K293" t="s">
        <v>185</v>
      </c>
      <c r="N293">
        <v>0</v>
      </c>
      <c r="O293" t="s">
        <v>222</v>
      </c>
      <c r="P293">
        <v>0</v>
      </c>
      <c r="U293" s="15"/>
    </row>
    <row r="294" spans="1:21" x14ac:dyDescent="0.35">
      <c r="A294" t="s">
        <v>14</v>
      </c>
      <c r="B294" t="s">
        <v>497</v>
      </c>
      <c r="C294" t="s">
        <v>811</v>
      </c>
      <c r="D294" t="s">
        <v>812</v>
      </c>
      <c r="E294" t="s">
        <v>813</v>
      </c>
      <c r="F294" t="s">
        <v>644</v>
      </c>
      <c r="G294" t="s">
        <v>1123</v>
      </c>
      <c r="H294" s="15">
        <v>46093</v>
      </c>
      <c r="I294" t="s">
        <v>1124</v>
      </c>
      <c r="J294" t="s">
        <v>233</v>
      </c>
      <c r="K294" t="s">
        <v>185</v>
      </c>
      <c r="N294">
        <v>0</v>
      </c>
      <c r="O294" t="s">
        <v>222</v>
      </c>
      <c r="P294">
        <v>0</v>
      </c>
      <c r="U294" s="15"/>
    </row>
    <row r="295" spans="1:21" x14ac:dyDescent="0.35">
      <c r="A295" t="s">
        <v>14</v>
      </c>
      <c r="B295" t="s">
        <v>497</v>
      </c>
      <c r="C295" t="s">
        <v>866</v>
      </c>
      <c r="D295" t="s">
        <v>867</v>
      </c>
      <c r="E295" t="s">
        <v>868</v>
      </c>
      <c r="F295" t="s">
        <v>501</v>
      </c>
      <c r="G295" t="s">
        <v>982</v>
      </c>
      <c r="H295" s="15">
        <v>46064</v>
      </c>
      <c r="I295" t="s">
        <v>983</v>
      </c>
      <c r="J295" t="s">
        <v>16</v>
      </c>
      <c r="K295" t="s">
        <v>185</v>
      </c>
      <c r="N295">
        <v>0</v>
      </c>
      <c r="O295" t="s">
        <v>222</v>
      </c>
      <c r="P295">
        <v>0</v>
      </c>
      <c r="U295" s="15"/>
    </row>
    <row r="296" spans="1:21" x14ac:dyDescent="0.35">
      <c r="A296" t="s">
        <v>14</v>
      </c>
      <c r="B296" t="s">
        <v>497</v>
      </c>
      <c r="C296" t="s">
        <v>498</v>
      </c>
      <c r="D296" t="s">
        <v>499</v>
      </c>
      <c r="E296" t="s">
        <v>500</v>
      </c>
      <c r="F296" t="s">
        <v>501</v>
      </c>
      <c r="G296" t="s">
        <v>982</v>
      </c>
      <c r="H296" s="15">
        <v>46064</v>
      </c>
      <c r="I296" t="s">
        <v>984</v>
      </c>
      <c r="J296" t="s">
        <v>16</v>
      </c>
      <c r="K296" t="s">
        <v>185</v>
      </c>
      <c r="N296">
        <v>0</v>
      </c>
      <c r="O296" t="s">
        <v>222</v>
      </c>
      <c r="P296">
        <v>0</v>
      </c>
      <c r="U296" s="15"/>
    </row>
    <row r="297" spans="1:21" x14ac:dyDescent="0.35">
      <c r="A297" t="s">
        <v>14</v>
      </c>
      <c r="B297" t="s">
        <v>497</v>
      </c>
      <c r="C297" t="s">
        <v>641</v>
      </c>
      <c r="D297" t="s">
        <v>642</v>
      </c>
      <c r="E297" t="s">
        <v>643</v>
      </c>
      <c r="F297" t="s">
        <v>644</v>
      </c>
      <c r="G297" t="s">
        <v>1126</v>
      </c>
      <c r="H297" s="15">
        <v>46094</v>
      </c>
      <c r="I297" t="s">
        <v>1127</v>
      </c>
      <c r="J297" t="s">
        <v>16</v>
      </c>
      <c r="K297" t="s">
        <v>185</v>
      </c>
      <c r="N297">
        <v>0</v>
      </c>
      <c r="O297" t="s">
        <v>222</v>
      </c>
      <c r="P297">
        <v>0</v>
      </c>
      <c r="U297" s="15"/>
    </row>
    <row r="298" spans="1:21" x14ac:dyDescent="0.35">
      <c r="A298" t="s">
        <v>14</v>
      </c>
      <c r="B298" t="s">
        <v>497</v>
      </c>
      <c r="C298" t="s">
        <v>737</v>
      </c>
      <c r="D298" t="s">
        <v>738</v>
      </c>
      <c r="E298" t="s">
        <v>739</v>
      </c>
      <c r="F298" t="s">
        <v>644</v>
      </c>
      <c r="G298" t="s">
        <v>1126</v>
      </c>
      <c r="H298" s="15">
        <v>46094</v>
      </c>
      <c r="I298" t="s">
        <v>1128</v>
      </c>
      <c r="J298" t="s">
        <v>16</v>
      </c>
      <c r="K298" t="s">
        <v>185</v>
      </c>
      <c r="N298">
        <v>0</v>
      </c>
      <c r="O298" t="s">
        <v>222</v>
      </c>
      <c r="P298">
        <v>0</v>
      </c>
      <c r="U298" s="15"/>
    </row>
    <row r="299" spans="1:21" x14ac:dyDescent="0.35">
      <c r="A299" t="s">
        <v>14</v>
      </c>
      <c r="B299" t="s">
        <v>497</v>
      </c>
      <c r="C299" t="s">
        <v>737</v>
      </c>
      <c r="D299" t="s">
        <v>738</v>
      </c>
      <c r="E299" t="s">
        <v>739</v>
      </c>
      <c r="F299" t="s">
        <v>644</v>
      </c>
      <c r="G299" t="s">
        <v>1126</v>
      </c>
      <c r="H299" s="15">
        <v>46094</v>
      </c>
      <c r="I299" t="s">
        <v>1128</v>
      </c>
      <c r="J299" t="s">
        <v>16</v>
      </c>
      <c r="K299" t="s">
        <v>185</v>
      </c>
      <c r="N299">
        <v>0</v>
      </c>
      <c r="O299" t="s">
        <v>222</v>
      </c>
      <c r="P299">
        <v>0</v>
      </c>
      <c r="U299" s="15"/>
    </row>
    <row r="300" spans="1:21" x14ac:dyDescent="0.35">
      <c r="A300" t="s">
        <v>14</v>
      </c>
      <c r="B300" t="s">
        <v>497</v>
      </c>
      <c r="C300" t="s">
        <v>504</v>
      </c>
      <c r="D300" t="s">
        <v>505</v>
      </c>
      <c r="E300" t="s">
        <v>506</v>
      </c>
      <c r="F300" t="s">
        <v>501</v>
      </c>
      <c r="G300" t="s">
        <v>990</v>
      </c>
      <c r="H300" s="15">
        <v>46064</v>
      </c>
      <c r="I300" t="s">
        <v>991</v>
      </c>
      <c r="J300" t="s">
        <v>233</v>
      </c>
      <c r="K300" t="s">
        <v>185</v>
      </c>
      <c r="N300">
        <v>0</v>
      </c>
      <c r="O300" t="s">
        <v>222</v>
      </c>
      <c r="P300">
        <v>0</v>
      </c>
      <c r="U300" s="15"/>
    </row>
    <row r="301" spans="1:21" x14ac:dyDescent="0.35">
      <c r="A301" t="s">
        <v>14</v>
      </c>
      <c r="B301" t="s">
        <v>497</v>
      </c>
      <c r="C301" t="s">
        <v>651</v>
      </c>
      <c r="D301" t="s">
        <v>652</v>
      </c>
      <c r="E301" t="s">
        <v>653</v>
      </c>
      <c r="F301" t="s">
        <v>644</v>
      </c>
      <c r="G301" t="s">
        <v>1129</v>
      </c>
      <c r="H301" s="15">
        <v>46094</v>
      </c>
      <c r="I301" t="s">
        <v>1130</v>
      </c>
      <c r="J301" t="s">
        <v>233</v>
      </c>
      <c r="K301" t="s">
        <v>185</v>
      </c>
      <c r="N301">
        <v>0</v>
      </c>
      <c r="O301" t="s">
        <v>222</v>
      </c>
      <c r="P301">
        <v>0</v>
      </c>
      <c r="U301" s="15"/>
    </row>
    <row r="302" spans="1:21" x14ac:dyDescent="0.35">
      <c r="A302" t="s">
        <v>14</v>
      </c>
      <c r="B302" t="s">
        <v>497</v>
      </c>
      <c r="C302" t="s">
        <v>662</v>
      </c>
      <c r="D302" t="s">
        <v>663</v>
      </c>
      <c r="E302" t="s">
        <v>664</v>
      </c>
      <c r="F302" t="s">
        <v>644</v>
      </c>
      <c r="G302" t="s">
        <v>1136</v>
      </c>
      <c r="H302" s="15">
        <v>46095</v>
      </c>
      <c r="I302" t="s">
        <v>1137</v>
      </c>
      <c r="J302" t="s">
        <v>16</v>
      </c>
      <c r="K302" t="s">
        <v>185</v>
      </c>
      <c r="N302">
        <v>0</v>
      </c>
      <c r="O302" t="s">
        <v>222</v>
      </c>
      <c r="P302">
        <v>0</v>
      </c>
      <c r="U302" s="15"/>
    </row>
    <row r="303" spans="1:21" x14ac:dyDescent="0.35">
      <c r="A303" t="s">
        <v>14</v>
      </c>
      <c r="B303" t="s">
        <v>497</v>
      </c>
      <c r="C303" t="s">
        <v>667</v>
      </c>
      <c r="D303" t="s">
        <v>668</v>
      </c>
      <c r="E303" t="s">
        <v>669</v>
      </c>
      <c r="F303" t="s">
        <v>644</v>
      </c>
      <c r="G303" t="s">
        <v>1136</v>
      </c>
      <c r="H303" s="15">
        <v>46095</v>
      </c>
      <c r="I303" t="s">
        <v>1138</v>
      </c>
      <c r="J303" t="s">
        <v>16</v>
      </c>
      <c r="K303" t="s">
        <v>185</v>
      </c>
      <c r="N303">
        <v>0</v>
      </c>
      <c r="O303" t="s">
        <v>222</v>
      </c>
      <c r="P303">
        <v>0</v>
      </c>
      <c r="U303" s="15"/>
    </row>
    <row r="304" spans="1:21" x14ac:dyDescent="0.35">
      <c r="A304" t="s">
        <v>14</v>
      </c>
      <c r="B304" t="s">
        <v>497</v>
      </c>
      <c r="C304" t="s">
        <v>515</v>
      </c>
      <c r="D304" t="s">
        <v>516</v>
      </c>
      <c r="E304" t="s">
        <v>517</v>
      </c>
      <c r="F304" t="s">
        <v>501</v>
      </c>
      <c r="G304" t="s">
        <v>990</v>
      </c>
      <c r="H304" s="15">
        <v>46064</v>
      </c>
      <c r="I304" t="s">
        <v>992</v>
      </c>
      <c r="J304" t="s">
        <v>233</v>
      </c>
      <c r="K304" t="s">
        <v>185</v>
      </c>
      <c r="N304">
        <v>0</v>
      </c>
      <c r="O304" t="s">
        <v>222</v>
      </c>
      <c r="P304">
        <v>0</v>
      </c>
      <c r="U304" s="15"/>
    </row>
    <row r="305" spans="1:21" x14ac:dyDescent="0.35">
      <c r="A305" t="s">
        <v>14</v>
      </c>
      <c r="B305" t="s">
        <v>497</v>
      </c>
      <c r="C305" t="s">
        <v>515</v>
      </c>
      <c r="D305" t="s">
        <v>516</v>
      </c>
      <c r="E305" t="s">
        <v>517</v>
      </c>
      <c r="F305" t="s">
        <v>501</v>
      </c>
      <c r="G305" t="s">
        <v>993</v>
      </c>
      <c r="H305" s="15">
        <v>46065</v>
      </c>
      <c r="I305" t="s">
        <v>994</v>
      </c>
      <c r="J305" t="s">
        <v>16</v>
      </c>
      <c r="K305" t="s">
        <v>185</v>
      </c>
      <c r="N305">
        <v>0</v>
      </c>
      <c r="O305" t="s">
        <v>222</v>
      </c>
      <c r="P305">
        <v>0</v>
      </c>
      <c r="U305" s="15"/>
    </row>
    <row r="306" spans="1:21" x14ac:dyDescent="0.35">
      <c r="A306" t="s">
        <v>14</v>
      </c>
      <c r="B306" t="s">
        <v>497</v>
      </c>
      <c r="C306" t="s">
        <v>662</v>
      </c>
      <c r="D306" t="s">
        <v>663</v>
      </c>
      <c r="E306" t="s">
        <v>664</v>
      </c>
      <c r="F306" t="s">
        <v>644</v>
      </c>
      <c r="G306" t="s">
        <v>1143</v>
      </c>
      <c r="H306" s="15">
        <v>46097</v>
      </c>
      <c r="I306" t="s">
        <v>1144</v>
      </c>
      <c r="J306" t="s">
        <v>233</v>
      </c>
      <c r="K306" t="s">
        <v>185</v>
      </c>
      <c r="N306">
        <v>0</v>
      </c>
      <c r="O306" t="s">
        <v>222</v>
      </c>
      <c r="P306">
        <v>0</v>
      </c>
      <c r="U306" s="15"/>
    </row>
    <row r="307" spans="1:21" x14ac:dyDescent="0.35">
      <c r="A307" t="s">
        <v>14</v>
      </c>
      <c r="B307" t="s">
        <v>497</v>
      </c>
      <c r="C307" t="s">
        <v>725</v>
      </c>
      <c r="D307" t="s">
        <v>726</v>
      </c>
      <c r="E307" t="s">
        <v>727</v>
      </c>
      <c r="F307" t="s">
        <v>644</v>
      </c>
      <c r="G307" t="s">
        <v>1143</v>
      </c>
      <c r="H307" s="15">
        <v>46097</v>
      </c>
      <c r="I307" t="s">
        <v>1145</v>
      </c>
      <c r="J307" t="s">
        <v>233</v>
      </c>
      <c r="K307" t="s">
        <v>185</v>
      </c>
      <c r="N307">
        <v>0</v>
      </c>
      <c r="O307" t="s">
        <v>222</v>
      </c>
      <c r="P307">
        <v>0</v>
      </c>
      <c r="U307" s="15"/>
    </row>
    <row r="308" spans="1:21" x14ac:dyDescent="0.35">
      <c r="A308" t="s">
        <v>14</v>
      </c>
      <c r="B308" t="s">
        <v>497</v>
      </c>
      <c r="C308" t="s">
        <v>725</v>
      </c>
      <c r="D308" t="s">
        <v>726</v>
      </c>
      <c r="E308" t="s">
        <v>727</v>
      </c>
      <c r="F308" t="s">
        <v>644</v>
      </c>
      <c r="G308" t="s">
        <v>1143</v>
      </c>
      <c r="H308" s="15">
        <v>46097</v>
      </c>
      <c r="I308" t="s">
        <v>1145</v>
      </c>
      <c r="J308" t="s">
        <v>233</v>
      </c>
      <c r="K308" t="s">
        <v>185</v>
      </c>
      <c r="N308">
        <v>0</v>
      </c>
      <c r="O308" t="s">
        <v>222</v>
      </c>
      <c r="P308">
        <v>0</v>
      </c>
      <c r="U308" s="15"/>
    </row>
    <row r="309" spans="1:21" x14ac:dyDescent="0.35">
      <c r="A309" t="s">
        <v>14</v>
      </c>
      <c r="B309" t="s">
        <v>497</v>
      </c>
      <c r="C309" t="s">
        <v>725</v>
      </c>
      <c r="D309" t="s">
        <v>726</v>
      </c>
      <c r="E309" t="s">
        <v>727</v>
      </c>
      <c r="F309" t="s">
        <v>644</v>
      </c>
      <c r="G309" t="s">
        <v>1143</v>
      </c>
      <c r="H309" s="15">
        <v>46097</v>
      </c>
      <c r="I309" t="s">
        <v>1145</v>
      </c>
      <c r="J309" t="s">
        <v>233</v>
      </c>
      <c r="K309" t="s">
        <v>185</v>
      </c>
      <c r="N309">
        <v>0</v>
      </c>
      <c r="O309" t="s">
        <v>222</v>
      </c>
      <c r="P309">
        <v>0</v>
      </c>
      <c r="U309" s="15"/>
    </row>
    <row r="310" spans="1:21" x14ac:dyDescent="0.35">
      <c r="A310" t="s">
        <v>14</v>
      </c>
      <c r="B310" t="s">
        <v>497</v>
      </c>
      <c r="C310" t="s">
        <v>504</v>
      </c>
      <c r="D310" t="s">
        <v>505</v>
      </c>
      <c r="E310" t="s">
        <v>506</v>
      </c>
      <c r="F310" t="s">
        <v>501</v>
      </c>
      <c r="G310" t="s">
        <v>993</v>
      </c>
      <c r="H310" s="15">
        <v>46065</v>
      </c>
      <c r="I310" t="s">
        <v>995</v>
      </c>
      <c r="J310" t="s">
        <v>16</v>
      </c>
      <c r="K310" t="s">
        <v>185</v>
      </c>
      <c r="N310">
        <v>0</v>
      </c>
      <c r="O310" t="s">
        <v>222</v>
      </c>
      <c r="P310">
        <v>0</v>
      </c>
      <c r="U310" s="15"/>
    </row>
    <row r="311" spans="1:21" x14ac:dyDescent="0.35">
      <c r="A311" t="s">
        <v>14</v>
      </c>
      <c r="B311" t="s">
        <v>497</v>
      </c>
      <c r="C311" t="s">
        <v>932</v>
      </c>
      <c r="D311" t="s">
        <v>933</v>
      </c>
      <c r="E311" t="s">
        <v>934</v>
      </c>
      <c r="F311" t="s">
        <v>644</v>
      </c>
      <c r="G311" t="s">
        <v>1143</v>
      </c>
      <c r="H311" s="15">
        <v>46097</v>
      </c>
      <c r="I311" t="s">
        <v>1151</v>
      </c>
      <c r="J311" t="s">
        <v>233</v>
      </c>
      <c r="K311" t="s">
        <v>185</v>
      </c>
      <c r="N311">
        <v>0</v>
      </c>
      <c r="O311" t="s">
        <v>222</v>
      </c>
      <c r="P311">
        <v>0</v>
      </c>
      <c r="U311" s="15"/>
    </row>
    <row r="312" spans="1:21" x14ac:dyDescent="0.35">
      <c r="A312" t="s">
        <v>14</v>
      </c>
      <c r="B312" t="s">
        <v>497</v>
      </c>
      <c r="C312" t="s">
        <v>832</v>
      </c>
      <c r="D312" t="s">
        <v>833</v>
      </c>
      <c r="E312" t="s">
        <v>834</v>
      </c>
      <c r="F312" t="s">
        <v>644</v>
      </c>
      <c r="G312" t="s">
        <v>1152</v>
      </c>
      <c r="H312" s="15">
        <v>46098</v>
      </c>
      <c r="I312" t="s">
        <v>1153</v>
      </c>
      <c r="J312" t="s">
        <v>233</v>
      </c>
      <c r="K312" t="s">
        <v>185</v>
      </c>
      <c r="N312">
        <v>0</v>
      </c>
      <c r="O312" t="s">
        <v>222</v>
      </c>
      <c r="P312">
        <v>0</v>
      </c>
      <c r="U312" s="15"/>
    </row>
    <row r="313" spans="1:21" x14ac:dyDescent="0.35">
      <c r="A313" t="s">
        <v>14</v>
      </c>
      <c r="B313" t="s">
        <v>497</v>
      </c>
      <c r="C313" t="s">
        <v>711</v>
      </c>
      <c r="D313" t="s">
        <v>712</v>
      </c>
      <c r="E313" t="s">
        <v>713</v>
      </c>
      <c r="F313" t="s">
        <v>644</v>
      </c>
      <c r="G313" t="s">
        <v>1152</v>
      </c>
      <c r="H313" s="15">
        <v>46098</v>
      </c>
      <c r="I313" t="s">
        <v>1154</v>
      </c>
      <c r="J313" t="s">
        <v>233</v>
      </c>
      <c r="K313" t="s">
        <v>185</v>
      </c>
      <c r="N313">
        <v>0</v>
      </c>
      <c r="O313" t="s">
        <v>222</v>
      </c>
      <c r="P313">
        <v>0</v>
      </c>
      <c r="U313" s="15"/>
    </row>
    <row r="314" spans="1:21" x14ac:dyDescent="0.35">
      <c r="A314" t="s">
        <v>14</v>
      </c>
      <c r="B314" t="s">
        <v>497</v>
      </c>
      <c r="C314" t="s">
        <v>552</v>
      </c>
      <c r="D314" t="s">
        <v>553</v>
      </c>
      <c r="E314" t="s">
        <v>554</v>
      </c>
      <c r="F314" t="s">
        <v>501</v>
      </c>
      <c r="G314" t="s">
        <v>1000</v>
      </c>
      <c r="H314" s="15">
        <v>46065</v>
      </c>
      <c r="I314" t="s">
        <v>1001</v>
      </c>
      <c r="J314" t="s">
        <v>233</v>
      </c>
      <c r="K314" t="s">
        <v>185</v>
      </c>
      <c r="N314">
        <v>0</v>
      </c>
      <c r="O314" t="s">
        <v>222</v>
      </c>
      <c r="P314">
        <v>0</v>
      </c>
      <c r="U314" s="15"/>
    </row>
    <row r="315" spans="1:21" x14ac:dyDescent="0.35">
      <c r="A315" t="s">
        <v>14</v>
      </c>
      <c r="B315" t="s">
        <v>497</v>
      </c>
      <c r="C315" t="s">
        <v>552</v>
      </c>
      <c r="D315" t="s">
        <v>553</v>
      </c>
      <c r="E315" t="s">
        <v>554</v>
      </c>
      <c r="F315" t="s">
        <v>501</v>
      </c>
      <c r="G315" t="s">
        <v>1000</v>
      </c>
      <c r="H315" s="15">
        <v>46065</v>
      </c>
      <c r="I315" t="s">
        <v>1001</v>
      </c>
      <c r="J315" t="s">
        <v>233</v>
      </c>
      <c r="K315" t="s">
        <v>185</v>
      </c>
      <c r="N315">
        <v>0</v>
      </c>
      <c r="O315" t="s">
        <v>222</v>
      </c>
      <c r="P315">
        <v>0</v>
      </c>
      <c r="U315" s="15"/>
    </row>
    <row r="316" spans="1:21" x14ac:dyDescent="0.35">
      <c r="A316" t="s">
        <v>14</v>
      </c>
      <c r="B316" t="s">
        <v>497</v>
      </c>
      <c r="C316" t="s">
        <v>1002</v>
      </c>
      <c r="D316" t="s">
        <v>1003</v>
      </c>
      <c r="E316" t="s">
        <v>1004</v>
      </c>
      <c r="F316" t="s">
        <v>501</v>
      </c>
      <c r="G316" t="s">
        <v>1005</v>
      </c>
      <c r="H316" s="15">
        <v>46066</v>
      </c>
      <c r="I316" t="s">
        <v>1006</v>
      </c>
      <c r="J316" t="s">
        <v>16</v>
      </c>
      <c r="K316" t="s">
        <v>185</v>
      </c>
      <c r="N316">
        <v>0</v>
      </c>
      <c r="O316" t="s">
        <v>222</v>
      </c>
      <c r="P316">
        <v>0</v>
      </c>
      <c r="U316" s="15"/>
    </row>
    <row r="317" spans="1:21" x14ac:dyDescent="0.35">
      <c r="A317" t="s">
        <v>14</v>
      </c>
      <c r="B317" t="s">
        <v>497</v>
      </c>
      <c r="C317" t="s">
        <v>531</v>
      </c>
      <c r="D317" t="s">
        <v>532</v>
      </c>
      <c r="E317" t="s">
        <v>533</v>
      </c>
      <c r="F317" t="s">
        <v>501</v>
      </c>
      <c r="G317" t="s">
        <v>1005</v>
      </c>
      <c r="H317" s="15">
        <v>46066</v>
      </c>
      <c r="I317" t="s">
        <v>1007</v>
      </c>
      <c r="J317" t="s">
        <v>16</v>
      </c>
      <c r="K317" t="s">
        <v>185</v>
      </c>
      <c r="N317">
        <v>0</v>
      </c>
      <c r="O317" t="s">
        <v>222</v>
      </c>
      <c r="P317">
        <v>0</v>
      </c>
      <c r="U317" s="15"/>
    </row>
    <row r="318" spans="1:21" x14ac:dyDescent="0.35">
      <c r="A318" t="s">
        <v>14</v>
      </c>
      <c r="B318" t="s">
        <v>497</v>
      </c>
      <c r="C318" t="s">
        <v>1159</v>
      </c>
      <c r="D318" t="s">
        <v>1160</v>
      </c>
      <c r="E318" t="s">
        <v>1161</v>
      </c>
      <c r="F318" t="s">
        <v>644</v>
      </c>
      <c r="G318" t="s">
        <v>1162</v>
      </c>
      <c r="H318" s="15">
        <v>46098</v>
      </c>
      <c r="I318" t="s">
        <v>1163</v>
      </c>
      <c r="J318" t="s">
        <v>16</v>
      </c>
      <c r="K318" t="s">
        <v>185</v>
      </c>
      <c r="N318">
        <v>0</v>
      </c>
      <c r="O318" t="s">
        <v>222</v>
      </c>
      <c r="P318">
        <v>0</v>
      </c>
      <c r="U318" s="15"/>
    </row>
    <row r="319" spans="1:21" x14ac:dyDescent="0.35">
      <c r="A319" t="s">
        <v>14</v>
      </c>
      <c r="B319" t="s">
        <v>497</v>
      </c>
      <c r="C319" t="s">
        <v>1164</v>
      </c>
      <c r="D319" t="s">
        <v>1165</v>
      </c>
      <c r="E319" t="s">
        <v>1166</v>
      </c>
      <c r="F319" t="s">
        <v>644</v>
      </c>
      <c r="G319" t="s">
        <v>1162</v>
      </c>
      <c r="H319" s="15">
        <v>46098</v>
      </c>
      <c r="I319" t="s">
        <v>1167</v>
      </c>
      <c r="J319" t="s">
        <v>16</v>
      </c>
      <c r="K319" t="s">
        <v>185</v>
      </c>
      <c r="N319">
        <v>0</v>
      </c>
      <c r="O319" t="s">
        <v>222</v>
      </c>
      <c r="P319">
        <v>0</v>
      </c>
      <c r="U319" s="15"/>
    </row>
    <row r="320" spans="1:21" x14ac:dyDescent="0.35">
      <c r="A320" t="s">
        <v>14</v>
      </c>
      <c r="B320" t="s">
        <v>497</v>
      </c>
      <c r="C320" t="s">
        <v>641</v>
      </c>
      <c r="D320" t="s">
        <v>642</v>
      </c>
      <c r="E320" t="s">
        <v>643</v>
      </c>
      <c r="F320" t="s">
        <v>644</v>
      </c>
      <c r="G320" t="s">
        <v>1162</v>
      </c>
      <c r="H320" s="15">
        <v>46098</v>
      </c>
      <c r="I320" t="s">
        <v>1168</v>
      </c>
      <c r="J320" t="s">
        <v>16</v>
      </c>
      <c r="K320" t="s">
        <v>185</v>
      </c>
      <c r="N320">
        <v>0</v>
      </c>
      <c r="O320" t="s">
        <v>222</v>
      </c>
      <c r="P320">
        <v>0</v>
      </c>
      <c r="U320" s="15"/>
    </row>
    <row r="321" spans="1:21" x14ac:dyDescent="0.35">
      <c r="A321" t="s">
        <v>14</v>
      </c>
      <c r="B321" t="s">
        <v>497</v>
      </c>
      <c r="C321" t="s">
        <v>536</v>
      </c>
      <c r="D321" t="s">
        <v>537</v>
      </c>
      <c r="E321" t="s">
        <v>538</v>
      </c>
      <c r="F321" t="s">
        <v>501</v>
      </c>
      <c r="G321" t="s">
        <v>1008</v>
      </c>
      <c r="H321" s="15">
        <v>46066</v>
      </c>
      <c r="I321" t="s">
        <v>1009</v>
      </c>
      <c r="J321" t="s">
        <v>233</v>
      </c>
      <c r="K321" t="s">
        <v>185</v>
      </c>
      <c r="N321">
        <v>0</v>
      </c>
      <c r="O321" t="s">
        <v>222</v>
      </c>
      <c r="P321">
        <v>0</v>
      </c>
      <c r="U321" s="15"/>
    </row>
    <row r="322" spans="1:21" x14ac:dyDescent="0.35">
      <c r="A322" t="s">
        <v>14</v>
      </c>
      <c r="B322" t="s">
        <v>497</v>
      </c>
      <c r="C322" t="s">
        <v>641</v>
      </c>
      <c r="D322" t="s">
        <v>642</v>
      </c>
      <c r="E322" t="s">
        <v>643</v>
      </c>
      <c r="F322" t="s">
        <v>644</v>
      </c>
      <c r="G322" t="s">
        <v>1173</v>
      </c>
      <c r="H322" s="15">
        <v>46099</v>
      </c>
      <c r="I322" t="s">
        <v>1174</v>
      </c>
      <c r="J322" t="s">
        <v>16</v>
      </c>
      <c r="K322" t="s">
        <v>185</v>
      </c>
      <c r="N322">
        <v>0</v>
      </c>
      <c r="O322" t="s">
        <v>222</v>
      </c>
      <c r="P322">
        <v>0</v>
      </c>
      <c r="U322" s="15"/>
    </row>
    <row r="323" spans="1:21" x14ac:dyDescent="0.35">
      <c r="A323" t="s">
        <v>14</v>
      </c>
      <c r="B323" t="s">
        <v>497</v>
      </c>
      <c r="C323" t="s">
        <v>737</v>
      </c>
      <c r="D323" t="s">
        <v>738</v>
      </c>
      <c r="E323" t="s">
        <v>739</v>
      </c>
      <c r="F323" t="s">
        <v>644</v>
      </c>
      <c r="G323" t="s">
        <v>1175</v>
      </c>
      <c r="H323" s="15">
        <v>46099</v>
      </c>
      <c r="I323" t="s">
        <v>1176</v>
      </c>
      <c r="J323" t="s">
        <v>233</v>
      </c>
      <c r="K323" t="s">
        <v>185</v>
      </c>
      <c r="N323">
        <v>0</v>
      </c>
      <c r="O323" t="s">
        <v>222</v>
      </c>
      <c r="P323">
        <v>0</v>
      </c>
      <c r="U323" s="15"/>
    </row>
    <row r="324" spans="1:21" x14ac:dyDescent="0.35">
      <c r="A324" t="s">
        <v>14</v>
      </c>
      <c r="B324" t="s">
        <v>497</v>
      </c>
      <c r="C324" t="s">
        <v>515</v>
      </c>
      <c r="D324" t="s">
        <v>516</v>
      </c>
      <c r="E324" t="s">
        <v>517</v>
      </c>
      <c r="F324" t="s">
        <v>501</v>
      </c>
      <c r="G324" t="s">
        <v>1008</v>
      </c>
      <c r="H324" s="15">
        <v>46066</v>
      </c>
      <c r="I324" t="s">
        <v>1015</v>
      </c>
      <c r="J324" t="s">
        <v>233</v>
      </c>
      <c r="K324" t="s">
        <v>185</v>
      </c>
      <c r="N324">
        <v>0</v>
      </c>
      <c r="O324" t="s">
        <v>222</v>
      </c>
      <c r="P324">
        <v>0</v>
      </c>
      <c r="U324" s="15"/>
    </row>
    <row r="325" spans="1:21" x14ac:dyDescent="0.35">
      <c r="A325" t="s">
        <v>14</v>
      </c>
      <c r="B325" t="s">
        <v>497</v>
      </c>
      <c r="C325" t="s">
        <v>498</v>
      </c>
      <c r="D325" t="s">
        <v>499</v>
      </c>
      <c r="E325" t="s">
        <v>500</v>
      </c>
      <c r="F325" t="s">
        <v>501</v>
      </c>
      <c r="G325" t="s">
        <v>1019</v>
      </c>
      <c r="H325" s="15">
        <v>46067</v>
      </c>
      <c r="I325" t="s">
        <v>1020</v>
      </c>
      <c r="J325" t="s">
        <v>16</v>
      </c>
      <c r="K325" t="s">
        <v>185</v>
      </c>
      <c r="N325">
        <v>0</v>
      </c>
      <c r="O325" t="s">
        <v>222</v>
      </c>
      <c r="P325">
        <v>0</v>
      </c>
      <c r="U325" s="15"/>
    </row>
    <row r="326" spans="1:21" x14ac:dyDescent="0.35">
      <c r="A326" t="s">
        <v>14</v>
      </c>
      <c r="B326" t="s">
        <v>497</v>
      </c>
      <c r="C326" t="s">
        <v>662</v>
      </c>
      <c r="D326" t="s">
        <v>663</v>
      </c>
      <c r="E326" t="s">
        <v>664</v>
      </c>
      <c r="F326" t="s">
        <v>644</v>
      </c>
      <c r="G326" t="s">
        <v>1180</v>
      </c>
      <c r="H326" s="15">
        <v>46100</v>
      </c>
      <c r="I326" t="s">
        <v>1181</v>
      </c>
      <c r="J326" t="s">
        <v>16</v>
      </c>
      <c r="K326" t="s">
        <v>185</v>
      </c>
      <c r="N326">
        <v>0</v>
      </c>
      <c r="O326" t="s">
        <v>222</v>
      </c>
      <c r="P326">
        <v>0</v>
      </c>
      <c r="U326" s="15"/>
    </row>
    <row r="327" spans="1:21" x14ac:dyDescent="0.35">
      <c r="A327" t="s">
        <v>14</v>
      </c>
      <c r="B327" t="s">
        <v>497</v>
      </c>
      <c r="C327" t="s">
        <v>777</v>
      </c>
      <c r="D327" t="s">
        <v>778</v>
      </c>
      <c r="E327" t="s">
        <v>779</v>
      </c>
      <c r="F327" t="s">
        <v>644</v>
      </c>
      <c r="G327" t="s">
        <v>1180</v>
      </c>
      <c r="H327" s="15">
        <v>46100</v>
      </c>
      <c r="I327" t="s">
        <v>1182</v>
      </c>
      <c r="J327" t="s">
        <v>16</v>
      </c>
      <c r="K327" t="s">
        <v>185</v>
      </c>
      <c r="N327">
        <v>0</v>
      </c>
      <c r="O327" t="s">
        <v>222</v>
      </c>
      <c r="P327">
        <v>0</v>
      </c>
      <c r="U327" s="15"/>
    </row>
    <row r="328" spans="1:21" x14ac:dyDescent="0.35">
      <c r="A328" t="s">
        <v>14</v>
      </c>
      <c r="B328" t="s">
        <v>497</v>
      </c>
      <c r="C328" t="s">
        <v>651</v>
      </c>
      <c r="D328" t="s">
        <v>652</v>
      </c>
      <c r="E328" t="s">
        <v>653</v>
      </c>
      <c r="F328" t="s">
        <v>644</v>
      </c>
      <c r="G328" t="s">
        <v>1183</v>
      </c>
      <c r="H328" s="15">
        <v>46100</v>
      </c>
      <c r="I328" t="s">
        <v>1184</v>
      </c>
      <c r="J328" t="s">
        <v>233</v>
      </c>
      <c r="K328" t="s">
        <v>185</v>
      </c>
      <c r="N328">
        <v>0</v>
      </c>
      <c r="O328" t="s">
        <v>222</v>
      </c>
      <c r="P328">
        <v>0</v>
      </c>
      <c r="U328" s="15"/>
    </row>
    <row r="329" spans="1:21" x14ac:dyDescent="0.35">
      <c r="A329" t="s">
        <v>14</v>
      </c>
      <c r="B329" t="s">
        <v>497</v>
      </c>
      <c r="C329" t="s">
        <v>504</v>
      </c>
      <c r="D329" t="s">
        <v>505</v>
      </c>
      <c r="E329" t="s">
        <v>506</v>
      </c>
      <c r="F329" t="s">
        <v>501</v>
      </c>
      <c r="G329" t="s">
        <v>1021</v>
      </c>
      <c r="H329" s="15">
        <v>46067</v>
      </c>
      <c r="I329" t="s">
        <v>1022</v>
      </c>
      <c r="J329" t="s">
        <v>233</v>
      </c>
      <c r="K329" t="s">
        <v>185</v>
      </c>
      <c r="N329">
        <v>0</v>
      </c>
      <c r="O329" t="s">
        <v>222</v>
      </c>
      <c r="P329">
        <v>0</v>
      </c>
      <c r="U329" s="15"/>
    </row>
    <row r="330" spans="1:21" x14ac:dyDescent="0.35">
      <c r="A330" t="s">
        <v>14</v>
      </c>
      <c r="B330" t="s">
        <v>497</v>
      </c>
      <c r="C330" t="s">
        <v>692</v>
      </c>
      <c r="D330" t="s">
        <v>693</v>
      </c>
      <c r="E330" t="s">
        <v>694</v>
      </c>
      <c r="F330" t="s">
        <v>644</v>
      </c>
      <c r="G330" t="s">
        <v>1187</v>
      </c>
      <c r="H330" s="15">
        <v>46101</v>
      </c>
      <c r="I330" t="s">
        <v>1188</v>
      </c>
      <c r="J330" t="s">
        <v>16</v>
      </c>
      <c r="K330" t="s">
        <v>185</v>
      </c>
      <c r="N330">
        <v>0</v>
      </c>
      <c r="O330" t="s">
        <v>222</v>
      </c>
      <c r="P330">
        <v>0</v>
      </c>
      <c r="U330" s="15"/>
    </row>
    <row r="331" spans="1:21" x14ac:dyDescent="0.35">
      <c r="A331" t="s">
        <v>14</v>
      </c>
      <c r="B331" t="s">
        <v>497</v>
      </c>
      <c r="C331" t="s">
        <v>667</v>
      </c>
      <c r="D331" t="s">
        <v>668</v>
      </c>
      <c r="E331" t="s">
        <v>669</v>
      </c>
      <c r="F331" t="s">
        <v>644</v>
      </c>
      <c r="G331" t="s">
        <v>1189</v>
      </c>
      <c r="H331" s="15">
        <v>46101</v>
      </c>
      <c r="I331" t="s">
        <v>1190</v>
      </c>
      <c r="J331" t="s">
        <v>233</v>
      </c>
      <c r="K331" t="s">
        <v>185</v>
      </c>
      <c r="N331">
        <v>0</v>
      </c>
      <c r="O331" t="s">
        <v>222</v>
      </c>
      <c r="P331">
        <v>0</v>
      </c>
      <c r="U331" s="15"/>
    </row>
    <row r="332" spans="1:21" x14ac:dyDescent="0.35">
      <c r="A332" t="s">
        <v>14</v>
      </c>
      <c r="B332" t="s">
        <v>497</v>
      </c>
      <c r="C332" t="s">
        <v>662</v>
      </c>
      <c r="D332" t="s">
        <v>663</v>
      </c>
      <c r="E332" t="s">
        <v>664</v>
      </c>
      <c r="F332" t="s">
        <v>644</v>
      </c>
      <c r="G332" t="s">
        <v>1191</v>
      </c>
      <c r="H332" s="15">
        <v>46102</v>
      </c>
      <c r="I332" t="s">
        <v>1192</v>
      </c>
      <c r="J332" t="s">
        <v>16</v>
      </c>
      <c r="K332" t="s">
        <v>185</v>
      </c>
      <c r="N332">
        <v>0</v>
      </c>
      <c r="O332" t="s">
        <v>222</v>
      </c>
      <c r="P332">
        <v>0</v>
      </c>
      <c r="U332" s="15"/>
    </row>
    <row r="333" spans="1:21" x14ac:dyDescent="0.35">
      <c r="A333" t="s">
        <v>14</v>
      </c>
      <c r="B333" t="s">
        <v>497</v>
      </c>
      <c r="C333" t="s">
        <v>542</v>
      </c>
      <c r="D333" t="s">
        <v>543</v>
      </c>
      <c r="E333" t="s">
        <v>544</v>
      </c>
      <c r="F333" t="s">
        <v>501</v>
      </c>
      <c r="G333" t="s">
        <v>1023</v>
      </c>
      <c r="H333" s="15">
        <v>46069</v>
      </c>
      <c r="I333" t="s">
        <v>1024</v>
      </c>
      <c r="J333" t="s">
        <v>16</v>
      </c>
      <c r="K333" t="s">
        <v>185</v>
      </c>
      <c r="N333">
        <v>0</v>
      </c>
      <c r="O333" t="s">
        <v>222</v>
      </c>
      <c r="P333">
        <v>0</v>
      </c>
      <c r="U333" s="15"/>
    </row>
    <row r="334" spans="1:21" x14ac:dyDescent="0.35">
      <c r="A334" t="s">
        <v>14</v>
      </c>
      <c r="B334" t="s">
        <v>497</v>
      </c>
      <c r="C334" t="s">
        <v>542</v>
      </c>
      <c r="D334" t="s">
        <v>543</v>
      </c>
      <c r="E334" t="s">
        <v>544</v>
      </c>
      <c r="F334" t="s">
        <v>501</v>
      </c>
      <c r="G334" t="s">
        <v>1023</v>
      </c>
      <c r="H334" s="15">
        <v>46069</v>
      </c>
      <c r="I334" t="s">
        <v>1024</v>
      </c>
      <c r="J334" t="s">
        <v>16</v>
      </c>
      <c r="K334" t="s">
        <v>185</v>
      </c>
      <c r="N334">
        <v>0</v>
      </c>
      <c r="O334" t="s">
        <v>222</v>
      </c>
      <c r="P334">
        <v>0</v>
      </c>
      <c r="U334" s="15"/>
    </row>
    <row r="335" spans="1:21" x14ac:dyDescent="0.35">
      <c r="A335" t="s">
        <v>14</v>
      </c>
      <c r="B335" t="s">
        <v>497</v>
      </c>
      <c r="C335" t="s">
        <v>531</v>
      </c>
      <c r="D335" t="s">
        <v>532</v>
      </c>
      <c r="E335" t="s">
        <v>533</v>
      </c>
      <c r="F335" t="s">
        <v>501</v>
      </c>
      <c r="G335" t="s">
        <v>1023</v>
      </c>
      <c r="H335" s="15">
        <v>46069</v>
      </c>
      <c r="I335" t="s">
        <v>1025</v>
      </c>
      <c r="J335" t="s">
        <v>16</v>
      </c>
      <c r="K335" t="s">
        <v>185</v>
      </c>
      <c r="N335">
        <v>0</v>
      </c>
      <c r="O335" t="s">
        <v>222</v>
      </c>
      <c r="P335">
        <v>0</v>
      </c>
      <c r="U335" s="15"/>
    </row>
    <row r="336" spans="1:21" x14ac:dyDescent="0.35">
      <c r="A336" t="s">
        <v>14</v>
      </c>
      <c r="B336" t="s">
        <v>497</v>
      </c>
      <c r="C336" t="s">
        <v>667</v>
      </c>
      <c r="D336" t="s">
        <v>668</v>
      </c>
      <c r="E336" t="s">
        <v>669</v>
      </c>
      <c r="F336" t="s">
        <v>644</v>
      </c>
      <c r="G336" t="s">
        <v>1200</v>
      </c>
      <c r="H336" s="15">
        <v>46102</v>
      </c>
      <c r="I336" t="s">
        <v>1201</v>
      </c>
      <c r="J336" t="s">
        <v>233</v>
      </c>
      <c r="K336" t="s">
        <v>185</v>
      </c>
      <c r="N336">
        <v>0</v>
      </c>
      <c r="O336" t="s">
        <v>222</v>
      </c>
      <c r="P336">
        <v>0</v>
      </c>
      <c r="U336" s="15"/>
    </row>
    <row r="337" spans="1:21" x14ac:dyDescent="0.35">
      <c r="A337" t="s">
        <v>14</v>
      </c>
      <c r="B337" t="s">
        <v>497</v>
      </c>
      <c r="C337" t="s">
        <v>662</v>
      </c>
      <c r="D337" t="s">
        <v>663</v>
      </c>
      <c r="E337" t="s">
        <v>664</v>
      </c>
      <c r="F337" t="s">
        <v>644</v>
      </c>
      <c r="G337" t="s">
        <v>1202</v>
      </c>
      <c r="H337" s="15">
        <v>46104</v>
      </c>
      <c r="I337" t="s">
        <v>1203</v>
      </c>
      <c r="J337" t="s">
        <v>16</v>
      </c>
      <c r="K337" t="s">
        <v>185</v>
      </c>
      <c r="N337">
        <v>0</v>
      </c>
      <c r="O337" t="s">
        <v>222</v>
      </c>
      <c r="P337">
        <v>0</v>
      </c>
      <c r="U337" s="15"/>
    </row>
    <row r="338" spans="1:21" x14ac:dyDescent="0.35">
      <c r="A338" t="s">
        <v>14</v>
      </c>
      <c r="B338" t="s">
        <v>497</v>
      </c>
      <c r="C338" t="s">
        <v>647</v>
      </c>
      <c r="D338" t="s">
        <v>648</v>
      </c>
      <c r="E338" t="s">
        <v>649</v>
      </c>
      <c r="F338" t="s">
        <v>644</v>
      </c>
      <c r="G338" t="s">
        <v>1202</v>
      </c>
      <c r="H338" s="15">
        <v>46104</v>
      </c>
      <c r="I338" t="s">
        <v>1204</v>
      </c>
      <c r="J338" t="s">
        <v>16</v>
      </c>
      <c r="K338" t="s">
        <v>185</v>
      </c>
      <c r="N338">
        <v>0</v>
      </c>
      <c r="O338" t="s">
        <v>222</v>
      </c>
      <c r="P338">
        <v>0</v>
      </c>
      <c r="U338" s="15"/>
    </row>
    <row r="339" spans="1:21" x14ac:dyDescent="0.35">
      <c r="A339" t="s">
        <v>14</v>
      </c>
      <c r="B339" t="s">
        <v>497</v>
      </c>
      <c r="C339" t="s">
        <v>536</v>
      </c>
      <c r="D339" t="s">
        <v>537</v>
      </c>
      <c r="E339" t="s">
        <v>538</v>
      </c>
      <c r="F339" t="s">
        <v>501</v>
      </c>
      <c r="G339" t="s">
        <v>1023</v>
      </c>
      <c r="H339" s="15">
        <v>46069</v>
      </c>
      <c r="I339" t="s">
        <v>1031</v>
      </c>
      <c r="J339" t="s">
        <v>16</v>
      </c>
      <c r="K339" t="s">
        <v>185</v>
      </c>
      <c r="N339">
        <v>0</v>
      </c>
      <c r="O339" t="s">
        <v>222</v>
      </c>
      <c r="P339">
        <v>0</v>
      </c>
      <c r="U339" s="15"/>
    </row>
    <row r="340" spans="1:21" x14ac:dyDescent="0.35">
      <c r="A340" t="s">
        <v>14</v>
      </c>
      <c r="B340" t="s">
        <v>497</v>
      </c>
      <c r="C340" t="s">
        <v>531</v>
      </c>
      <c r="D340" t="s">
        <v>532</v>
      </c>
      <c r="E340" t="s">
        <v>533</v>
      </c>
      <c r="F340" t="s">
        <v>501</v>
      </c>
      <c r="G340" t="s">
        <v>1042</v>
      </c>
      <c r="H340" s="15">
        <v>46069</v>
      </c>
      <c r="I340" t="s">
        <v>1043</v>
      </c>
      <c r="J340" t="s">
        <v>233</v>
      </c>
      <c r="K340" t="s">
        <v>185</v>
      </c>
      <c r="N340">
        <v>0</v>
      </c>
      <c r="O340" t="s">
        <v>222</v>
      </c>
      <c r="P340">
        <v>0</v>
      </c>
      <c r="U340" s="15"/>
    </row>
    <row r="341" spans="1:21" x14ac:dyDescent="0.35">
      <c r="A341" t="s">
        <v>14</v>
      </c>
      <c r="B341" t="s">
        <v>497</v>
      </c>
      <c r="C341" t="s">
        <v>651</v>
      </c>
      <c r="D341" t="s">
        <v>652</v>
      </c>
      <c r="E341" t="s">
        <v>653</v>
      </c>
      <c r="F341" t="s">
        <v>644</v>
      </c>
      <c r="G341" t="s">
        <v>1205</v>
      </c>
      <c r="H341" s="15">
        <v>46104</v>
      </c>
      <c r="I341" t="s">
        <v>1206</v>
      </c>
      <c r="J341" t="s">
        <v>233</v>
      </c>
      <c r="K341" t="s">
        <v>185</v>
      </c>
      <c r="N341">
        <v>0</v>
      </c>
      <c r="O341" t="s">
        <v>222</v>
      </c>
      <c r="P341">
        <v>0</v>
      </c>
      <c r="U341" s="15"/>
    </row>
    <row r="342" spans="1:21" x14ac:dyDescent="0.35">
      <c r="A342" t="s">
        <v>14</v>
      </c>
      <c r="B342" t="s">
        <v>497</v>
      </c>
      <c r="C342" t="s">
        <v>711</v>
      </c>
      <c r="D342" t="s">
        <v>712</v>
      </c>
      <c r="E342" t="s">
        <v>713</v>
      </c>
      <c r="F342" t="s">
        <v>644</v>
      </c>
      <c r="G342" t="s">
        <v>1207</v>
      </c>
      <c r="H342" s="15">
        <v>46105</v>
      </c>
      <c r="I342" t="s">
        <v>1208</v>
      </c>
      <c r="J342" t="s">
        <v>16</v>
      </c>
      <c r="K342" t="s">
        <v>185</v>
      </c>
      <c r="N342">
        <v>0</v>
      </c>
      <c r="O342" t="s">
        <v>222</v>
      </c>
      <c r="P342">
        <v>0</v>
      </c>
      <c r="U342" s="15"/>
    </row>
    <row r="343" spans="1:21" x14ac:dyDescent="0.35">
      <c r="A343" t="s">
        <v>14</v>
      </c>
      <c r="B343" t="s">
        <v>497</v>
      </c>
      <c r="C343" t="s">
        <v>515</v>
      </c>
      <c r="D343" t="s">
        <v>516</v>
      </c>
      <c r="E343" t="s">
        <v>517</v>
      </c>
      <c r="F343" t="s">
        <v>501</v>
      </c>
      <c r="G343" t="s">
        <v>1044</v>
      </c>
      <c r="H343" s="15">
        <v>46070</v>
      </c>
      <c r="I343" t="s">
        <v>1045</v>
      </c>
      <c r="J343" t="s">
        <v>16</v>
      </c>
      <c r="K343" t="s">
        <v>185</v>
      </c>
      <c r="N343">
        <v>0</v>
      </c>
      <c r="O343" t="s">
        <v>222</v>
      </c>
      <c r="P343">
        <v>0</v>
      </c>
      <c r="U343" s="15"/>
    </row>
    <row r="344" spans="1:21" x14ac:dyDescent="0.35">
      <c r="A344" t="s">
        <v>14</v>
      </c>
      <c r="B344" t="s">
        <v>497</v>
      </c>
      <c r="C344" t="s">
        <v>777</v>
      </c>
      <c r="D344" t="s">
        <v>778</v>
      </c>
      <c r="E344" t="s">
        <v>779</v>
      </c>
      <c r="F344" t="s">
        <v>644</v>
      </c>
      <c r="G344" t="s">
        <v>1209</v>
      </c>
      <c r="H344" s="15">
        <v>46105</v>
      </c>
      <c r="I344" t="s">
        <v>1210</v>
      </c>
      <c r="J344" t="s">
        <v>233</v>
      </c>
      <c r="K344" t="s">
        <v>185</v>
      </c>
      <c r="N344">
        <v>0</v>
      </c>
      <c r="O344" t="s">
        <v>222</v>
      </c>
      <c r="P344">
        <v>0</v>
      </c>
      <c r="U344" s="15"/>
    </row>
    <row r="345" spans="1:21" x14ac:dyDescent="0.35">
      <c r="A345" t="s">
        <v>14</v>
      </c>
      <c r="B345" t="s">
        <v>497</v>
      </c>
      <c r="C345" t="s">
        <v>662</v>
      </c>
      <c r="D345" t="s">
        <v>663</v>
      </c>
      <c r="E345" t="s">
        <v>664</v>
      </c>
      <c r="F345" t="s">
        <v>644</v>
      </c>
      <c r="G345" t="s">
        <v>1217</v>
      </c>
      <c r="H345" s="15">
        <v>46106</v>
      </c>
      <c r="I345" t="s">
        <v>1218</v>
      </c>
      <c r="J345" t="s">
        <v>16</v>
      </c>
      <c r="K345" t="s">
        <v>185</v>
      </c>
      <c r="N345">
        <v>0</v>
      </c>
      <c r="O345" t="s">
        <v>222</v>
      </c>
      <c r="P345">
        <v>0</v>
      </c>
      <c r="U345" s="15"/>
    </row>
    <row r="346" spans="1:21" x14ac:dyDescent="0.35">
      <c r="A346" t="s">
        <v>14</v>
      </c>
      <c r="B346" t="s">
        <v>497</v>
      </c>
      <c r="C346" t="s">
        <v>1058</v>
      </c>
      <c r="D346" t="s">
        <v>1059</v>
      </c>
      <c r="E346" t="s">
        <v>1060</v>
      </c>
      <c r="F346" t="s">
        <v>644</v>
      </c>
      <c r="G346" t="s">
        <v>1217</v>
      </c>
      <c r="H346" s="15">
        <v>46106</v>
      </c>
      <c r="I346" t="s">
        <v>1219</v>
      </c>
      <c r="J346" t="s">
        <v>16</v>
      </c>
      <c r="K346" t="s">
        <v>185</v>
      </c>
      <c r="N346">
        <v>0</v>
      </c>
      <c r="O346" t="s">
        <v>222</v>
      </c>
      <c r="P346">
        <v>0</v>
      </c>
      <c r="U346" s="15"/>
    </row>
    <row r="347" spans="1:21" x14ac:dyDescent="0.35">
      <c r="A347" t="s">
        <v>14</v>
      </c>
      <c r="B347" t="s">
        <v>497</v>
      </c>
      <c r="C347" t="s">
        <v>1058</v>
      </c>
      <c r="D347" t="s">
        <v>1059</v>
      </c>
      <c r="E347" t="s">
        <v>1060</v>
      </c>
      <c r="F347" t="s">
        <v>644</v>
      </c>
      <c r="G347" t="s">
        <v>1217</v>
      </c>
      <c r="H347" s="15">
        <v>46106</v>
      </c>
      <c r="I347" t="s">
        <v>1219</v>
      </c>
      <c r="J347" t="s">
        <v>16</v>
      </c>
      <c r="K347" t="s">
        <v>185</v>
      </c>
      <c r="N347">
        <v>0</v>
      </c>
      <c r="O347" t="s">
        <v>222</v>
      </c>
      <c r="P347">
        <v>0</v>
      </c>
      <c r="U347" s="15"/>
    </row>
    <row r="348" spans="1:21" x14ac:dyDescent="0.35">
      <c r="A348" t="s">
        <v>14</v>
      </c>
      <c r="B348" t="s">
        <v>497</v>
      </c>
      <c r="C348" t="s">
        <v>504</v>
      </c>
      <c r="D348" t="s">
        <v>505</v>
      </c>
      <c r="E348" t="s">
        <v>506</v>
      </c>
      <c r="F348" t="s">
        <v>501</v>
      </c>
      <c r="G348" t="s">
        <v>1044</v>
      </c>
      <c r="H348" s="15">
        <v>46070</v>
      </c>
      <c r="I348" t="s">
        <v>1046</v>
      </c>
      <c r="J348" t="s">
        <v>16</v>
      </c>
      <c r="K348" t="s">
        <v>185</v>
      </c>
      <c r="N348">
        <v>0</v>
      </c>
      <c r="O348" t="s">
        <v>222</v>
      </c>
      <c r="P348">
        <v>0</v>
      </c>
      <c r="U348" s="15"/>
    </row>
    <row r="349" spans="1:21" x14ac:dyDescent="0.35">
      <c r="A349" t="s">
        <v>14</v>
      </c>
      <c r="B349" t="s">
        <v>497</v>
      </c>
      <c r="C349" t="s">
        <v>765</v>
      </c>
      <c r="D349" t="s">
        <v>766</v>
      </c>
      <c r="E349" t="s">
        <v>767</v>
      </c>
      <c r="F349" t="s">
        <v>644</v>
      </c>
      <c r="G349" t="s">
        <v>1217</v>
      </c>
      <c r="H349" s="15">
        <v>46106</v>
      </c>
      <c r="I349" t="s">
        <v>1220</v>
      </c>
      <c r="J349" t="s">
        <v>16</v>
      </c>
      <c r="K349" t="s">
        <v>185</v>
      </c>
      <c r="N349">
        <v>0</v>
      </c>
      <c r="O349" t="s">
        <v>222</v>
      </c>
      <c r="P349">
        <v>0</v>
      </c>
      <c r="U349" s="15"/>
    </row>
    <row r="350" spans="1:21" x14ac:dyDescent="0.35">
      <c r="A350" t="s">
        <v>14</v>
      </c>
      <c r="B350" t="s">
        <v>497</v>
      </c>
      <c r="C350" t="s">
        <v>711</v>
      </c>
      <c r="D350" t="s">
        <v>712</v>
      </c>
      <c r="E350" t="s">
        <v>713</v>
      </c>
      <c r="F350" t="s">
        <v>644</v>
      </c>
      <c r="G350" t="s">
        <v>1223</v>
      </c>
      <c r="H350" s="15">
        <v>46106</v>
      </c>
      <c r="I350" t="s">
        <v>1224</v>
      </c>
      <c r="J350" t="s">
        <v>233</v>
      </c>
      <c r="K350" t="s">
        <v>185</v>
      </c>
      <c r="N350">
        <v>0</v>
      </c>
      <c r="O350" t="s">
        <v>222</v>
      </c>
      <c r="P350">
        <v>0</v>
      </c>
      <c r="U350" s="15"/>
    </row>
    <row r="351" spans="1:21" x14ac:dyDescent="0.35">
      <c r="A351" t="s">
        <v>14</v>
      </c>
      <c r="B351" t="s">
        <v>497</v>
      </c>
      <c r="C351" t="s">
        <v>651</v>
      </c>
      <c r="D351" t="s">
        <v>652</v>
      </c>
      <c r="E351" t="s">
        <v>653</v>
      </c>
      <c r="F351" t="s">
        <v>644</v>
      </c>
      <c r="G351" t="s">
        <v>1225</v>
      </c>
      <c r="H351" s="15">
        <v>46107</v>
      </c>
      <c r="I351" t="s">
        <v>1226</v>
      </c>
      <c r="J351" t="s">
        <v>16</v>
      </c>
      <c r="K351" t="s">
        <v>185</v>
      </c>
      <c r="N351">
        <v>0</v>
      </c>
      <c r="O351" t="s">
        <v>222</v>
      </c>
      <c r="P351">
        <v>0</v>
      </c>
      <c r="U351" s="15"/>
    </row>
    <row r="352" spans="1:21" x14ac:dyDescent="0.35">
      <c r="A352" t="s">
        <v>14</v>
      </c>
      <c r="B352" t="s">
        <v>497</v>
      </c>
      <c r="C352" t="s">
        <v>498</v>
      </c>
      <c r="D352" t="s">
        <v>499</v>
      </c>
      <c r="E352" t="s">
        <v>500</v>
      </c>
      <c r="F352" t="s">
        <v>501</v>
      </c>
      <c r="G352" t="s">
        <v>1052</v>
      </c>
      <c r="H352" s="15">
        <v>46070</v>
      </c>
      <c r="I352" t="s">
        <v>1053</v>
      </c>
      <c r="J352" t="s">
        <v>233</v>
      </c>
      <c r="K352" t="s">
        <v>185</v>
      </c>
      <c r="N352">
        <v>0</v>
      </c>
      <c r="O352" t="s">
        <v>222</v>
      </c>
      <c r="P352">
        <v>0</v>
      </c>
      <c r="U352" s="15"/>
    </row>
    <row r="353" spans="1:21" x14ac:dyDescent="0.35">
      <c r="A353" t="s">
        <v>14</v>
      </c>
      <c r="B353" t="s">
        <v>497</v>
      </c>
      <c r="C353" t="s">
        <v>552</v>
      </c>
      <c r="D353" t="s">
        <v>553</v>
      </c>
      <c r="E353" t="s">
        <v>554</v>
      </c>
      <c r="F353" t="s">
        <v>501</v>
      </c>
      <c r="G353" t="s">
        <v>1054</v>
      </c>
      <c r="H353" s="15">
        <v>46071</v>
      </c>
      <c r="I353" t="s">
        <v>1055</v>
      </c>
      <c r="J353" t="s">
        <v>16</v>
      </c>
      <c r="K353" t="s">
        <v>185</v>
      </c>
      <c r="N353">
        <v>0</v>
      </c>
      <c r="O353" t="s">
        <v>222</v>
      </c>
      <c r="P353">
        <v>0</v>
      </c>
      <c r="U353" s="15"/>
    </row>
    <row r="354" spans="1:21" x14ac:dyDescent="0.35">
      <c r="A354" t="s">
        <v>14</v>
      </c>
      <c r="B354" t="s">
        <v>497</v>
      </c>
      <c r="C354" t="s">
        <v>757</v>
      </c>
      <c r="D354" t="s">
        <v>758</v>
      </c>
      <c r="E354" t="s">
        <v>759</v>
      </c>
      <c r="F354" t="s">
        <v>644</v>
      </c>
      <c r="G354" t="s">
        <v>1230</v>
      </c>
      <c r="H354" s="15">
        <v>46107</v>
      </c>
      <c r="I354" t="s">
        <v>1231</v>
      </c>
      <c r="J354" t="s">
        <v>233</v>
      </c>
      <c r="K354" t="s">
        <v>185</v>
      </c>
      <c r="N354">
        <v>0</v>
      </c>
      <c r="O354" t="s">
        <v>222</v>
      </c>
      <c r="P354">
        <v>0</v>
      </c>
      <c r="U354" s="15"/>
    </row>
    <row r="355" spans="1:21" x14ac:dyDescent="0.35">
      <c r="A355" t="s">
        <v>14</v>
      </c>
      <c r="B355" t="s">
        <v>497</v>
      </c>
      <c r="C355" t="s">
        <v>1232</v>
      </c>
      <c r="D355" t="s">
        <v>1233</v>
      </c>
      <c r="E355" t="s">
        <v>1234</v>
      </c>
      <c r="F355" t="s">
        <v>644</v>
      </c>
      <c r="G355" t="s">
        <v>1230</v>
      </c>
      <c r="H355" s="15">
        <v>46107</v>
      </c>
      <c r="I355" t="s">
        <v>1235</v>
      </c>
      <c r="J355" t="s">
        <v>233</v>
      </c>
      <c r="K355" t="s">
        <v>185</v>
      </c>
      <c r="N355">
        <v>0</v>
      </c>
      <c r="O355" t="s">
        <v>222</v>
      </c>
      <c r="P355">
        <v>0</v>
      </c>
      <c r="U355" s="15"/>
    </row>
    <row r="356" spans="1:21" x14ac:dyDescent="0.35">
      <c r="A356" t="s">
        <v>14</v>
      </c>
      <c r="B356" t="s">
        <v>497</v>
      </c>
      <c r="C356" t="s">
        <v>1164</v>
      </c>
      <c r="D356" t="s">
        <v>1165</v>
      </c>
      <c r="E356" t="s">
        <v>1166</v>
      </c>
      <c r="F356" t="s">
        <v>644</v>
      </c>
      <c r="G356" t="s">
        <v>1236</v>
      </c>
      <c r="H356" s="15">
        <v>46108</v>
      </c>
      <c r="I356" t="s">
        <v>1237</v>
      </c>
      <c r="J356" t="s">
        <v>16</v>
      </c>
      <c r="K356" t="s">
        <v>185</v>
      </c>
      <c r="N356">
        <v>0</v>
      </c>
      <c r="O356" t="s">
        <v>222</v>
      </c>
      <c r="P356">
        <v>0</v>
      </c>
      <c r="U356" s="15"/>
    </row>
    <row r="357" spans="1:21" x14ac:dyDescent="0.35">
      <c r="A357" t="s">
        <v>14</v>
      </c>
      <c r="B357" t="s">
        <v>497</v>
      </c>
      <c r="C357" t="s">
        <v>536</v>
      </c>
      <c r="D357" t="s">
        <v>537</v>
      </c>
      <c r="E357" t="s">
        <v>538</v>
      </c>
      <c r="F357" t="s">
        <v>501</v>
      </c>
      <c r="G357" t="s">
        <v>1054</v>
      </c>
      <c r="H357" s="15">
        <v>46071</v>
      </c>
      <c r="I357" t="s">
        <v>1063</v>
      </c>
      <c r="J357" t="s">
        <v>16</v>
      </c>
      <c r="K357" t="s">
        <v>185</v>
      </c>
      <c r="N357">
        <v>0</v>
      </c>
      <c r="O357" t="s">
        <v>222</v>
      </c>
      <c r="P357">
        <v>0</v>
      </c>
      <c r="U357" s="15"/>
    </row>
    <row r="358" spans="1:21" x14ac:dyDescent="0.35">
      <c r="A358" t="s">
        <v>14</v>
      </c>
      <c r="B358" t="s">
        <v>497</v>
      </c>
      <c r="C358" t="s">
        <v>531</v>
      </c>
      <c r="D358" t="s">
        <v>532</v>
      </c>
      <c r="E358" t="s">
        <v>533</v>
      </c>
      <c r="F358" t="s">
        <v>501</v>
      </c>
      <c r="G358" t="s">
        <v>1068</v>
      </c>
      <c r="H358" s="15">
        <v>46071</v>
      </c>
      <c r="I358" t="s">
        <v>1069</v>
      </c>
      <c r="J358" t="s">
        <v>233</v>
      </c>
      <c r="K358" t="s">
        <v>185</v>
      </c>
      <c r="N358">
        <v>0</v>
      </c>
      <c r="O358" t="s">
        <v>222</v>
      </c>
      <c r="P358">
        <v>0</v>
      </c>
      <c r="U358" s="15"/>
    </row>
    <row r="359" spans="1:21" x14ac:dyDescent="0.35">
      <c r="A359" t="s">
        <v>14</v>
      </c>
      <c r="B359" t="s">
        <v>497</v>
      </c>
      <c r="C359" t="s">
        <v>737</v>
      </c>
      <c r="D359" t="s">
        <v>738</v>
      </c>
      <c r="E359" t="s">
        <v>739</v>
      </c>
      <c r="F359" t="s">
        <v>644</v>
      </c>
      <c r="G359" t="s">
        <v>1236</v>
      </c>
      <c r="H359" s="15">
        <v>46108</v>
      </c>
      <c r="I359" t="s">
        <v>1242</v>
      </c>
      <c r="J359" t="s">
        <v>16</v>
      </c>
      <c r="K359" t="s">
        <v>185</v>
      </c>
      <c r="N359">
        <v>0</v>
      </c>
      <c r="O359" t="s">
        <v>222</v>
      </c>
      <c r="P359">
        <v>0</v>
      </c>
      <c r="U359" s="15"/>
    </row>
    <row r="360" spans="1:21" x14ac:dyDescent="0.35">
      <c r="A360" t="s">
        <v>14</v>
      </c>
      <c r="B360" t="s">
        <v>497</v>
      </c>
      <c r="C360" t="s">
        <v>1243</v>
      </c>
      <c r="D360" t="s">
        <v>1244</v>
      </c>
      <c r="E360" t="s">
        <v>1245</v>
      </c>
      <c r="F360" t="s">
        <v>644</v>
      </c>
      <c r="G360" t="s">
        <v>1236</v>
      </c>
      <c r="H360" s="15">
        <v>46108</v>
      </c>
      <c r="I360" t="s">
        <v>1246</v>
      </c>
      <c r="J360" t="s">
        <v>16</v>
      </c>
      <c r="K360" t="s">
        <v>185</v>
      </c>
      <c r="N360">
        <v>0</v>
      </c>
      <c r="O360" t="s">
        <v>222</v>
      </c>
      <c r="P360">
        <v>0</v>
      </c>
      <c r="U360" s="15"/>
    </row>
    <row r="361" spans="1:21" x14ac:dyDescent="0.35">
      <c r="A361" t="s">
        <v>14</v>
      </c>
      <c r="B361" t="s">
        <v>497</v>
      </c>
      <c r="C361" t="s">
        <v>651</v>
      </c>
      <c r="D361" t="s">
        <v>652</v>
      </c>
      <c r="E361" t="s">
        <v>653</v>
      </c>
      <c r="F361" t="s">
        <v>644</v>
      </c>
      <c r="G361" t="s">
        <v>1247</v>
      </c>
      <c r="H361" s="15">
        <v>46108</v>
      </c>
      <c r="I361" t="s">
        <v>1248</v>
      </c>
      <c r="J361" t="s">
        <v>233</v>
      </c>
      <c r="K361" t="s">
        <v>185</v>
      </c>
      <c r="N361">
        <v>0</v>
      </c>
      <c r="O361" t="s">
        <v>222</v>
      </c>
      <c r="P361">
        <v>0</v>
      </c>
      <c r="U361" s="15"/>
    </row>
    <row r="362" spans="1:21" x14ac:dyDescent="0.35">
      <c r="A362" t="s">
        <v>14</v>
      </c>
      <c r="B362" t="s">
        <v>497</v>
      </c>
      <c r="C362" t="s">
        <v>1255</v>
      </c>
      <c r="D362" t="s">
        <v>1256</v>
      </c>
      <c r="E362" t="s">
        <v>1257</v>
      </c>
      <c r="F362" t="s">
        <v>644</v>
      </c>
      <c r="G362" t="s">
        <v>1258</v>
      </c>
      <c r="H362" s="15">
        <v>46109</v>
      </c>
      <c r="I362" t="s">
        <v>1259</v>
      </c>
      <c r="J362" t="s">
        <v>16</v>
      </c>
      <c r="K362" t="s">
        <v>185</v>
      </c>
      <c r="N362">
        <v>0</v>
      </c>
      <c r="O362" t="s">
        <v>222</v>
      </c>
      <c r="P362">
        <v>0</v>
      </c>
      <c r="U362" s="15"/>
    </row>
    <row r="363" spans="1:21" x14ac:dyDescent="0.35">
      <c r="A363" t="s">
        <v>14</v>
      </c>
      <c r="B363" t="s">
        <v>497</v>
      </c>
      <c r="C363" t="s">
        <v>651</v>
      </c>
      <c r="D363" t="s">
        <v>652</v>
      </c>
      <c r="E363" t="s">
        <v>653</v>
      </c>
      <c r="F363" t="s">
        <v>644</v>
      </c>
      <c r="G363" t="s">
        <v>1260</v>
      </c>
      <c r="H363" s="15">
        <v>46109</v>
      </c>
      <c r="I363" t="s">
        <v>1261</v>
      </c>
      <c r="J363" t="s">
        <v>233</v>
      </c>
      <c r="K363" t="s">
        <v>185</v>
      </c>
      <c r="N363">
        <v>0</v>
      </c>
      <c r="O363" t="s">
        <v>222</v>
      </c>
      <c r="P363">
        <v>0</v>
      </c>
      <c r="U363" s="15"/>
    </row>
    <row r="364" spans="1:21" x14ac:dyDescent="0.35">
      <c r="A364" t="s">
        <v>14</v>
      </c>
      <c r="B364" t="s">
        <v>497</v>
      </c>
      <c r="C364" t="s">
        <v>641</v>
      </c>
      <c r="D364" t="s">
        <v>642</v>
      </c>
      <c r="E364" t="s">
        <v>643</v>
      </c>
      <c r="F364" t="s">
        <v>644</v>
      </c>
      <c r="G364" t="s">
        <v>1262</v>
      </c>
      <c r="H364" s="15">
        <v>46111</v>
      </c>
      <c r="I364" t="s">
        <v>1263</v>
      </c>
      <c r="J364" t="s">
        <v>233</v>
      </c>
      <c r="K364" t="s">
        <v>185</v>
      </c>
      <c r="N364">
        <v>0</v>
      </c>
      <c r="O364" t="s">
        <v>222</v>
      </c>
      <c r="P364">
        <v>0</v>
      </c>
      <c r="U364" s="15"/>
    </row>
    <row r="365" spans="1:21" x14ac:dyDescent="0.35">
      <c r="A365" t="s">
        <v>14</v>
      </c>
      <c r="B365" t="s">
        <v>497</v>
      </c>
      <c r="C365" t="s">
        <v>515</v>
      </c>
      <c r="D365" t="s">
        <v>516</v>
      </c>
      <c r="E365" t="s">
        <v>517</v>
      </c>
      <c r="F365" t="s">
        <v>501</v>
      </c>
      <c r="G365" t="s">
        <v>1070</v>
      </c>
      <c r="H365" s="15">
        <v>46072</v>
      </c>
      <c r="I365" t="s">
        <v>1071</v>
      </c>
      <c r="J365" t="s">
        <v>16</v>
      </c>
      <c r="K365" t="s">
        <v>185</v>
      </c>
      <c r="N365">
        <v>0</v>
      </c>
      <c r="O365" t="s">
        <v>222</v>
      </c>
      <c r="P365">
        <v>0</v>
      </c>
      <c r="U365" s="15"/>
    </row>
    <row r="366" spans="1:21" x14ac:dyDescent="0.35">
      <c r="A366" t="s">
        <v>14</v>
      </c>
      <c r="B366" t="s">
        <v>497</v>
      </c>
      <c r="C366" t="s">
        <v>504</v>
      </c>
      <c r="D366" t="s">
        <v>505</v>
      </c>
      <c r="E366" t="s">
        <v>506</v>
      </c>
      <c r="F366" t="s">
        <v>501</v>
      </c>
      <c r="G366" t="s">
        <v>1070</v>
      </c>
      <c r="H366" s="15">
        <v>46072</v>
      </c>
      <c r="I366" t="s">
        <v>1072</v>
      </c>
      <c r="J366" t="s">
        <v>16</v>
      </c>
      <c r="K366" t="s">
        <v>185</v>
      </c>
      <c r="N366">
        <v>0</v>
      </c>
      <c r="O366" t="s">
        <v>222</v>
      </c>
      <c r="P366">
        <v>0</v>
      </c>
      <c r="U366" s="15"/>
    </row>
    <row r="367" spans="1:21" x14ac:dyDescent="0.35">
      <c r="A367" t="s">
        <v>14</v>
      </c>
      <c r="B367" t="s">
        <v>497</v>
      </c>
      <c r="C367" t="s">
        <v>1255</v>
      </c>
      <c r="D367" t="s">
        <v>1256</v>
      </c>
      <c r="E367" t="s">
        <v>1257</v>
      </c>
      <c r="F367" t="s">
        <v>644</v>
      </c>
      <c r="G367" t="s">
        <v>1262</v>
      </c>
      <c r="H367" s="15">
        <v>46111</v>
      </c>
      <c r="I367" t="s">
        <v>1266</v>
      </c>
      <c r="J367" t="s">
        <v>233</v>
      </c>
      <c r="K367" t="s">
        <v>185</v>
      </c>
      <c r="N367">
        <v>0</v>
      </c>
      <c r="O367" t="s">
        <v>222</v>
      </c>
      <c r="P367">
        <v>0</v>
      </c>
      <c r="U367" s="15"/>
    </row>
    <row r="368" spans="1:21" x14ac:dyDescent="0.35">
      <c r="A368" t="s">
        <v>14</v>
      </c>
      <c r="B368" t="s">
        <v>497</v>
      </c>
      <c r="C368" t="s">
        <v>651</v>
      </c>
      <c r="D368" t="s">
        <v>652</v>
      </c>
      <c r="E368" t="s">
        <v>653</v>
      </c>
      <c r="F368" t="s">
        <v>644</v>
      </c>
      <c r="G368" t="s">
        <v>1267</v>
      </c>
      <c r="H368" s="15">
        <v>46112</v>
      </c>
      <c r="I368" t="s">
        <v>1268</v>
      </c>
      <c r="J368" t="s">
        <v>233</v>
      </c>
      <c r="K368" t="s">
        <v>185</v>
      </c>
      <c r="N368">
        <v>0</v>
      </c>
      <c r="O368" t="s">
        <v>222</v>
      </c>
      <c r="P368">
        <v>0</v>
      </c>
      <c r="U368" s="15"/>
    </row>
    <row r="369" spans="1:21" x14ac:dyDescent="0.35">
      <c r="A369" t="s">
        <v>14</v>
      </c>
      <c r="B369" t="s">
        <v>497</v>
      </c>
      <c r="C369" t="s">
        <v>1255</v>
      </c>
      <c r="D369" t="s">
        <v>1256</v>
      </c>
      <c r="E369" t="s">
        <v>1257</v>
      </c>
      <c r="F369" t="s">
        <v>644</v>
      </c>
      <c r="G369" t="s">
        <v>1267</v>
      </c>
      <c r="H369" s="15">
        <v>46112</v>
      </c>
      <c r="I369" t="s">
        <v>1269</v>
      </c>
      <c r="J369" t="s">
        <v>233</v>
      </c>
      <c r="K369" t="s">
        <v>185</v>
      </c>
      <c r="N369">
        <v>0</v>
      </c>
      <c r="O369" t="s">
        <v>222</v>
      </c>
      <c r="P369">
        <v>0</v>
      </c>
      <c r="U369" s="15"/>
    </row>
    <row r="370" spans="1:21" x14ac:dyDescent="0.35">
      <c r="A370" t="s">
        <v>14</v>
      </c>
      <c r="B370" t="s">
        <v>497</v>
      </c>
      <c r="C370" t="s">
        <v>977</v>
      </c>
      <c r="D370" t="s">
        <v>978</v>
      </c>
      <c r="E370" t="s">
        <v>979</v>
      </c>
      <c r="F370" t="s">
        <v>501</v>
      </c>
      <c r="G370" t="s">
        <v>1078</v>
      </c>
      <c r="H370" s="15">
        <v>46072</v>
      </c>
      <c r="I370" t="s">
        <v>1079</v>
      </c>
      <c r="J370" t="s">
        <v>233</v>
      </c>
      <c r="K370" t="s">
        <v>185</v>
      </c>
      <c r="N370">
        <v>0</v>
      </c>
      <c r="O370" t="s">
        <v>222</v>
      </c>
      <c r="P370">
        <v>0</v>
      </c>
      <c r="U370" s="15"/>
    </row>
    <row r="371" spans="1:21" x14ac:dyDescent="0.35">
      <c r="A371" t="s">
        <v>14</v>
      </c>
      <c r="B371" t="s">
        <v>497</v>
      </c>
      <c r="C371" t="s">
        <v>515</v>
      </c>
      <c r="D371" t="s">
        <v>516</v>
      </c>
      <c r="E371" t="s">
        <v>517</v>
      </c>
      <c r="F371" t="s">
        <v>501</v>
      </c>
      <c r="G371" t="s">
        <v>1080</v>
      </c>
      <c r="H371" s="15">
        <v>46073</v>
      </c>
      <c r="I371" t="s">
        <v>1081</v>
      </c>
      <c r="J371" t="s">
        <v>16</v>
      </c>
      <c r="K371" t="s">
        <v>185</v>
      </c>
      <c r="N371">
        <v>0</v>
      </c>
      <c r="O371" t="s">
        <v>222</v>
      </c>
      <c r="P371">
        <v>0</v>
      </c>
      <c r="U371" s="15"/>
    </row>
    <row r="372" spans="1:21" x14ac:dyDescent="0.35">
      <c r="A372" t="s">
        <v>14</v>
      </c>
      <c r="B372" t="s">
        <v>497</v>
      </c>
      <c r="C372" t="s">
        <v>515</v>
      </c>
      <c r="D372" t="s">
        <v>516</v>
      </c>
      <c r="E372" t="s">
        <v>517</v>
      </c>
      <c r="F372" t="s">
        <v>501</v>
      </c>
      <c r="G372" t="s">
        <v>1080</v>
      </c>
      <c r="H372" s="15">
        <v>46073</v>
      </c>
      <c r="I372" t="s">
        <v>1081</v>
      </c>
      <c r="J372" t="s">
        <v>16</v>
      </c>
      <c r="K372" t="s">
        <v>185</v>
      </c>
      <c r="N372">
        <v>0</v>
      </c>
      <c r="O372" t="s">
        <v>222</v>
      </c>
      <c r="P372">
        <v>0</v>
      </c>
      <c r="U372" s="15"/>
    </row>
    <row r="373" spans="1:21" x14ac:dyDescent="0.35">
      <c r="A373" t="s">
        <v>14</v>
      </c>
      <c r="B373" t="s">
        <v>497</v>
      </c>
      <c r="C373" t="s">
        <v>1255</v>
      </c>
      <c r="D373" t="s">
        <v>1256</v>
      </c>
      <c r="E373" t="s">
        <v>1257</v>
      </c>
      <c r="F373" t="s">
        <v>644</v>
      </c>
      <c r="G373" t="s">
        <v>1273</v>
      </c>
      <c r="H373" s="15">
        <v>46112</v>
      </c>
      <c r="I373" t="s">
        <v>1274</v>
      </c>
      <c r="J373" t="s">
        <v>16</v>
      </c>
      <c r="K373" t="s">
        <v>185</v>
      </c>
      <c r="N373">
        <v>0</v>
      </c>
      <c r="O373" t="s">
        <v>222</v>
      </c>
      <c r="P373">
        <v>0</v>
      </c>
      <c r="U373" s="15"/>
    </row>
    <row r="374" spans="1:21" x14ac:dyDescent="0.35">
      <c r="A374" t="s">
        <v>14</v>
      </c>
      <c r="B374" t="s">
        <v>497</v>
      </c>
      <c r="C374" t="s">
        <v>662</v>
      </c>
      <c r="D374" t="s">
        <v>663</v>
      </c>
      <c r="E374" t="s">
        <v>664</v>
      </c>
      <c r="F374" t="s">
        <v>644</v>
      </c>
      <c r="G374" t="s">
        <v>1277</v>
      </c>
      <c r="H374" s="15">
        <v>46113</v>
      </c>
      <c r="I374" t="s">
        <v>1278</v>
      </c>
      <c r="J374" t="s">
        <v>16</v>
      </c>
      <c r="K374" t="s">
        <v>185</v>
      </c>
      <c r="N374">
        <v>0</v>
      </c>
      <c r="O374" t="s">
        <v>222</v>
      </c>
      <c r="P374">
        <v>0</v>
      </c>
      <c r="U374" s="15"/>
    </row>
    <row r="375" spans="1:21" x14ac:dyDescent="0.35">
      <c r="A375" t="s">
        <v>14</v>
      </c>
      <c r="B375" t="s">
        <v>497</v>
      </c>
      <c r="C375" t="s">
        <v>504</v>
      </c>
      <c r="D375" t="s">
        <v>505</v>
      </c>
      <c r="E375" t="s">
        <v>506</v>
      </c>
      <c r="F375" t="s">
        <v>501</v>
      </c>
      <c r="G375" t="s">
        <v>1080</v>
      </c>
      <c r="H375" s="15">
        <v>46073</v>
      </c>
      <c r="I375" t="s">
        <v>1082</v>
      </c>
      <c r="J375" t="s">
        <v>16</v>
      </c>
      <c r="K375" t="s">
        <v>185</v>
      </c>
      <c r="N375">
        <v>0</v>
      </c>
      <c r="O375" t="s">
        <v>222</v>
      </c>
      <c r="P375">
        <v>0</v>
      </c>
      <c r="U375" s="15"/>
    </row>
    <row r="376" spans="1:21" x14ac:dyDescent="0.35">
      <c r="A376" t="s">
        <v>14</v>
      </c>
      <c r="B376" t="s">
        <v>497</v>
      </c>
      <c r="C376" t="s">
        <v>658</v>
      </c>
      <c r="D376" t="s">
        <v>659</v>
      </c>
      <c r="E376" t="s">
        <v>660</v>
      </c>
      <c r="F376" t="s">
        <v>644</v>
      </c>
      <c r="G376" t="s">
        <v>1282</v>
      </c>
      <c r="H376" s="15">
        <v>46113</v>
      </c>
      <c r="I376" t="s">
        <v>1283</v>
      </c>
      <c r="J376" t="s">
        <v>233</v>
      </c>
      <c r="K376" t="s">
        <v>185</v>
      </c>
      <c r="N376">
        <v>0</v>
      </c>
      <c r="O376" t="s">
        <v>222</v>
      </c>
      <c r="P376">
        <v>0</v>
      </c>
      <c r="U376" s="15"/>
    </row>
    <row r="377" spans="1:21" x14ac:dyDescent="0.35">
      <c r="A377" t="s">
        <v>14</v>
      </c>
      <c r="B377" t="s">
        <v>497</v>
      </c>
      <c r="C377" t="s">
        <v>811</v>
      </c>
      <c r="D377" t="s">
        <v>812</v>
      </c>
      <c r="E377" t="s">
        <v>813</v>
      </c>
      <c r="F377" t="s">
        <v>644</v>
      </c>
      <c r="G377" t="s">
        <v>1282</v>
      </c>
      <c r="H377" s="15">
        <v>46113</v>
      </c>
      <c r="I377" t="s">
        <v>1284</v>
      </c>
      <c r="J377" t="s">
        <v>233</v>
      </c>
      <c r="K377" t="s">
        <v>185</v>
      </c>
      <c r="N377">
        <v>0</v>
      </c>
      <c r="O377" t="s">
        <v>222</v>
      </c>
      <c r="P377">
        <v>0</v>
      </c>
      <c r="U377" s="15"/>
    </row>
    <row r="378" spans="1:21" x14ac:dyDescent="0.35">
      <c r="A378" t="s">
        <v>14</v>
      </c>
      <c r="B378" t="s">
        <v>497</v>
      </c>
      <c r="C378" t="s">
        <v>1255</v>
      </c>
      <c r="D378" t="s">
        <v>1256</v>
      </c>
      <c r="E378" t="s">
        <v>1257</v>
      </c>
      <c r="F378" t="s">
        <v>644</v>
      </c>
      <c r="G378" t="s">
        <v>1289</v>
      </c>
      <c r="H378" s="15">
        <v>46114</v>
      </c>
      <c r="I378" t="s">
        <v>1290</v>
      </c>
      <c r="J378" t="s">
        <v>16</v>
      </c>
      <c r="K378" t="s">
        <v>185</v>
      </c>
      <c r="N378">
        <v>0</v>
      </c>
      <c r="O378" t="s">
        <v>222</v>
      </c>
      <c r="P378">
        <v>0</v>
      </c>
      <c r="U378" s="15"/>
    </row>
    <row r="379" spans="1:21" x14ac:dyDescent="0.35">
      <c r="A379" t="s">
        <v>14</v>
      </c>
      <c r="B379" t="s">
        <v>497</v>
      </c>
      <c r="C379" t="s">
        <v>651</v>
      </c>
      <c r="D379" t="s">
        <v>652</v>
      </c>
      <c r="E379" t="s">
        <v>653</v>
      </c>
      <c r="F379" t="s">
        <v>644</v>
      </c>
      <c r="G379" t="s">
        <v>1289</v>
      </c>
      <c r="H379" s="15">
        <v>46114</v>
      </c>
      <c r="I379" t="s">
        <v>1291</v>
      </c>
      <c r="J379" t="s">
        <v>16</v>
      </c>
      <c r="K379" t="s">
        <v>185</v>
      </c>
      <c r="N379">
        <v>0</v>
      </c>
      <c r="O379" t="s">
        <v>222</v>
      </c>
      <c r="P379">
        <v>0</v>
      </c>
      <c r="U379" s="15"/>
    </row>
    <row r="380" spans="1:21" x14ac:dyDescent="0.35">
      <c r="A380" t="s">
        <v>14</v>
      </c>
      <c r="B380" t="s">
        <v>497</v>
      </c>
      <c r="C380" t="s">
        <v>498</v>
      </c>
      <c r="D380" t="s">
        <v>499</v>
      </c>
      <c r="E380" t="s">
        <v>500</v>
      </c>
      <c r="F380" t="s">
        <v>501</v>
      </c>
      <c r="G380" t="s">
        <v>1088</v>
      </c>
      <c r="H380" s="15">
        <v>46073</v>
      </c>
      <c r="I380" t="s">
        <v>1089</v>
      </c>
      <c r="J380" t="s">
        <v>233</v>
      </c>
      <c r="K380" t="s">
        <v>185</v>
      </c>
      <c r="N380">
        <v>0</v>
      </c>
      <c r="O380" t="s">
        <v>222</v>
      </c>
      <c r="P380">
        <v>0</v>
      </c>
      <c r="U380" s="15"/>
    </row>
    <row r="381" spans="1:21" x14ac:dyDescent="0.35">
      <c r="A381" t="s">
        <v>14</v>
      </c>
      <c r="B381" t="s">
        <v>497</v>
      </c>
      <c r="C381" t="s">
        <v>498</v>
      </c>
      <c r="D381" t="s">
        <v>499</v>
      </c>
      <c r="E381" t="s">
        <v>500</v>
      </c>
      <c r="F381" t="s">
        <v>501</v>
      </c>
      <c r="G381" t="s">
        <v>1090</v>
      </c>
      <c r="H381" s="15">
        <v>46074</v>
      </c>
      <c r="I381" t="s">
        <v>1091</v>
      </c>
      <c r="J381" t="s">
        <v>16</v>
      </c>
      <c r="K381" t="s">
        <v>185</v>
      </c>
      <c r="N381">
        <v>0</v>
      </c>
      <c r="O381" t="s">
        <v>222</v>
      </c>
      <c r="P381">
        <v>0</v>
      </c>
      <c r="U381" s="15"/>
    </row>
    <row r="382" spans="1:21" x14ac:dyDescent="0.35">
      <c r="A382" t="s">
        <v>14</v>
      </c>
      <c r="B382" t="s">
        <v>497</v>
      </c>
      <c r="C382" t="s">
        <v>504</v>
      </c>
      <c r="D382" t="s">
        <v>505</v>
      </c>
      <c r="E382" t="s">
        <v>506</v>
      </c>
      <c r="F382" t="s">
        <v>501</v>
      </c>
      <c r="G382" t="s">
        <v>1090</v>
      </c>
      <c r="H382" s="15">
        <v>46074</v>
      </c>
      <c r="I382" t="s">
        <v>1092</v>
      </c>
      <c r="J382" t="s">
        <v>16</v>
      </c>
      <c r="K382" t="s">
        <v>185</v>
      </c>
      <c r="N382">
        <v>0</v>
      </c>
      <c r="O382" t="s">
        <v>222</v>
      </c>
      <c r="P382">
        <v>0</v>
      </c>
      <c r="U382" s="15"/>
    </row>
    <row r="383" spans="1:21" x14ac:dyDescent="0.35">
      <c r="A383" t="s">
        <v>14</v>
      </c>
      <c r="B383" t="s">
        <v>497</v>
      </c>
      <c r="C383" t="s">
        <v>1255</v>
      </c>
      <c r="D383" t="s">
        <v>1256</v>
      </c>
      <c r="E383" t="s">
        <v>1257</v>
      </c>
      <c r="F383" t="s">
        <v>644</v>
      </c>
      <c r="G383" t="s">
        <v>1297</v>
      </c>
      <c r="H383" s="15">
        <v>46114</v>
      </c>
      <c r="I383" t="s">
        <v>1298</v>
      </c>
      <c r="J383" t="s">
        <v>233</v>
      </c>
      <c r="K383" t="s">
        <v>185</v>
      </c>
      <c r="N383">
        <v>0</v>
      </c>
      <c r="O383" t="s">
        <v>222</v>
      </c>
      <c r="P383">
        <v>0</v>
      </c>
      <c r="U383" s="15"/>
    </row>
    <row r="384" spans="1:21" x14ac:dyDescent="0.35">
      <c r="A384" t="s">
        <v>14</v>
      </c>
      <c r="B384" t="s">
        <v>497</v>
      </c>
      <c r="C384" t="s">
        <v>1058</v>
      </c>
      <c r="D384" t="s">
        <v>1059</v>
      </c>
      <c r="E384" t="s">
        <v>1060</v>
      </c>
      <c r="F384" t="s">
        <v>644</v>
      </c>
      <c r="G384" t="s">
        <v>1297</v>
      </c>
      <c r="H384" s="15">
        <v>46114</v>
      </c>
      <c r="I384" t="s">
        <v>1299</v>
      </c>
      <c r="J384" t="s">
        <v>233</v>
      </c>
      <c r="K384" t="s">
        <v>185</v>
      </c>
      <c r="N384">
        <v>0</v>
      </c>
      <c r="O384" t="s">
        <v>222</v>
      </c>
      <c r="P384">
        <v>0</v>
      </c>
      <c r="U384" s="15"/>
    </row>
    <row r="385" spans="1:21" x14ac:dyDescent="0.35">
      <c r="A385" t="s">
        <v>14</v>
      </c>
      <c r="B385" t="s">
        <v>497</v>
      </c>
      <c r="C385" t="s">
        <v>641</v>
      </c>
      <c r="D385" t="s">
        <v>642</v>
      </c>
      <c r="E385" t="s">
        <v>643</v>
      </c>
      <c r="F385" t="s">
        <v>644</v>
      </c>
      <c r="G385" t="s">
        <v>1300</v>
      </c>
      <c r="H385" s="15">
        <v>46115</v>
      </c>
      <c r="I385" t="s">
        <v>1301</v>
      </c>
      <c r="J385" t="s">
        <v>16</v>
      </c>
      <c r="K385" t="s">
        <v>185</v>
      </c>
      <c r="N385">
        <v>0</v>
      </c>
      <c r="O385" t="s">
        <v>222</v>
      </c>
      <c r="P385">
        <v>0</v>
      </c>
      <c r="U385" s="15"/>
    </row>
    <row r="386" spans="1:21" x14ac:dyDescent="0.35">
      <c r="A386" t="s">
        <v>14</v>
      </c>
      <c r="B386" t="s">
        <v>497</v>
      </c>
      <c r="C386" t="s">
        <v>498</v>
      </c>
      <c r="D386" t="s">
        <v>499</v>
      </c>
      <c r="E386" t="s">
        <v>500</v>
      </c>
      <c r="F386" t="s">
        <v>501</v>
      </c>
      <c r="G386" t="s">
        <v>1098</v>
      </c>
      <c r="H386" s="15">
        <v>46074</v>
      </c>
      <c r="I386" t="s">
        <v>1099</v>
      </c>
      <c r="J386" t="s">
        <v>233</v>
      </c>
      <c r="K386" t="s">
        <v>185</v>
      </c>
      <c r="N386">
        <v>0</v>
      </c>
      <c r="O386" t="s">
        <v>222</v>
      </c>
      <c r="P386">
        <v>0</v>
      </c>
      <c r="U386" s="15"/>
    </row>
    <row r="387" spans="1:21" x14ac:dyDescent="0.35">
      <c r="A387" t="s">
        <v>14</v>
      </c>
      <c r="B387" t="s">
        <v>497</v>
      </c>
      <c r="C387" t="s">
        <v>515</v>
      </c>
      <c r="D387" t="s">
        <v>516</v>
      </c>
      <c r="E387" t="s">
        <v>517</v>
      </c>
      <c r="F387" t="s">
        <v>501</v>
      </c>
      <c r="G387" t="s">
        <v>1100</v>
      </c>
      <c r="H387" s="15">
        <v>46076</v>
      </c>
      <c r="I387" t="s">
        <v>1101</v>
      </c>
      <c r="J387" t="s">
        <v>233</v>
      </c>
      <c r="K387" t="s">
        <v>185</v>
      </c>
      <c r="N387">
        <v>0</v>
      </c>
      <c r="O387" t="s">
        <v>222</v>
      </c>
      <c r="P387">
        <v>0</v>
      </c>
      <c r="U387" s="15"/>
    </row>
    <row r="388" spans="1:21" x14ac:dyDescent="0.35">
      <c r="A388" t="s">
        <v>14</v>
      </c>
      <c r="B388" t="s">
        <v>497</v>
      </c>
      <c r="C388" t="s">
        <v>682</v>
      </c>
      <c r="D388" t="s">
        <v>683</v>
      </c>
      <c r="E388" t="s">
        <v>683</v>
      </c>
      <c r="F388" t="s">
        <v>644</v>
      </c>
      <c r="G388" t="s">
        <v>1300</v>
      </c>
      <c r="H388" s="15">
        <v>46115</v>
      </c>
      <c r="I388" t="s">
        <v>1305</v>
      </c>
      <c r="J388" t="s">
        <v>16</v>
      </c>
      <c r="K388" t="s">
        <v>185</v>
      </c>
      <c r="N388">
        <v>0</v>
      </c>
      <c r="O388" t="s">
        <v>222</v>
      </c>
      <c r="P388">
        <v>0</v>
      </c>
      <c r="U388" s="15"/>
    </row>
    <row r="389" spans="1:21" x14ac:dyDescent="0.35">
      <c r="A389" t="s">
        <v>14</v>
      </c>
      <c r="B389" t="s">
        <v>497</v>
      </c>
      <c r="C389" t="s">
        <v>750</v>
      </c>
      <c r="D389" t="s">
        <v>751</v>
      </c>
      <c r="E389" t="s">
        <v>752</v>
      </c>
      <c r="F389" t="s">
        <v>644</v>
      </c>
      <c r="G389" t="s">
        <v>1306</v>
      </c>
      <c r="H389" s="15">
        <v>46115</v>
      </c>
      <c r="I389" t="s">
        <v>1307</v>
      </c>
      <c r="J389" t="s">
        <v>233</v>
      </c>
      <c r="K389" t="s">
        <v>185</v>
      </c>
      <c r="N389">
        <v>0</v>
      </c>
      <c r="O389" t="s">
        <v>222</v>
      </c>
      <c r="P389">
        <v>0</v>
      </c>
      <c r="U389" s="15"/>
    </row>
    <row r="390" spans="1:21" x14ac:dyDescent="0.35">
      <c r="A390" t="s">
        <v>14</v>
      </c>
      <c r="B390" t="s">
        <v>497</v>
      </c>
      <c r="C390" t="s">
        <v>1255</v>
      </c>
      <c r="D390" t="s">
        <v>1256</v>
      </c>
      <c r="E390" t="s">
        <v>1257</v>
      </c>
      <c r="F390" t="s">
        <v>644</v>
      </c>
      <c r="G390" t="s">
        <v>1308</v>
      </c>
      <c r="H390" s="15">
        <v>46116</v>
      </c>
      <c r="I390" t="s">
        <v>1309</v>
      </c>
      <c r="J390" t="s">
        <v>16</v>
      </c>
      <c r="K390" t="s">
        <v>185</v>
      </c>
      <c r="N390">
        <v>0</v>
      </c>
      <c r="O390" t="s">
        <v>222</v>
      </c>
      <c r="P390">
        <v>0</v>
      </c>
      <c r="U390" s="15"/>
    </row>
    <row r="391" spans="1:21" x14ac:dyDescent="0.35">
      <c r="A391" t="s">
        <v>14</v>
      </c>
      <c r="B391" t="s">
        <v>497</v>
      </c>
      <c r="C391" t="s">
        <v>515</v>
      </c>
      <c r="D391" t="s">
        <v>516</v>
      </c>
      <c r="E391" t="s">
        <v>517</v>
      </c>
      <c r="F391" t="s">
        <v>501</v>
      </c>
      <c r="G391" t="s">
        <v>1102</v>
      </c>
      <c r="H391" s="15">
        <v>46077</v>
      </c>
      <c r="I391" t="s">
        <v>1103</v>
      </c>
      <c r="J391" t="s">
        <v>16</v>
      </c>
      <c r="K391" t="s">
        <v>185</v>
      </c>
      <c r="N391">
        <v>0</v>
      </c>
      <c r="O391" t="s">
        <v>222</v>
      </c>
      <c r="P391">
        <v>0</v>
      </c>
      <c r="U391" s="15"/>
    </row>
    <row r="392" spans="1:21" x14ac:dyDescent="0.35">
      <c r="A392" t="s">
        <v>14</v>
      </c>
      <c r="B392" t="s">
        <v>497</v>
      </c>
      <c r="C392" t="s">
        <v>641</v>
      </c>
      <c r="D392" t="s">
        <v>642</v>
      </c>
      <c r="E392" t="s">
        <v>643</v>
      </c>
      <c r="F392" t="s">
        <v>644</v>
      </c>
      <c r="G392" t="s">
        <v>1313</v>
      </c>
      <c r="H392" s="15">
        <v>46116</v>
      </c>
      <c r="I392" t="s">
        <v>1314</v>
      </c>
      <c r="J392" t="s">
        <v>233</v>
      </c>
      <c r="K392" t="s">
        <v>185</v>
      </c>
      <c r="N392">
        <v>0</v>
      </c>
      <c r="O392" t="s">
        <v>222</v>
      </c>
      <c r="P392">
        <v>0</v>
      </c>
      <c r="U392" s="15"/>
    </row>
    <row r="393" spans="1:21" x14ac:dyDescent="0.35">
      <c r="A393" t="s">
        <v>14</v>
      </c>
      <c r="B393" t="s">
        <v>497</v>
      </c>
      <c r="C393" t="s">
        <v>641</v>
      </c>
      <c r="D393" t="s">
        <v>642</v>
      </c>
      <c r="E393" t="s">
        <v>643</v>
      </c>
      <c r="F393" t="s">
        <v>644</v>
      </c>
      <c r="G393" t="s">
        <v>1315</v>
      </c>
      <c r="H393" s="15">
        <v>46118</v>
      </c>
      <c r="I393" t="s">
        <v>1316</v>
      </c>
      <c r="J393" t="s">
        <v>16</v>
      </c>
      <c r="K393" t="s">
        <v>185</v>
      </c>
      <c r="N393">
        <v>0</v>
      </c>
      <c r="O393" t="s">
        <v>222</v>
      </c>
      <c r="P393">
        <v>0</v>
      </c>
      <c r="U393" s="15"/>
    </row>
    <row r="394" spans="1:21" x14ac:dyDescent="0.35">
      <c r="A394" t="s">
        <v>14</v>
      </c>
      <c r="B394" t="s">
        <v>497</v>
      </c>
      <c r="C394" t="s">
        <v>598</v>
      </c>
      <c r="D394" t="s">
        <v>599</v>
      </c>
      <c r="E394" t="s">
        <v>600</v>
      </c>
      <c r="F394" t="s">
        <v>501</v>
      </c>
      <c r="G394" t="s">
        <v>1102</v>
      </c>
      <c r="H394" s="15">
        <v>46077</v>
      </c>
      <c r="I394" t="s">
        <v>1104</v>
      </c>
      <c r="J394" t="s">
        <v>16</v>
      </c>
      <c r="K394" t="s">
        <v>185</v>
      </c>
      <c r="N394">
        <v>0</v>
      </c>
      <c r="O394" t="s">
        <v>222</v>
      </c>
      <c r="P394">
        <v>0</v>
      </c>
      <c r="U394" s="15"/>
    </row>
    <row r="395" spans="1:21" x14ac:dyDescent="0.35">
      <c r="A395" t="s">
        <v>14</v>
      </c>
      <c r="B395" t="s">
        <v>497</v>
      </c>
      <c r="C395" t="s">
        <v>536</v>
      </c>
      <c r="D395" t="s">
        <v>537</v>
      </c>
      <c r="E395" t="s">
        <v>538</v>
      </c>
      <c r="F395" t="s">
        <v>501</v>
      </c>
      <c r="G395" t="s">
        <v>1102</v>
      </c>
      <c r="H395" s="15">
        <v>46077</v>
      </c>
      <c r="I395" t="s">
        <v>1105</v>
      </c>
      <c r="J395" t="s">
        <v>16</v>
      </c>
      <c r="K395" t="s">
        <v>185</v>
      </c>
      <c r="N395">
        <v>0</v>
      </c>
      <c r="O395" t="s">
        <v>222</v>
      </c>
      <c r="P395">
        <v>0</v>
      </c>
      <c r="U395" s="15"/>
    </row>
    <row r="396" spans="1:21" x14ac:dyDescent="0.35">
      <c r="A396" t="s">
        <v>14</v>
      </c>
      <c r="B396" t="s">
        <v>497</v>
      </c>
      <c r="C396" t="s">
        <v>531</v>
      </c>
      <c r="D396" t="s">
        <v>532</v>
      </c>
      <c r="E396" t="s">
        <v>533</v>
      </c>
      <c r="F396" t="s">
        <v>501</v>
      </c>
      <c r="G396" t="s">
        <v>1106</v>
      </c>
      <c r="H396" s="15">
        <v>46077</v>
      </c>
      <c r="I396" t="s">
        <v>1107</v>
      </c>
      <c r="J396" t="s">
        <v>233</v>
      </c>
      <c r="K396" t="s">
        <v>185</v>
      </c>
      <c r="N396">
        <v>0</v>
      </c>
      <c r="O396" t="s">
        <v>222</v>
      </c>
      <c r="P396">
        <v>0</v>
      </c>
      <c r="U396" s="15"/>
    </row>
    <row r="397" spans="1:21" x14ac:dyDescent="0.35">
      <c r="A397" t="s">
        <v>14</v>
      </c>
      <c r="B397" t="s">
        <v>497</v>
      </c>
      <c r="C397" t="s">
        <v>1255</v>
      </c>
      <c r="D397" t="s">
        <v>1256</v>
      </c>
      <c r="E397" t="s">
        <v>1257</v>
      </c>
      <c r="F397" t="s">
        <v>644</v>
      </c>
      <c r="G397" t="s">
        <v>1319</v>
      </c>
      <c r="H397" s="15">
        <v>46118</v>
      </c>
      <c r="I397" t="s">
        <v>1320</v>
      </c>
      <c r="J397" t="s">
        <v>233</v>
      </c>
      <c r="K397" t="s">
        <v>185</v>
      </c>
      <c r="N397">
        <v>0</v>
      </c>
      <c r="O397" t="s">
        <v>222</v>
      </c>
      <c r="P397">
        <v>0</v>
      </c>
      <c r="U397" s="15"/>
    </row>
    <row r="398" spans="1:21" x14ac:dyDescent="0.35">
      <c r="A398" t="s">
        <v>14</v>
      </c>
      <c r="B398" t="s">
        <v>497</v>
      </c>
      <c r="C398" t="s">
        <v>641</v>
      </c>
      <c r="D398" t="s">
        <v>642</v>
      </c>
      <c r="E398" t="s">
        <v>643</v>
      </c>
      <c r="F398" t="s">
        <v>644</v>
      </c>
      <c r="G398" t="s">
        <v>1321</v>
      </c>
      <c r="H398" s="15">
        <v>46119</v>
      </c>
      <c r="I398" t="s">
        <v>1322</v>
      </c>
      <c r="J398" t="s">
        <v>16</v>
      </c>
      <c r="K398" t="s">
        <v>185</v>
      </c>
      <c r="N398">
        <v>0</v>
      </c>
      <c r="O398" t="s">
        <v>222</v>
      </c>
      <c r="P398">
        <v>0</v>
      </c>
      <c r="U398" s="15"/>
    </row>
    <row r="399" spans="1:21" x14ac:dyDescent="0.35">
      <c r="A399" t="s">
        <v>14</v>
      </c>
      <c r="B399" t="s">
        <v>497</v>
      </c>
      <c r="C399" t="s">
        <v>615</v>
      </c>
      <c r="D399" t="s">
        <v>616</v>
      </c>
      <c r="E399" t="s">
        <v>617</v>
      </c>
      <c r="F399" t="s">
        <v>501</v>
      </c>
      <c r="G399" t="s">
        <v>1112</v>
      </c>
      <c r="H399" s="15">
        <v>46078</v>
      </c>
      <c r="I399" t="s">
        <v>1113</v>
      </c>
      <c r="J399" t="s">
        <v>16</v>
      </c>
      <c r="K399" t="s">
        <v>185</v>
      </c>
      <c r="N399">
        <v>0</v>
      </c>
      <c r="O399" t="s">
        <v>222</v>
      </c>
      <c r="P399">
        <v>0</v>
      </c>
      <c r="U399" s="15"/>
    </row>
    <row r="400" spans="1:21" x14ac:dyDescent="0.35">
      <c r="A400" t="s">
        <v>14</v>
      </c>
      <c r="B400" t="s">
        <v>497</v>
      </c>
      <c r="C400" t="s">
        <v>498</v>
      </c>
      <c r="D400" t="s">
        <v>499</v>
      </c>
      <c r="E400" t="s">
        <v>500</v>
      </c>
      <c r="F400" t="s">
        <v>501</v>
      </c>
      <c r="G400" t="s">
        <v>1112</v>
      </c>
      <c r="H400" s="15">
        <v>46078</v>
      </c>
      <c r="I400" t="s">
        <v>1114</v>
      </c>
      <c r="J400" t="s">
        <v>16</v>
      </c>
      <c r="K400" t="s">
        <v>185</v>
      </c>
      <c r="N400">
        <v>0</v>
      </c>
      <c r="O400" t="s">
        <v>222</v>
      </c>
      <c r="P400">
        <v>0</v>
      </c>
      <c r="U400" s="15"/>
    </row>
    <row r="401" spans="1:21" x14ac:dyDescent="0.35">
      <c r="A401" t="s">
        <v>14</v>
      </c>
      <c r="B401" t="s">
        <v>497</v>
      </c>
      <c r="C401" t="s">
        <v>1255</v>
      </c>
      <c r="D401" t="s">
        <v>1256</v>
      </c>
      <c r="E401" t="s">
        <v>1257</v>
      </c>
      <c r="F401" t="s">
        <v>644</v>
      </c>
      <c r="G401" t="s">
        <v>1321</v>
      </c>
      <c r="H401" s="15">
        <v>46119</v>
      </c>
      <c r="I401" t="s">
        <v>1326</v>
      </c>
      <c r="J401" t="s">
        <v>16</v>
      </c>
      <c r="K401" t="s">
        <v>185</v>
      </c>
      <c r="N401">
        <v>0</v>
      </c>
      <c r="O401" t="s">
        <v>222</v>
      </c>
      <c r="P401">
        <v>0</v>
      </c>
      <c r="U401" s="15"/>
    </row>
    <row r="402" spans="1:21" x14ac:dyDescent="0.35">
      <c r="A402" t="s">
        <v>14</v>
      </c>
      <c r="B402" t="s">
        <v>497</v>
      </c>
      <c r="C402" t="s">
        <v>651</v>
      </c>
      <c r="D402" t="s">
        <v>652</v>
      </c>
      <c r="E402" t="s">
        <v>653</v>
      </c>
      <c r="F402" t="s">
        <v>644</v>
      </c>
      <c r="G402" t="s">
        <v>1327</v>
      </c>
      <c r="H402" s="15">
        <v>46119</v>
      </c>
      <c r="I402" t="s">
        <v>1328</v>
      </c>
      <c r="J402" t="s">
        <v>233</v>
      </c>
      <c r="K402" t="s">
        <v>185</v>
      </c>
      <c r="N402">
        <v>0</v>
      </c>
      <c r="O402" t="s">
        <v>222</v>
      </c>
      <c r="P402">
        <v>0</v>
      </c>
      <c r="U402" s="15"/>
    </row>
    <row r="403" spans="1:21" x14ac:dyDescent="0.35">
      <c r="A403" t="s">
        <v>14</v>
      </c>
      <c r="B403" t="s">
        <v>497</v>
      </c>
      <c r="C403" t="s">
        <v>504</v>
      </c>
      <c r="D403" t="s">
        <v>505</v>
      </c>
      <c r="E403" t="s">
        <v>506</v>
      </c>
      <c r="F403" t="s">
        <v>501</v>
      </c>
      <c r="G403" t="s">
        <v>1115</v>
      </c>
      <c r="H403" s="15">
        <v>46078</v>
      </c>
      <c r="I403" t="s">
        <v>1116</v>
      </c>
      <c r="J403" t="s">
        <v>233</v>
      </c>
      <c r="K403" t="s">
        <v>185</v>
      </c>
      <c r="N403">
        <v>0</v>
      </c>
      <c r="O403" t="s">
        <v>222</v>
      </c>
      <c r="P403">
        <v>0</v>
      </c>
      <c r="U403" s="15"/>
    </row>
    <row r="404" spans="1:21" x14ac:dyDescent="0.35">
      <c r="A404" t="s">
        <v>14</v>
      </c>
      <c r="B404" t="s">
        <v>497</v>
      </c>
      <c r="C404" t="s">
        <v>1255</v>
      </c>
      <c r="D404" t="s">
        <v>1256</v>
      </c>
      <c r="E404" t="s">
        <v>1257</v>
      </c>
      <c r="F404" t="s">
        <v>644</v>
      </c>
      <c r="G404" t="s">
        <v>1341</v>
      </c>
      <c r="H404" s="15">
        <v>46120</v>
      </c>
      <c r="I404" t="s">
        <v>1342</v>
      </c>
      <c r="J404" t="s">
        <v>16</v>
      </c>
      <c r="K404" t="s">
        <v>185</v>
      </c>
      <c r="N404">
        <v>0</v>
      </c>
      <c r="O404" t="s">
        <v>222</v>
      </c>
      <c r="P404">
        <v>0</v>
      </c>
      <c r="U404" s="15"/>
    </row>
    <row r="405" spans="1:21" x14ac:dyDescent="0.35">
      <c r="A405" t="s">
        <v>14</v>
      </c>
      <c r="B405" t="s">
        <v>497</v>
      </c>
      <c r="C405" t="s">
        <v>692</v>
      </c>
      <c r="D405" t="s">
        <v>693</v>
      </c>
      <c r="E405" t="s">
        <v>694</v>
      </c>
      <c r="F405" t="s">
        <v>644</v>
      </c>
      <c r="G405" t="s">
        <v>1343</v>
      </c>
      <c r="H405" s="15">
        <v>46120</v>
      </c>
      <c r="I405" t="s">
        <v>1344</v>
      </c>
      <c r="J405" t="s">
        <v>233</v>
      </c>
      <c r="K405" t="s">
        <v>185</v>
      </c>
      <c r="N405">
        <v>0</v>
      </c>
      <c r="O405" t="s">
        <v>222</v>
      </c>
      <c r="P405">
        <v>0</v>
      </c>
      <c r="U405" s="15"/>
    </row>
    <row r="406" spans="1:21" x14ac:dyDescent="0.35">
      <c r="A406" t="s">
        <v>14</v>
      </c>
      <c r="B406" t="s">
        <v>497</v>
      </c>
      <c r="C406" t="s">
        <v>515</v>
      </c>
      <c r="D406" t="s">
        <v>516</v>
      </c>
      <c r="E406" t="s">
        <v>517</v>
      </c>
      <c r="F406" t="s">
        <v>501</v>
      </c>
      <c r="G406" t="s">
        <v>1115</v>
      </c>
      <c r="H406" s="15">
        <v>46078</v>
      </c>
      <c r="I406" t="s">
        <v>1117</v>
      </c>
      <c r="J406" t="s">
        <v>233</v>
      </c>
      <c r="K406" t="s">
        <v>185</v>
      </c>
      <c r="N406">
        <v>0</v>
      </c>
      <c r="O406" t="s">
        <v>222</v>
      </c>
      <c r="P406">
        <v>0</v>
      </c>
      <c r="U406" s="15"/>
    </row>
    <row r="407" spans="1:21" x14ac:dyDescent="0.35">
      <c r="A407" t="s">
        <v>14</v>
      </c>
      <c r="B407" t="s">
        <v>497</v>
      </c>
      <c r="C407" t="s">
        <v>515</v>
      </c>
      <c r="D407" t="s">
        <v>516</v>
      </c>
      <c r="E407" t="s">
        <v>517</v>
      </c>
      <c r="F407" t="s">
        <v>501</v>
      </c>
      <c r="G407" t="s">
        <v>1118</v>
      </c>
      <c r="H407" s="15">
        <v>46079</v>
      </c>
      <c r="I407" t="s">
        <v>1119</v>
      </c>
      <c r="J407" t="s">
        <v>16</v>
      </c>
      <c r="K407" t="s">
        <v>185</v>
      </c>
      <c r="N407">
        <v>0</v>
      </c>
      <c r="O407" t="s">
        <v>222</v>
      </c>
      <c r="P407">
        <v>0</v>
      </c>
      <c r="U407" s="15"/>
    </row>
    <row r="408" spans="1:21" x14ac:dyDescent="0.35">
      <c r="A408" t="s">
        <v>14</v>
      </c>
      <c r="B408" t="s">
        <v>497</v>
      </c>
      <c r="C408" t="s">
        <v>504</v>
      </c>
      <c r="D408" t="s">
        <v>505</v>
      </c>
      <c r="E408" t="s">
        <v>506</v>
      </c>
      <c r="F408" t="s">
        <v>501</v>
      </c>
      <c r="G408" t="s">
        <v>1118</v>
      </c>
      <c r="H408" s="15">
        <v>46079</v>
      </c>
      <c r="I408" t="s">
        <v>1125</v>
      </c>
      <c r="J408" t="s">
        <v>16</v>
      </c>
      <c r="K408" t="s">
        <v>185</v>
      </c>
      <c r="N408">
        <v>0</v>
      </c>
      <c r="O408" t="s">
        <v>222</v>
      </c>
      <c r="P408">
        <v>0</v>
      </c>
      <c r="U408" s="15"/>
    </row>
    <row r="409" spans="1:21" x14ac:dyDescent="0.35">
      <c r="A409" t="s">
        <v>14</v>
      </c>
      <c r="B409" t="s">
        <v>497</v>
      </c>
      <c r="C409" t="s">
        <v>647</v>
      </c>
      <c r="D409" t="s">
        <v>648</v>
      </c>
      <c r="E409" t="s">
        <v>649</v>
      </c>
      <c r="F409" t="s">
        <v>644</v>
      </c>
      <c r="G409" t="s">
        <v>1350</v>
      </c>
      <c r="H409" s="15">
        <v>46121</v>
      </c>
      <c r="I409" t="s">
        <v>1351</v>
      </c>
      <c r="J409" t="s">
        <v>16</v>
      </c>
      <c r="K409" t="s">
        <v>185</v>
      </c>
      <c r="N409">
        <v>0</v>
      </c>
      <c r="O409" t="s">
        <v>222</v>
      </c>
      <c r="P409">
        <v>0</v>
      </c>
      <c r="U409" s="15"/>
    </row>
    <row r="410" spans="1:21" x14ac:dyDescent="0.35">
      <c r="A410" t="s">
        <v>14</v>
      </c>
      <c r="B410" t="s">
        <v>497</v>
      </c>
      <c r="C410" t="s">
        <v>711</v>
      </c>
      <c r="D410" t="s">
        <v>712</v>
      </c>
      <c r="E410" t="s">
        <v>713</v>
      </c>
      <c r="F410" t="s">
        <v>644</v>
      </c>
      <c r="G410" t="s">
        <v>1350</v>
      </c>
      <c r="H410" s="15">
        <v>46121</v>
      </c>
      <c r="I410" t="s">
        <v>1352</v>
      </c>
      <c r="J410" t="s">
        <v>16</v>
      </c>
      <c r="K410" t="s">
        <v>185</v>
      </c>
      <c r="N410">
        <v>0</v>
      </c>
      <c r="O410" t="s">
        <v>222</v>
      </c>
      <c r="P410">
        <v>0</v>
      </c>
      <c r="U410" s="15"/>
    </row>
    <row r="411" spans="1:21" x14ac:dyDescent="0.35">
      <c r="A411" t="s">
        <v>14</v>
      </c>
      <c r="B411" t="s">
        <v>497</v>
      </c>
      <c r="C411" t="s">
        <v>515</v>
      </c>
      <c r="D411" t="s">
        <v>516</v>
      </c>
      <c r="E411" t="s">
        <v>517</v>
      </c>
      <c r="F411" t="s">
        <v>501</v>
      </c>
      <c r="G411" t="s">
        <v>1131</v>
      </c>
      <c r="H411" s="15">
        <v>46079</v>
      </c>
      <c r="I411" t="s">
        <v>1132</v>
      </c>
      <c r="J411" t="s">
        <v>233</v>
      </c>
      <c r="K411" t="s">
        <v>185</v>
      </c>
      <c r="N411">
        <v>0</v>
      </c>
      <c r="O411" t="s">
        <v>222</v>
      </c>
      <c r="P411">
        <v>0</v>
      </c>
      <c r="U411" s="15"/>
    </row>
    <row r="412" spans="1:21" x14ac:dyDescent="0.35">
      <c r="A412" t="s">
        <v>14</v>
      </c>
      <c r="B412" t="s">
        <v>497</v>
      </c>
      <c r="C412" t="s">
        <v>515</v>
      </c>
      <c r="D412" t="s">
        <v>516</v>
      </c>
      <c r="E412" t="s">
        <v>517</v>
      </c>
      <c r="F412" t="s">
        <v>501</v>
      </c>
      <c r="G412" t="s">
        <v>1133</v>
      </c>
      <c r="H412" s="15">
        <v>46080</v>
      </c>
      <c r="I412" t="s">
        <v>1134</v>
      </c>
      <c r="J412" t="s">
        <v>16</v>
      </c>
      <c r="K412" t="s">
        <v>185</v>
      </c>
      <c r="N412">
        <v>0</v>
      </c>
      <c r="O412" t="s">
        <v>222</v>
      </c>
      <c r="P412">
        <v>0</v>
      </c>
      <c r="U412" s="15"/>
    </row>
    <row r="413" spans="1:21" x14ac:dyDescent="0.35">
      <c r="A413" t="s">
        <v>14</v>
      </c>
      <c r="B413" t="s">
        <v>497</v>
      </c>
      <c r="C413" t="s">
        <v>515</v>
      </c>
      <c r="D413" t="s">
        <v>516</v>
      </c>
      <c r="E413" t="s">
        <v>517</v>
      </c>
      <c r="F413" t="s">
        <v>501</v>
      </c>
      <c r="G413" t="s">
        <v>1133</v>
      </c>
      <c r="H413" s="15">
        <v>46080</v>
      </c>
      <c r="I413" t="s">
        <v>1134</v>
      </c>
      <c r="J413" t="s">
        <v>16</v>
      </c>
      <c r="K413" t="s">
        <v>185</v>
      </c>
      <c r="N413">
        <v>0</v>
      </c>
      <c r="O413" t="s">
        <v>222</v>
      </c>
      <c r="P413">
        <v>0</v>
      </c>
      <c r="U413" s="15"/>
    </row>
    <row r="414" spans="1:21" x14ac:dyDescent="0.35">
      <c r="A414" t="s">
        <v>14</v>
      </c>
      <c r="B414" t="s">
        <v>497</v>
      </c>
      <c r="C414" t="s">
        <v>821</v>
      </c>
      <c r="D414" t="s">
        <v>822</v>
      </c>
      <c r="E414" t="s">
        <v>823</v>
      </c>
      <c r="F414" t="s">
        <v>644</v>
      </c>
      <c r="G414" t="s">
        <v>1353</v>
      </c>
      <c r="H414" s="15">
        <v>46121</v>
      </c>
      <c r="I414" t="s">
        <v>1354</v>
      </c>
      <c r="J414" t="s">
        <v>233</v>
      </c>
      <c r="K414" t="s">
        <v>185</v>
      </c>
      <c r="N414">
        <v>0</v>
      </c>
      <c r="O414" t="s">
        <v>222</v>
      </c>
      <c r="P414">
        <v>0</v>
      </c>
      <c r="U414" s="15"/>
    </row>
    <row r="415" spans="1:21" x14ac:dyDescent="0.35">
      <c r="A415" t="s">
        <v>14</v>
      </c>
      <c r="B415" t="s">
        <v>497</v>
      </c>
      <c r="C415" t="s">
        <v>662</v>
      </c>
      <c r="D415" t="s">
        <v>663</v>
      </c>
      <c r="E415" t="s">
        <v>664</v>
      </c>
      <c r="F415" t="s">
        <v>644</v>
      </c>
      <c r="G415" t="s">
        <v>1356</v>
      </c>
      <c r="H415" s="15">
        <v>46122</v>
      </c>
      <c r="I415" t="s">
        <v>1357</v>
      </c>
      <c r="J415" t="s">
        <v>16</v>
      </c>
      <c r="K415" t="s">
        <v>185</v>
      </c>
      <c r="N415">
        <v>0</v>
      </c>
      <c r="O415" t="s">
        <v>222</v>
      </c>
      <c r="P415">
        <v>0</v>
      </c>
      <c r="U415" s="15"/>
    </row>
    <row r="416" spans="1:21" x14ac:dyDescent="0.35">
      <c r="A416" t="s">
        <v>14</v>
      </c>
      <c r="B416" t="s">
        <v>497</v>
      </c>
      <c r="C416" t="s">
        <v>729</v>
      </c>
      <c r="D416" t="s">
        <v>730</v>
      </c>
      <c r="E416" t="s">
        <v>731</v>
      </c>
      <c r="F416" t="s">
        <v>644</v>
      </c>
      <c r="G416" t="s">
        <v>1356</v>
      </c>
      <c r="H416" s="15">
        <v>46122</v>
      </c>
      <c r="I416" t="s">
        <v>1358</v>
      </c>
      <c r="J416" t="s">
        <v>16</v>
      </c>
      <c r="K416" t="s">
        <v>185</v>
      </c>
      <c r="N416">
        <v>0</v>
      </c>
      <c r="O416" t="s">
        <v>222</v>
      </c>
      <c r="P416">
        <v>0</v>
      </c>
      <c r="U416" s="15"/>
    </row>
    <row r="417" spans="1:21" x14ac:dyDescent="0.35">
      <c r="A417" t="s">
        <v>14</v>
      </c>
      <c r="B417" t="s">
        <v>497</v>
      </c>
      <c r="C417" t="s">
        <v>504</v>
      </c>
      <c r="D417" t="s">
        <v>505</v>
      </c>
      <c r="E417" t="s">
        <v>506</v>
      </c>
      <c r="F417" t="s">
        <v>501</v>
      </c>
      <c r="G417" t="s">
        <v>1133</v>
      </c>
      <c r="H417" s="15">
        <v>46080</v>
      </c>
      <c r="I417" t="s">
        <v>1135</v>
      </c>
      <c r="J417" t="s">
        <v>16</v>
      </c>
      <c r="K417" t="s">
        <v>185</v>
      </c>
      <c r="N417">
        <v>0</v>
      </c>
      <c r="O417" t="s">
        <v>222</v>
      </c>
      <c r="P417">
        <v>0</v>
      </c>
      <c r="U417" s="15"/>
    </row>
    <row r="418" spans="1:21" x14ac:dyDescent="0.35">
      <c r="A418" t="s">
        <v>14</v>
      </c>
      <c r="B418" t="s">
        <v>497</v>
      </c>
      <c r="C418" t="s">
        <v>1255</v>
      </c>
      <c r="D418" t="s">
        <v>1256</v>
      </c>
      <c r="E418" t="s">
        <v>1257</v>
      </c>
      <c r="F418" t="s">
        <v>644</v>
      </c>
      <c r="G418" t="s">
        <v>1356</v>
      </c>
      <c r="H418" s="15">
        <v>46122</v>
      </c>
      <c r="I418" t="s">
        <v>1362</v>
      </c>
      <c r="J418" t="s">
        <v>16</v>
      </c>
      <c r="K418" t="s">
        <v>185</v>
      </c>
      <c r="N418">
        <v>0</v>
      </c>
      <c r="O418" t="s">
        <v>222</v>
      </c>
      <c r="P418">
        <v>0</v>
      </c>
      <c r="U418" s="15"/>
    </row>
    <row r="419" spans="1:21" x14ac:dyDescent="0.35">
      <c r="A419" t="s">
        <v>14</v>
      </c>
      <c r="B419" t="s">
        <v>497</v>
      </c>
      <c r="C419" t="s">
        <v>515</v>
      </c>
      <c r="D419" t="s">
        <v>516</v>
      </c>
      <c r="E419" t="s">
        <v>517</v>
      </c>
      <c r="F419" t="s">
        <v>501</v>
      </c>
      <c r="G419" t="s">
        <v>1139</v>
      </c>
      <c r="H419" s="15">
        <v>46080</v>
      </c>
      <c r="I419" t="s">
        <v>1140</v>
      </c>
      <c r="J419" t="s">
        <v>233</v>
      </c>
      <c r="K419" t="s">
        <v>185</v>
      </c>
      <c r="N419">
        <v>0</v>
      </c>
      <c r="O419" t="s">
        <v>222</v>
      </c>
      <c r="P419">
        <v>0</v>
      </c>
      <c r="U419" s="15"/>
    </row>
    <row r="420" spans="1:21" x14ac:dyDescent="0.35">
      <c r="A420" t="s">
        <v>14</v>
      </c>
      <c r="B420" t="s">
        <v>497</v>
      </c>
      <c r="C420" t="s">
        <v>552</v>
      </c>
      <c r="D420" t="s">
        <v>553</v>
      </c>
      <c r="E420" t="s">
        <v>554</v>
      </c>
      <c r="F420" t="s">
        <v>501</v>
      </c>
      <c r="G420" t="s">
        <v>1141</v>
      </c>
      <c r="H420" s="15">
        <v>46081</v>
      </c>
      <c r="I420" t="s">
        <v>1142</v>
      </c>
      <c r="J420" t="s">
        <v>16</v>
      </c>
      <c r="K420" t="s">
        <v>185</v>
      </c>
      <c r="N420">
        <v>0</v>
      </c>
      <c r="O420" t="s">
        <v>222</v>
      </c>
      <c r="P420">
        <v>0</v>
      </c>
      <c r="U420" s="15"/>
    </row>
    <row r="421" spans="1:21" x14ac:dyDescent="0.35">
      <c r="A421" t="s">
        <v>14</v>
      </c>
      <c r="B421" t="s">
        <v>497</v>
      </c>
      <c r="C421" t="s">
        <v>651</v>
      </c>
      <c r="D421" t="s">
        <v>652</v>
      </c>
      <c r="E421" t="s">
        <v>653</v>
      </c>
      <c r="F421" t="s">
        <v>644</v>
      </c>
      <c r="G421" t="s">
        <v>1365</v>
      </c>
      <c r="H421" s="15">
        <v>46122</v>
      </c>
      <c r="I421" t="s">
        <v>1366</v>
      </c>
      <c r="J421" t="s">
        <v>233</v>
      </c>
      <c r="K421" t="s">
        <v>185</v>
      </c>
      <c r="N421">
        <v>0</v>
      </c>
      <c r="O421" t="s">
        <v>222</v>
      </c>
      <c r="P421">
        <v>0</v>
      </c>
      <c r="U421" s="15"/>
    </row>
    <row r="422" spans="1:21" x14ac:dyDescent="0.35">
      <c r="A422" t="s">
        <v>14</v>
      </c>
      <c r="B422" t="s">
        <v>497</v>
      </c>
      <c r="C422" t="s">
        <v>1255</v>
      </c>
      <c r="D422" t="s">
        <v>1256</v>
      </c>
      <c r="E422" t="s">
        <v>1257</v>
      </c>
      <c r="F422" t="s">
        <v>644</v>
      </c>
      <c r="G422" t="s">
        <v>1367</v>
      </c>
      <c r="H422" s="15">
        <v>46123</v>
      </c>
      <c r="I422" t="s">
        <v>1368</v>
      </c>
      <c r="J422" t="s">
        <v>16</v>
      </c>
      <c r="K422" t="s">
        <v>185</v>
      </c>
      <c r="N422">
        <v>0</v>
      </c>
      <c r="O422" t="s">
        <v>222</v>
      </c>
      <c r="P422">
        <v>0</v>
      </c>
      <c r="U422" s="15"/>
    </row>
    <row r="423" spans="1:21" x14ac:dyDescent="0.35">
      <c r="A423" t="s">
        <v>14</v>
      </c>
      <c r="B423" t="s">
        <v>497</v>
      </c>
      <c r="C423" t="s">
        <v>557</v>
      </c>
      <c r="D423" t="s">
        <v>558</v>
      </c>
      <c r="E423" t="s">
        <v>559</v>
      </c>
      <c r="F423" t="s">
        <v>501</v>
      </c>
      <c r="G423" t="s">
        <v>1141</v>
      </c>
      <c r="H423" s="15">
        <v>46081</v>
      </c>
      <c r="I423" t="s">
        <v>1146</v>
      </c>
      <c r="J423" t="s">
        <v>16</v>
      </c>
      <c r="K423" t="s">
        <v>185</v>
      </c>
      <c r="N423">
        <v>0</v>
      </c>
      <c r="O423" t="s">
        <v>222</v>
      </c>
      <c r="P423">
        <v>0</v>
      </c>
      <c r="U423" s="15"/>
    </row>
    <row r="424" spans="1:21" x14ac:dyDescent="0.35">
      <c r="A424" t="s">
        <v>14</v>
      </c>
      <c r="B424" t="s">
        <v>497</v>
      </c>
      <c r="C424" t="s">
        <v>641</v>
      </c>
      <c r="D424" t="s">
        <v>642</v>
      </c>
      <c r="E424" t="s">
        <v>643</v>
      </c>
      <c r="F424" t="s">
        <v>644</v>
      </c>
      <c r="G424" t="s">
        <v>1369</v>
      </c>
      <c r="H424" s="15">
        <v>46123</v>
      </c>
      <c r="I424" t="s">
        <v>1370</v>
      </c>
      <c r="J424" t="s">
        <v>233</v>
      </c>
      <c r="K424" t="s">
        <v>185</v>
      </c>
      <c r="N424">
        <v>0</v>
      </c>
      <c r="O424" t="s">
        <v>222</v>
      </c>
      <c r="P424">
        <v>2.482227</v>
      </c>
      <c r="U424" s="15"/>
    </row>
    <row r="425" spans="1:21" x14ac:dyDescent="0.35">
      <c r="A425" t="s">
        <v>14</v>
      </c>
      <c r="B425" t="s">
        <v>497</v>
      </c>
      <c r="C425" t="s">
        <v>662</v>
      </c>
      <c r="D425" t="s">
        <v>663</v>
      </c>
      <c r="E425" t="s">
        <v>664</v>
      </c>
      <c r="F425" t="s">
        <v>644</v>
      </c>
      <c r="G425" t="s">
        <v>1374</v>
      </c>
      <c r="H425" s="15">
        <v>46128</v>
      </c>
      <c r="I425" t="s">
        <v>1375</v>
      </c>
      <c r="J425" t="s">
        <v>16</v>
      </c>
      <c r="K425" t="s">
        <v>185</v>
      </c>
      <c r="N425">
        <v>0</v>
      </c>
      <c r="O425" t="s">
        <v>222</v>
      </c>
      <c r="P425">
        <v>0</v>
      </c>
      <c r="U425" s="15"/>
    </row>
    <row r="426" spans="1:21" x14ac:dyDescent="0.35">
      <c r="A426" t="s">
        <v>14</v>
      </c>
      <c r="B426" t="s">
        <v>497</v>
      </c>
      <c r="C426" t="s">
        <v>552</v>
      </c>
      <c r="D426" t="s">
        <v>553</v>
      </c>
      <c r="E426" t="s">
        <v>554</v>
      </c>
      <c r="F426" t="s">
        <v>501</v>
      </c>
      <c r="G426" t="s">
        <v>1147</v>
      </c>
      <c r="H426" s="15">
        <v>46081</v>
      </c>
      <c r="I426" t="s">
        <v>1148</v>
      </c>
      <c r="J426" t="s">
        <v>233</v>
      </c>
      <c r="K426" t="s">
        <v>185</v>
      </c>
      <c r="N426">
        <v>0</v>
      </c>
      <c r="O426" t="s">
        <v>222</v>
      </c>
      <c r="P426">
        <v>0</v>
      </c>
      <c r="U426" s="15"/>
    </row>
    <row r="427" spans="1:21" x14ac:dyDescent="0.35">
      <c r="A427" t="s">
        <v>14</v>
      </c>
      <c r="B427" t="s">
        <v>497</v>
      </c>
      <c r="C427" t="s">
        <v>515</v>
      </c>
      <c r="D427" t="s">
        <v>516</v>
      </c>
      <c r="E427" t="s">
        <v>517</v>
      </c>
      <c r="F427" t="s">
        <v>501</v>
      </c>
      <c r="G427" t="s">
        <v>1149</v>
      </c>
      <c r="H427" s="15">
        <v>46083</v>
      </c>
      <c r="I427" t="s">
        <v>1150</v>
      </c>
      <c r="J427" t="s">
        <v>16</v>
      </c>
      <c r="K427" t="s">
        <v>185</v>
      </c>
      <c r="N427">
        <v>0</v>
      </c>
      <c r="O427" t="s">
        <v>222</v>
      </c>
      <c r="P427">
        <v>0</v>
      </c>
      <c r="U427" s="15"/>
    </row>
    <row r="428" spans="1:21" x14ac:dyDescent="0.35">
      <c r="A428" t="s">
        <v>14</v>
      </c>
      <c r="B428" t="s">
        <v>497</v>
      </c>
      <c r="C428" t="s">
        <v>1255</v>
      </c>
      <c r="D428" t="s">
        <v>1256</v>
      </c>
      <c r="E428" t="s">
        <v>1257</v>
      </c>
      <c r="F428" t="s">
        <v>644</v>
      </c>
      <c r="G428" t="s">
        <v>1374</v>
      </c>
      <c r="H428" s="15">
        <v>46128</v>
      </c>
      <c r="I428" t="s">
        <v>1380</v>
      </c>
      <c r="J428" t="s">
        <v>16</v>
      </c>
      <c r="K428" t="s">
        <v>185</v>
      </c>
      <c r="N428">
        <v>0</v>
      </c>
      <c r="O428" t="s">
        <v>222</v>
      </c>
      <c r="P428">
        <v>0</v>
      </c>
      <c r="U428" s="15"/>
    </row>
    <row r="429" spans="1:21" x14ac:dyDescent="0.35">
      <c r="A429" t="s">
        <v>14</v>
      </c>
      <c r="B429" t="s">
        <v>497</v>
      </c>
      <c r="C429" t="s">
        <v>1155</v>
      </c>
      <c r="D429" t="s">
        <v>1156</v>
      </c>
      <c r="E429" t="s">
        <v>1157</v>
      </c>
      <c r="F429" t="s">
        <v>501</v>
      </c>
      <c r="G429" t="s">
        <v>1149</v>
      </c>
      <c r="H429" s="15">
        <v>46083</v>
      </c>
      <c r="I429" t="s">
        <v>1158</v>
      </c>
      <c r="J429" t="s">
        <v>16</v>
      </c>
      <c r="K429" t="s">
        <v>185</v>
      </c>
      <c r="N429">
        <v>0</v>
      </c>
      <c r="O429" t="s">
        <v>222</v>
      </c>
      <c r="P429">
        <v>0</v>
      </c>
      <c r="U429" s="15"/>
    </row>
    <row r="430" spans="1:21" x14ac:dyDescent="0.35">
      <c r="A430" t="s">
        <v>14</v>
      </c>
      <c r="B430" t="s">
        <v>497</v>
      </c>
      <c r="C430" t="s">
        <v>671</v>
      </c>
      <c r="D430" t="s">
        <v>672</v>
      </c>
      <c r="E430" t="s">
        <v>673</v>
      </c>
      <c r="F430" t="s">
        <v>644</v>
      </c>
      <c r="G430" t="s">
        <v>1384</v>
      </c>
      <c r="H430" s="15">
        <v>46128</v>
      </c>
      <c r="I430" t="s">
        <v>1385</v>
      </c>
      <c r="J430" t="s">
        <v>233</v>
      </c>
      <c r="K430" t="s">
        <v>185</v>
      </c>
      <c r="N430">
        <v>0</v>
      </c>
      <c r="O430" t="s">
        <v>222</v>
      </c>
      <c r="P430">
        <v>0</v>
      </c>
      <c r="U430" s="15"/>
    </row>
    <row r="431" spans="1:21" x14ac:dyDescent="0.35">
      <c r="A431" t="s">
        <v>14</v>
      </c>
      <c r="B431" t="s">
        <v>497</v>
      </c>
      <c r="C431" t="s">
        <v>671</v>
      </c>
      <c r="D431" t="s">
        <v>672</v>
      </c>
      <c r="E431" t="s">
        <v>673</v>
      </c>
      <c r="F431" t="s">
        <v>644</v>
      </c>
      <c r="G431" t="s">
        <v>1384</v>
      </c>
      <c r="H431" s="15">
        <v>46128</v>
      </c>
      <c r="I431" t="s">
        <v>1385</v>
      </c>
      <c r="J431" t="s">
        <v>233</v>
      </c>
      <c r="K431" t="s">
        <v>185</v>
      </c>
      <c r="N431">
        <v>0</v>
      </c>
      <c r="O431" t="s">
        <v>222</v>
      </c>
      <c r="P431">
        <v>0</v>
      </c>
      <c r="U431" s="15"/>
    </row>
    <row r="432" spans="1:21" x14ac:dyDescent="0.35">
      <c r="A432" t="s">
        <v>14</v>
      </c>
      <c r="B432" t="s">
        <v>497</v>
      </c>
      <c r="C432" t="s">
        <v>1255</v>
      </c>
      <c r="D432" t="s">
        <v>1256</v>
      </c>
      <c r="E432" t="s">
        <v>1257</v>
      </c>
      <c r="F432" t="s">
        <v>644</v>
      </c>
      <c r="G432" t="s">
        <v>1386</v>
      </c>
      <c r="H432" s="15">
        <v>46129</v>
      </c>
      <c r="I432" t="s">
        <v>1387</v>
      </c>
      <c r="J432" t="s">
        <v>16</v>
      </c>
      <c r="K432" t="s">
        <v>185</v>
      </c>
      <c r="N432">
        <v>0</v>
      </c>
      <c r="O432" t="s">
        <v>222</v>
      </c>
      <c r="P432">
        <v>0</v>
      </c>
      <c r="U432" s="15"/>
    </row>
    <row r="433" spans="1:21" x14ac:dyDescent="0.35">
      <c r="A433" t="s">
        <v>14</v>
      </c>
      <c r="B433" t="s">
        <v>497</v>
      </c>
      <c r="C433" t="s">
        <v>641</v>
      </c>
      <c r="D433" t="s">
        <v>642</v>
      </c>
      <c r="E433" t="s">
        <v>643</v>
      </c>
      <c r="F433" t="s">
        <v>644</v>
      </c>
      <c r="G433" t="s">
        <v>1386</v>
      </c>
      <c r="H433" s="15">
        <v>46129</v>
      </c>
      <c r="I433" t="s">
        <v>1394</v>
      </c>
      <c r="J433" t="s">
        <v>16</v>
      </c>
      <c r="K433" t="s">
        <v>185</v>
      </c>
      <c r="N433">
        <v>0</v>
      </c>
      <c r="O433" t="s">
        <v>222</v>
      </c>
      <c r="P433">
        <v>0</v>
      </c>
      <c r="U433" s="15"/>
    </row>
    <row r="434" spans="1:21" x14ac:dyDescent="0.35">
      <c r="A434" t="s">
        <v>14</v>
      </c>
      <c r="B434" t="s">
        <v>497</v>
      </c>
      <c r="C434" t="s">
        <v>515</v>
      </c>
      <c r="D434" t="s">
        <v>516</v>
      </c>
      <c r="E434" t="s">
        <v>517</v>
      </c>
      <c r="F434" t="s">
        <v>501</v>
      </c>
      <c r="G434" t="s">
        <v>1169</v>
      </c>
      <c r="H434" s="15">
        <v>46083</v>
      </c>
      <c r="I434" t="s">
        <v>1170</v>
      </c>
      <c r="J434" t="s">
        <v>233</v>
      </c>
      <c r="K434" t="s">
        <v>185</v>
      </c>
      <c r="N434">
        <v>0</v>
      </c>
      <c r="O434" t="s">
        <v>222</v>
      </c>
      <c r="P434">
        <v>0</v>
      </c>
      <c r="U434" s="15"/>
    </row>
    <row r="435" spans="1:21" x14ac:dyDescent="0.35">
      <c r="A435" t="s">
        <v>14</v>
      </c>
      <c r="B435" t="s">
        <v>497</v>
      </c>
      <c r="C435" t="s">
        <v>697</v>
      </c>
      <c r="D435" t="s">
        <v>698</v>
      </c>
      <c r="E435" t="s">
        <v>699</v>
      </c>
      <c r="F435" t="s">
        <v>644</v>
      </c>
      <c r="G435" t="s">
        <v>1398</v>
      </c>
      <c r="H435" s="15">
        <v>46129</v>
      </c>
      <c r="I435" t="s">
        <v>1399</v>
      </c>
      <c r="J435" t="s">
        <v>233</v>
      </c>
      <c r="K435" t="s">
        <v>185</v>
      </c>
      <c r="N435">
        <v>0</v>
      </c>
      <c r="O435" t="s">
        <v>222</v>
      </c>
      <c r="P435">
        <v>0</v>
      </c>
      <c r="U435" s="15"/>
    </row>
    <row r="436" spans="1:21" x14ac:dyDescent="0.35">
      <c r="A436" t="s">
        <v>14</v>
      </c>
      <c r="B436" t="s">
        <v>497</v>
      </c>
      <c r="C436" t="s">
        <v>641</v>
      </c>
      <c r="D436" t="s">
        <v>642</v>
      </c>
      <c r="E436" t="s">
        <v>643</v>
      </c>
      <c r="F436" t="s">
        <v>644</v>
      </c>
      <c r="G436" t="s">
        <v>1400</v>
      </c>
      <c r="H436" s="15">
        <v>46130</v>
      </c>
      <c r="I436" t="s">
        <v>1401</v>
      </c>
      <c r="J436" t="s">
        <v>16</v>
      </c>
      <c r="K436" t="s">
        <v>185</v>
      </c>
      <c r="N436">
        <v>0</v>
      </c>
      <c r="O436" t="s">
        <v>222</v>
      </c>
      <c r="P436">
        <v>0</v>
      </c>
      <c r="U436" s="15"/>
    </row>
    <row r="437" spans="1:21" x14ac:dyDescent="0.35">
      <c r="A437" t="s">
        <v>14</v>
      </c>
      <c r="B437" t="s">
        <v>497</v>
      </c>
      <c r="C437" t="s">
        <v>498</v>
      </c>
      <c r="D437" t="s">
        <v>499</v>
      </c>
      <c r="E437" t="s">
        <v>500</v>
      </c>
      <c r="F437" t="s">
        <v>501</v>
      </c>
      <c r="G437" t="s">
        <v>1171</v>
      </c>
      <c r="H437" s="15">
        <v>46084</v>
      </c>
      <c r="I437" t="s">
        <v>1172</v>
      </c>
      <c r="J437" t="s">
        <v>16</v>
      </c>
      <c r="K437" t="s">
        <v>185</v>
      </c>
      <c r="N437">
        <v>0</v>
      </c>
      <c r="O437" t="s">
        <v>222</v>
      </c>
      <c r="P437">
        <v>0</v>
      </c>
      <c r="U437" s="15"/>
    </row>
    <row r="438" spans="1:21" x14ac:dyDescent="0.35">
      <c r="A438" t="s">
        <v>14</v>
      </c>
      <c r="B438" t="s">
        <v>497</v>
      </c>
      <c r="C438" t="s">
        <v>1255</v>
      </c>
      <c r="D438" t="s">
        <v>1256</v>
      </c>
      <c r="E438" t="s">
        <v>1257</v>
      </c>
      <c r="F438" t="s">
        <v>644</v>
      </c>
      <c r="G438" t="s">
        <v>1817</v>
      </c>
      <c r="H438" s="15">
        <v>46130</v>
      </c>
      <c r="I438" t="s">
        <v>1818</v>
      </c>
      <c r="J438" t="s">
        <v>233</v>
      </c>
      <c r="K438" t="s">
        <v>185</v>
      </c>
      <c r="N438">
        <v>0</v>
      </c>
      <c r="O438" t="s">
        <v>222</v>
      </c>
      <c r="P438">
        <v>0</v>
      </c>
      <c r="U438" s="15"/>
    </row>
    <row r="439" spans="1:21" x14ac:dyDescent="0.35">
      <c r="A439" t="s">
        <v>14</v>
      </c>
      <c r="B439" t="s">
        <v>497</v>
      </c>
      <c r="C439" t="s">
        <v>662</v>
      </c>
      <c r="D439" t="s">
        <v>663</v>
      </c>
      <c r="E439" t="s">
        <v>664</v>
      </c>
      <c r="F439" t="s">
        <v>644</v>
      </c>
      <c r="G439" t="s">
        <v>1820</v>
      </c>
      <c r="H439" s="15">
        <v>46132</v>
      </c>
      <c r="I439" t="s">
        <v>1821</v>
      </c>
      <c r="J439" t="s">
        <v>16</v>
      </c>
      <c r="K439" t="s">
        <v>185</v>
      </c>
      <c r="N439">
        <v>0</v>
      </c>
      <c r="O439" t="s">
        <v>222</v>
      </c>
      <c r="P439">
        <v>0</v>
      </c>
      <c r="U439" s="15"/>
    </row>
    <row r="440" spans="1:21" x14ac:dyDescent="0.35">
      <c r="A440" t="s">
        <v>14</v>
      </c>
      <c r="B440" t="s">
        <v>497</v>
      </c>
      <c r="C440" t="s">
        <v>1255</v>
      </c>
      <c r="D440" t="s">
        <v>1256</v>
      </c>
      <c r="E440" t="s">
        <v>1257</v>
      </c>
      <c r="F440" t="s">
        <v>644</v>
      </c>
      <c r="G440" t="s">
        <v>1820</v>
      </c>
      <c r="H440" s="15">
        <v>46132</v>
      </c>
      <c r="I440" t="s">
        <v>1822</v>
      </c>
      <c r="J440" t="s">
        <v>16</v>
      </c>
      <c r="K440" t="s">
        <v>185</v>
      </c>
      <c r="N440">
        <v>0</v>
      </c>
      <c r="O440" t="s">
        <v>222</v>
      </c>
      <c r="P440">
        <v>0</v>
      </c>
      <c r="U440" s="15"/>
    </row>
    <row r="441" spans="1:21" x14ac:dyDescent="0.35">
      <c r="A441" t="s">
        <v>14</v>
      </c>
      <c r="B441" t="s">
        <v>497</v>
      </c>
      <c r="C441" t="s">
        <v>504</v>
      </c>
      <c r="D441" t="s">
        <v>505</v>
      </c>
      <c r="E441" t="s">
        <v>506</v>
      </c>
      <c r="F441" t="s">
        <v>501</v>
      </c>
      <c r="G441" t="s">
        <v>1171</v>
      </c>
      <c r="H441" s="15">
        <v>46084</v>
      </c>
      <c r="I441" t="s">
        <v>1177</v>
      </c>
      <c r="J441" t="s">
        <v>16</v>
      </c>
      <c r="K441" t="s">
        <v>185</v>
      </c>
      <c r="N441">
        <v>0</v>
      </c>
      <c r="O441" t="s">
        <v>222</v>
      </c>
      <c r="P441">
        <v>0</v>
      </c>
      <c r="U441" s="15"/>
    </row>
    <row r="442" spans="1:21" x14ac:dyDescent="0.35">
      <c r="A442" t="s">
        <v>14</v>
      </c>
      <c r="B442" t="s">
        <v>497</v>
      </c>
      <c r="C442" t="s">
        <v>498</v>
      </c>
      <c r="D442" t="s">
        <v>499</v>
      </c>
      <c r="E442" t="s">
        <v>500</v>
      </c>
      <c r="F442" t="s">
        <v>501</v>
      </c>
      <c r="G442" t="s">
        <v>1178</v>
      </c>
      <c r="H442" s="15">
        <v>46084</v>
      </c>
      <c r="I442" t="s">
        <v>1179</v>
      </c>
      <c r="J442" t="s">
        <v>233</v>
      </c>
      <c r="K442" t="s">
        <v>185</v>
      </c>
      <c r="N442">
        <v>0</v>
      </c>
      <c r="O442" t="s">
        <v>222</v>
      </c>
      <c r="P442">
        <v>0</v>
      </c>
      <c r="U442" s="15"/>
    </row>
    <row r="443" spans="1:21" x14ac:dyDescent="0.35">
      <c r="A443" t="s">
        <v>14</v>
      </c>
      <c r="B443" t="s">
        <v>497</v>
      </c>
      <c r="C443" t="s">
        <v>651</v>
      </c>
      <c r="D443" t="s">
        <v>652</v>
      </c>
      <c r="E443" t="s">
        <v>653</v>
      </c>
      <c r="F443" t="s">
        <v>644</v>
      </c>
      <c r="G443" t="s">
        <v>1826</v>
      </c>
      <c r="H443" s="15">
        <v>46132</v>
      </c>
      <c r="I443" t="s">
        <v>1827</v>
      </c>
      <c r="J443" t="s">
        <v>233</v>
      </c>
      <c r="K443" t="s">
        <v>185</v>
      </c>
      <c r="N443">
        <v>0</v>
      </c>
      <c r="O443" t="s">
        <v>222</v>
      </c>
      <c r="P443">
        <v>0</v>
      </c>
      <c r="U443" s="15"/>
    </row>
    <row r="444" spans="1:21" x14ac:dyDescent="0.35">
      <c r="A444" t="s">
        <v>14</v>
      </c>
      <c r="B444" t="s">
        <v>497</v>
      </c>
      <c r="C444" t="s">
        <v>1255</v>
      </c>
      <c r="D444" t="s">
        <v>1256</v>
      </c>
      <c r="E444" t="s">
        <v>1257</v>
      </c>
      <c r="F444" t="s">
        <v>644</v>
      </c>
      <c r="G444" t="s">
        <v>1828</v>
      </c>
      <c r="H444" s="15">
        <v>46133</v>
      </c>
      <c r="I444" t="s">
        <v>1829</v>
      </c>
      <c r="J444" t="s">
        <v>16</v>
      </c>
      <c r="K444" t="s">
        <v>185</v>
      </c>
      <c r="N444">
        <v>0</v>
      </c>
      <c r="O444" t="s">
        <v>222</v>
      </c>
      <c r="P444">
        <v>0</v>
      </c>
      <c r="U444" s="15"/>
    </row>
    <row r="445" spans="1:21" x14ac:dyDescent="0.35">
      <c r="A445" t="s">
        <v>14</v>
      </c>
      <c r="B445" t="s">
        <v>497</v>
      </c>
      <c r="C445" t="s">
        <v>515</v>
      </c>
      <c r="D445" t="s">
        <v>516</v>
      </c>
      <c r="E445" t="s">
        <v>517</v>
      </c>
      <c r="F445" t="s">
        <v>501</v>
      </c>
      <c r="G445" t="s">
        <v>1185</v>
      </c>
      <c r="H445" s="15">
        <v>46085</v>
      </c>
      <c r="I445" t="s">
        <v>1186</v>
      </c>
      <c r="J445" t="s">
        <v>16</v>
      </c>
      <c r="K445" t="s">
        <v>185</v>
      </c>
      <c r="N445">
        <v>0</v>
      </c>
      <c r="O445" t="s">
        <v>222</v>
      </c>
      <c r="P445">
        <v>0</v>
      </c>
      <c r="U445" s="15"/>
    </row>
    <row r="446" spans="1:21" x14ac:dyDescent="0.35">
      <c r="A446" t="s">
        <v>14</v>
      </c>
      <c r="B446" t="s">
        <v>497</v>
      </c>
      <c r="C446" t="s">
        <v>692</v>
      </c>
      <c r="D446" t="s">
        <v>693</v>
      </c>
      <c r="E446" t="s">
        <v>694</v>
      </c>
      <c r="F446" t="s">
        <v>644</v>
      </c>
      <c r="G446" t="s">
        <v>1828</v>
      </c>
      <c r="H446" s="15">
        <v>46133</v>
      </c>
      <c r="I446" t="s">
        <v>1831</v>
      </c>
      <c r="J446" t="s">
        <v>16</v>
      </c>
      <c r="K446" t="s">
        <v>185</v>
      </c>
      <c r="N446">
        <v>0</v>
      </c>
      <c r="O446" t="s">
        <v>222</v>
      </c>
      <c r="P446">
        <v>0</v>
      </c>
      <c r="U446" s="15"/>
    </row>
    <row r="447" spans="1:21" x14ac:dyDescent="0.35">
      <c r="A447" t="s">
        <v>14</v>
      </c>
      <c r="B447" t="s">
        <v>497</v>
      </c>
      <c r="C447" t="s">
        <v>1255</v>
      </c>
      <c r="D447" t="s">
        <v>1256</v>
      </c>
      <c r="E447" t="s">
        <v>1257</v>
      </c>
      <c r="F447" t="s">
        <v>644</v>
      </c>
      <c r="G447" t="s">
        <v>1832</v>
      </c>
      <c r="H447" s="15">
        <v>46133</v>
      </c>
      <c r="I447" t="s">
        <v>1833</v>
      </c>
      <c r="J447" t="s">
        <v>233</v>
      </c>
      <c r="K447" t="s">
        <v>185</v>
      </c>
      <c r="N447">
        <v>0</v>
      </c>
      <c r="O447" t="s">
        <v>222</v>
      </c>
      <c r="P447">
        <v>0</v>
      </c>
      <c r="U447" s="15"/>
    </row>
    <row r="448" spans="1:21" x14ac:dyDescent="0.35">
      <c r="A448" t="s">
        <v>14</v>
      </c>
      <c r="B448" t="s">
        <v>497</v>
      </c>
      <c r="C448" t="s">
        <v>641</v>
      </c>
      <c r="D448" t="s">
        <v>642</v>
      </c>
      <c r="E448" t="s">
        <v>643</v>
      </c>
      <c r="F448" t="s">
        <v>644</v>
      </c>
      <c r="G448" t="s">
        <v>1838</v>
      </c>
      <c r="H448" s="15">
        <v>46134</v>
      </c>
      <c r="I448" t="s">
        <v>1839</v>
      </c>
      <c r="J448" t="s">
        <v>16</v>
      </c>
      <c r="K448" t="s">
        <v>185</v>
      </c>
      <c r="N448">
        <v>0</v>
      </c>
      <c r="O448" t="s">
        <v>222</v>
      </c>
      <c r="P448">
        <v>0</v>
      </c>
      <c r="U448" s="15"/>
    </row>
    <row r="449" spans="1:21" x14ac:dyDescent="0.35">
      <c r="A449" t="s">
        <v>14</v>
      </c>
      <c r="B449" t="s">
        <v>497</v>
      </c>
      <c r="C449" t="s">
        <v>581</v>
      </c>
      <c r="D449" t="s">
        <v>582</v>
      </c>
      <c r="E449" t="s">
        <v>583</v>
      </c>
      <c r="F449" t="s">
        <v>501</v>
      </c>
      <c r="G449" t="s">
        <v>1185</v>
      </c>
      <c r="H449" s="15">
        <v>46085</v>
      </c>
      <c r="I449" t="s">
        <v>1193</v>
      </c>
      <c r="J449" t="s">
        <v>16</v>
      </c>
      <c r="K449" t="s">
        <v>185</v>
      </c>
      <c r="N449">
        <v>0</v>
      </c>
      <c r="O449" t="s">
        <v>585</v>
      </c>
      <c r="P449">
        <v>0</v>
      </c>
      <c r="U449" s="15"/>
    </row>
    <row r="450" spans="1:21" x14ac:dyDescent="0.35">
      <c r="A450" t="s">
        <v>14</v>
      </c>
      <c r="B450" t="s">
        <v>497</v>
      </c>
      <c r="C450" t="s">
        <v>615</v>
      </c>
      <c r="D450" t="s">
        <v>616</v>
      </c>
      <c r="E450" t="s">
        <v>617</v>
      </c>
      <c r="F450" t="s">
        <v>501</v>
      </c>
      <c r="G450" t="s">
        <v>1194</v>
      </c>
      <c r="H450" s="15">
        <v>46085</v>
      </c>
      <c r="I450" t="s">
        <v>1195</v>
      </c>
      <c r="J450" t="s">
        <v>233</v>
      </c>
      <c r="K450" t="s">
        <v>185</v>
      </c>
      <c r="N450">
        <v>0</v>
      </c>
      <c r="O450" t="s">
        <v>222</v>
      </c>
      <c r="P450">
        <v>0</v>
      </c>
      <c r="U450" s="15"/>
    </row>
    <row r="451" spans="1:21" x14ac:dyDescent="0.35">
      <c r="A451" t="s">
        <v>14</v>
      </c>
      <c r="B451" t="s">
        <v>497</v>
      </c>
      <c r="C451" t="s">
        <v>1255</v>
      </c>
      <c r="D451" t="s">
        <v>1256</v>
      </c>
      <c r="E451" t="s">
        <v>1257</v>
      </c>
      <c r="F451" t="s">
        <v>644</v>
      </c>
      <c r="G451" t="s">
        <v>1838</v>
      </c>
      <c r="H451" s="15">
        <v>46134</v>
      </c>
      <c r="I451" t="s">
        <v>1842</v>
      </c>
      <c r="J451" t="s">
        <v>16</v>
      </c>
      <c r="K451" t="s">
        <v>185</v>
      </c>
      <c r="N451">
        <v>0</v>
      </c>
      <c r="O451" t="s">
        <v>222</v>
      </c>
      <c r="P451">
        <v>0</v>
      </c>
      <c r="U451" s="15"/>
    </row>
    <row r="452" spans="1:21" x14ac:dyDescent="0.35">
      <c r="A452" t="s">
        <v>14</v>
      </c>
      <c r="B452" t="s">
        <v>497</v>
      </c>
      <c r="C452" t="s">
        <v>651</v>
      </c>
      <c r="D452" t="s">
        <v>652</v>
      </c>
      <c r="E452" t="s">
        <v>653</v>
      </c>
      <c r="F452" t="s">
        <v>644</v>
      </c>
      <c r="G452" t="s">
        <v>1843</v>
      </c>
      <c r="H452" s="15">
        <v>46134</v>
      </c>
      <c r="I452" t="s">
        <v>1844</v>
      </c>
      <c r="J452" t="s">
        <v>233</v>
      </c>
      <c r="K452" t="s">
        <v>185</v>
      </c>
      <c r="N452">
        <v>0</v>
      </c>
      <c r="O452" t="s">
        <v>222</v>
      </c>
      <c r="P452">
        <v>0</v>
      </c>
      <c r="U452" s="15"/>
    </row>
    <row r="453" spans="1:21" x14ac:dyDescent="0.35">
      <c r="A453" t="s">
        <v>14</v>
      </c>
      <c r="B453" t="s">
        <v>497</v>
      </c>
      <c r="C453" t="s">
        <v>816</v>
      </c>
      <c r="D453" t="s">
        <v>817</v>
      </c>
      <c r="E453" t="s">
        <v>818</v>
      </c>
      <c r="F453" t="s">
        <v>644</v>
      </c>
      <c r="G453" t="s">
        <v>1845</v>
      </c>
      <c r="H453" s="15">
        <v>46135</v>
      </c>
      <c r="I453" t="s">
        <v>1846</v>
      </c>
      <c r="J453" t="s">
        <v>16</v>
      </c>
      <c r="K453" t="s">
        <v>185</v>
      </c>
      <c r="N453">
        <v>0</v>
      </c>
      <c r="O453" t="s">
        <v>222</v>
      </c>
      <c r="P453">
        <v>0</v>
      </c>
      <c r="U453" s="15"/>
    </row>
    <row r="454" spans="1:21" x14ac:dyDescent="0.35">
      <c r="A454" t="s">
        <v>14</v>
      </c>
      <c r="B454" t="s">
        <v>497</v>
      </c>
      <c r="C454" t="s">
        <v>1164</v>
      </c>
      <c r="D454" t="s">
        <v>1165</v>
      </c>
      <c r="E454" t="s">
        <v>1166</v>
      </c>
      <c r="F454" t="s">
        <v>644</v>
      </c>
      <c r="G454" t="s">
        <v>1848</v>
      </c>
      <c r="H454" s="15">
        <v>46135</v>
      </c>
      <c r="I454" t="s">
        <v>1849</v>
      </c>
      <c r="J454" t="s">
        <v>233</v>
      </c>
      <c r="K454" t="s">
        <v>185</v>
      </c>
      <c r="N454">
        <v>0</v>
      </c>
      <c r="O454" t="s">
        <v>222</v>
      </c>
      <c r="P454">
        <v>0</v>
      </c>
      <c r="U454" s="15"/>
    </row>
    <row r="455" spans="1:21" x14ac:dyDescent="0.35">
      <c r="A455" t="s">
        <v>14</v>
      </c>
      <c r="B455" t="s">
        <v>497</v>
      </c>
      <c r="C455" t="s">
        <v>515</v>
      </c>
      <c r="D455" t="s">
        <v>516</v>
      </c>
      <c r="E455" t="s">
        <v>517</v>
      </c>
      <c r="F455" t="s">
        <v>501</v>
      </c>
      <c r="G455" t="s">
        <v>1196</v>
      </c>
      <c r="H455" s="15">
        <v>46086</v>
      </c>
      <c r="I455" t="s">
        <v>1197</v>
      </c>
      <c r="J455" t="s">
        <v>16</v>
      </c>
      <c r="K455" t="s">
        <v>185</v>
      </c>
      <c r="N455">
        <v>0</v>
      </c>
      <c r="O455" t="s">
        <v>222</v>
      </c>
      <c r="P455">
        <v>0</v>
      </c>
      <c r="U455" s="15"/>
    </row>
    <row r="456" spans="1:21" x14ac:dyDescent="0.35">
      <c r="A456" t="s">
        <v>14</v>
      </c>
      <c r="B456" t="s">
        <v>497</v>
      </c>
      <c r="C456" t="s">
        <v>581</v>
      </c>
      <c r="D456" t="s">
        <v>582</v>
      </c>
      <c r="E456" t="s">
        <v>583</v>
      </c>
      <c r="F456" t="s">
        <v>501</v>
      </c>
      <c r="G456" t="s">
        <v>1198</v>
      </c>
      <c r="H456" s="15">
        <v>46086</v>
      </c>
      <c r="I456" t="s">
        <v>1199</v>
      </c>
      <c r="J456" t="s">
        <v>233</v>
      </c>
      <c r="K456" t="s">
        <v>185</v>
      </c>
      <c r="N456">
        <v>0</v>
      </c>
      <c r="O456" t="s">
        <v>585</v>
      </c>
      <c r="P456">
        <v>0</v>
      </c>
      <c r="U456" s="15"/>
    </row>
    <row r="457" spans="1:21" x14ac:dyDescent="0.35">
      <c r="A457" t="s">
        <v>14</v>
      </c>
      <c r="B457" t="s">
        <v>497</v>
      </c>
      <c r="C457" t="s">
        <v>765</v>
      </c>
      <c r="D457" t="s">
        <v>766</v>
      </c>
      <c r="E457" t="s">
        <v>767</v>
      </c>
      <c r="F457" t="s">
        <v>644</v>
      </c>
      <c r="G457" t="s">
        <v>1848</v>
      </c>
      <c r="H457" s="15">
        <v>46135</v>
      </c>
      <c r="I457" t="s">
        <v>1852</v>
      </c>
      <c r="J457" t="s">
        <v>233</v>
      </c>
      <c r="K457" t="s">
        <v>185</v>
      </c>
      <c r="N457">
        <v>0</v>
      </c>
      <c r="O457" t="s">
        <v>222</v>
      </c>
      <c r="P457">
        <v>0</v>
      </c>
      <c r="U457" s="15"/>
    </row>
    <row r="458" spans="1:21" x14ac:dyDescent="0.35">
      <c r="A458" t="s">
        <v>14</v>
      </c>
      <c r="B458" t="s">
        <v>497</v>
      </c>
      <c r="C458" t="s">
        <v>1856</v>
      </c>
      <c r="D458" t="s">
        <v>1857</v>
      </c>
      <c r="E458" t="s">
        <v>1858</v>
      </c>
      <c r="F458" t="s">
        <v>644</v>
      </c>
      <c r="G458" t="s">
        <v>1859</v>
      </c>
      <c r="H458" s="15">
        <v>46136</v>
      </c>
      <c r="I458" t="s">
        <v>1860</v>
      </c>
      <c r="J458" t="s">
        <v>16</v>
      </c>
      <c r="K458" t="s">
        <v>185</v>
      </c>
      <c r="N458">
        <v>0</v>
      </c>
      <c r="O458" t="s">
        <v>222</v>
      </c>
      <c r="P458">
        <v>0</v>
      </c>
      <c r="U458" s="15"/>
    </row>
    <row r="459" spans="1:21" x14ac:dyDescent="0.35">
      <c r="A459" t="s">
        <v>14</v>
      </c>
      <c r="B459" t="s">
        <v>497</v>
      </c>
      <c r="C459" t="s">
        <v>651</v>
      </c>
      <c r="D459" t="s">
        <v>652</v>
      </c>
      <c r="E459" t="s">
        <v>653</v>
      </c>
      <c r="F459" t="s">
        <v>644</v>
      </c>
      <c r="G459" t="s">
        <v>1859</v>
      </c>
      <c r="H459" s="15">
        <v>46136</v>
      </c>
      <c r="I459" t="s">
        <v>1861</v>
      </c>
      <c r="J459" t="s">
        <v>16</v>
      </c>
      <c r="K459" t="s">
        <v>185</v>
      </c>
      <c r="N459">
        <v>0</v>
      </c>
      <c r="O459" t="s">
        <v>222</v>
      </c>
      <c r="P459">
        <v>0</v>
      </c>
      <c r="U459" s="15"/>
    </row>
    <row r="460" spans="1:21" x14ac:dyDescent="0.35">
      <c r="A460" t="s">
        <v>14</v>
      </c>
      <c r="B460" t="s">
        <v>497</v>
      </c>
      <c r="C460" t="s">
        <v>1255</v>
      </c>
      <c r="D460" t="s">
        <v>1256</v>
      </c>
      <c r="E460" t="s">
        <v>1257</v>
      </c>
      <c r="F460" t="s">
        <v>644</v>
      </c>
      <c r="G460" t="s">
        <v>1859</v>
      </c>
      <c r="H460" s="15">
        <v>46136</v>
      </c>
      <c r="I460" t="s">
        <v>1862</v>
      </c>
      <c r="J460" t="s">
        <v>16</v>
      </c>
      <c r="K460" t="s">
        <v>185</v>
      </c>
      <c r="N460">
        <v>0</v>
      </c>
      <c r="O460" t="s">
        <v>222</v>
      </c>
      <c r="P460">
        <v>0</v>
      </c>
      <c r="U460" s="15"/>
    </row>
    <row r="461" spans="1:21" x14ac:dyDescent="0.35">
      <c r="A461" t="s">
        <v>14</v>
      </c>
      <c r="B461" t="s">
        <v>497</v>
      </c>
      <c r="C461" t="s">
        <v>515</v>
      </c>
      <c r="D461" t="s">
        <v>516</v>
      </c>
      <c r="E461" t="s">
        <v>517</v>
      </c>
      <c r="F461" t="s">
        <v>501</v>
      </c>
      <c r="G461" t="s">
        <v>1198</v>
      </c>
      <c r="H461" s="15">
        <v>46086</v>
      </c>
      <c r="I461" t="s">
        <v>1211</v>
      </c>
      <c r="J461" t="s">
        <v>233</v>
      </c>
      <c r="K461" t="s">
        <v>185</v>
      </c>
      <c r="N461">
        <v>0</v>
      </c>
      <c r="O461" t="s">
        <v>222</v>
      </c>
      <c r="P461">
        <v>0</v>
      </c>
      <c r="U461" s="15"/>
    </row>
    <row r="462" spans="1:21" x14ac:dyDescent="0.35">
      <c r="A462" t="s">
        <v>14</v>
      </c>
      <c r="B462" t="s">
        <v>497</v>
      </c>
      <c r="C462" t="s">
        <v>515</v>
      </c>
      <c r="D462" t="s">
        <v>516</v>
      </c>
      <c r="E462" t="s">
        <v>517</v>
      </c>
      <c r="F462" t="s">
        <v>501</v>
      </c>
      <c r="G462" t="s">
        <v>1212</v>
      </c>
      <c r="H462" s="15">
        <v>46087</v>
      </c>
      <c r="I462" t="s">
        <v>1213</v>
      </c>
      <c r="J462" t="s">
        <v>16</v>
      </c>
      <c r="K462" t="s">
        <v>185</v>
      </c>
      <c r="N462">
        <v>0</v>
      </c>
      <c r="O462" t="s">
        <v>222</v>
      </c>
      <c r="P462">
        <v>0</v>
      </c>
      <c r="U462" s="15"/>
    </row>
    <row r="463" spans="1:21" x14ac:dyDescent="0.35">
      <c r="A463" t="s">
        <v>14</v>
      </c>
      <c r="B463" t="s">
        <v>497</v>
      </c>
      <c r="C463" t="s">
        <v>662</v>
      </c>
      <c r="D463" t="s">
        <v>663</v>
      </c>
      <c r="E463" t="s">
        <v>664</v>
      </c>
      <c r="F463" t="s">
        <v>644</v>
      </c>
      <c r="G463" t="s">
        <v>1867</v>
      </c>
      <c r="H463" s="15">
        <v>46137</v>
      </c>
      <c r="I463" t="s">
        <v>1868</v>
      </c>
      <c r="J463" t="s">
        <v>16</v>
      </c>
      <c r="K463" t="s">
        <v>185</v>
      </c>
      <c r="N463">
        <v>0</v>
      </c>
      <c r="O463" t="s">
        <v>222</v>
      </c>
      <c r="P463">
        <v>0</v>
      </c>
      <c r="U463" s="15"/>
    </row>
    <row r="464" spans="1:21" x14ac:dyDescent="0.35">
      <c r="A464" t="s">
        <v>14</v>
      </c>
      <c r="B464" t="s">
        <v>497</v>
      </c>
      <c r="C464" t="s">
        <v>697</v>
      </c>
      <c r="D464" t="s">
        <v>698</v>
      </c>
      <c r="E464" t="s">
        <v>699</v>
      </c>
      <c r="F464" t="s">
        <v>644</v>
      </c>
      <c r="G464" t="s">
        <v>1869</v>
      </c>
      <c r="H464" s="15">
        <v>46137</v>
      </c>
      <c r="I464" t="s">
        <v>1870</v>
      </c>
      <c r="J464" t="s">
        <v>233</v>
      </c>
      <c r="K464" t="s">
        <v>185</v>
      </c>
      <c r="N464">
        <v>0</v>
      </c>
      <c r="O464" t="s">
        <v>222</v>
      </c>
      <c r="P464">
        <v>0</v>
      </c>
      <c r="U464" s="15"/>
    </row>
    <row r="465" spans="1:21" x14ac:dyDescent="0.35">
      <c r="A465" t="s">
        <v>14</v>
      </c>
      <c r="B465" t="s">
        <v>497</v>
      </c>
      <c r="C465" t="s">
        <v>504</v>
      </c>
      <c r="D465" t="s">
        <v>505</v>
      </c>
      <c r="E465" t="s">
        <v>506</v>
      </c>
      <c r="F465" t="s">
        <v>501</v>
      </c>
      <c r="G465" t="s">
        <v>1212</v>
      </c>
      <c r="H465" s="15">
        <v>46087</v>
      </c>
      <c r="I465" t="s">
        <v>1214</v>
      </c>
      <c r="J465" t="s">
        <v>16</v>
      </c>
      <c r="K465" t="s">
        <v>185</v>
      </c>
      <c r="N465">
        <v>0</v>
      </c>
      <c r="O465" t="s">
        <v>222</v>
      </c>
      <c r="P465">
        <v>0</v>
      </c>
      <c r="U465" s="15"/>
    </row>
    <row r="466" spans="1:21" x14ac:dyDescent="0.35">
      <c r="A466" t="s">
        <v>14</v>
      </c>
      <c r="B466" t="s">
        <v>497</v>
      </c>
      <c r="C466" t="s">
        <v>531</v>
      </c>
      <c r="D466" t="s">
        <v>532</v>
      </c>
      <c r="E466" t="s">
        <v>533</v>
      </c>
      <c r="F466" t="s">
        <v>501</v>
      </c>
      <c r="G466" t="s">
        <v>1215</v>
      </c>
      <c r="H466" s="15">
        <v>46087</v>
      </c>
      <c r="I466" t="s">
        <v>1216</v>
      </c>
      <c r="J466" t="s">
        <v>233</v>
      </c>
      <c r="K466" t="s">
        <v>185</v>
      </c>
      <c r="N466">
        <v>0</v>
      </c>
      <c r="O466" t="s">
        <v>222</v>
      </c>
      <c r="P466">
        <v>0</v>
      </c>
      <c r="U466" s="15"/>
    </row>
    <row r="467" spans="1:21" x14ac:dyDescent="0.35">
      <c r="A467" t="s">
        <v>14</v>
      </c>
      <c r="B467" t="s">
        <v>497</v>
      </c>
      <c r="C467" t="s">
        <v>1164</v>
      </c>
      <c r="D467" t="s">
        <v>1165</v>
      </c>
      <c r="E467" t="s">
        <v>1166</v>
      </c>
      <c r="F467" t="s">
        <v>644</v>
      </c>
      <c r="G467" t="s">
        <v>1872</v>
      </c>
      <c r="H467" s="15">
        <v>46139</v>
      </c>
      <c r="I467" t="s">
        <v>1873</v>
      </c>
      <c r="J467" t="s">
        <v>16</v>
      </c>
      <c r="K467" t="s">
        <v>185</v>
      </c>
      <c r="N467">
        <v>0</v>
      </c>
      <c r="O467" t="s">
        <v>222</v>
      </c>
      <c r="P467">
        <v>0</v>
      </c>
      <c r="U467" s="15"/>
    </row>
    <row r="468" spans="1:21" x14ac:dyDescent="0.35">
      <c r="A468" t="s">
        <v>14</v>
      </c>
      <c r="B468" t="s">
        <v>497</v>
      </c>
      <c r="C468" t="s">
        <v>498</v>
      </c>
      <c r="D468" t="s">
        <v>499</v>
      </c>
      <c r="E468" t="s">
        <v>500</v>
      </c>
      <c r="F468" t="s">
        <v>501</v>
      </c>
      <c r="G468" t="s">
        <v>1221</v>
      </c>
      <c r="H468" s="15">
        <v>46088</v>
      </c>
      <c r="I468" t="s">
        <v>1222</v>
      </c>
      <c r="J468" t="s">
        <v>16</v>
      </c>
      <c r="K468" t="s">
        <v>185</v>
      </c>
      <c r="N468">
        <v>0</v>
      </c>
      <c r="O468" t="s">
        <v>222</v>
      </c>
      <c r="P468">
        <v>0</v>
      </c>
      <c r="U468" s="15"/>
    </row>
    <row r="469" spans="1:21" x14ac:dyDescent="0.35">
      <c r="A469" t="s">
        <v>14</v>
      </c>
      <c r="B469" t="s">
        <v>497</v>
      </c>
      <c r="C469" t="s">
        <v>821</v>
      </c>
      <c r="D469" t="s">
        <v>822</v>
      </c>
      <c r="E469" t="s">
        <v>823</v>
      </c>
      <c r="F469" t="s">
        <v>644</v>
      </c>
      <c r="G469" t="s">
        <v>1872</v>
      </c>
      <c r="H469" s="15">
        <v>46139</v>
      </c>
      <c r="I469" t="s">
        <v>1877</v>
      </c>
      <c r="J469" t="s">
        <v>16</v>
      </c>
      <c r="K469" t="s">
        <v>185</v>
      </c>
      <c r="N469">
        <v>0</v>
      </c>
      <c r="O469" t="s">
        <v>222</v>
      </c>
      <c r="P469">
        <v>0</v>
      </c>
      <c r="U469" s="15"/>
    </row>
    <row r="470" spans="1:21" x14ac:dyDescent="0.35">
      <c r="A470" t="s">
        <v>14</v>
      </c>
      <c r="B470" t="s">
        <v>497</v>
      </c>
      <c r="C470" t="s">
        <v>651</v>
      </c>
      <c r="D470" t="s">
        <v>652</v>
      </c>
      <c r="E470" t="s">
        <v>653</v>
      </c>
      <c r="F470" t="s">
        <v>644</v>
      </c>
      <c r="G470" t="s">
        <v>1878</v>
      </c>
      <c r="H470" s="15">
        <v>46139</v>
      </c>
      <c r="I470" t="s">
        <v>1879</v>
      </c>
      <c r="J470" t="s">
        <v>233</v>
      </c>
      <c r="K470" t="s">
        <v>185</v>
      </c>
      <c r="N470">
        <v>0</v>
      </c>
      <c r="O470" t="s">
        <v>222</v>
      </c>
      <c r="P470">
        <v>0</v>
      </c>
      <c r="U470" s="15"/>
    </row>
    <row r="471" spans="1:21" x14ac:dyDescent="0.35">
      <c r="A471" t="s">
        <v>14</v>
      </c>
      <c r="B471" t="s">
        <v>497</v>
      </c>
      <c r="C471" t="s">
        <v>504</v>
      </c>
      <c r="D471" t="s">
        <v>505</v>
      </c>
      <c r="E471" t="s">
        <v>506</v>
      </c>
      <c r="F471" t="s">
        <v>501</v>
      </c>
      <c r="G471" t="s">
        <v>1221</v>
      </c>
      <c r="H471" s="15">
        <v>46088</v>
      </c>
      <c r="I471" t="s">
        <v>1227</v>
      </c>
      <c r="J471" t="s">
        <v>16</v>
      </c>
      <c r="K471" t="s">
        <v>185</v>
      </c>
      <c r="N471">
        <v>0</v>
      </c>
      <c r="O471" t="s">
        <v>222</v>
      </c>
      <c r="P471">
        <v>0</v>
      </c>
      <c r="U471" s="15"/>
    </row>
    <row r="472" spans="1:21" x14ac:dyDescent="0.35">
      <c r="A472" t="s">
        <v>14</v>
      </c>
      <c r="B472" t="s">
        <v>497</v>
      </c>
      <c r="C472" t="s">
        <v>498</v>
      </c>
      <c r="D472" t="s">
        <v>499</v>
      </c>
      <c r="E472" t="s">
        <v>500</v>
      </c>
      <c r="F472" t="s">
        <v>501</v>
      </c>
      <c r="G472" t="s">
        <v>1228</v>
      </c>
      <c r="H472" s="15">
        <v>46088</v>
      </c>
      <c r="I472" t="s">
        <v>1229</v>
      </c>
      <c r="J472" t="s">
        <v>233</v>
      </c>
      <c r="K472" t="s">
        <v>185</v>
      </c>
      <c r="N472">
        <v>0</v>
      </c>
      <c r="O472" t="s">
        <v>222</v>
      </c>
      <c r="P472">
        <v>0</v>
      </c>
      <c r="U472" s="15"/>
    </row>
    <row r="473" spans="1:21" x14ac:dyDescent="0.35">
      <c r="A473" t="s">
        <v>14</v>
      </c>
      <c r="B473" t="s">
        <v>497</v>
      </c>
      <c r="C473" t="s">
        <v>531</v>
      </c>
      <c r="D473" t="s">
        <v>532</v>
      </c>
      <c r="E473" t="s">
        <v>533</v>
      </c>
      <c r="F473" t="s">
        <v>501</v>
      </c>
      <c r="G473" t="s">
        <v>1238</v>
      </c>
      <c r="H473" s="15">
        <v>46090</v>
      </c>
      <c r="I473" t="s">
        <v>1239</v>
      </c>
      <c r="J473" t="s">
        <v>233</v>
      </c>
      <c r="K473" t="s">
        <v>185</v>
      </c>
      <c r="N473">
        <v>0</v>
      </c>
      <c r="O473" t="s">
        <v>222</v>
      </c>
      <c r="P473">
        <v>0</v>
      </c>
      <c r="U473" s="15"/>
    </row>
    <row r="474" spans="1:21" x14ac:dyDescent="0.35">
      <c r="A474" t="s">
        <v>14</v>
      </c>
      <c r="B474" t="s">
        <v>497</v>
      </c>
      <c r="C474" t="s">
        <v>615</v>
      </c>
      <c r="D474" t="s">
        <v>616</v>
      </c>
      <c r="E474" t="s">
        <v>617</v>
      </c>
      <c r="F474" t="s">
        <v>501</v>
      </c>
      <c r="G474" t="s">
        <v>1240</v>
      </c>
      <c r="H474" s="15">
        <v>46091</v>
      </c>
      <c r="I474" t="s">
        <v>1241</v>
      </c>
      <c r="J474" t="s">
        <v>16</v>
      </c>
      <c r="K474" t="s">
        <v>185</v>
      </c>
      <c r="N474">
        <v>0</v>
      </c>
      <c r="O474" t="s">
        <v>222</v>
      </c>
      <c r="P474">
        <v>0</v>
      </c>
      <c r="U474" s="15"/>
    </row>
    <row r="475" spans="1:21" x14ac:dyDescent="0.35">
      <c r="A475" t="s">
        <v>14</v>
      </c>
      <c r="B475" t="s">
        <v>497</v>
      </c>
      <c r="C475" t="s">
        <v>615</v>
      </c>
      <c r="D475" t="s">
        <v>616</v>
      </c>
      <c r="E475" t="s">
        <v>617</v>
      </c>
      <c r="F475" t="s">
        <v>501</v>
      </c>
      <c r="G475" t="s">
        <v>1240</v>
      </c>
      <c r="H475" s="15">
        <v>46091</v>
      </c>
      <c r="I475" t="s">
        <v>1241</v>
      </c>
      <c r="J475" t="s">
        <v>16</v>
      </c>
      <c r="K475" t="s">
        <v>185</v>
      </c>
      <c r="N475">
        <v>0</v>
      </c>
      <c r="O475" t="s">
        <v>222</v>
      </c>
      <c r="P475">
        <v>0</v>
      </c>
      <c r="U475" s="15"/>
    </row>
    <row r="476" spans="1:21" x14ac:dyDescent="0.35">
      <c r="A476" t="s">
        <v>14</v>
      </c>
      <c r="B476" t="s">
        <v>497</v>
      </c>
      <c r="C476" t="s">
        <v>1880</v>
      </c>
      <c r="D476" t="s">
        <v>1881</v>
      </c>
      <c r="E476" t="s">
        <v>1882</v>
      </c>
      <c r="F476" t="s">
        <v>644</v>
      </c>
      <c r="G476" t="s">
        <v>1878</v>
      </c>
      <c r="H476" s="15">
        <v>46139</v>
      </c>
      <c r="I476" t="s">
        <v>1883</v>
      </c>
      <c r="J476" t="s">
        <v>233</v>
      </c>
      <c r="K476" t="s">
        <v>185</v>
      </c>
      <c r="N476">
        <v>0</v>
      </c>
      <c r="O476" t="s">
        <v>222</v>
      </c>
      <c r="P476">
        <v>0</v>
      </c>
      <c r="U476" s="15"/>
    </row>
    <row r="477" spans="1:21" x14ac:dyDescent="0.35">
      <c r="A477" t="s">
        <v>14</v>
      </c>
      <c r="B477" t="s">
        <v>497</v>
      </c>
      <c r="C477" t="s">
        <v>658</v>
      </c>
      <c r="D477" t="s">
        <v>659</v>
      </c>
      <c r="E477" t="s">
        <v>660</v>
      </c>
      <c r="F477" t="s">
        <v>644</v>
      </c>
      <c r="G477" t="s">
        <v>1890</v>
      </c>
      <c r="H477" s="15">
        <v>46140</v>
      </c>
      <c r="I477" t="s">
        <v>1891</v>
      </c>
      <c r="J477" t="s">
        <v>16</v>
      </c>
      <c r="K477" t="s">
        <v>185</v>
      </c>
      <c r="N477">
        <v>0</v>
      </c>
      <c r="O477" t="s">
        <v>222</v>
      </c>
      <c r="P477">
        <v>0</v>
      </c>
      <c r="U477" s="15"/>
    </row>
    <row r="478" spans="1:21" x14ac:dyDescent="0.35">
      <c r="A478" t="s">
        <v>14</v>
      </c>
      <c r="B478" t="s">
        <v>497</v>
      </c>
      <c r="C478" t="s">
        <v>662</v>
      </c>
      <c r="D478" t="s">
        <v>663</v>
      </c>
      <c r="E478" t="s">
        <v>664</v>
      </c>
      <c r="F478" t="s">
        <v>644</v>
      </c>
      <c r="G478" t="s">
        <v>1890</v>
      </c>
      <c r="H478" s="15">
        <v>46140</v>
      </c>
      <c r="I478" t="s">
        <v>1892</v>
      </c>
      <c r="J478" t="s">
        <v>16</v>
      </c>
      <c r="K478" t="s">
        <v>185</v>
      </c>
      <c r="N478">
        <v>0</v>
      </c>
      <c r="O478" t="s">
        <v>222</v>
      </c>
      <c r="P478">
        <v>0</v>
      </c>
      <c r="U478" s="15"/>
    </row>
    <row r="479" spans="1:21" x14ac:dyDescent="0.35">
      <c r="A479" t="s">
        <v>14</v>
      </c>
      <c r="B479" t="s">
        <v>497</v>
      </c>
      <c r="C479" t="s">
        <v>899</v>
      </c>
      <c r="D479" t="s">
        <v>900</v>
      </c>
      <c r="E479" t="s">
        <v>901</v>
      </c>
      <c r="F479" t="s">
        <v>501</v>
      </c>
      <c r="G479" t="s">
        <v>1240</v>
      </c>
      <c r="H479" s="15">
        <v>46091</v>
      </c>
      <c r="I479" t="s">
        <v>1249</v>
      </c>
      <c r="J479" t="s">
        <v>16</v>
      </c>
      <c r="K479" t="s">
        <v>185</v>
      </c>
      <c r="N479">
        <v>0</v>
      </c>
      <c r="O479" t="s">
        <v>222</v>
      </c>
      <c r="P479">
        <v>0</v>
      </c>
      <c r="U479" s="15"/>
    </row>
    <row r="480" spans="1:21" x14ac:dyDescent="0.35">
      <c r="A480" t="s">
        <v>14</v>
      </c>
      <c r="B480" t="s">
        <v>497</v>
      </c>
      <c r="C480" t="s">
        <v>561</v>
      </c>
      <c r="D480" t="s">
        <v>562</v>
      </c>
      <c r="E480" t="s">
        <v>562</v>
      </c>
      <c r="F480" t="s">
        <v>501</v>
      </c>
      <c r="G480" t="s">
        <v>1250</v>
      </c>
      <c r="H480" s="15">
        <v>46091</v>
      </c>
      <c r="I480" t="s">
        <v>1251</v>
      </c>
      <c r="J480" t="s">
        <v>233</v>
      </c>
      <c r="K480" t="s">
        <v>185</v>
      </c>
      <c r="N480">
        <v>0</v>
      </c>
      <c r="O480" t="s">
        <v>222</v>
      </c>
      <c r="P480">
        <v>0</v>
      </c>
      <c r="U480" s="15"/>
    </row>
    <row r="481" spans="1:21" x14ac:dyDescent="0.35">
      <c r="A481" t="s">
        <v>14</v>
      </c>
      <c r="B481" t="s">
        <v>497</v>
      </c>
      <c r="C481" t="s">
        <v>1255</v>
      </c>
      <c r="D481" t="s">
        <v>1256</v>
      </c>
      <c r="E481" t="s">
        <v>1257</v>
      </c>
      <c r="F481" t="s">
        <v>644</v>
      </c>
      <c r="G481" t="s">
        <v>1895</v>
      </c>
      <c r="H481" s="15">
        <v>46140</v>
      </c>
      <c r="I481" t="s">
        <v>1896</v>
      </c>
      <c r="J481" t="s">
        <v>233</v>
      </c>
      <c r="K481" t="s">
        <v>185</v>
      </c>
      <c r="N481">
        <v>0</v>
      </c>
      <c r="O481" t="s">
        <v>222</v>
      </c>
      <c r="P481">
        <v>0</v>
      </c>
      <c r="U481" s="15"/>
    </row>
    <row r="482" spans="1:21" x14ac:dyDescent="0.35">
      <c r="A482" t="s">
        <v>14</v>
      </c>
      <c r="B482" t="s">
        <v>497</v>
      </c>
      <c r="C482" t="s">
        <v>641</v>
      </c>
      <c r="D482" t="s">
        <v>642</v>
      </c>
      <c r="E482" t="s">
        <v>643</v>
      </c>
      <c r="F482" t="s">
        <v>644</v>
      </c>
      <c r="G482" t="s">
        <v>1897</v>
      </c>
      <c r="H482" s="15">
        <v>46141</v>
      </c>
      <c r="I482" t="s">
        <v>1898</v>
      </c>
      <c r="J482" t="s">
        <v>16</v>
      </c>
      <c r="K482" t="s">
        <v>185</v>
      </c>
      <c r="N482">
        <v>0</v>
      </c>
      <c r="O482" t="s">
        <v>222</v>
      </c>
      <c r="P482">
        <v>0</v>
      </c>
      <c r="U482" s="15"/>
    </row>
    <row r="483" spans="1:21" x14ac:dyDescent="0.35">
      <c r="A483" t="s">
        <v>14</v>
      </c>
      <c r="B483" t="s">
        <v>497</v>
      </c>
      <c r="C483" t="s">
        <v>515</v>
      </c>
      <c r="D483" t="s">
        <v>516</v>
      </c>
      <c r="E483" t="s">
        <v>517</v>
      </c>
      <c r="F483" t="s">
        <v>501</v>
      </c>
      <c r="G483" t="s">
        <v>1252</v>
      </c>
      <c r="H483" s="15">
        <v>46092</v>
      </c>
      <c r="I483" t="s">
        <v>1253</v>
      </c>
      <c r="J483" t="s">
        <v>16</v>
      </c>
      <c r="K483" t="s">
        <v>185</v>
      </c>
      <c r="N483">
        <v>0</v>
      </c>
      <c r="O483" t="s">
        <v>222</v>
      </c>
      <c r="P483">
        <v>0</v>
      </c>
      <c r="U483" s="15"/>
    </row>
    <row r="484" spans="1:21" x14ac:dyDescent="0.35">
      <c r="A484" t="s">
        <v>14</v>
      </c>
      <c r="B484" t="s">
        <v>497</v>
      </c>
      <c r="C484" t="s">
        <v>557</v>
      </c>
      <c r="D484" t="s">
        <v>558</v>
      </c>
      <c r="E484" t="s">
        <v>559</v>
      </c>
      <c r="F484" t="s">
        <v>501</v>
      </c>
      <c r="G484" t="s">
        <v>1252</v>
      </c>
      <c r="H484" s="15">
        <v>46092</v>
      </c>
      <c r="I484" t="s">
        <v>1254</v>
      </c>
      <c r="J484" t="s">
        <v>16</v>
      </c>
      <c r="K484" t="s">
        <v>185</v>
      </c>
      <c r="N484">
        <v>0</v>
      </c>
      <c r="O484" t="s">
        <v>222</v>
      </c>
      <c r="P484">
        <v>0</v>
      </c>
      <c r="U484" s="15"/>
    </row>
    <row r="485" spans="1:21" x14ac:dyDescent="0.35">
      <c r="A485" t="s">
        <v>14</v>
      </c>
      <c r="B485" t="s">
        <v>497</v>
      </c>
      <c r="C485" t="s">
        <v>1255</v>
      </c>
      <c r="D485" t="s">
        <v>1256</v>
      </c>
      <c r="E485" t="s">
        <v>1257</v>
      </c>
      <c r="F485" t="s">
        <v>644</v>
      </c>
      <c r="G485" t="s">
        <v>1897</v>
      </c>
      <c r="H485" s="15">
        <v>46141</v>
      </c>
      <c r="I485" t="s">
        <v>1903</v>
      </c>
      <c r="J485" t="s">
        <v>16</v>
      </c>
      <c r="K485" t="s">
        <v>185</v>
      </c>
      <c r="N485">
        <v>0</v>
      </c>
      <c r="O485" t="s">
        <v>222</v>
      </c>
      <c r="P485">
        <v>0</v>
      </c>
      <c r="U485" s="15"/>
    </row>
    <row r="486" spans="1:21" x14ac:dyDescent="0.35">
      <c r="A486" t="s">
        <v>14</v>
      </c>
      <c r="B486" t="s">
        <v>497</v>
      </c>
      <c r="C486" t="s">
        <v>651</v>
      </c>
      <c r="D486" t="s">
        <v>652</v>
      </c>
      <c r="E486" t="s">
        <v>653</v>
      </c>
      <c r="F486" t="s">
        <v>644</v>
      </c>
      <c r="G486" t="s">
        <v>1904</v>
      </c>
      <c r="H486" s="15">
        <v>46141</v>
      </c>
      <c r="I486" t="s">
        <v>1905</v>
      </c>
      <c r="J486" t="s">
        <v>233</v>
      </c>
      <c r="K486" t="s">
        <v>185</v>
      </c>
      <c r="N486">
        <v>0</v>
      </c>
      <c r="O486" t="s">
        <v>222</v>
      </c>
      <c r="P486">
        <v>0</v>
      </c>
      <c r="U486" s="15"/>
    </row>
    <row r="487" spans="1:21" x14ac:dyDescent="0.35">
      <c r="A487" t="s">
        <v>14</v>
      </c>
      <c r="B487" t="s">
        <v>497</v>
      </c>
      <c r="C487" t="s">
        <v>552</v>
      </c>
      <c r="D487" t="s">
        <v>553</v>
      </c>
      <c r="E487" t="s">
        <v>554</v>
      </c>
      <c r="F487" t="s">
        <v>501</v>
      </c>
      <c r="G487" t="s">
        <v>1264</v>
      </c>
      <c r="H487" s="15">
        <v>46092</v>
      </c>
      <c r="I487" t="s">
        <v>1265</v>
      </c>
      <c r="J487" t="s">
        <v>233</v>
      </c>
      <c r="K487" t="s">
        <v>185</v>
      </c>
      <c r="N487">
        <v>0</v>
      </c>
      <c r="O487" t="s">
        <v>222</v>
      </c>
      <c r="P487">
        <v>0</v>
      </c>
      <c r="U487" s="15"/>
    </row>
    <row r="488" spans="1:21" x14ac:dyDescent="0.35">
      <c r="A488" t="s">
        <v>14</v>
      </c>
      <c r="B488" t="s">
        <v>497</v>
      </c>
      <c r="C488" t="s">
        <v>1255</v>
      </c>
      <c r="D488" t="s">
        <v>1256</v>
      </c>
      <c r="E488" t="s">
        <v>1257</v>
      </c>
      <c r="F488" t="s">
        <v>644</v>
      </c>
      <c r="G488" t="s">
        <v>1906</v>
      </c>
      <c r="H488" s="15">
        <v>46142</v>
      </c>
      <c r="I488" t="s">
        <v>1907</v>
      </c>
      <c r="J488" t="s">
        <v>16</v>
      </c>
      <c r="K488" t="s">
        <v>185</v>
      </c>
      <c r="N488">
        <v>0</v>
      </c>
      <c r="O488" t="s">
        <v>222</v>
      </c>
      <c r="P488">
        <v>0</v>
      </c>
      <c r="U488" s="15"/>
    </row>
    <row r="489" spans="1:21" x14ac:dyDescent="0.35">
      <c r="A489" t="s">
        <v>14</v>
      </c>
      <c r="B489" t="s">
        <v>497</v>
      </c>
      <c r="C489" t="s">
        <v>692</v>
      </c>
      <c r="D489" t="s">
        <v>693</v>
      </c>
      <c r="E489" t="s">
        <v>694</v>
      </c>
      <c r="F489" t="s">
        <v>644</v>
      </c>
      <c r="G489" t="s">
        <v>1906</v>
      </c>
      <c r="H489" s="15">
        <v>46142</v>
      </c>
      <c r="I489" t="s">
        <v>1910</v>
      </c>
      <c r="J489" t="s">
        <v>16</v>
      </c>
      <c r="K489" t="s">
        <v>185</v>
      </c>
      <c r="N489">
        <v>0</v>
      </c>
      <c r="O489" t="s">
        <v>222</v>
      </c>
      <c r="P489">
        <v>0</v>
      </c>
      <c r="U489" s="15"/>
    </row>
    <row r="490" spans="1:21" x14ac:dyDescent="0.35">
      <c r="A490" t="s">
        <v>14</v>
      </c>
      <c r="B490" t="s">
        <v>497</v>
      </c>
      <c r="C490" t="s">
        <v>542</v>
      </c>
      <c r="D490" t="s">
        <v>543</v>
      </c>
      <c r="E490" t="s">
        <v>544</v>
      </c>
      <c r="F490" t="s">
        <v>501</v>
      </c>
      <c r="G490" t="s">
        <v>1270</v>
      </c>
      <c r="H490" s="15">
        <v>46093</v>
      </c>
      <c r="I490" t="s">
        <v>1271</v>
      </c>
      <c r="J490" t="s">
        <v>16</v>
      </c>
      <c r="K490" t="s">
        <v>185</v>
      </c>
      <c r="N490">
        <v>0</v>
      </c>
      <c r="O490" t="s">
        <v>222</v>
      </c>
      <c r="P490">
        <v>0</v>
      </c>
      <c r="U490" s="15"/>
    </row>
    <row r="491" spans="1:21" x14ac:dyDescent="0.35">
      <c r="A491" t="s">
        <v>14</v>
      </c>
      <c r="B491" t="s">
        <v>497</v>
      </c>
      <c r="C491" t="s">
        <v>504</v>
      </c>
      <c r="D491" t="s">
        <v>505</v>
      </c>
      <c r="E491" t="s">
        <v>506</v>
      </c>
      <c r="F491" t="s">
        <v>501</v>
      </c>
      <c r="G491" t="s">
        <v>1270</v>
      </c>
      <c r="H491" s="15">
        <v>46093</v>
      </c>
      <c r="I491" t="s">
        <v>1272</v>
      </c>
      <c r="J491" t="s">
        <v>16</v>
      </c>
      <c r="K491" t="s">
        <v>185</v>
      </c>
      <c r="N491">
        <v>0</v>
      </c>
      <c r="O491" t="s">
        <v>222</v>
      </c>
      <c r="P491">
        <v>0</v>
      </c>
      <c r="U491" s="15"/>
    </row>
    <row r="492" spans="1:21" x14ac:dyDescent="0.35">
      <c r="A492" t="s">
        <v>14</v>
      </c>
      <c r="B492" t="s">
        <v>497</v>
      </c>
      <c r="C492" t="s">
        <v>1058</v>
      </c>
      <c r="D492" t="s">
        <v>1059</v>
      </c>
      <c r="E492" t="s">
        <v>1060</v>
      </c>
      <c r="F492" t="s">
        <v>644</v>
      </c>
      <c r="G492" t="s">
        <v>1914</v>
      </c>
      <c r="H492" s="15">
        <v>46142</v>
      </c>
      <c r="I492" t="s">
        <v>1915</v>
      </c>
      <c r="J492" t="s">
        <v>233</v>
      </c>
      <c r="K492" t="s">
        <v>185</v>
      </c>
      <c r="N492">
        <v>0</v>
      </c>
      <c r="O492" t="s">
        <v>222</v>
      </c>
      <c r="P492">
        <v>0</v>
      </c>
      <c r="U492" s="15"/>
    </row>
    <row r="493" spans="1:21" x14ac:dyDescent="0.35">
      <c r="A493" t="s">
        <v>14</v>
      </c>
      <c r="B493" t="s">
        <v>497</v>
      </c>
      <c r="C493" t="s">
        <v>552</v>
      </c>
      <c r="D493" t="s">
        <v>553</v>
      </c>
      <c r="E493" t="s">
        <v>554</v>
      </c>
      <c r="F493" t="s">
        <v>501</v>
      </c>
      <c r="G493" t="s">
        <v>1275</v>
      </c>
      <c r="H493" s="15">
        <v>46093</v>
      </c>
      <c r="I493" t="s">
        <v>1276</v>
      </c>
      <c r="J493" t="s">
        <v>233</v>
      </c>
      <c r="K493" t="s">
        <v>185</v>
      </c>
      <c r="N493">
        <v>0</v>
      </c>
      <c r="O493" t="s">
        <v>222</v>
      </c>
      <c r="P493">
        <v>0</v>
      </c>
      <c r="U493" s="15"/>
    </row>
    <row r="494" spans="1:21" x14ac:dyDescent="0.35">
      <c r="A494" t="s">
        <v>14</v>
      </c>
      <c r="B494" t="s">
        <v>497</v>
      </c>
      <c r="C494" t="s">
        <v>1255</v>
      </c>
      <c r="D494" t="s">
        <v>1256</v>
      </c>
      <c r="E494" t="s">
        <v>1257</v>
      </c>
      <c r="F494" t="s">
        <v>644</v>
      </c>
      <c r="G494" t="s">
        <v>1914</v>
      </c>
      <c r="H494" s="15">
        <v>46142</v>
      </c>
      <c r="I494" t="s">
        <v>1916</v>
      </c>
      <c r="J494" t="s">
        <v>233</v>
      </c>
      <c r="K494" t="s">
        <v>185</v>
      </c>
      <c r="N494">
        <v>0</v>
      </c>
      <c r="O494" t="s">
        <v>222</v>
      </c>
      <c r="P494">
        <v>0</v>
      </c>
      <c r="U494" s="15"/>
    </row>
    <row r="495" spans="1:21" x14ac:dyDescent="0.35">
      <c r="A495" t="s">
        <v>14</v>
      </c>
      <c r="B495" t="s">
        <v>497</v>
      </c>
      <c r="C495" t="s">
        <v>1255</v>
      </c>
      <c r="D495" t="s">
        <v>1256</v>
      </c>
      <c r="E495" t="s">
        <v>1257</v>
      </c>
      <c r="F495" t="s">
        <v>644</v>
      </c>
      <c r="G495" t="s">
        <v>1914</v>
      </c>
      <c r="H495" s="15">
        <v>46142</v>
      </c>
      <c r="I495" t="s">
        <v>1916</v>
      </c>
      <c r="J495" t="s">
        <v>233</v>
      </c>
      <c r="K495" t="s">
        <v>185</v>
      </c>
      <c r="N495">
        <v>0</v>
      </c>
      <c r="O495" t="s">
        <v>222</v>
      </c>
      <c r="P495">
        <v>0</v>
      </c>
      <c r="U495" s="15"/>
    </row>
    <row r="496" spans="1:21" x14ac:dyDescent="0.35">
      <c r="A496" t="s">
        <v>14</v>
      </c>
      <c r="B496" t="s">
        <v>497</v>
      </c>
      <c r="C496" t="s">
        <v>750</v>
      </c>
      <c r="D496" t="s">
        <v>751</v>
      </c>
      <c r="E496" t="s">
        <v>752</v>
      </c>
      <c r="F496" t="s">
        <v>644</v>
      </c>
      <c r="G496" t="s">
        <v>1920</v>
      </c>
      <c r="H496" s="15">
        <v>46144</v>
      </c>
      <c r="I496" t="s">
        <v>1921</v>
      </c>
      <c r="J496" t="s">
        <v>16</v>
      </c>
      <c r="K496" t="s">
        <v>185</v>
      </c>
      <c r="N496">
        <v>0</v>
      </c>
      <c r="O496" t="s">
        <v>222</v>
      </c>
      <c r="P496">
        <v>0</v>
      </c>
      <c r="U496" s="15"/>
    </row>
    <row r="497" spans="1:21" x14ac:dyDescent="0.35">
      <c r="A497" t="s">
        <v>14</v>
      </c>
      <c r="B497" t="s">
        <v>497</v>
      </c>
      <c r="C497" t="s">
        <v>697</v>
      </c>
      <c r="D497" t="s">
        <v>698</v>
      </c>
      <c r="E497" t="s">
        <v>699</v>
      </c>
      <c r="F497" t="s">
        <v>644</v>
      </c>
      <c r="G497" t="s">
        <v>1922</v>
      </c>
      <c r="H497" s="15">
        <v>46144</v>
      </c>
      <c r="I497" t="s">
        <v>1923</v>
      </c>
      <c r="J497" t="s">
        <v>233</v>
      </c>
      <c r="K497" t="s">
        <v>185</v>
      </c>
      <c r="N497">
        <v>0</v>
      </c>
      <c r="O497" t="s">
        <v>222</v>
      </c>
      <c r="P497">
        <v>0</v>
      </c>
      <c r="U497" s="15"/>
    </row>
    <row r="498" spans="1:21" x14ac:dyDescent="0.35">
      <c r="A498" t="s">
        <v>14</v>
      </c>
      <c r="B498" t="s">
        <v>497</v>
      </c>
      <c r="C498" t="s">
        <v>515</v>
      </c>
      <c r="D498" t="s">
        <v>516</v>
      </c>
      <c r="E498" t="s">
        <v>517</v>
      </c>
      <c r="F498" t="s">
        <v>501</v>
      </c>
      <c r="G498" t="s">
        <v>1279</v>
      </c>
      <c r="H498" s="15">
        <v>46094</v>
      </c>
      <c r="I498" t="s">
        <v>1280</v>
      </c>
      <c r="J498" t="s">
        <v>16</v>
      </c>
      <c r="K498" t="s">
        <v>185</v>
      </c>
      <c r="N498">
        <v>0</v>
      </c>
      <c r="O498" t="s">
        <v>222</v>
      </c>
      <c r="P498">
        <v>0</v>
      </c>
      <c r="U498" s="15"/>
    </row>
    <row r="499" spans="1:21" x14ac:dyDescent="0.35">
      <c r="A499" t="s">
        <v>14</v>
      </c>
      <c r="B499" t="s">
        <v>497</v>
      </c>
      <c r="C499" t="s">
        <v>504</v>
      </c>
      <c r="D499" t="s">
        <v>505</v>
      </c>
      <c r="E499" t="s">
        <v>506</v>
      </c>
      <c r="F499" t="s">
        <v>501</v>
      </c>
      <c r="G499" t="s">
        <v>1279</v>
      </c>
      <c r="H499" s="15">
        <v>46094</v>
      </c>
      <c r="I499" t="s">
        <v>1281</v>
      </c>
      <c r="J499" t="s">
        <v>16</v>
      </c>
      <c r="K499" t="s">
        <v>185</v>
      </c>
      <c r="N499">
        <v>0</v>
      </c>
      <c r="O499" t="s">
        <v>222</v>
      </c>
      <c r="P499">
        <v>0</v>
      </c>
      <c r="U499" s="15"/>
    </row>
    <row r="500" spans="1:21" x14ac:dyDescent="0.35">
      <c r="A500" t="s">
        <v>14</v>
      </c>
      <c r="B500" t="s">
        <v>497</v>
      </c>
      <c r="C500" t="s">
        <v>1926</v>
      </c>
      <c r="D500" t="s">
        <v>1927</v>
      </c>
      <c r="E500" t="s">
        <v>1928</v>
      </c>
      <c r="F500" t="s">
        <v>644</v>
      </c>
      <c r="G500" t="s">
        <v>1929</v>
      </c>
      <c r="H500" s="15">
        <v>46146</v>
      </c>
      <c r="I500" t="s">
        <v>1930</v>
      </c>
      <c r="J500" t="s">
        <v>16</v>
      </c>
      <c r="K500" t="s">
        <v>185</v>
      </c>
      <c r="N500">
        <v>0</v>
      </c>
      <c r="O500" t="s">
        <v>222</v>
      </c>
      <c r="P500">
        <v>0</v>
      </c>
      <c r="U500" s="15"/>
    </row>
    <row r="501" spans="1:21" x14ac:dyDescent="0.35">
      <c r="A501" t="s">
        <v>14</v>
      </c>
      <c r="B501" t="s">
        <v>497</v>
      </c>
      <c r="C501" t="s">
        <v>1931</v>
      </c>
      <c r="D501" t="s">
        <v>1932</v>
      </c>
      <c r="E501" t="s">
        <v>1933</v>
      </c>
      <c r="F501" t="s">
        <v>644</v>
      </c>
      <c r="G501" t="s">
        <v>1929</v>
      </c>
      <c r="H501" s="15">
        <v>46146</v>
      </c>
      <c r="I501" t="s">
        <v>1934</v>
      </c>
      <c r="J501" t="s">
        <v>16</v>
      </c>
      <c r="K501" t="s">
        <v>185</v>
      </c>
      <c r="N501">
        <v>0</v>
      </c>
      <c r="O501" t="s">
        <v>222</v>
      </c>
      <c r="P501">
        <v>0</v>
      </c>
      <c r="U501" s="15"/>
    </row>
    <row r="502" spans="1:21" x14ac:dyDescent="0.35">
      <c r="A502" t="s">
        <v>14</v>
      </c>
      <c r="B502" t="s">
        <v>497</v>
      </c>
      <c r="C502" t="s">
        <v>531</v>
      </c>
      <c r="D502" t="s">
        <v>532</v>
      </c>
      <c r="E502" t="s">
        <v>533</v>
      </c>
      <c r="F502" t="s">
        <v>501</v>
      </c>
      <c r="G502" t="s">
        <v>1285</v>
      </c>
      <c r="H502" s="15">
        <v>46094</v>
      </c>
      <c r="I502" t="s">
        <v>1286</v>
      </c>
      <c r="J502" t="s">
        <v>233</v>
      </c>
      <c r="K502" t="s">
        <v>185</v>
      </c>
      <c r="N502">
        <v>0</v>
      </c>
      <c r="O502" t="s">
        <v>222</v>
      </c>
      <c r="P502">
        <v>0</v>
      </c>
      <c r="U502" s="15"/>
    </row>
    <row r="503" spans="1:21" x14ac:dyDescent="0.35">
      <c r="A503" t="s">
        <v>14</v>
      </c>
      <c r="B503" t="s">
        <v>497</v>
      </c>
      <c r="C503" t="s">
        <v>498</v>
      </c>
      <c r="D503" t="s">
        <v>499</v>
      </c>
      <c r="E503" t="s">
        <v>500</v>
      </c>
      <c r="F503" t="s">
        <v>501</v>
      </c>
      <c r="G503" t="s">
        <v>1287</v>
      </c>
      <c r="H503" s="15">
        <v>46095</v>
      </c>
      <c r="I503" t="s">
        <v>1288</v>
      </c>
      <c r="J503" t="s">
        <v>16</v>
      </c>
      <c r="K503" t="s">
        <v>185</v>
      </c>
      <c r="N503">
        <v>0</v>
      </c>
      <c r="O503" t="s">
        <v>222</v>
      </c>
      <c r="P503">
        <v>0</v>
      </c>
      <c r="U503" s="15"/>
    </row>
    <row r="504" spans="1:21" x14ac:dyDescent="0.35">
      <c r="A504" t="s">
        <v>14</v>
      </c>
      <c r="B504" t="s">
        <v>497</v>
      </c>
      <c r="C504" t="s">
        <v>504</v>
      </c>
      <c r="D504" t="s">
        <v>505</v>
      </c>
      <c r="E504" t="s">
        <v>506</v>
      </c>
      <c r="F504" t="s">
        <v>501</v>
      </c>
      <c r="G504" t="s">
        <v>1287</v>
      </c>
      <c r="H504" s="15">
        <v>46095</v>
      </c>
      <c r="I504" t="s">
        <v>1292</v>
      </c>
      <c r="J504" t="s">
        <v>16</v>
      </c>
      <c r="K504" t="s">
        <v>185</v>
      </c>
      <c r="N504">
        <v>0</v>
      </c>
      <c r="O504" t="s">
        <v>222</v>
      </c>
      <c r="P504">
        <v>0</v>
      </c>
      <c r="U504" s="15"/>
    </row>
    <row r="505" spans="1:21" x14ac:dyDescent="0.35">
      <c r="A505" t="s">
        <v>14</v>
      </c>
      <c r="B505" t="s">
        <v>497</v>
      </c>
      <c r="C505" t="s">
        <v>498</v>
      </c>
      <c r="D505" t="s">
        <v>499</v>
      </c>
      <c r="E505" t="s">
        <v>500</v>
      </c>
      <c r="F505" t="s">
        <v>501</v>
      </c>
      <c r="G505" t="s">
        <v>1293</v>
      </c>
      <c r="H505" s="15">
        <v>46095</v>
      </c>
      <c r="I505" t="s">
        <v>1294</v>
      </c>
      <c r="J505" t="s">
        <v>233</v>
      </c>
      <c r="K505" t="s">
        <v>185</v>
      </c>
      <c r="N505">
        <v>0</v>
      </c>
      <c r="O505" t="s">
        <v>222</v>
      </c>
      <c r="P505">
        <v>0</v>
      </c>
      <c r="U505" s="15"/>
    </row>
    <row r="506" spans="1:21" x14ac:dyDescent="0.35">
      <c r="A506" t="s">
        <v>14</v>
      </c>
      <c r="B506" t="s">
        <v>497</v>
      </c>
      <c r="C506" t="s">
        <v>832</v>
      </c>
      <c r="D506" t="s">
        <v>833</v>
      </c>
      <c r="E506" t="s">
        <v>834</v>
      </c>
      <c r="F506" t="s">
        <v>644</v>
      </c>
      <c r="G506" t="s">
        <v>1937</v>
      </c>
      <c r="H506" s="15">
        <v>46146</v>
      </c>
      <c r="I506" t="s">
        <v>1938</v>
      </c>
      <c r="J506" t="s">
        <v>233</v>
      </c>
      <c r="K506" t="s">
        <v>185</v>
      </c>
      <c r="N506">
        <v>0</v>
      </c>
      <c r="O506" t="s">
        <v>222</v>
      </c>
      <c r="P506">
        <v>0</v>
      </c>
      <c r="U506" s="15"/>
    </row>
    <row r="507" spans="1:21" x14ac:dyDescent="0.35">
      <c r="A507" t="s">
        <v>14</v>
      </c>
      <c r="B507" t="s">
        <v>497</v>
      </c>
      <c r="C507" t="s">
        <v>641</v>
      </c>
      <c r="D507" t="s">
        <v>642</v>
      </c>
      <c r="E507" t="s">
        <v>643</v>
      </c>
      <c r="F507" t="s">
        <v>644</v>
      </c>
      <c r="G507" t="s">
        <v>1939</v>
      </c>
      <c r="H507" s="15">
        <v>46147</v>
      </c>
      <c r="I507" t="s">
        <v>1940</v>
      </c>
      <c r="J507" t="s">
        <v>16</v>
      </c>
      <c r="K507" t="s">
        <v>185</v>
      </c>
      <c r="N507">
        <v>0</v>
      </c>
      <c r="O507" t="s">
        <v>222</v>
      </c>
      <c r="P507">
        <v>0</v>
      </c>
      <c r="U507" s="15"/>
    </row>
    <row r="508" spans="1:21" x14ac:dyDescent="0.35">
      <c r="A508" t="s">
        <v>14</v>
      </c>
      <c r="B508" t="s">
        <v>497</v>
      </c>
      <c r="C508" t="s">
        <v>647</v>
      </c>
      <c r="D508" t="s">
        <v>648</v>
      </c>
      <c r="E508" t="s">
        <v>649</v>
      </c>
      <c r="F508" t="s">
        <v>644</v>
      </c>
      <c r="G508" t="s">
        <v>1939</v>
      </c>
      <c r="H508" s="15">
        <v>46147</v>
      </c>
      <c r="I508" t="s">
        <v>1944</v>
      </c>
      <c r="J508" t="s">
        <v>16</v>
      </c>
      <c r="K508" t="s">
        <v>185</v>
      </c>
      <c r="N508">
        <v>0</v>
      </c>
      <c r="O508" t="s">
        <v>222</v>
      </c>
      <c r="P508">
        <v>0</v>
      </c>
      <c r="U508" s="15"/>
    </row>
    <row r="509" spans="1:21" x14ac:dyDescent="0.35">
      <c r="A509" t="s">
        <v>14</v>
      </c>
      <c r="B509" t="s">
        <v>497</v>
      </c>
      <c r="C509" t="s">
        <v>531</v>
      </c>
      <c r="D509" t="s">
        <v>532</v>
      </c>
      <c r="E509" t="s">
        <v>533</v>
      </c>
      <c r="F509" t="s">
        <v>501</v>
      </c>
      <c r="G509" t="s">
        <v>1295</v>
      </c>
      <c r="H509" s="15">
        <v>46097</v>
      </c>
      <c r="I509" t="s">
        <v>1296</v>
      </c>
      <c r="J509" t="s">
        <v>16</v>
      </c>
      <c r="K509" t="s">
        <v>185</v>
      </c>
      <c r="N509">
        <v>0</v>
      </c>
      <c r="O509" t="s">
        <v>222</v>
      </c>
      <c r="P509">
        <v>0</v>
      </c>
      <c r="U509" s="15"/>
    </row>
    <row r="510" spans="1:21" x14ac:dyDescent="0.35">
      <c r="A510" t="s">
        <v>14</v>
      </c>
      <c r="B510" t="s">
        <v>497</v>
      </c>
      <c r="C510" t="s">
        <v>536</v>
      </c>
      <c r="D510" t="s">
        <v>537</v>
      </c>
      <c r="E510" t="s">
        <v>538</v>
      </c>
      <c r="F510" t="s">
        <v>501</v>
      </c>
      <c r="G510" t="s">
        <v>1295</v>
      </c>
      <c r="H510" s="15">
        <v>46097</v>
      </c>
      <c r="I510" t="s">
        <v>1302</v>
      </c>
      <c r="J510" t="s">
        <v>16</v>
      </c>
      <c r="K510" t="s">
        <v>185</v>
      </c>
      <c r="N510">
        <v>0</v>
      </c>
      <c r="O510" t="s">
        <v>222</v>
      </c>
      <c r="P510">
        <v>0</v>
      </c>
      <c r="U510" s="15"/>
    </row>
    <row r="511" spans="1:21" x14ac:dyDescent="0.35">
      <c r="A511" t="s">
        <v>14</v>
      </c>
      <c r="B511" t="s">
        <v>497</v>
      </c>
      <c r="C511" t="s">
        <v>536</v>
      </c>
      <c r="D511" t="s">
        <v>537</v>
      </c>
      <c r="E511" t="s">
        <v>538</v>
      </c>
      <c r="F511" t="s">
        <v>501</v>
      </c>
      <c r="G511" t="s">
        <v>1295</v>
      </c>
      <c r="H511" s="15">
        <v>46097</v>
      </c>
      <c r="I511" t="s">
        <v>1302</v>
      </c>
      <c r="J511" t="s">
        <v>16</v>
      </c>
      <c r="K511" t="s">
        <v>185</v>
      </c>
      <c r="N511">
        <v>0</v>
      </c>
      <c r="O511" t="s">
        <v>222</v>
      </c>
      <c r="P511">
        <v>0</v>
      </c>
      <c r="U511" s="15"/>
    </row>
    <row r="512" spans="1:21" x14ac:dyDescent="0.35">
      <c r="A512" t="s">
        <v>14</v>
      </c>
      <c r="B512" t="s">
        <v>497</v>
      </c>
      <c r="C512" t="s">
        <v>531</v>
      </c>
      <c r="D512" t="s">
        <v>532</v>
      </c>
      <c r="E512" t="s">
        <v>533</v>
      </c>
      <c r="F512" t="s">
        <v>501</v>
      </c>
      <c r="G512" t="s">
        <v>1303</v>
      </c>
      <c r="H512" s="15">
        <v>46097</v>
      </c>
      <c r="I512" t="s">
        <v>1304</v>
      </c>
      <c r="J512" t="s">
        <v>233</v>
      </c>
      <c r="K512" t="s">
        <v>185</v>
      </c>
      <c r="N512">
        <v>0</v>
      </c>
      <c r="O512" t="s">
        <v>222</v>
      </c>
      <c r="P512">
        <v>0</v>
      </c>
      <c r="U512" s="15"/>
    </row>
    <row r="513" spans="1:21" x14ac:dyDescent="0.35">
      <c r="A513" t="s">
        <v>14</v>
      </c>
      <c r="B513" t="s">
        <v>497</v>
      </c>
      <c r="C513" t="s">
        <v>651</v>
      </c>
      <c r="D513" t="s">
        <v>652</v>
      </c>
      <c r="E513" t="s">
        <v>653</v>
      </c>
      <c r="F513" t="s">
        <v>644</v>
      </c>
      <c r="G513" t="s">
        <v>1948</v>
      </c>
      <c r="H513" s="15">
        <v>46147</v>
      </c>
      <c r="I513" t="s">
        <v>1949</v>
      </c>
      <c r="J513" t="s">
        <v>233</v>
      </c>
      <c r="K513" t="s">
        <v>185</v>
      </c>
      <c r="N513">
        <v>0</v>
      </c>
      <c r="O513" t="s">
        <v>222</v>
      </c>
      <c r="P513">
        <v>0</v>
      </c>
      <c r="U513" s="15"/>
    </row>
    <row r="514" spans="1:21" x14ac:dyDescent="0.35">
      <c r="A514" t="s">
        <v>14</v>
      </c>
      <c r="B514" t="s">
        <v>497</v>
      </c>
      <c r="C514" t="s">
        <v>765</v>
      </c>
      <c r="D514" t="s">
        <v>766</v>
      </c>
      <c r="E514" t="s">
        <v>767</v>
      </c>
      <c r="F514" t="s">
        <v>644</v>
      </c>
      <c r="G514" t="s">
        <v>1950</v>
      </c>
      <c r="H514" s="15">
        <v>46148</v>
      </c>
      <c r="I514" t="s">
        <v>1951</v>
      </c>
      <c r="J514" t="s">
        <v>16</v>
      </c>
      <c r="K514" t="s">
        <v>185</v>
      </c>
      <c r="N514">
        <v>0</v>
      </c>
      <c r="O514" t="s">
        <v>222</v>
      </c>
      <c r="P514">
        <v>0</v>
      </c>
      <c r="U514" s="15"/>
    </row>
    <row r="515" spans="1:21" x14ac:dyDescent="0.35">
      <c r="A515" t="s">
        <v>14</v>
      </c>
      <c r="B515" t="s">
        <v>497</v>
      </c>
      <c r="C515" t="s">
        <v>662</v>
      </c>
      <c r="D515" t="s">
        <v>663</v>
      </c>
      <c r="E515" t="s">
        <v>664</v>
      </c>
      <c r="F515" t="s">
        <v>644</v>
      </c>
      <c r="G515" t="s">
        <v>1950</v>
      </c>
      <c r="H515" s="15">
        <v>46148</v>
      </c>
      <c r="I515" t="s">
        <v>1952</v>
      </c>
      <c r="J515" t="s">
        <v>16</v>
      </c>
      <c r="K515" t="s">
        <v>185</v>
      </c>
      <c r="N515">
        <v>0</v>
      </c>
      <c r="O515" t="s">
        <v>222</v>
      </c>
      <c r="P515">
        <v>0</v>
      </c>
      <c r="U515" s="15"/>
    </row>
    <row r="516" spans="1:21" x14ac:dyDescent="0.35">
      <c r="A516" t="s">
        <v>14</v>
      </c>
      <c r="B516" t="s">
        <v>497</v>
      </c>
      <c r="C516" t="s">
        <v>515</v>
      </c>
      <c r="D516" t="s">
        <v>516</v>
      </c>
      <c r="E516" t="s">
        <v>517</v>
      </c>
      <c r="F516" t="s">
        <v>501</v>
      </c>
      <c r="G516" t="s">
        <v>1310</v>
      </c>
      <c r="H516" s="15">
        <v>46098</v>
      </c>
      <c r="I516" t="s">
        <v>1311</v>
      </c>
      <c r="J516" t="s">
        <v>16</v>
      </c>
      <c r="K516" t="s">
        <v>185</v>
      </c>
      <c r="N516">
        <v>0</v>
      </c>
      <c r="O516" t="s">
        <v>222</v>
      </c>
      <c r="P516">
        <v>0</v>
      </c>
      <c r="U516" s="15"/>
    </row>
    <row r="517" spans="1:21" x14ac:dyDescent="0.35">
      <c r="A517" t="s">
        <v>14</v>
      </c>
      <c r="B517" t="s">
        <v>497</v>
      </c>
      <c r="C517" t="s">
        <v>504</v>
      </c>
      <c r="D517" t="s">
        <v>505</v>
      </c>
      <c r="E517" t="s">
        <v>506</v>
      </c>
      <c r="F517" t="s">
        <v>501</v>
      </c>
      <c r="G517" t="s">
        <v>1310</v>
      </c>
      <c r="H517" s="15">
        <v>46098</v>
      </c>
      <c r="I517" t="s">
        <v>1312</v>
      </c>
      <c r="J517" t="s">
        <v>16</v>
      </c>
      <c r="K517" t="s">
        <v>185</v>
      </c>
      <c r="N517">
        <v>0</v>
      </c>
      <c r="O517" t="s">
        <v>222</v>
      </c>
      <c r="P517">
        <v>0</v>
      </c>
      <c r="U517" s="15"/>
    </row>
    <row r="518" spans="1:21" x14ac:dyDescent="0.35">
      <c r="A518" t="s">
        <v>14</v>
      </c>
      <c r="B518" t="s">
        <v>497</v>
      </c>
      <c r="C518" t="s">
        <v>504</v>
      </c>
      <c r="D518" t="s">
        <v>505</v>
      </c>
      <c r="E518" t="s">
        <v>506</v>
      </c>
      <c r="F518" t="s">
        <v>501</v>
      </c>
      <c r="G518" t="s">
        <v>1310</v>
      </c>
      <c r="H518" s="15">
        <v>46098</v>
      </c>
      <c r="I518" t="s">
        <v>1312</v>
      </c>
      <c r="J518" t="s">
        <v>16</v>
      </c>
      <c r="K518" t="s">
        <v>185</v>
      </c>
      <c r="N518">
        <v>0</v>
      </c>
      <c r="O518" t="s">
        <v>222</v>
      </c>
      <c r="P518">
        <v>0</v>
      </c>
      <c r="U518" s="15"/>
    </row>
    <row r="519" spans="1:21" x14ac:dyDescent="0.35">
      <c r="A519" t="s">
        <v>14</v>
      </c>
      <c r="B519" t="s">
        <v>497</v>
      </c>
      <c r="C519" t="s">
        <v>667</v>
      </c>
      <c r="D519" t="s">
        <v>668</v>
      </c>
      <c r="E519" t="s">
        <v>669</v>
      </c>
      <c r="F519" t="s">
        <v>644</v>
      </c>
      <c r="G519" t="s">
        <v>1958</v>
      </c>
      <c r="H519" s="15">
        <v>46148</v>
      </c>
      <c r="I519" t="s">
        <v>1959</v>
      </c>
      <c r="J519" t="s">
        <v>233</v>
      </c>
      <c r="K519" t="s">
        <v>185</v>
      </c>
      <c r="N519">
        <v>0</v>
      </c>
      <c r="O519" t="s">
        <v>222</v>
      </c>
      <c r="P519">
        <v>0</v>
      </c>
      <c r="U519" s="15"/>
    </row>
    <row r="520" spans="1:21" x14ac:dyDescent="0.35">
      <c r="A520" t="s">
        <v>14</v>
      </c>
      <c r="B520" t="s">
        <v>497</v>
      </c>
      <c r="C520" t="s">
        <v>692</v>
      </c>
      <c r="D520" t="s">
        <v>693</v>
      </c>
      <c r="E520" t="s">
        <v>694</v>
      </c>
      <c r="F520" t="s">
        <v>644</v>
      </c>
      <c r="G520" t="s">
        <v>1960</v>
      </c>
      <c r="H520" s="15">
        <v>46149</v>
      </c>
      <c r="I520" t="s">
        <v>1961</v>
      </c>
      <c r="J520" t="s">
        <v>16</v>
      </c>
      <c r="K520" t="s">
        <v>185</v>
      </c>
      <c r="N520">
        <v>0</v>
      </c>
      <c r="O520" t="s">
        <v>222</v>
      </c>
      <c r="P520">
        <v>0</v>
      </c>
      <c r="U520" s="15"/>
    </row>
    <row r="521" spans="1:21" x14ac:dyDescent="0.35">
      <c r="A521" t="s">
        <v>14</v>
      </c>
      <c r="B521" t="s">
        <v>497</v>
      </c>
      <c r="C521" t="s">
        <v>498</v>
      </c>
      <c r="D521" t="s">
        <v>499</v>
      </c>
      <c r="E521" t="s">
        <v>500</v>
      </c>
      <c r="F521" t="s">
        <v>501</v>
      </c>
      <c r="G521" t="s">
        <v>1317</v>
      </c>
      <c r="H521" s="15">
        <v>46098</v>
      </c>
      <c r="I521" t="s">
        <v>1318</v>
      </c>
      <c r="J521" t="s">
        <v>233</v>
      </c>
      <c r="K521" t="s">
        <v>185</v>
      </c>
      <c r="N521">
        <v>0</v>
      </c>
      <c r="O521" t="s">
        <v>222</v>
      </c>
      <c r="P521">
        <v>0</v>
      </c>
      <c r="U521" s="15"/>
    </row>
    <row r="522" spans="1:21" x14ac:dyDescent="0.35">
      <c r="A522" t="s">
        <v>14</v>
      </c>
      <c r="B522" t="s">
        <v>497</v>
      </c>
      <c r="C522" t="s">
        <v>1255</v>
      </c>
      <c r="D522" t="s">
        <v>1256</v>
      </c>
      <c r="E522" t="s">
        <v>1257</v>
      </c>
      <c r="F522" t="s">
        <v>644</v>
      </c>
      <c r="G522" t="s">
        <v>1960</v>
      </c>
      <c r="H522" s="15">
        <v>46149</v>
      </c>
      <c r="I522" t="s">
        <v>1966</v>
      </c>
      <c r="J522" t="s">
        <v>16</v>
      </c>
      <c r="K522" t="s">
        <v>185</v>
      </c>
      <c r="N522">
        <v>0</v>
      </c>
      <c r="O522" t="s">
        <v>222</v>
      </c>
      <c r="P522">
        <v>0</v>
      </c>
      <c r="U522" s="15"/>
    </row>
    <row r="523" spans="1:21" x14ac:dyDescent="0.35">
      <c r="A523" t="s">
        <v>14</v>
      </c>
      <c r="B523" t="s">
        <v>497</v>
      </c>
      <c r="C523" t="s">
        <v>651</v>
      </c>
      <c r="D523" t="s">
        <v>652</v>
      </c>
      <c r="E523" t="s">
        <v>653</v>
      </c>
      <c r="F523" t="s">
        <v>644</v>
      </c>
      <c r="G523" t="s">
        <v>1967</v>
      </c>
      <c r="H523" s="15">
        <v>46149</v>
      </c>
      <c r="I523" t="s">
        <v>1968</v>
      </c>
      <c r="J523" t="s">
        <v>233</v>
      </c>
      <c r="K523" t="s">
        <v>185</v>
      </c>
      <c r="N523">
        <v>0</v>
      </c>
      <c r="O523" t="s">
        <v>222</v>
      </c>
      <c r="P523">
        <v>0</v>
      </c>
      <c r="U523" s="15"/>
    </row>
    <row r="524" spans="1:21" x14ac:dyDescent="0.35">
      <c r="A524" t="s">
        <v>14</v>
      </c>
      <c r="B524" t="s">
        <v>497</v>
      </c>
      <c r="C524" t="s">
        <v>515</v>
      </c>
      <c r="D524" t="s">
        <v>516</v>
      </c>
      <c r="E524" t="s">
        <v>517</v>
      </c>
      <c r="F524" t="s">
        <v>501</v>
      </c>
      <c r="G524" t="s">
        <v>1323</v>
      </c>
      <c r="H524" s="15">
        <v>46099</v>
      </c>
      <c r="I524" t="s">
        <v>1324</v>
      </c>
      <c r="J524" t="s">
        <v>16</v>
      </c>
      <c r="K524" t="s">
        <v>185</v>
      </c>
      <c r="N524">
        <v>0</v>
      </c>
      <c r="O524" t="s">
        <v>222</v>
      </c>
      <c r="P524">
        <v>0</v>
      </c>
      <c r="U524" s="15"/>
    </row>
    <row r="525" spans="1:21" x14ac:dyDescent="0.35">
      <c r="A525" t="s">
        <v>14</v>
      </c>
      <c r="B525" t="s">
        <v>497</v>
      </c>
      <c r="C525" t="s">
        <v>598</v>
      </c>
      <c r="D525" t="s">
        <v>599</v>
      </c>
      <c r="E525" t="s">
        <v>600</v>
      </c>
      <c r="F525" t="s">
        <v>501</v>
      </c>
      <c r="G525" t="s">
        <v>1323</v>
      </c>
      <c r="H525" s="15">
        <v>46099</v>
      </c>
      <c r="I525" t="s">
        <v>1325</v>
      </c>
      <c r="J525" t="s">
        <v>16</v>
      </c>
      <c r="K525" t="s">
        <v>185</v>
      </c>
      <c r="N525">
        <v>0</v>
      </c>
      <c r="O525" t="s">
        <v>222</v>
      </c>
      <c r="P525">
        <v>0</v>
      </c>
      <c r="U525" s="15"/>
    </row>
    <row r="526" spans="1:21" x14ac:dyDescent="0.35">
      <c r="A526" t="s">
        <v>14</v>
      </c>
      <c r="B526" t="s">
        <v>497</v>
      </c>
      <c r="C526" t="s">
        <v>667</v>
      </c>
      <c r="D526" t="s">
        <v>668</v>
      </c>
      <c r="E526" t="s">
        <v>669</v>
      </c>
      <c r="F526" t="s">
        <v>644</v>
      </c>
      <c r="G526" t="s">
        <v>1969</v>
      </c>
      <c r="H526" s="15">
        <v>46150</v>
      </c>
      <c r="I526" t="s">
        <v>1970</v>
      </c>
      <c r="J526" t="s">
        <v>16</v>
      </c>
      <c r="K526" t="s">
        <v>185</v>
      </c>
      <c r="N526">
        <v>0</v>
      </c>
      <c r="O526" t="s">
        <v>222</v>
      </c>
      <c r="P526">
        <v>0</v>
      </c>
      <c r="U526" s="15"/>
    </row>
    <row r="527" spans="1:21" x14ac:dyDescent="0.35">
      <c r="A527" t="s">
        <v>14</v>
      </c>
      <c r="B527" t="s">
        <v>497</v>
      </c>
      <c r="C527" t="s">
        <v>662</v>
      </c>
      <c r="D527" t="s">
        <v>663</v>
      </c>
      <c r="E527" t="s">
        <v>664</v>
      </c>
      <c r="F527" t="s">
        <v>644</v>
      </c>
      <c r="G527" t="s">
        <v>1969</v>
      </c>
      <c r="H527" s="15">
        <v>46150</v>
      </c>
      <c r="I527" t="s">
        <v>1972</v>
      </c>
      <c r="J527" t="s">
        <v>16</v>
      </c>
      <c r="K527" t="s">
        <v>185</v>
      </c>
      <c r="N527">
        <v>0</v>
      </c>
      <c r="O527" t="s">
        <v>222</v>
      </c>
      <c r="P527">
        <v>0</v>
      </c>
      <c r="U527" s="15"/>
    </row>
    <row r="528" spans="1:21" x14ac:dyDescent="0.35">
      <c r="A528" t="s">
        <v>14</v>
      </c>
      <c r="B528" t="s">
        <v>497</v>
      </c>
      <c r="C528" t="s">
        <v>781</v>
      </c>
      <c r="D528" t="s">
        <v>782</v>
      </c>
      <c r="E528" t="s">
        <v>783</v>
      </c>
      <c r="F528" t="s">
        <v>644</v>
      </c>
      <c r="G528" t="s">
        <v>1969</v>
      </c>
      <c r="H528" s="15">
        <v>46150</v>
      </c>
      <c r="I528" t="s">
        <v>1973</v>
      </c>
      <c r="J528" t="s">
        <v>16</v>
      </c>
      <c r="K528" t="s">
        <v>185</v>
      </c>
      <c r="N528">
        <v>0</v>
      </c>
      <c r="O528" t="s">
        <v>222</v>
      </c>
      <c r="P528">
        <v>0</v>
      </c>
      <c r="U528" s="15"/>
    </row>
    <row r="529" spans="1:21" x14ac:dyDescent="0.35">
      <c r="A529" t="s">
        <v>14</v>
      </c>
      <c r="B529" t="s">
        <v>497</v>
      </c>
      <c r="C529" t="s">
        <v>781</v>
      </c>
      <c r="D529" t="s">
        <v>782</v>
      </c>
      <c r="E529" t="s">
        <v>783</v>
      </c>
      <c r="F529" t="s">
        <v>644</v>
      </c>
      <c r="G529" t="s">
        <v>1969</v>
      </c>
      <c r="H529" s="15">
        <v>46150</v>
      </c>
      <c r="I529" t="s">
        <v>1973</v>
      </c>
      <c r="J529" t="s">
        <v>16</v>
      </c>
      <c r="K529" t="s">
        <v>185</v>
      </c>
      <c r="N529">
        <v>0</v>
      </c>
      <c r="O529" t="s">
        <v>222</v>
      </c>
      <c r="P529">
        <v>0</v>
      </c>
      <c r="U529" s="15"/>
    </row>
    <row r="530" spans="1:21" x14ac:dyDescent="0.35">
      <c r="A530" t="s">
        <v>14</v>
      </c>
      <c r="B530" t="s">
        <v>497</v>
      </c>
      <c r="C530" t="s">
        <v>667</v>
      </c>
      <c r="D530" t="s">
        <v>668</v>
      </c>
      <c r="E530" t="s">
        <v>669</v>
      </c>
      <c r="F530" t="s">
        <v>644</v>
      </c>
      <c r="G530" t="s">
        <v>1976</v>
      </c>
      <c r="H530" s="15">
        <v>46150</v>
      </c>
      <c r="I530" t="s">
        <v>1977</v>
      </c>
      <c r="J530" t="s">
        <v>233</v>
      </c>
      <c r="K530" t="s">
        <v>185</v>
      </c>
      <c r="N530">
        <v>0</v>
      </c>
      <c r="O530" t="s">
        <v>222</v>
      </c>
      <c r="P530">
        <v>0</v>
      </c>
      <c r="U530" s="15"/>
    </row>
    <row r="531" spans="1:21" x14ac:dyDescent="0.35">
      <c r="A531" t="s">
        <v>14</v>
      </c>
      <c r="B531" t="s">
        <v>497</v>
      </c>
      <c r="C531" t="s">
        <v>1329</v>
      </c>
      <c r="D531" t="s">
        <v>1330</v>
      </c>
      <c r="E531" t="s">
        <v>1331</v>
      </c>
      <c r="F531" t="s">
        <v>501</v>
      </c>
      <c r="G531" t="s">
        <v>1323</v>
      </c>
      <c r="H531" s="15">
        <v>46099</v>
      </c>
      <c r="I531" t="s">
        <v>1332</v>
      </c>
      <c r="J531" t="s">
        <v>16</v>
      </c>
      <c r="K531" t="s">
        <v>185</v>
      </c>
      <c r="N531">
        <v>0</v>
      </c>
      <c r="O531" t="s">
        <v>222</v>
      </c>
      <c r="P531">
        <v>0</v>
      </c>
      <c r="U531" s="15"/>
    </row>
    <row r="532" spans="1:21" x14ac:dyDescent="0.35">
      <c r="A532" t="s">
        <v>14</v>
      </c>
      <c r="B532" t="s">
        <v>497</v>
      </c>
      <c r="C532" t="s">
        <v>515</v>
      </c>
      <c r="D532" t="s">
        <v>516</v>
      </c>
      <c r="E532" t="s">
        <v>517</v>
      </c>
      <c r="F532" t="s">
        <v>501</v>
      </c>
      <c r="G532" t="s">
        <v>1333</v>
      </c>
      <c r="H532" s="15">
        <v>46099</v>
      </c>
      <c r="I532" t="s">
        <v>1334</v>
      </c>
      <c r="J532" t="s">
        <v>233</v>
      </c>
      <c r="K532" t="s">
        <v>185</v>
      </c>
      <c r="N532">
        <v>0</v>
      </c>
      <c r="O532" t="s">
        <v>222</v>
      </c>
      <c r="P532">
        <v>0</v>
      </c>
      <c r="U532" s="15"/>
    </row>
    <row r="533" spans="1:21" x14ac:dyDescent="0.35">
      <c r="A533" t="s">
        <v>14</v>
      </c>
      <c r="B533" t="s">
        <v>497</v>
      </c>
      <c r="C533" t="s">
        <v>750</v>
      </c>
      <c r="D533" t="s">
        <v>751</v>
      </c>
      <c r="E533" t="s">
        <v>752</v>
      </c>
      <c r="F533" t="s">
        <v>644</v>
      </c>
      <c r="G533" t="s">
        <v>1981</v>
      </c>
      <c r="H533" s="15">
        <v>46151</v>
      </c>
      <c r="I533" t="s">
        <v>1982</v>
      </c>
      <c r="J533" t="s">
        <v>16</v>
      </c>
      <c r="K533" t="s">
        <v>185</v>
      </c>
      <c r="N533">
        <v>0</v>
      </c>
      <c r="O533" t="s">
        <v>222</v>
      </c>
      <c r="P533">
        <v>0</v>
      </c>
      <c r="U533" s="15"/>
    </row>
    <row r="534" spans="1:21" x14ac:dyDescent="0.35">
      <c r="A534" t="s">
        <v>14</v>
      </c>
      <c r="B534" t="s">
        <v>497</v>
      </c>
      <c r="C534" t="s">
        <v>1335</v>
      </c>
      <c r="D534" t="s">
        <v>1336</v>
      </c>
      <c r="E534" t="s">
        <v>1337</v>
      </c>
      <c r="F534" t="s">
        <v>501</v>
      </c>
      <c r="G534" t="s">
        <v>1338</v>
      </c>
      <c r="H534" s="15">
        <v>46100</v>
      </c>
      <c r="I534" t="s">
        <v>1339</v>
      </c>
      <c r="J534" t="s">
        <v>16</v>
      </c>
      <c r="K534" t="s">
        <v>185</v>
      </c>
      <c r="N534">
        <v>0</v>
      </c>
      <c r="O534" t="s">
        <v>222</v>
      </c>
      <c r="P534">
        <v>0</v>
      </c>
      <c r="U534" s="15"/>
    </row>
    <row r="535" spans="1:21" x14ac:dyDescent="0.35">
      <c r="A535" t="s">
        <v>14</v>
      </c>
      <c r="B535" t="s">
        <v>497</v>
      </c>
      <c r="C535" t="s">
        <v>515</v>
      </c>
      <c r="D535" t="s">
        <v>516</v>
      </c>
      <c r="E535" t="s">
        <v>517</v>
      </c>
      <c r="F535" t="s">
        <v>501</v>
      </c>
      <c r="G535" t="s">
        <v>1338</v>
      </c>
      <c r="H535" s="15">
        <v>46100</v>
      </c>
      <c r="I535" t="s">
        <v>1340</v>
      </c>
      <c r="J535" t="s">
        <v>16</v>
      </c>
      <c r="K535" t="s">
        <v>185</v>
      </c>
      <c r="N535">
        <v>0</v>
      </c>
      <c r="O535" t="s">
        <v>222</v>
      </c>
      <c r="P535">
        <v>0</v>
      </c>
      <c r="U535" s="15"/>
    </row>
    <row r="536" spans="1:21" x14ac:dyDescent="0.35">
      <c r="A536" t="s">
        <v>14</v>
      </c>
      <c r="B536" t="s">
        <v>497</v>
      </c>
      <c r="C536" t="s">
        <v>515</v>
      </c>
      <c r="D536" t="s">
        <v>516</v>
      </c>
      <c r="E536" t="s">
        <v>517</v>
      </c>
      <c r="F536" t="s">
        <v>501</v>
      </c>
      <c r="G536" t="s">
        <v>1338</v>
      </c>
      <c r="H536" s="15">
        <v>46100</v>
      </c>
      <c r="I536" t="s">
        <v>1340</v>
      </c>
      <c r="J536" t="s">
        <v>16</v>
      </c>
      <c r="K536" t="s">
        <v>185</v>
      </c>
      <c r="N536">
        <v>0</v>
      </c>
      <c r="O536" t="s">
        <v>222</v>
      </c>
      <c r="P536">
        <v>0</v>
      </c>
      <c r="U536" s="15"/>
    </row>
    <row r="537" spans="1:21" x14ac:dyDescent="0.35">
      <c r="A537" t="s">
        <v>14</v>
      </c>
      <c r="B537" t="s">
        <v>497</v>
      </c>
      <c r="C537" t="s">
        <v>515</v>
      </c>
      <c r="D537" t="s">
        <v>516</v>
      </c>
      <c r="E537" t="s">
        <v>517</v>
      </c>
      <c r="F537" t="s">
        <v>501</v>
      </c>
      <c r="G537" t="s">
        <v>1338</v>
      </c>
      <c r="H537" s="15">
        <v>46100</v>
      </c>
      <c r="I537" t="s">
        <v>1340</v>
      </c>
      <c r="J537" t="s">
        <v>16</v>
      </c>
      <c r="K537" t="s">
        <v>185</v>
      </c>
      <c r="N537">
        <v>0</v>
      </c>
      <c r="O537" t="s">
        <v>222</v>
      </c>
      <c r="P537">
        <v>0</v>
      </c>
      <c r="U537" s="15"/>
    </row>
    <row r="538" spans="1:21" x14ac:dyDescent="0.35">
      <c r="A538" t="s">
        <v>14</v>
      </c>
      <c r="B538" t="s">
        <v>497</v>
      </c>
      <c r="C538" t="s">
        <v>682</v>
      </c>
      <c r="D538" t="s">
        <v>683</v>
      </c>
      <c r="E538" t="s">
        <v>683</v>
      </c>
      <c r="F538" t="s">
        <v>644</v>
      </c>
      <c r="G538" t="s">
        <v>1983</v>
      </c>
      <c r="H538" s="15">
        <v>46151</v>
      </c>
      <c r="I538" t="s">
        <v>1984</v>
      </c>
      <c r="J538" t="s">
        <v>233</v>
      </c>
      <c r="K538" t="s">
        <v>185</v>
      </c>
      <c r="N538">
        <v>0</v>
      </c>
      <c r="O538" t="s">
        <v>222</v>
      </c>
      <c r="P538">
        <v>0</v>
      </c>
      <c r="U538" s="15"/>
    </row>
    <row r="539" spans="1:21" x14ac:dyDescent="0.35">
      <c r="A539" t="s">
        <v>14</v>
      </c>
      <c r="B539" t="s">
        <v>497</v>
      </c>
      <c r="C539" t="s">
        <v>641</v>
      </c>
      <c r="D539" t="s">
        <v>642</v>
      </c>
      <c r="E539" t="s">
        <v>643</v>
      </c>
      <c r="F539" t="s">
        <v>644</v>
      </c>
      <c r="G539" t="s">
        <v>1989</v>
      </c>
      <c r="H539" s="15">
        <v>46153</v>
      </c>
      <c r="I539" t="s">
        <v>1990</v>
      </c>
      <c r="J539" t="s">
        <v>233</v>
      </c>
      <c r="K539" t="s">
        <v>185</v>
      </c>
      <c r="N539">
        <v>0</v>
      </c>
      <c r="O539" t="s">
        <v>222</v>
      </c>
      <c r="P539">
        <v>0</v>
      </c>
      <c r="U539" s="15"/>
    </row>
    <row r="540" spans="1:21" x14ac:dyDescent="0.35">
      <c r="A540" t="s">
        <v>14</v>
      </c>
      <c r="B540" t="s">
        <v>497</v>
      </c>
      <c r="C540" t="s">
        <v>557</v>
      </c>
      <c r="D540" t="s">
        <v>558</v>
      </c>
      <c r="E540" t="s">
        <v>559</v>
      </c>
      <c r="F540" t="s">
        <v>501</v>
      </c>
      <c r="G540" t="s">
        <v>1338</v>
      </c>
      <c r="H540" s="15">
        <v>46100</v>
      </c>
      <c r="I540" t="s">
        <v>1345</v>
      </c>
      <c r="J540" t="s">
        <v>16</v>
      </c>
      <c r="K540" t="s">
        <v>185</v>
      </c>
      <c r="N540">
        <v>0</v>
      </c>
      <c r="O540" t="s">
        <v>222</v>
      </c>
      <c r="P540">
        <v>0</v>
      </c>
      <c r="U540" s="15"/>
    </row>
    <row r="541" spans="1:21" x14ac:dyDescent="0.35">
      <c r="A541" t="s">
        <v>14</v>
      </c>
      <c r="B541" t="s">
        <v>497</v>
      </c>
      <c r="C541" t="s">
        <v>552</v>
      </c>
      <c r="D541" t="s">
        <v>553</v>
      </c>
      <c r="E541" t="s">
        <v>554</v>
      </c>
      <c r="F541" t="s">
        <v>501</v>
      </c>
      <c r="G541" t="s">
        <v>1346</v>
      </c>
      <c r="H541" s="15">
        <v>46100</v>
      </c>
      <c r="I541" t="s">
        <v>1347</v>
      </c>
      <c r="J541" t="s">
        <v>233</v>
      </c>
      <c r="K541" t="s">
        <v>185</v>
      </c>
      <c r="N541">
        <v>0</v>
      </c>
      <c r="O541" t="s">
        <v>222</v>
      </c>
      <c r="P541">
        <v>0</v>
      </c>
      <c r="U541" s="15"/>
    </row>
    <row r="542" spans="1:21" x14ac:dyDescent="0.35">
      <c r="A542" t="s">
        <v>14</v>
      </c>
      <c r="B542" t="s">
        <v>497</v>
      </c>
      <c r="C542" t="s">
        <v>1002</v>
      </c>
      <c r="D542" t="s">
        <v>1003</v>
      </c>
      <c r="E542" t="s">
        <v>1004</v>
      </c>
      <c r="F542" t="s">
        <v>501</v>
      </c>
      <c r="G542" t="s">
        <v>1348</v>
      </c>
      <c r="H542" s="15">
        <v>46101</v>
      </c>
      <c r="I542" t="s">
        <v>1349</v>
      </c>
      <c r="J542" t="s">
        <v>16</v>
      </c>
      <c r="K542" t="s">
        <v>185</v>
      </c>
      <c r="N542">
        <v>0</v>
      </c>
      <c r="O542" t="s">
        <v>222</v>
      </c>
      <c r="P542">
        <v>0</v>
      </c>
      <c r="U542" s="15"/>
    </row>
    <row r="543" spans="1:21" x14ac:dyDescent="0.35">
      <c r="A543" t="s">
        <v>14</v>
      </c>
      <c r="B543" t="s">
        <v>497</v>
      </c>
      <c r="C543" t="s">
        <v>697</v>
      </c>
      <c r="D543" t="s">
        <v>698</v>
      </c>
      <c r="E543" t="s">
        <v>699</v>
      </c>
      <c r="F543" t="s">
        <v>644</v>
      </c>
      <c r="G543" t="s">
        <v>1989</v>
      </c>
      <c r="H543" s="15">
        <v>46153</v>
      </c>
      <c r="I543" t="s">
        <v>1992</v>
      </c>
      <c r="J543" t="s">
        <v>233</v>
      </c>
      <c r="K543" t="s">
        <v>185</v>
      </c>
      <c r="N543">
        <v>0</v>
      </c>
      <c r="O543" t="s">
        <v>222</v>
      </c>
      <c r="P543">
        <v>0</v>
      </c>
      <c r="U543" s="15"/>
    </row>
    <row r="544" spans="1:21" x14ac:dyDescent="0.35">
      <c r="A544" t="s">
        <v>14</v>
      </c>
      <c r="B544" t="s">
        <v>497</v>
      </c>
      <c r="C544" t="s">
        <v>641</v>
      </c>
      <c r="D544" t="s">
        <v>642</v>
      </c>
      <c r="E544" t="s">
        <v>643</v>
      </c>
      <c r="F544" t="s">
        <v>644</v>
      </c>
      <c r="G544" t="s">
        <v>1993</v>
      </c>
      <c r="H544" s="15">
        <v>46154</v>
      </c>
      <c r="I544" t="s">
        <v>1994</v>
      </c>
      <c r="J544" t="s">
        <v>16</v>
      </c>
      <c r="K544" t="s">
        <v>185</v>
      </c>
      <c r="N544">
        <v>0</v>
      </c>
      <c r="O544" t="s">
        <v>222</v>
      </c>
      <c r="P544">
        <v>0</v>
      </c>
      <c r="U544" s="15"/>
    </row>
    <row r="545" spans="1:21" x14ac:dyDescent="0.35">
      <c r="A545" t="s">
        <v>14</v>
      </c>
      <c r="B545" t="s">
        <v>497</v>
      </c>
      <c r="C545" t="s">
        <v>498</v>
      </c>
      <c r="D545" t="s">
        <v>499</v>
      </c>
      <c r="E545" t="s">
        <v>500</v>
      </c>
      <c r="F545" t="s">
        <v>501</v>
      </c>
      <c r="G545" t="s">
        <v>1348</v>
      </c>
      <c r="H545" s="15">
        <v>46101</v>
      </c>
      <c r="I545" t="s">
        <v>1355</v>
      </c>
      <c r="J545" t="s">
        <v>16</v>
      </c>
      <c r="K545" t="s">
        <v>185</v>
      </c>
      <c r="N545">
        <v>0</v>
      </c>
      <c r="O545" t="s">
        <v>222</v>
      </c>
      <c r="P545">
        <v>0</v>
      </c>
      <c r="U545" s="15"/>
    </row>
    <row r="546" spans="1:21" x14ac:dyDescent="0.35">
      <c r="A546" t="s">
        <v>14</v>
      </c>
      <c r="B546" t="s">
        <v>497</v>
      </c>
      <c r="C546" t="s">
        <v>504</v>
      </c>
      <c r="D546" t="s">
        <v>505</v>
      </c>
      <c r="E546" t="s">
        <v>506</v>
      </c>
      <c r="F546" t="s">
        <v>501</v>
      </c>
      <c r="G546" t="s">
        <v>1359</v>
      </c>
      <c r="H546" s="15">
        <v>46101</v>
      </c>
      <c r="I546" t="s">
        <v>1360</v>
      </c>
      <c r="J546" t="s">
        <v>233</v>
      </c>
      <c r="K546" t="s">
        <v>185</v>
      </c>
      <c r="N546">
        <v>0</v>
      </c>
      <c r="O546" t="s">
        <v>222</v>
      </c>
      <c r="P546">
        <v>0</v>
      </c>
      <c r="U546" s="15"/>
    </row>
    <row r="547" spans="1:21" x14ac:dyDescent="0.35">
      <c r="A547" t="s">
        <v>14</v>
      </c>
      <c r="B547" t="s">
        <v>497</v>
      </c>
      <c r="C547" t="s">
        <v>515</v>
      </c>
      <c r="D547" t="s">
        <v>516</v>
      </c>
      <c r="E547" t="s">
        <v>517</v>
      </c>
      <c r="F547" t="s">
        <v>501</v>
      </c>
      <c r="G547" t="s">
        <v>1359</v>
      </c>
      <c r="H547" s="15">
        <v>46101</v>
      </c>
      <c r="I547" t="s">
        <v>1361</v>
      </c>
      <c r="J547" t="s">
        <v>233</v>
      </c>
      <c r="K547" t="s">
        <v>185</v>
      </c>
      <c r="N547">
        <v>0</v>
      </c>
      <c r="O547" t="s">
        <v>222</v>
      </c>
      <c r="P547">
        <v>0</v>
      </c>
      <c r="U547" s="15"/>
    </row>
    <row r="548" spans="1:21" x14ac:dyDescent="0.35">
      <c r="A548" t="s">
        <v>14</v>
      </c>
      <c r="B548" t="s">
        <v>497</v>
      </c>
      <c r="C548" t="s">
        <v>777</v>
      </c>
      <c r="D548" t="s">
        <v>778</v>
      </c>
      <c r="E548" t="s">
        <v>779</v>
      </c>
      <c r="F548" t="s">
        <v>644</v>
      </c>
      <c r="G548" t="s">
        <v>1993</v>
      </c>
      <c r="H548" s="15">
        <v>46154</v>
      </c>
      <c r="I548" t="s">
        <v>1999</v>
      </c>
      <c r="J548" t="s">
        <v>16</v>
      </c>
      <c r="K548" t="s">
        <v>185</v>
      </c>
      <c r="N548">
        <v>0</v>
      </c>
      <c r="O548" t="s">
        <v>222</v>
      </c>
      <c r="P548">
        <v>0</v>
      </c>
      <c r="U548" s="15"/>
    </row>
    <row r="549" spans="1:21" x14ac:dyDescent="0.35">
      <c r="A549" t="s">
        <v>14</v>
      </c>
      <c r="B549" t="s">
        <v>497</v>
      </c>
      <c r="C549" t="s">
        <v>651</v>
      </c>
      <c r="D549" t="s">
        <v>652</v>
      </c>
      <c r="E549" t="s">
        <v>653</v>
      </c>
      <c r="F549" t="s">
        <v>644</v>
      </c>
      <c r="G549" t="s">
        <v>2000</v>
      </c>
      <c r="H549" s="15">
        <v>46154</v>
      </c>
      <c r="I549" t="s">
        <v>2001</v>
      </c>
      <c r="J549" t="s">
        <v>233</v>
      </c>
      <c r="K549" t="s">
        <v>185</v>
      </c>
      <c r="N549">
        <v>0</v>
      </c>
      <c r="O549" t="s">
        <v>222</v>
      </c>
      <c r="P549">
        <v>0</v>
      </c>
      <c r="U549" s="15"/>
    </row>
    <row r="550" spans="1:21" x14ac:dyDescent="0.35">
      <c r="A550" t="s">
        <v>14</v>
      </c>
      <c r="B550" t="s">
        <v>497</v>
      </c>
      <c r="C550" t="s">
        <v>498</v>
      </c>
      <c r="D550" t="s">
        <v>499</v>
      </c>
      <c r="E550" t="s">
        <v>500</v>
      </c>
      <c r="F550" t="s">
        <v>501</v>
      </c>
      <c r="G550" t="s">
        <v>1363</v>
      </c>
      <c r="H550" s="15">
        <v>46102</v>
      </c>
      <c r="I550" t="s">
        <v>1364</v>
      </c>
      <c r="J550" t="s">
        <v>16</v>
      </c>
      <c r="K550" t="s">
        <v>185</v>
      </c>
      <c r="N550">
        <v>0</v>
      </c>
      <c r="O550" t="s">
        <v>222</v>
      </c>
      <c r="P550">
        <v>0</v>
      </c>
      <c r="U550" s="15"/>
    </row>
    <row r="551" spans="1:21" x14ac:dyDescent="0.35">
      <c r="A551" t="s">
        <v>14</v>
      </c>
      <c r="B551" t="s">
        <v>497</v>
      </c>
      <c r="C551" t="s">
        <v>2004</v>
      </c>
      <c r="D551" t="s">
        <v>2005</v>
      </c>
      <c r="E551" t="s">
        <v>2006</v>
      </c>
      <c r="F551" t="s">
        <v>644</v>
      </c>
      <c r="G551" t="s">
        <v>2007</v>
      </c>
      <c r="H551" s="15">
        <v>46155</v>
      </c>
      <c r="I551" t="s">
        <v>2008</v>
      </c>
      <c r="J551" t="s">
        <v>16</v>
      </c>
      <c r="K551" t="s">
        <v>185</v>
      </c>
      <c r="N551">
        <v>0</v>
      </c>
      <c r="O551" t="s">
        <v>222</v>
      </c>
      <c r="P551">
        <v>0</v>
      </c>
      <c r="U551" s="15"/>
    </row>
    <row r="552" spans="1:21" x14ac:dyDescent="0.35">
      <c r="A552" t="s">
        <v>14</v>
      </c>
      <c r="B552" t="s">
        <v>497</v>
      </c>
      <c r="C552" t="s">
        <v>662</v>
      </c>
      <c r="D552" t="s">
        <v>663</v>
      </c>
      <c r="E552" t="s">
        <v>664</v>
      </c>
      <c r="F552" t="s">
        <v>644</v>
      </c>
      <c r="G552" t="s">
        <v>2007</v>
      </c>
      <c r="H552" s="15">
        <v>46155</v>
      </c>
      <c r="I552" t="s">
        <v>2009</v>
      </c>
      <c r="J552" t="s">
        <v>16</v>
      </c>
      <c r="K552" t="s">
        <v>185</v>
      </c>
      <c r="N552">
        <v>0</v>
      </c>
      <c r="O552" t="s">
        <v>222</v>
      </c>
      <c r="P552">
        <v>0</v>
      </c>
      <c r="U552" s="15"/>
    </row>
    <row r="553" spans="1:21" x14ac:dyDescent="0.35">
      <c r="A553" t="s">
        <v>14</v>
      </c>
      <c r="B553" t="s">
        <v>497</v>
      </c>
      <c r="C553" t="s">
        <v>504</v>
      </c>
      <c r="D553" t="s">
        <v>505</v>
      </c>
      <c r="E553" t="s">
        <v>506</v>
      </c>
      <c r="F553" t="s">
        <v>501</v>
      </c>
      <c r="G553" t="s">
        <v>1363</v>
      </c>
      <c r="H553" s="15">
        <v>46102</v>
      </c>
      <c r="I553" t="s">
        <v>1371</v>
      </c>
      <c r="J553" t="s">
        <v>16</v>
      </c>
      <c r="K553" t="s">
        <v>185</v>
      </c>
      <c r="N553">
        <v>0</v>
      </c>
      <c r="O553" t="s">
        <v>222</v>
      </c>
      <c r="P553">
        <v>0</v>
      </c>
      <c r="U553" s="15"/>
    </row>
    <row r="554" spans="1:21" x14ac:dyDescent="0.35">
      <c r="A554" t="s">
        <v>14</v>
      </c>
      <c r="B554" t="s">
        <v>497</v>
      </c>
      <c r="C554" t="s">
        <v>498</v>
      </c>
      <c r="D554" t="s">
        <v>499</v>
      </c>
      <c r="E554" t="s">
        <v>500</v>
      </c>
      <c r="F554" t="s">
        <v>501</v>
      </c>
      <c r="G554" t="s">
        <v>1372</v>
      </c>
      <c r="H554" s="15">
        <v>46102</v>
      </c>
      <c r="I554" t="s">
        <v>1373</v>
      </c>
      <c r="J554" t="s">
        <v>233</v>
      </c>
      <c r="K554" t="s">
        <v>185</v>
      </c>
      <c r="N554">
        <v>0</v>
      </c>
      <c r="O554" t="s">
        <v>222</v>
      </c>
      <c r="P554">
        <v>0</v>
      </c>
      <c r="U554" s="15"/>
    </row>
    <row r="555" spans="1:21" x14ac:dyDescent="0.35">
      <c r="A555" t="s">
        <v>14</v>
      </c>
      <c r="B555" t="s">
        <v>497</v>
      </c>
      <c r="C555" t="s">
        <v>821</v>
      </c>
      <c r="D555" t="s">
        <v>822</v>
      </c>
      <c r="E555" t="s">
        <v>823</v>
      </c>
      <c r="F555" t="s">
        <v>644</v>
      </c>
      <c r="G555" t="s">
        <v>2010</v>
      </c>
      <c r="H555" s="15">
        <v>46155</v>
      </c>
      <c r="I555" t="s">
        <v>2011</v>
      </c>
      <c r="J555" t="s">
        <v>233</v>
      </c>
      <c r="K555" t="s">
        <v>185</v>
      </c>
      <c r="N555">
        <v>0</v>
      </c>
      <c r="O555" t="s">
        <v>222</v>
      </c>
      <c r="P555">
        <v>0</v>
      </c>
      <c r="U555" s="15"/>
    </row>
    <row r="556" spans="1:21" x14ac:dyDescent="0.35">
      <c r="A556" t="s">
        <v>14</v>
      </c>
      <c r="B556" t="s">
        <v>497</v>
      </c>
      <c r="C556" t="s">
        <v>711</v>
      </c>
      <c r="D556" t="s">
        <v>712</v>
      </c>
      <c r="E556" t="s">
        <v>713</v>
      </c>
      <c r="F556" t="s">
        <v>644</v>
      </c>
      <c r="G556" t="s">
        <v>2015</v>
      </c>
      <c r="H556" s="15">
        <v>46156</v>
      </c>
      <c r="I556" t="s">
        <v>2016</v>
      </c>
      <c r="J556" t="s">
        <v>16</v>
      </c>
      <c r="K556" t="s">
        <v>185</v>
      </c>
      <c r="N556">
        <v>0</v>
      </c>
      <c r="O556" t="s">
        <v>222</v>
      </c>
      <c r="P556">
        <v>0</v>
      </c>
      <c r="U556" s="15"/>
    </row>
    <row r="557" spans="1:21" x14ac:dyDescent="0.35">
      <c r="A557" t="s">
        <v>14</v>
      </c>
      <c r="B557" t="s">
        <v>497</v>
      </c>
      <c r="C557" t="s">
        <v>667</v>
      </c>
      <c r="D557" t="s">
        <v>668</v>
      </c>
      <c r="E557" t="s">
        <v>669</v>
      </c>
      <c r="F557" t="s">
        <v>644</v>
      </c>
      <c r="G557" t="s">
        <v>2015</v>
      </c>
      <c r="H557" s="15">
        <v>46156</v>
      </c>
      <c r="I557" t="s">
        <v>2017</v>
      </c>
      <c r="J557" t="s">
        <v>16</v>
      </c>
      <c r="K557" t="s">
        <v>185</v>
      </c>
      <c r="N557">
        <v>0</v>
      </c>
      <c r="O557" t="s">
        <v>222</v>
      </c>
      <c r="P557">
        <v>0</v>
      </c>
      <c r="U557" s="15"/>
    </row>
    <row r="558" spans="1:21" x14ac:dyDescent="0.35">
      <c r="A558" t="s">
        <v>14</v>
      </c>
      <c r="B558" t="s">
        <v>497</v>
      </c>
      <c r="C558" t="s">
        <v>561</v>
      </c>
      <c r="D558" t="s">
        <v>562</v>
      </c>
      <c r="E558" t="s">
        <v>562</v>
      </c>
      <c r="F558" t="s">
        <v>501</v>
      </c>
      <c r="G558" t="s">
        <v>1376</v>
      </c>
      <c r="H558" s="15">
        <v>46104</v>
      </c>
      <c r="I558" t="s">
        <v>1377</v>
      </c>
      <c r="J558" t="s">
        <v>233</v>
      </c>
      <c r="K558" t="s">
        <v>185</v>
      </c>
      <c r="N558">
        <v>0</v>
      </c>
      <c r="O558" t="s">
        <v>222</v>
      </c>
      <c r="P558">
        <v>0</v>
      </c>
      <c r="U558" s="15"/>
    </row>
    <row r="559" spans="1:21" x14ac:dyDescent="0.35">
      <c r="A559" t="s">
        <v>14</v>
      </c>
      <c r="B559" t="s">
        <v>497</v>
      </c>
      <c r="C559" t="s">
        <v>977</v>
      </c>
      <c r="D559" t="s">
        <v>978</v>
      </c>
      <c r="E559" t="s">
        <v>979</v>
      </c>
      <c r="F559" t="s">
        <v>501</v>
      </c>
      <c r="G559" t="s">
        <v>1378</v>
      </c>
      <c r="H559" s="15">
        <v>46105</v>
      </c>
      <c r="I559" t="s">
        <v>1379</v>
      </c>
      <c r="J559" t="s">
        <v>16</v>
      </c>
      <c r="K559" t="s">
        <v>185</v>
      </c>
      <c r="N559">
        <v>0</v>
      </c>
      <c r="O559" t="s">
        <v>222</v>
      </c>
      <c r="P559">
        <v>0</v>
      </c>
      <c r="U559" s="15"/>
    </row>
    <row r="560" spans="1:21" x14ac:dyDescent="0.35">
      <c r="A560" t="s">
        <v>14</v>
      </c>
      <c r="B560" t="s">
        <v>497</v>
      </c>
      <c r="C560" t="s">
        <v>651</v>
      </c>
      <c r="D560" t="s">
        <v>652</v>
      </c>
      <c r="E560" t="s">
        <v>653</v>
      </c>
      <c r="F560" t="s">
        <v>644</v>
      </c>
      <c r="G560" t="s">
        <v>2020</v>
      </c>
      <c r="H560" s="15">
        <v>46156</v>
      </c>
      <c r="I560" t="s">
        <v>2021</v>
      </c>
      <c r="J560" t="s">
        <v>233</v>
      </c>
      <c r="K560" t="s">
        <v>185</v>
      </c>
      <c r="N560">
        <v>0</v>
      </c>
      <c r="O560" t="s">
        <v>222</v>
      </c>
      <c r="P560">
        <v>0</v>
      </c>
      <c r="U560" s="15"/>
    </row>
    <row r="561" spans="1:21" x14ac:dyDescent="0.35">
      <c r="A561" t="s">
        <v>14</v>
      </c>
      <c r="B561" t="s">
        <v>497</v>
      </c>
      <c r="C561" t="s">
        <v>504</v>
      </c>
      <c r="D561" t="s">
        <v>505</v>
      </c>
      <c r="E561" t="s">
        <v>506</v>
      </c>
      <c r="F561" t="s">
        <v>501</v>
      </c>
      <c r="G561" t="s">
        <v>1378</v>
      </c>
      <c r="H561" s="15">
        <v>46105</v>
      </c>
      <c r="I561" t="s">
        <v>1381</v>
      </c>
      <c r="J561" t="s">
        <v>16</v>
      </c>
      <c r="K561" t="s">
        <v>185</v>
      </c>
      <c r="N561">
        <v>0</v>
      </c>
      <c r="O561" t="s">
        <v>222</v>
      </c>
      <c r="P561">
        <v>0</v>
      </c>
      <c r="U561" s="15"/>
    </row>
    <row r="562" spans="1:21" x14ac:dyDescent="0.35">
      <c r="A562" t="s">
        <v>14</v>
      </c>
      <c r="B562" t="s">
        <v>497</v>
      </c>
      <c r="C562" t="s">
        <v>498</v>
      </c>
      <c r="D562" t="s">
        <v>499</v>
      </c>
      <c r="E562" t="s">
        <v>500</v>
      </c>
      <c r="F562" t="s">
        <v>501</v>
      </c>
      <c r="G562" t="s">
        <v>1382</v>
      </c>
      <c r="H562" s="15">
        <v>46105</v>
      </c>
      <c r="I562" t="s">
        <v>1383</v>
      </c>
      <c r="J562" t="s">
        <v>233</v>
      </c>
      <c r="K562" t="s">
        <v>185</v>
      </c>
      <c r="N562">
        <v>0</v>
      </c>
      <c r="O562" t="s">
        <v>222</v>
      </c>
      <c r="P562">
        <v>0</v>
      </c>
      <c r="U562" s="15"/>
    </row>
    <row r="563" spans="1:21" x14ac:dyDescent="0.35">
      <c r="A563" t="s">
        <v>14</v>
      </c>
      <c r="B563" t="s">
        <v>497</v>
      </c>
      <c r="C563" t="s">
        <v>647</v>
      </c>
      <c r="D563" t="s">
        <v>648</v>
      </c>
      <c r="E563" t="s">
        <v>649</v>
      </c>
      <c r="F563" t="s">
        <v>644</v>
      </c>
      <c r="G563" t="s">
        <v>2025</v>
      </c>
      <c r="H563" s="15">
        <v>46157</v>
      </c>
      <c r="I563" t="s">
        <v>2026</v>
      </c>
      <c r="J563" t="s">
        <v>16</v>
      </c>
      <c r="K563" t="s">
        <v>185</v>
      </c>
      <c r="N563">
        <v>0</v>
      </c>
      <c r="O563" t="s">
        <v>222</v>
      </c>
      <c r="P563">
        <v>0</v>
      </c>
      <c r="U563" s="15"/>
    </row>
    <row r="564" spans="1:21" x14ac:dyDescent="0.35">
      <c r="A564" t="s">
        <v>14</v>
      </c>
      <c r="B564" t="s">
        <v>497</v>
      </c>
      <c r="C564" t="s">
        <v>750</v>
      </c>
      <c r="D564" t="s">
        <v>751</v>
      </c>
      <c r="E564" t="s">
        <v>752</v>
      </c>
      <c r="F564" t="s">
        <v>644</v>
      </c>
      <c r="G564" t="s">
        <v>2025</v>
      </c>
      <c r="H564" s="15">
        <v>46157</v>
      </c>
      <c r="I564" t="s">
        <v>2027</v>
      </c>
      <c r="J564" t="s">
        <v>16</v>
      </c>
      <c r="K564" t="s">
        <v>185</v>
      </c>
      <c r="N564">
        <v>0</v>
      </c>
      <c r="O564" t="s">
        <v>222</v>
      </c>
      <c r="P564">
        <v>0</v>
      </c>
      <c r="U564" s="15"/>
    </row>
    <row r="565" spans="1:21" x14ac:dyDescent="0.35">
      <c r="A565" t="s">
        <v>14</v>
      </c>
      <c r="B565" t="s">
        <v>497</v>
      </c>
      <c r="C565" t="s">
        <v>1388</v>
      </c>
      <c r="D565" t="s">
        <v>1389</v>
      </c>
      <c r="E565" t="s">
        <v>1390</v>
      </c>
      <c r="F565" t="s">
        <v>501</v>
      </c>
      <c r="G565" t="s">
        <v>1382</v>
      </c>
      <c r="H565" s="15">
        <v>46105</v>
      </c>
      <c r="I565" t="s">
        <v>1391</v>
      </c>
      <c r="J565" t="s">
        <v>233</v>
      </c>
      <c r="K565" t="s">
        <v>185</v>
      </c>
      <c r="N565">
        <v>0</v>
      </c>
      <c r="O565" t="s">
        <v>222</v>
      </c>
      <c r="P565">
        <v>0</v>
      </c>
      <c r="U565" s="15"/>
    </row>
    <row r="566" spans="1:21" x14ac:dyDescent="0.35">
      <c r="A566" t="s">
        <v>14</v>
      </c>
      <c r="B566" t="s">
        <v>497</v>
      </c>
      <c r="C566" t="s">
        <v>515</v>
      </c>
      <c r="D566" t="s">
        <v>516</v>
      </c>
      <c r="E566" t="s">
        <v>517</v>
      </c>
      <c r="F566" t="s">
        <v>501</v>
      </c>
      <c r="G566" t="s">
        <v>1392</v>
      </c>
      <c r="H566" s="15">
        <v>46106</v>
      </c>
      <c r="I566" t="s">
        <v>1393</v>
      </c>
      <c r="J566" t="s">
        <v>16</v>
      </c>
      <c r="K566" t="s">
        <v>185</v>
      </c>
      <c r="N566">
        <v>0</v>
      </c>
      <c r="O566" t="s">
        <v>222</v>
      </c>
      <c r="P566">
        <v>0</v>
      </c>
      <c r="U566" s="15"/>
    </row>
    <row r="567" spans="1:21" x14ac:dyDescent="0.35">
      <c r="A567" t="s">
        <v>14</v>
      </c>
      <c r="B567" t="s">
        <v>497</v>
      </c>
      <c r="C567" t="s">
        <v>777</v>
      </c>
      <c r="D567" t="s">
        <v>778</v>
      </c>
      <c r="E567" t="s">
        <v>779</v>
      </c>
      <c r="F567" t="s">
        <v>644</v>
      </c>
      <c r="G567" t="s">
        <v>2030</v>
      </c>
      <c r="H567" s="15">
        <v>46157</v>
      </c>
      <c r="I567" t="s">
        <v>2031</v>
      </c>
      <c r="J567" t="s">
        <v>233</v>
      </c>
      <c r="K567" t="s">
        <v>185</v>
      </c>
      <c r="N567">
        <v>0</v>
      </c>
      <c r="O567" t="s">
        <v>222</v>
      </c>
      <c r="P567">
        <v>0</v>
      </c>
      <c r="U567" s="15"/>
    </row>
    <row r="568" spans="1:21" x14ac:dyDescent="0.35">
      <c r="A568" t="s">
        <v>14</v>
      </c>
      <c r="B568" t="s">
        <v>497</v>
      </c>
      <c r="C568" t="s">
        <v>641</v>
      </c>
      <c r="D568" t="s">
        <v>642</v>
      </c>
      <c r="E568" t="s">
        <v>643</v>
      </c>
      <c r="F568" t="s">
        <v>644</v>
      </c>
      <c r="G568" t="s">
        <v>2032</v>
      </c>
      <c r="H568" s="15">
        <v>46158</v>
      </c>
      <c r="I568" t="s">
        <v>2033</v>
      </c>
      <c r="J568" t="s">
        <v>16</v>
      </c>
      <c r="K568" t="s">
        <v>185</v>
      </c>
      <c r="N568">
        <v>0</v>
      </c>
      <c r="O568" t="s">
        <v>222</v>
      </c>
      <c r="P568">
        <v>0</v>
      </c>
      <c r="U568" s="15"/>
    </row>
    <row r="569" spans="1:21" x14ac:dyDescent="0.35">
      <c r="A569" t="s">
        <v>14</v>
      </c>
      <c r="B569" t="s">
        <v>497</v>
      </c>
      <c r="C569" t="s">
        <v>504</v>
      </c>
      <c r="D569" t="s">
        <v>505</v>
      </c>
      <c r="E569" t="s">
        <v>506</v>
      </c>
      <c r="F569" t="s">
        <v>501</v>
      </c>
      <c r="G569" t="s">
        <v>1392</v>
      </c>
      <c r="H569" s="15">
        <v>46106</v>
      </c>
      <c r="I569" t="s">
        <v>1395</v>
      </c>
      <c r="J569" t="s">
        <v>16</v>
      </c>
      <c r="K569" t="s">
        <v>185</v>
      </c>
      <c r="N569">
        <v>0</v>
      </c>
      <c r="O569" t="s">
        <v>222</v>
      </c>
      <c r="P569">
        <v>0</v>
      </c>
      <c r="U569" s="15"/>
    </row>
    <row r="570" spans="1:21" x14ac:dyDescent="0.35">
      <c r="A570" t="s">
        <v>14</v>
      </c>
      <c r="B570" t="s">
        <v>497</v>
      </c>
      <c r="C570" t="s">
        <v>531</v>
      </c>
      <c r="D570" t="s">
        <v>532</v>
      </c>
      <c r="E570" t="s">
        <v>533</v>
      </c>
      <c r="F570" t="s">
        <v>501</v>
      </c>
      <c r="G570" t="s">
        <v>1396</v>
      </c>
      <c r="H570" s="15">
        <v>46106</v>
      </c>
      <c r="I570" t="s">
        <v>1397</v>
      </c>
      <c r="J570" t="s">
        <v>233</v>
      </c>
      <c r="K570" t="s">
        <v>185</v>
      </c>
      <c r="N570">
        <v>0</v>
      </c>
      <c r="O570" t="s">
        <v>222</v>
      </c>
      <c r="P570">
        <v>0</v>
      </c>
      <c r="U570" s="15"/>
    </row>
    <row r="571" spans="1:21" x14ac:dyDescent="0.35">
      <c r="A571" t="s">
        <v>14</v>
      </c>
      <c r="B571" t="s">
        <v>497</v>
      </c>
      <c r="C571" t="s">
        <v>515</v>
      </c>
      <c r="D571" t="s">
        <v>516</v>
      </c>
      <c r="E571" t="s">
        <v>517</v>
      </c>
      <c r="F571" t="s">
        <v>501</v>
      </c>
      <c r="G571" t="s">
        <v>1402</v>
      </c>
      <c r="H571" s="15">
        <v>46107</v>
      </c>
      <c r="I571" t="s">
        <v>1403</v>
      </c>
      <c r="J571" t="s">
        <v>16</v>
      </c>
      <c r="K571" t="s">
        <v>185</v>
      </c>
      <c r="N571">
        <v>0</v>
      </c>
      <c r="O571" t="s">
        <v>222</v>
      </c>
      <c r="P571">
        <v>0</v>
      </c>
      <c r="U571" s="15"/>
    </row>
    <row r="572" spans="1:21" x14ac:dyDescent="0.35">
      <c r="A572" t="s">
        <v>14</v>
      </c>
      <c r="B572" t="s">
        <v>497</v>
      </c>
      <c r="C572" t="s">
        <v>557</v>
      </c>
      <c r="D572" t="s">
        <v>558</v>
      </c>
      <c r="E572" t="s">
        <v>559</v>
      </c>
      <c r="F572" t="s">
        <v>501</v>
      </c>
      <c r="G572" t="s">
        <v>1402</v>
      </c>
      <c r="H572" s="15">
        <v>46107</v>
      </c>
      <c r="I572" t="s">
        <v>1404</v>
      </c>
      <c r="J572" t="s">
        <v>16</v>
      </c>
      <c r="K572" t="s">
        <v>185</v>
      </c>
      <c r="N572">
        <v>0</v>
      </c>
      <c r="O572" t="s">
        <v>222</v>
      </c>
      <c r="P572">
        <v>0</v>
      </c>
      <c r="U572" s="15"/>
    </row>
    <row r="573" spans="1:21" x14ac:dyDescent="0.35">
      <c r="A573" t="s">
        <v>14</v>
      </c>
      <c r="B573" t="s">
        <v>497</v>
      </c>
      <c r="C573" t="s">
        <v>832</v>
      </c>
      <c r="D573" t="s">
        <v>833</v>
      </c>
      <c r="E573" t="s">
        <v>834</v>
      </c>
      <c r="F573" t="s">
        <v>644</v>
      </c>
      <c r="G573" t="s">
        <v>2037</v>
      </c>
      <c r="H573" s="15">
        <v>46158</v>
      </c>
      <c r="I573" t="s">
        <v>2038</v>
      </c>
      <c r="J573" t="s">
        <v>233</v>
      </c>
      <c r="K573" t="s">
        <v>185</v>
      </c>
      <c r="N573">
        <v>0</v>
      </c>
      <c r="O573" t="s">
        <v>222</v>
      </c>
      <c r="P573">
        <v>0</v>
      </c>
      <c r="U573" s="15"/>
    </row>
    <row r="574" spans="1:21" x14ac:dyDescent="0.35">
      <c r="A574" t="s">
        <v>14</v>
      </c>
      <c r="B574" t="s">
        <v>497</v>
      </c>
      <c r="C574" t="s">
        <v>667</v>
      </c>
      <c r="D574" t="s">
        <v>668</v>
      </c>
      <c r="E574" t="s">
        <v>669</v>
      </c>
      <c r="F574" t="s">
        <v>644</v>
      </c>
      <c r="G574" t="s">
        <v>2039</v>
      </c>
      <c r="H574" s="15">
        <v>46160</v>
      </c>
      <c r="I574" t="s">
        <v>2040</v>
      </c>
      <c r="J574" t="s">
        <v>16</v>
      </c>
      <c r="K574" t="s">
        <v>185</v>
      </c>
      <c r="N574">
        <v>0</v>
      </c>
      <c r="O574" t="s">
        <v>222</v>
      </c>
      <c r="P574">
        <v>0</v>
      </c>
      <c r="U574" s="15"/>
    </row>
    <row r="575" spans="1:21" x14ac:dyDescent="0.35">
      <c r="A575" t="s">
        <v>14</v>
      </c>
      <c r="B575" t="s">
        <v>497</v>
      </c>
      <c r="C575" t="s">
        <v>2041</v>
      </c>
      <c r="D575" t="s">
        <v>2042</v>
      </c>
      <c r="E575" t="s">
        <v>2043</v>
      </c>
      <c r="F575" t="s">
        <v>644</v>
      </c>
      <c r="G575" t="s">
        <v>2039</v>
      </c>
      <c r="H575" s="15">
        <v>46160</v>
      </c>
      <c r="I575" t="s">
        <v>2044</v>
      </c>
      <c r="J575" t="s">
        <v>16</v>
      </c>
      <c r="K575" t="s">
        <v>185</v>
      </c>
      <c r="N575">
        <v>0</v>
      </c>
      <c r="O575" t="s">
        <v>222</v>
      </c>
      <c r="P575">
        <v>0</v>
      </c>
      <c r="U575" s="15"/>
    </row>
    <row r="576" spans="1:21" x14ac:dyDescent="0.35">
      <c r="A576" t="s">
        <v>14</v>
      </c>
      <c r="B576" t="s">
        <v>497</v>
      </c>
      <c r="C576" t="s">
        <v>651</v>
      </c>
      <c r="D576" t="s">
        <v>652</v>
      </c>
      <c r="E576" t="s">
        <v>653</v>
      </c>
      <c r="F576" t="s">
        <v>644</v>
      </c>
      <c r="G576" t="s">
        <v>2048</v>
      </c>
      <c r="H576" s="15">
        <v>46160</v>
      </c>
      <c r="I576" t="s">
        <v>2049</v>
      </c>
      <c r="J576" t="s">
        <v>233</v>
      </c>
      <c r="K576" t="s">
        <v>185</v>
      </c>
      <c r="N576">
        <v>0</v>
      </c>
      <c r="O576" t="s">
        <v>222</v>
      </c>
      <c r="P576">
        <v>0</v>
      </c>
      <c r="U576" s="15"/>
    </row>
    <row r="577" spans="1:21" x14ac:dyDescent="0.35">
      <c r="A577" t="s">
        <v>14</v>
      </c>
      <c r="B577" t="s">
        <v>497</v>
      </c>
      <c r="C577" t="s">
        <v>667</v>
      </c>
      <c r="D577" t="s">
        <v>668</v>
      </c>
      <c r="E577" t="s">
        <v>669</v>
      </c>
      <c r="F577" t="s">
        <v>644</v>
      </c>
      <c r="G577" t="s">
        <v>2050</v>
      </c>
      <c r="H577" s="15">
        <v>46161</v>
      </c>
      <c r="I577" t="s">
        <v>2051</v>
      </c>
      <c r="J577" t="s">
        <v>16</v>
      </c>
      <c r="K577" t="s">
        <v>185</v>
      </c>
      <c r="N577">
        <v>0</v>
      </c>
      <c r="O577" t="s">
        <v>222</v>
      </c>
      <c r="P577">
        <v>0</v>
      </c>
      <c r="U577" s="15"/>
    </row>
    <row r="578" spans="1:21" x14ac:dyDescent="0.35">
      <c r="A578" t="s">
        <v>14</v>
      </c>
      <c r="B578" t="s">
        <v>497</v>
      </c>
      <c r="C578" t="s">
        <v>552</v>
      </c>
      <c r="D578" t="s">
        <v>553</v>
      </c>
      <c r="E578" t="s">
        <v>554</v>
      </c>
      <c r="F578" t="s">
        <v>501</v>
      </c>
      <c r="G578" t="s">
        <v>1405</v>
      </c>
      <c r="H578" s="15">
        <v>46107</v>
      </c>
      <c r="I578" t="s">
        <v>1406</v>
      </c>
      <c r="J578" t="s">
        <v>233</v>
      </c>
      <c r="K578" t="s">
        <v>185</v>
      </c>
      <c r="N578">
        <v>0</v>
      </c>
      <c r="O578" t="s">
        <v>222</v>
      </c>
      <c r="P578">
        <v>0</v>
      </c>
      <c r="U578" s="15"/>
    </row>
    <row r="579" spans="1:21" x14ac:dyDescent="0.35">
      <c r="A579" t="s">
        <v>14</v>
      </c>
      <c r="B579" t="s">
        <v>497</v>
      </c>
      <c r="C579" t="s">
        <v>515</v>
      </c>
      <c r="D579" t="s">
        <v>516</v>
      </c>
      <c r="E579" t="s">
        <v>517</v>
      </c>
      <c r="F579" t="s">
        <v>501</v>
      </c>
      <c r="G579" t="s">
        <v>1407</v>
      </c>
      <c r="H579" s="15">
        <v>46108</v>
      </c>
      <c r="I579" t="s">
        <v>1408</v>
      </c>
      <c r="J579" t="s">
        <v>16</v>
      </c>
      <c r="K579" t="s">
        <v>185</v>
      </c>
      <c r="N579">
        <v>0</v>
      </c>
      <c r="O579" t="s">
        <v>222</v>
      </c>
      <c r="P579">
        <v>0</v>
      </c>
      <c r="U579" s="15"/>
    </row>
    <row r="580" spans="1:21" x14ac:dyDescent="0.35">
      <c r="A580" t="s">
        <v>14</v>
      </c>
      <c r="B580" t="s">
        <v>497</v>
      </c>
      <c r="C580" t="s">
        <v>504</v>
      </c>
      <c r="D580" t="s">
        <v>505</v>
      </c>
      <c r="E580" t="s">
        <v>506</v>
      </c>
      <c r="F580" t="s">
        <v>501</v>
      </c>
      <c r="G580" t="s">
        <v>1407</v>
      </c>
      <c r="H580" s="15">
        <v>46108</v>
      </c>
      <c r="I580" t="s">
        <v>1409</v>
      </c>
      <c r="J580" t="s">
        <v>16</v>
      </c>
      <c r="K580" t="s">
        <v>185</v>
      </c>
      <c r="N580">
        <v>0</v>
      </c>
      <c r="O580" t="s">
        <v>222</v>
      </c>
      <c r="P580">
        <v>0</v>
      </c>
      <c r="U580" s="15"/>
    </row>
    <row r="581" spans="1:21" x14ac:dyDescent="0.35">
      <c r="A581" t="s">
        <v>14</v>
      </c>
      <c r="B581" t="s">
        <v>497</v>
      </c>
      <c r="C581" t="s">
        <v>641</v>
      </c>
      <c r="D581" t="s">
        <v>642</v>
      </c>
      <c r="E581" t="s">
        <v>643</v>
      </c>
      <c r="F581" t="s">
        <v>644</v>
      </c>
      <c r="G581" t="s">
        <v>2055</v>
      </c>
      <c r="H581" s="15">
        <v>46161</v>
      </c>
      <c r="I581" t="s">
        <v>2056</v>
      </c>
      <c r="J581" t="s">
        <v>233</v>
      </c>
      <c r="K581" t="s">
        <v>185</v>
      </c>
      <c r="N581">
        <v>0</v>
      </c>
      <c r="O581" t="s">
        <v>222</v>
      </c>
      <c r="P581">
        <v>0</v>
      </c>
      <c r="U581" s="15"/>
    </row>
    <row r="582" spans="1:21" x14ac:dyDescent="0.35">
      <c r="A582" t="s">
        <v>14</v>
      </c>
      <c r="B582" t="s">
        <v>497</v>
      </c>
      <c r="C582" t="s">
        <v>531</v>
      </c>
      <c r="D582" t="s">
        <v>532</v>
      </c>
      <c r="E582" t="s">
        <v>533</v>
      </c>
      <c r="F582" t="s">
        <v>501</v>
      </c>
      <c r="G582" t="s">
        <v>1410</v>
      </c>
      <c r="H582" s="15">
        <v>46108</v>
      </c>
      <c r="I582" t="s">
        <v>1411</v>
      </c>
      <c r="J582" t="s">
        <v>233</v>
      </c>
      <c r="K582" t="s">
        <v>185</v>
      </c>
      <c r="N582">
        <v>0</v>
      </c>
      <c r="O582" t="s">
        <v>222</v>
      </c>
      <c r="P582">
        <v>0</v>
      </c>
      <c r="U582" s="15"/>
    </row>
    <row r="583" spans="1:21" x14ac:dyDescent="0.35">
      <c r="A583" t="s">
        <v>14</v>
      </c>
      <c r="B583" t="s">
        <v>497</v>
      </c>
      <c r="C583" t="s">
        <v>816</v>
      </c>
      <c r="D583" t="s">
        <v>817</v>
      </c>
      <c r="E583" t="s">
        <v>818</v>
      </c>
      <c r="F583" t="s">
        <v>644</v>
      </c>
      <c r="G583" t="s">
        <v>2055</v>
      </c>
      <c r="H583" s="15">
        <v>46161</v>
      </c>
      <c r="I583" t="s">
        <v>2062</v>
      </c>
      <c r="J583" t="s">
        <v>233</v>
      </c>
      <c r="K583" t="s">
        <v>185</v>
      </c>
      <c r="N583">
        <v>0</v>
      </c>
      <c r="O583" t="s">
        <v>222</v>
      </c>
      <c r="P583">
        <v>0</v>
      </c>
      <c r="U583" s="15"/>
    </row>
    <row r="584" spans="1:21" x14ac:dyDescent="0.35">
      <c r="A584" t="s">
        <v>14</v>
      </c>
      <c r="B584" t="s">
        <v>497</v>
      </c>
      <c r="C584" t="s">
        <v>692</v>
      </c>
      <c r="D584" t="s">
        <v>693</v>
      </c>
      <c r="E584" t="s">
        <v>694</v>
      </c>
      <c r="F584" t="s">
        <v>644</v>
      </c>
      <c r="G584" t="s">
        <v>2063</v>
      </c>
      <c r="H584" s="15">
        <v>46162</v>
      </c>
      <c r="I584" t="s">
        <v>2064</v>
      </c>
      <c r="J584" t="s">
        <v>16</v>
      </c>
      <c r="K584" t="s">
        <v>185</v>
      </c>
      <c r="N584">
        <v>0</v>
      </c>
      <c r="O584" t="s">
        <v>222</v>
      </c>
      <c r="P584">
        <v>0</v>
      </c>
      <c r="U584" s="15"/>
    </row>
    <row r="585" spans="1:21" x14ac:dyDescent="0.35">
      <c r="A585" t="s">
        <v>14</v>
      </c>
      <c r="B585" t="s">
        <v>497</v>
      </c>
      <c r="C585" t="s">
        <v>498</v>
      </c>
      <c r="D585" t="s">
        <v>499</v>
      </c>
      <c r="E585" t="s">
        <v>500</v>
      </c>
      <c r="F585" t="s">
        <v>501</v>
      </c>
      <c r="G585" t="s">
        <v>1412</v>
      </c>
      <c r="H585" s="15">
        <v>46109</v>
      </c>
      <c r="I585" t="s">
        <v>1413</v>
      </c>
      <c r="J585" t="s">
        <v>16</v>
      </c>
      <c r="K585" t="s">
        <v>185</v>
      </c>
      <c r="N585">
        <v>0</v>
      </c>
      <c r="O585" t="s">
        <v>222</v>
      </c>
      <c r="P585">
        <v>0</v>
      </c>
      <c r="U585" s="15"/>
    </row>
    <row r="586" spans="1:21" x14ac:dyDescent="0.35">
      <c r="A586" t="s">
        <v>14</v>
      </c>
      <c r="B586" t="s">
        <v>497</v>
      </c>
      <c r="C586" t="s">
        <v>1255</v>
      </c>
      <c r="D586" t="s">
        <v>1256</v>
      </c>
      <c r="E586" t="s">
        <v>1257</v>
      </c>
      <c r="F586" t="s">
        <v>644</v>
      </c>
      <c r="G586" t="s">
        <v>2063</v>
      </c>
      <c r="H586" s="15">
        <v>46162</v>
      </c>
      <c r="I586" t="s">
        <v>2065</v>
      </c>
      <c r="J586" t="s">
        <v>16</v>
      </c>
      <c r="K586" t="s">
        <v>185</v>
      </c>
      <c r="N586">
        <v>0</v>
      </c>
      <c r="O586" t="s">
        <v>222</v>
      </c>
      <c r="P586">
        <v>0</v>
      </c>
      <c r="U586" s="15"/>
    </row>
    <row r="587" spans="1:21" x14ac:dyDescent="0.35">
      <c r="A587" t="s">
        <v>14</v>
      </c>
      <c r="B587" t="s">
        <v>497</v>
      </c>
      <c r="C587" t="s">
        <v>504</v>
      </c>
      <c r="D587" t="s">
        <v>505</v>
      </c>
      <c r="E587" t="s">
        <v>506</v>
      </c>
      <c r="F587" t="s">
        <v>501</v>
      </c>
      <c r="G587" t="s">
        <v>1412</v>
      </c>
      <c r="H587" s="15">
        <v>46109</v>
      </c>
      <c r="I587" t="s">
        <v>1414</v>
      </c>
      <c r="J587" t="s">
        <v>16</v>
      </c>
      <c r="K587" t="s">
        <v>185</v>
      </c>
      <c r="N587">
        <v>0</v>
      </c>
      <c r="O587" t="s">
        <v>222</v>
      </c>
      <c r="P587">
        <v>0</v>
      </c>
      <c r="U587" s="15"/>
    </row>
    <row r="588" spans="1:21" x14ac:dyDescent="0.35">
      <c r="A588" t="s">
        <v>14</v>
      </c>
      <c r="B588" t="s">
        <v>497</v>
      </c>
      <c r="C588" t="s">
        <v>498</v>
      </c>
      <c r="D588" t="s">
        <v>499</v>
      </c>
      <c r="E588" t="s">
        <v>500</v>
      </c>
      <c r="F588" t="s">
        <v>501</v>
      </c>
      <c r="G588" t="s">
        <v>1415</v>
      </c>
      <c r="H588" s="15">
        <v>46109</v>
      </c>
      <c r="I588" t="s">
        <v>1416</v>
      </c>
      <c r="J588" t="s">
        <v>233</v>
      </c>
      <c r="K588" t="s">
        <v>185</v>
      </c>
      <c r="N588">
        <v>0</v>
      </c>
      <c r="O588" t="s">
        <v>222</v>
      </c>
      <c r="P588">
        <v>0</v>
      </c>
      <c r="U588" s="15"/>
    </row>
    <row r="589" spans="1:21" x14ac:dyDescent="0.35">
      <c r="A589" t="s">
        <v>14</v>
      </c>
      <c r="B589" t="s">
        <v>497</v>
      </c>
      <c r="C589" t="s">
        <v>651</v>
      </c>
      <c r="D589" t="s">
        <v>652</v>
      </c>
      <c r="E589" t="s">
        <v>653</v>
      </c>
      <c r="F589" t="s">
        <v>644</v>
      </c>
      <c r="G589" t="s">
        <v>2066</v>
      </c>
      <c r="H589" s="15">
        <v>46162</v>
      </c>
      <c r="I589" t="s">
        <v>2067</v>
      </c>
      <c r="J589" t="s">
        <v>233</v>
      </c>
      <c r="K589" t="s">
        <v>185</v>
      </c>
      <c r="N589">
        <v>0</v>
      </c>
      <c r="O589" t="s">
        <v>222</v>
      </c>
      <c r="P589">
        <v>0</v>
      </c>
      <c r="U589" s="15"/>
    </row>
    <row r="590" spans="1:21" x14ac:dyDescent="0.35">
      <c r="A590" t="s">
        <v>14</v>
      </c>
      <c r="B590" t="s">
        <v>497</v>
      </c>
      <c r="C590" t="s">
        <v>765</v>
      </c>
      <c r="D590" t="s">
        <v>766</v>
      </c>
      <c r="E590" t="s">
        <v>767</v>
      </c>
      <c r="F590" t="s">
        <v>644</v>
      </c>
      <c r="G590" t="s">
        <v>2068</v>
      </c>
      <c r="H590" s="15">
        <v>46163</v>
      </c>
      <c r="I590" t="s">
        <v>2069</v>
      </c>
      <c r="J590" t="s">
        <v>16</v>
      </c>
      <c r="K590" t="s">
        <v>185</v>
      </c>
      <c r="N590">
        <v>0</v>
      </c>
      <c r="O590" t="s">
        <v>222</v>
      </c>
      <c r="P590">
        <v>0</v>
      </c>
      <c r="U590" s="15"/>
    </row>
    <row r="591" spans="1:21" x14ac:dyDescent="0.35">
      <c r="A591" t="s">
        <v>14</v>
      </c>
      <c r="B591" t="s">
        <v>497</v>
      </c>
      <c r="C591" t="s">
        <v>811</v>
      </c>
      <c r="D591" t="s">
        <v>812</v>
      </c>
      <c r="E591" t="s">
        <v>813</v>
      </c>
      <c r="F591" t="s">
        <v>644</v>
      </c>
      <c r="G591" t="s">
        <v>2070</v>
      </c>
      <c r="H591" s="15">
        <v>46163</v>
      </c>
      <c r="I591" t="s">
        <v>2071</v>
      </c>
      <c r="J591" t="s">
        <v>233</v>
      </c>
      <c r="K591" t="s">
        <v>185</v>
      </c>
      <c r="N591">
        <v>0</v>
      </c>
      <c r="O591" t="s">
        <v>222</v>
      </c>
      <c r="P591">
        <v>0</v>
      </c>
      <c r="U591" s="15"/>
    </row>
    <row r="592" spans="1:21" x14ac:dyDescent="0.35">
      <c r="A592" t="s">
        <v>14</v>
      </c>
      <c r="B592" t="s">
        <v>497</v>
      </c>
      <c r="C592" t="s">
        <v>667</v>
      </c>
      <c r="D592" t="s">
        <v>668</v>
      </c>
      <c r="E592" t="s">
        <v>669</v>
      </c>
      <c r="F592" t="s">
        <v>644</v>
      </c>
      <c r="G592" t="s">
        <v>2072</v>
      </c>
      <c r="H592" s="15">
        <v>46164</v>
      </c>
      <c r="I592" t="s">
        <v>2073</v>
      </c>
      <c r="J592" t="s">
        <v>16</v>
      </c>
      <c r="K592" t="s">
        <v>185</v>
      </c>
      <c r="N592">
        <v>0</v>
      </c>
      <c r="O592" t="s">
        <v>222</v>
      </c>
      <c r="P592">
        <v>0</v>
      </c>
      <c r="U592" s="15"/>
    </row>
    <row r="593" spans="1:21" x14ac:dyDescent="0.35">
      <c r="A593" t="s">
        <v>14</v>
      </c>
      <c r="B593" t="s">
        <v>497</v>
      </c>
      <c r="C593" t="s">
        <v>1032</v>
      </c>
      <c r="D593" t="s">
        <v>1033</v>
      </c>
      <c r="E593" t="s">
        <v>1034</v>
      </c>
      <c r="F593" t="s">
        <v>644</v>
      </c>
      <c r="G593" t="s">
        <v>2074</v>
      </c>
      <c r="H593" s="15">
        <v>46164</v>
      </c>
      <c r="I593" t="s">
        <v>2075</v>
      </c>
      <c r="J593" t="s">
        <v>233</v>
      </c>
      <c r="K593" t="s">
        <v>185</v>
      </c>
      <c r="N593">
        <v>0</v>
      </c>
      <c r="O593" t="s">
        <v>222</v>
      </c>
      <c r="P593">
        <v>0</v>
      </c>
      <c r="U593" s="15"/>
    </row>
    <row r="594" spans="1:21" x14ac:dyDescent="0.35">
      <c r="A594" t="s">
        <v>14</v>
      </c>
      <c r="B594" t="s">
        <v>497</v>
      </c>
      <c r="C594" t="s">
        <v>515</v>
      </c>
      <c r="D594" t="s">
        <v>516</v>
      </c>
      <c r="E594" t="s">
        <v>517</v>
      </c>
      <c r="F594" t="s">
        <v>501</v>
      </c>
      <c r="G594" t="s">
        <v>1417</v>
      </c>
      <c r="H594" s="15">
        <v>46111</v>
      </c>
      <c r="I594" t="s">
        <v>1418</v>
      </c>
      <c r="J594" t="s">
        <v>16</v>
      </c>
      <c r="K594" t="s">
        <v>185</v>
      </c>
      <c r="N594">
        <v>0</v>
      </c>
      <c r="O594" t="s">
        <v>222</v>
      </c>
      <c r="P594">
        <v>0</v>
      </c>
      <c r="U594" s="15"/>
    </row>
    <row r="595" spans="1:21" x14ac:dyDescent="0.35">
      <c r="A595" t="s">
        <v>14</v>
      </c>
      <c r="B595" t="s">
        <v>497</v>
      </c>
      <c r="C595" t="s">
        <v>557</v>
      </c>
      <c r="D595" t="s">
        <v>558</v>
      </c>
      <c r="E595" t="s">
        <v>559</v>
      </c>
      <c r="F595" t="s">
        <v>501</v>
      </c>
      <c r="G595" t="s">
        <v>1417</v>
      </c>
      <c r="H595" s="15">
        <v>46111</v>
      </c>
      <c r="I595" t="s">
        <v>1419</v>
      </c>
      <c r="J595" t="s">
        <v>16</v>
      </c>
      <c r="K595" t="s">
        <v>185</v>
      </c>
      <c r="N595">
        <v>0</v>
      </c>
      <c r="O595" t="s">
        <v>222</v>
      </c>
      <c r="P595">
        <v>0</v>
      </c>
      <c r="U595" s="15"/>
    </row>
    <row r="596" spans="1:21" x14ac:dyDescent="0.35">
      <c r="A596" t="s">
        <v>14</v>
      </c>
      <c r="B596" t="s">
        <v>497</v>
      </c>
      <c r="C596" t="s">
        <v>662</v>
      </c>
      <c r="D596" t="s">
        <v>663</v>
      </c>
      <c r="E596" t="s">
        <v>664</v>
      </c>
      <c r="F596" t="s">
        <v>644</v>
      </c>
      <c r="G596" t="s">
        <v>2074</v>
      </c>
      <c r="H596" s="15">
        <v>46164</v>
      </c>
      <c r="I596" t="s">
        <v>2076</v>
      </c>
      <c r="J596" t="s">
        <v>233</v>
      </c>
      <c r="K596" t="s">
        <v>185</v>
      </c>
      <c r="N596">
        <v>0</v>
      </c>
      <c r="O596" t="s">
        <v>222</v>
      </c>
      <c r="P596">
        <v>0</v>
      </c>
      <c r="U596" s="15"/>
    </row>
    <row r="597" spans="1:21" x14ac:dyDescent="0.35">
      <c r="A597" t="s">
        <v>14</v>
      </c>
      <c r="B597" t="s">
        <v>497</v>
      </c>
      <c r="C597" t="s">
        <v>1255</v>
      </c>
      <c r="D597" t="s">
        <v>1256</v>
      </c>
      <c r="E597" t="s">
        <v>1257</v>
      </c>
      <c r="F597" t="s">
        <v>644</v>
      </c>
      <c r="G597" t="s">
        <v>2074</v>
      </c>
      <c r="H597" s="15">
        <v>46164</v>
      </c>
      <c r="I597" t="s">
        <v>2077</v>
      </c>
      <c r="J597" t="s">
        <v>233</v>
      </c>
      <c r="K597" t="s">
        <v>185</v>
      </c>
      <c r="N597">
        <v>0</v>
      </c>
      <c r="O597" t="s">
        <v>222</v>
      </c>
      <c r="P597">
        <v>0</v>
      </c>
      <c r="U597" s="15"/>
    </row>
    <row r="598" spans="1:21" x14ac:dyDescent="0.35">
      <c r="A598" t="s">
        <v>14</v>
      </c>
      <c r="B598" t="s">
        <v>497</v>
      </c>
      <c r="C598" t="s">
        <v>1159</v>
      </c>
      <c r="D598" t="s">
        <v>1160</v>
      </c>
      <c r="E598" t="s">
        <v>1161</v>
      </c>
      <c r="F598" t="s">
        <v>644</v>
      </c>
      <c r="G598" t="s">
        <v>2078</v>
      </c>
      <c r="H598" s="15">
        <v>46165</v>
      </c>
      <c r="I598" t="s">
        <v>2079</v>
      </c>
      <c r="J598" t="s">
        <v>16</v>
      </c>
      <c r="K598" t="s">
        <v>185</v>
      </c>
      <c r="N598">
        <v>0</v>
      </c>
      <c r="O598" t="s">
        <v>222</v>
      </c>
      <c r="P598">
        <v>0</v>
      </c>
      <c r="U598" s="15"/>
    </row>
    <row r="599" spans="1:21" x14ac:dyDescent="0.35">
      <c r="A599" t="s">
        <v>14</v>
      </c>
      <c r="B599" t="s">
        <v>497</v>
      </c>
      <c r="C599" t="s">
        <v>531</v>
      </c>
      <c r="D599" t="s">
        <v>532</v>
      </c>
      <c r="E599" t="s">
        <v>533</v>
      </c>
      <c r="F599" t="s">
        <v>501</v>
      </c>
      <c r="G599" t="s">
        <v>1420</v>
      </c>
      <c r="H599" s="15">
        <v>46111</v>
      </c>
      <c r="I599" t="s">
        <v>1421</v>
      </c>
      <c r="J599" t="s">
        <v>233</v>
      </c>
      <c r="K599" t="s">
        <v>185</v>
      </c>
      <c r="N599">
        <v>0</v>
      </c>
      <c r="O599" t="s">
        <v>222</v>
      </c>
      <c r="P599">
        <v>0</v>
      </c>
      <c r="U599" s="15"/>
    </row>
    <row r="600" spans="1:21" x14ac:dyDescent="0.35">
      <c r="A600" t="s">
        <v>14</v>
      </c>
      <c r="B600" t="s">
        <v>497</v>
      </c>
      <c r="C600" t="s">
        <v>515</v>
      </c>
      <c r="D600" t="s">
        <v>516</v>
      </c>
      <c r="E600" t="s">
        <v>517</v>
      </c>
      <c r="F600" t="s">
        <v>501</v>
      </c>
      <c r="G600" t="s">
        <v>1422</v>
      </c>
      <c r="H600" s="15">
        <v>46112</v>
      </c>
      <c r="I600" t="s">
        <v>1423</v>
      </c>
      <c r="J600" t="s">
        <v>16</v>
      </c>
      <c r="K600" t="s">
        <v>185</v>
      </c>
      <c r="N600">
        <v>0</v>
      </c>
      <c r="O600" t="s">
        <v>222</v>
      </c>
      <c r="P600">
        <v>0</v>
      </c>
      <c r="U600" s="15"/>
    </row>
    <row r="601" spans="1:21" x14ac:dyDescent="0.35">
      <c r="A601" t="s">
        <v>14</v>
      </c>
      <c r="B601" t="s">
        <v>497</v>
      </c>
      <c r="C601" t="s">
        <v>504</v>
      </c>
      <c r="D601" t="s">
        <v>505</v>
      </c>
      <c r="E601" t="s">
        <v>506</v>
      </c>
      <c r="F601" t="s">
        <v>501</v>
      </c>
      <c r="G601" t="s">
        <v>1422</v>
      </c>
      <c r="H601" s="15">
        <v>46112</v>
      </c>
      <c r="I601" t="s">
        <v>1424</v>
      </c>
      <c r="J601" t="s">
        <v>16</v>
      </c>
      <c r="K601" t="s">
        <v>185</v>
      </c>
      <c r="N601">
        <v>0</v>
      </c>
      <c r="O601" t="s">
        <v>222</v>
      </c>
      <c r="P601">
        <v>0</v>
      </c>
      <c r="U601" s="15"/>
    </row>
    <row r="602" spans="1:21" x14ac:dyDescent="0.35">
      <c r="A602" t="s">
        <v>14</v>
      </c>
      <c r="B602" t="s">
        <v>497</v>
      </c>
      <c r="C602" t="s">
        <v>651</v>
      </c>
      <c r="D602" t="s">
        <v>652</v>
      </c>
      <c r="E602" t="s">
        <v>653</v>
      </c>
      <c r="F602" t="s">
        <v>644</v>
      </c>
      <c r="G602" t="s">
        <v>2078</v>
      </c>
      <c r="H602" s="15">
        <v>46165</v>
      </c>
      <c r="I602" t="s">
        <v>2080</v>
      </c>
      <c r="J602" t="s">
        <v>16</v>
      </c>
      <c r="K602" t="s">
        <v>185</v>
      </c>
      <c r="N602">
        <v>0</v>
      </c>
      <c r="O602" t="s">
        <v>222</v>
      </c>
      <c r="P602">
        <v>0</v>
      </c>
      <c r="U602" s="15"/>
    </row>
    <row r="603" spans="1:21" x14ac:dyDescent="0.35">
      <c r="A603" t="s">
        <v>14</v>
      </c>
      <c r="B603" t="s">
        <v>497</v>
      </c>
      <c r="C603" t="s">
        <v>651</v>
      </c>
      <c r="D603" t="s">
        <v>652</v>
      </c>
      <c r="E603" t="s">
        <v>653</v>
      </c>
      <c r="F603" t="s">
        <v>644</v>
      </c>
      <c r="G603" t="s">
        <v>2078</v>
      </c>
      <c r="H603" s="15">
        <v>46165</v>
      </c>
      <c r="I603" t="s">
        <v>2080</v>
      </c>
      <c r="J603" t="s">
        <v>16</v>
      </c>
      <c r="K603" t="s">
        <v>185</v>
      </c>
      <c r="N603">
        <v>0</v>
      </c>
      <c r="O603" t="s">
        <v>222</v>
      </c>
      <c r="P603">
        <v>0</v>
      </c>
      <c r="U603" s="15"/>
    </row>
    <row r="604" spans="1:21" x14ac:dyDescent="0.35">
      <c r="A604" t="s">
        <v>14</v>
      </c>
      <c r="B604" t="s">
        <v>497</v>
      </c>
      <c r="C604" t="s">
        <v>777</v>
      </c>
      <c r="D604" t="s">
        <v>778</v>
      </c>
      <c r="E604" t="s">
        <v>779</v>
      </c>
      <c r="F604" t="s">
        <v>644</v>
      </c>
      <c r="G604" t="s">
        <v>2081</v>
      </c>
      <c r="H604" s="15">
        <v>46165</v>
      </c>
      <c r="I604" t="s">
        <v>2082</v>
      </c>
      <c r="J604" t="s">
        <v>233</v>
      </c>
      <c r="K604" t="s">
        <v>185</v>
      </c>
      <c r="N604">
        <v>0</v>
      </c>
      <c r="O604" t="s">
        <v>222</v>
      </c>
      <c r="P604">
        <v>0</v>
      </c>
      <c r="U604" s="15"/>
    </row>
    <row r="605" spans="1:21" x14ac:dyDescent="0.35">
      <c r="A605" t="s">
        <v>14</v>
      </c>
      <c r="B605" t="s">
        <v>497</v>
      </c>
      <c r="C605" t="s">
        <v>498</v>
      </c>
      <c r="D605" t="s">
        <v>499</v>
      </c>
      <c r="E605" t="s">
        <v>500</v>
      </c>
      <c r="F605" t="s">
        <v>501</v>
      </c>
      <c r="G605" t="s">
        <v>1425</v>
      </c>
      <c r="H605" s="15">
        <v>46112</v>
      </c>
      <c r="I605" t="s">
        <v>1426</v>
      </c>
      <c r="J605" t="s">
        <v>233</v>
      </c>
      <c r="K605" t="s">
        <v>185</v>
      </c>
      <c r="N605">
        <v>0</v>
      </c>
      <c r="O605" t="s">
        <v>222</v>
      </c>
      <c r="P605">
        <v>0</v>
      </c>
      <c r="U605" s="15"/>
    </row>
    <row r="606" spans="1:21" x14ac:dyDescent="0.35">
      <c r="A606" t="s">
        <v>14</v>
      </c>
      <c r="B606" t="s">
        <v>497</v>
      </c>
      <c r="C606" t="s">
        <v>561</v>
      </c>
      <c r="D606" t="s">
        <v>562</v>
      </c>
      <c r="E606" t="s">
        <v>562</v>
      </c>
      <c r="F606" t="s">
        <v>501</v>
      </c>
      <c r="G606" t="s">
        <v>1427</v>
      </c>
      <c r="H606" s="15">
        <v>46113</v>
      </c>
      <c r="I606" t="s">
        <v>1428</v>
      </c>
      <c r="J606" t="s">
        <v>16</v>
      </c>
      <c r="K606" t="s">
        <v>185</v>
      </c>
      <c r="N606">
        <v>0</v>
      </c>
      <c r="O606" t="s">
        <v>222</v>
      </c>
      <c r="P606">
        <v>0</v>
      </c>
      <c r="U606" s="15"/>
    </row>
    <row r="607" spans="1:21" x14ac:dyDescent="0.35">
      <c r="A607" t="s">
        <v>14</v>
      </c>
      <c r="B607" t="s">
        <v>497</v>
      </c>
      <c r="C607" t="s">
        <v>641</v>
      </c>
      <c r="D607" t="s">
        <v>642</v>
      </c>
      <c r="E607" t="s">
        <v>643</v>
      </c>
      <c r="F607" t="s">
        <v>644</v>
      </c>
      <c r="G607" t="s">
        <v>2083</v>
      </c>
      <c r="H607" s="15">
        <v>46167</v>
      </c>
      <c r="I607" t="s">
        <v>2084</v>
      </c>
      <c r="J607" t="s">
        <v>233</v>
      </c>
      <c r="K607" t="s">
        <v>185</v>
      </c>
      <c r="N607">
        <v>0</v>
      </c>
      <c r="O607" t="s">
        <v>222</v>
      </c>
      <c r="P607">
        <v>0</v>
      </c>
      <c r="U607" s="15"/>
    </row>
    <row r="608" spans="1:21" x14ac:dyDescent="0.35">
      <c r="A608" t="s">
        <v>14</v>
      </c>
      <c r="B608" t="s">
        <v>497</v>
      </c>
      <c r="C608" t="s">
        <v>772</v>
      </c>
      <c r="D608" t="s">
        <v>773</v>
      </c>
      <c r="E608" t="s">
        <v>774</v>
      </c>
      <c r="F608" t="s">
        <v>644</v>
      </c>
      <c r="G608" t="s">
        <v>2083</v>
      </c>
      <c r="H608" s="15">
        <v>46167</v>
      </c>
      <c r="I608" t="s">
        <v>2085</v>
      </c>
      <c r="J608" t="s">
        <v>233</v>
      </c>
      <c r="K608" t="s">
        <v>185</v>
      </c>
      <c r="N608">
        <v>0</v>
      </c>
      <c r="O608" t="s">
        <v>222</v>
      </c>
      <c r="P608">
        <v>0</v>
      </c>
      <c r="U608" s="15"/>
    </row>
    <row r="609" spans="1:21" x14ac:dyDescent="0.35">
      <c r="A609" t="s">
        <v>14</v>
      </c>
      <c r="B609" t="s">
        <v>497</v>
      </c>
      <c r="C609" t="s">
        <v>504</v>
      </c>
      <c r="D609" t="s">
        <v>505</v>
      </c>
      <c r="E609" t="s">
        <v>506</v>
      </c>
      <c r="F609" t="s">
        <v>501</v>
      </c>
      <c r="G609" t="s">
        <v>1427</v>
      </c>
      <c r="H609" s="15">
        <v>46113</v>
      </c>
      <c r="I609" t="s">
        <v>1429</v>
      </c>
      <c r="J609" t="s">
        <v>16</v>
      </c>
      <c r="K609" t="s">
        <v>185</v>
      </c>
      <c r="N609">
        <v>0</v>
      </c>
      <c r="O609" t="s">
        <v>222</v>
      </c>
      <c r="P609">
        <v>0</v>
      </c>
      <c r="U609" s="15"/>
    </row>
    <row r="610" spans="1:21" x14ac:dyDescent="0.35">
      <c r="A610" t="s">
        <v>14</v>
      </c>
      <c r="B610" t="s">
        <v>497</v>
      </c>
      <c r="C610" t="s">
        <v>777</v>
      </c>
      <c r="D610" t="s">
        <v>778</v>
      </c>
      <c r="E610" t="s">
        <v>779</v>
      </c>
      <c r="F610" t="s">
        <v>644</v>
      </c>
      <c r="G610" t="s">
        <v>2083</v>
      </c>
      <c r="H610" s="15">
        <v>46167</v>
      </c>
      <c r="I610" t="s">
        <v>2086</v>
      </c>
      <c r="J610" t="s">
        <v>233</v>
      </c>
      <c r="K610" t="s">
        <v>185</v>
      </c>
      <c r="N610">
        <v>0</v>
      </c>
      <c r="O610" t="s">
        <v>222</v>
      </c>
      <c r="P610">
        <v>0</v>
      </c>
      <c r="U610" s="15"/>
    </row>
    <row r="611" spans="1:21" x14ac:dyDescent="0.35">
      <c r="A611" t="s">
        <v>14</v>
      </c>
      <c r="B611" t="s">
        <v>497</v>
      </c>
      <c r="C611" t="s">
        <v>1856</v>
      </c>
      <c r="D611" t="s">
        <v>1857</v>
      </c>
      <c r="E611" t="s">
        <v>1858</v>
      </c>
      <c r="F611" t="s">
        <v>644</v>
      </c>
      <c r="G611" t="s">
        <v>2087</v>
      </c>
      <c r="H611" s="15">
        <v>46168</v>
      </c>
      <c r="I611" t="s">
        <v>2088</v>
      </c>
      <c r="J611" t="s">
        <v>16</v>
      </c>
      <c r="K611" t="s">
        <v>185</v>
      </c>
      <c r="N611">
        <v>0</v>
      </c>
      <c r="O611" t="s">
        <v>222</v>
      </c>
      <c r="P611">
        <v>0</v>
      </c>
      <c r="U611" s="15"/>
    </row>
    <row r="612" spans="1:21" x14ac:dyDescent="0.35">
      <c r="A612" t="s">
        <v>14</v>
      </c>
      <c r="B612" t="s">
        <v>497</v>
      </c>
      <c r="C612" t="s">
        <v>2089</v>
      </c>
      <c r="D612" t="s">
        <v>2090</v>
      </c>
      <c r="E612" t="s">
        <v>2091</v>
      </c>
      <c r="F612" t="s">
        <v>644</v>
      </c>
      <c r="G612" t="s">
        <v>2087</v>
      </c>
      <c r="H612" s="15">
        <v>46168</v>
      </c>
      <c r="I612" t="s">
        <v>2092</v>
      </c>
      <c r="J612" t="s">
        <v>16</v>
      </c>
      <c r="K612" t="s">
        <v>185</v>
      </c>
      <c r="N612">
        <v>0</v>
      </c>
      <c r="O612" t="s">
        <v>222</v>
      </c>
      <c r="P612">
        <v>0</v>
      </c>
      <c r="U612" s="15"/>
    </row>
    <row r="613" spans="1:21" x14ac:dyDescent="0.35">
      <c r="A613" t="s">
        <v>14</v>
      </c>
      <c r="B613" t="s">
        <v>497</v>
      </c>
      <c r="C613" t="s">
        <v>498</v>
      </c>
      <c r="D613" t="s">
        <v>499</v>
      </c>
      <c r="E613" t="s">
        <v>500</v>
      </c>
      <c r="F613" t="s">
        <v>501</v>
      </c>
      <c r="G613" t="s">
        <v>1430</v>
      </c>
      <c r="H613" s="15">
        <v>46113</v>
      </c>
      <c r="I613" t="s">
        <v>1431</v>
      </c>
      <c r="J613" t="s">
        <v>233</v>
      </c>
      <c r="K613" t="s">
        <v>185</v>
      </c>
      <c r="N613">
        <v>0</v>
      </c>
      <c r="O613" t="s">
        <v>222</v>
      </c>
      <c r="P613">
        <v>0</v>
      </c>
      <c r="U613" s="15"/>
    </row>
    <row r="614" spans="1:21" x14ac:dyDescent="0.35">
      <c r="A614" t="s">
        <v>14</v>
      </c>
      <c r="B614" t="s">
        <v>497</v>
      </c>
      <c r="C614" t="s">
        <v>515</v>
      </c>
      <c r="D614" t="s">
        <v>516</v>
      </c>
      <c r="E614" t="s">
        <v>517</v>
      </c>
      <c r="F614" t="s">
        <v>501</v>
      </c>
      <c r="G614" t="s">
        <v>1432</v>
      </c>
      <c r="H614" s="15">
        <v>46114</v>
      </c>
      <c r="I614" t="s">
        <v>1433</v>
      </c>
      <c r="J614" t="s">
        <v>16</v>
      </c>
      <c r="K614" t="s">
        <v>185</v>
      </c>
      <c r="N614">
        <v>0</v>
      </c>
      <c r="O614" t="s">
        <v>222</v>
      </c>
      <c r="P614">
        <v>0</v>
      </c>
      <c r="U614" s="15"/>
    </row>
    <row r="615" spans="1:21" x14ac:dyDescent="0.35">
      <c r="A615" t="s">
        <v>14</v>
      </c>
      <c r="B615" t="s">
        <v>497</v>
      </c>
      <c r="C615" t="s">
        <v>651</v>
      </c>
      <c r="D615" t="s">
        <v>652</v>
      </c>
      <c r="E615" t="s">
        <v>653</v>
      </c>
      <c r="F615" t="s">
        <v>644</v>
      </c>
      <c r="G615" t="s">
        <v>2093</v>
      </c>
      <c r="H615" s="15">
        <v>46168</v>
      </c>
      <c r="I615" t="s">
        <v>2094</v>
      </c>
      <c r="J615" t="s">
        <v>233</v>
      </c>
      <c r="K615" t="s">
        <v>185</v>
      </c>
      <c r="N615">
        <v>0</v>
      </c>
      <c r="O615" t="s">
        <v>222</v>
      </c>
      <c r="P615">
        <v>0</v>
      </c>
      <c r="U615" s="15"/>
    </row>
    <row r="616" spans="1:21" x14ac:dyDescent="0.35">
      <c r="A616" t="s">
        <v>14</v>
      </c>
      <c r="B616" t="s">
        <v>497</v>
      </c>
      <c r="C616" t="s">
        <v>1232</v>
      </c>
      <c r="D616" t="s">
        <v>1233</v>
      </c>
      <c r="E616" t="s">
        <v>1234</v>
      </c>
      <c r="F616" t="s">
        <v>644</v>
      </c>
      <c r="G616" t="s">
        <v>2095</v>
      </c>
      <c r="H616" s="15">
        <v>46169</v>
      </c>
      <c r="I616" t="s">
        <v>2096</v>
      </c>
      <c r="J616" t="s">
        <v>16</v>
      </c>
      <c r="K616" t="s">
        <v>185</v>
      </c>
      <c r="N616">
        <v>0</v>
      </c>
      <c r="O616" t="s">
        <v>222</v>
      </c>
      <c r="P616">
        <v>0</v>
      </c>
      <c r="U616" s="15"/>
    </row>
    <row r="617" spans="1:21" x14ac:dyDescent="0.35">
      <c r="A617" t="s">
        <v>14</v>
      </c>
      <c r="B617" t="s">
        <v>497</v>
      </c>
      <c r="C617" t="s">
        <v>662</v>
      </c>
      <c r="D617" t="s">
        <v>663</v>
      </c>
      <c r="E617" t="s">
        <v>664</v>
      </c>
      <c r="F617" t="s">
        <v>644</v>
      </c>
      <c r="G617" t="s">
        <v>2095</v>
      </c>
      <c r="H617" s="15">
        <v>46169</v>
      </c>
      <c r="I617" t="s">
        <v>2097</v>
      </c>
      <c r="J617" t="s">
        <v>16</v>
      </c>
      <c r="K617" t="s">
        <v>185</v>
      </c>
      <c r="N617">
        <v>0</v>
      </c>
      <c r="O617" t="s">
        <v>222</v>
      </c>
      <c r="P617">
        <v>0</v>
      </c>
      <c r="U617" s="15"/>
    </row>
    <row r="618" spans="1:21" x14ac:dyDescent="0.35">
      <c r="A618" t="s">
        <v>14</v>
      </c>
      <c r="B618" t="s">
        <v>497</v>
      </c>
      <c r="C618" t="s">
        <v>536</v>
      </c>
      <c r="D618" t="s">
        <v>537</v>
      </c>
      <c r="E618" t="s">
        <v>538</v>
      </c>
      <c r="F618" t="s">
        <v>501</v>
      </c>
      <c r="G618" t="s">
        <v>1432</v>
      </c>
      <c r="H618" s="15">
        <v>46114</v>
      </c>
      <c r="I618" t="s">
        <v>1434</v>
      </c>
      <c r="J618" t="s">
        <v>16</v>
      </c>
      <c r="K618" t="s">
        <v>185</v>
      </c>
      <c r="N618">
        <v>0</v>
      </c>
      <c r="O618" t="s">
        <v>222</v>
      </c>
      <c r="P618">
        <v>0</v>
      </c>
      <c r="U618" s="15"/>
    </row>
    <row r="619" spans="1:21" x14ac:dyDescent="0.35">
      <c r="A619" t="s">
        <v>14</v>
      </c>
      <c r="B619" t="s">
        <v>497</v>
      </c>
      <c r="C619" t="s">
        <v>531</v>
      </c>
      <c r="D619" t="s">
        <v>532</v>
      </c>
      <c r="E619" t="s">
        <v>533</v>
      </c>
      <c r="F619" t="s">
        <v>501</v>
      </c>
      <c r="G619" t="s">
        <v>1435</v>
      </c>
      <c r="H619" s="15">
        <v>46114</v>
      </c>
      <c r="I619" t="s">
        <v>1436</v>
      </c>
      <c r="J619" t="s">
        <v>233</v>
      </c>
      <c r="K619" t="s">
        <v>185</v>
      </c>
      <c r="N619">
        <v>0</v>
      </c>
      <c r="O619" t="s">
        <v>222</v>
      </c>
      <c r="P619">
        <v>0</v>
      </c>
      <c r="U619" s="15"/>
    </row>
    <row r="620" spans="1:21" x14ac:dyDescent="0.35">
      <c r="A620" t="s">
        <v>14</v>
      </c>
      <c r="B620" t="s">
        <v>497</v>
      </c>
      <c r="C620" t="s">
        <v>615</v>
      </c>
      <c r="D620" t="s">
        <v>616</v>
      </c>
      <c r="E620" t="s">
        <v>617</v>
      </c>
      <c r="F620" t="s">
        <v>501</v>
      </c>
      <c r="G620" t="s">
        <v>1437</v>
      </c>
      <c r="H620" s="15">
        <v>46115</v>
      </c>
      <c r="I620" t="s">
        <v>1438</v>
      </c>
      <c r="J620" t="s">
        <v>16</v>
      </c>
      <c r="K620" t="s">
        <v>185</v>
      </c>
      <c r="N620">
        <v>0</v>
      </c>
      <c r="O620" t="s">
        <v>222</v>
      </c>
      <c r="P620">
        <v>0</v>
      </c>
      <c r="U620" s="15"/>
    </row>
    <row r="621" spans="1:21" x14ac:dyDescent="0.35">
      <c r="A621" t="s">
        <v>14</v>
      </c>
      <c r="B621" t="s">
        <v>497</v>
      </c>
      <c r="C621" t="s">
        <v>2098</v>
      </c>
      <c r="D621" t="s">
        <v>2099</v>
      </c>
      <c r="E621" t="s">
        <v>2100</v>
      </c>
      <c r="F621" t="s">
        <v>644</v>
      </c>
      <c r="G621" t="s">
        <v>2095</v>
      </c>
      <c r="H621" s="15">
        <v>46169</v>
      </c>
      <c r="I621" t="s">
        <v>2101</v>
      </c>
      <c r="J621" t="s">
        <v>16</v>
      </c>
      <c r="K621" t="s">
        <v>185</v>
      </c>
      <c r="N621">
        <v>0</v>
      </c>
      <c r="O621" t="s">
        <v>222</v>
      </c>
      <c r="P621">
        <v>0</v>
      </c>
      <c r="U621" s="15"/>
    </row>
    <row r="622" spans="1:21" x14ac:dyDescent="0.35">
      <c r="A622" t="s">
        <v>14</v>
      </c>
      <c r="B622" t="s">
        <v>497</v>
      </c>
      <c r="C622" t="s">
        <v>557</v>
      </c>
      <c r="D622" t="s">
        <v>558</v>
      </c>
      <c r="E622" t="s">
        <v>559</v>
      </c>
      <c r="F622" t="s">
        <v>501</v>
      </c>
      <c r="G622" t="s">
        <v>1437</v>
      </c>
      <c r="H622" s="15">
        <v>46115</v>
      </c>
      <c r="I622" t="s">
        <v>1439</v>
      </c>
      <c r="J622" t="s">
        <v>16</v>
      </c>
      <c r="K622" t="s">
        <v>185</v>
      </c>
      <c r="N622">
        <v>0</v>
      </c>
      <c r="O622" t="s">
        <v>222</v>
      </c>
      <c r="P622">
        <v>0</v>
      </c>
      <c r="U622" s="15"/>
    </row>
    <row r="623" spans="1:21" x14ac:dyDescent="0.35">
      <c r="A623" t="s">
        <v>14</v>
      </c>
      <c r="B623" t="s">
        <v>497</v>
      </c>
      <c r="C623" t="s">
        <v>1255</v>
      </c>
      <c r="D623" t="s">
        <v>1256</v>
      </c>
      <c r="E623" t="s">
        <v>1257</v>
      </c>
      <c r="F623" t="s">
        <v>644</v>
      </c>
      <c r="G623" t="s">
        <v>2102</v>
      </c>
      <c r="H623" s="15">
        <v>46169</v>
      </c>
      <c r="I623" t="s">
        <v>2103</v>
      </c>
      <c r="J623" t="s">
        <v>233</v>
      </c>
      <c r="K623" t="s">
        <v>185</v>
      </c>
      <c r="N623">
        <v>0</v>
      </c>
      <c r="O623" t="s">
        <v>222</v>
      </c>
      <c r="P623">
        <v>0</v>
      </c>
      <c r="U623" s="15"/>
    </row>
    <row r="624" spans="1:21" x14ac:dyDescent="0.35">
      <c r="A624" t="s">
        <v>14</v>
      </c>
      <c r="B624" t="s">
        <v>497</v>
      </c>
      <c r="C624" t="s">
        <v>641</v>
      </c>
      <c r="D624" t="s">
        <v>642</v>
      </c>
      <c r="E624" t="s">
        <v>643</v>
      </c>
      <c r="F624" t="s">
        <v>644</v>
      </c>
      <c r="G624" t="s">
        <v>2104</v>
      </c>
      <c r="H624" s="15">
        <v>46170</v>
      </c>
      <c r="I624" t="s">
        <v>2105</v>
      </c>
      <c r="J624" t="s">
        <v>16</v>
      </c>
      <c r="K624" t="s">
        <v>185</v>
      </c>
      <c r="N624">
        <v>0</v>
      </c>
      <c r="O624" t="s">
        <v>222</v>
      </c>
      <c r="P624">
        <v>0</v>
      </c>
      <c r="U624" s="15"/>
    </row>
    <row r="625" spans="1:21" x14ac:dyDescent="0.35">
      <c r="A625" t="s">
        <v>14</v>
      </c>
      <c r="B625" t="s">
        <v>497</v>
      </c>
      <c r="C625" t="s">
        <v>515</v>
      </c>
      <c r="D625" t="s">
        <v>516</v>
      </c>
      <c r="E625" t="s">
        <v>517</v>
      </c>
      <c r="F625" t="s">
        <v>501</v>
      </c>
      <c r="G625" t="s">
        <v>1440</v>
      </c>
      <c r="H625" s="15">
        <v>46115</v>
      </c>
      <c r="I625" t="s">
        <v>1441</v>
      </c>
      <c r="J625" t="s">
        <v>233</v>
      </c>
      <c r="K625" t="s">
        <v>185</v>
      </c>
      <c r="N625">
        <v>0</v>
      </c>
      <c r="O625" t="s">
        <v>222</v>
      </c>
      <c r="P625">
        <v>0</v>
      </c>
      <c r="U625" s="15"/>
    </row>
    <row r="626" spans="1:21" x14ac:dyDescent="0.35">
      <c r="A626" t="s">
        <v>14</v>
      </c>
      <c r="B626" t="s">
        <v>497</v>
      </c>
      <c r="C626" t="s">
        <v>498</v>
      </c>
      <c r="D626" t="s">
        <v>499</v>
      </c>
      <c r="E626" t="s">
        <v>500</v>
      </c>
      <c r="F626" t="s">
        <v>501</v>
      </c>
      <c r="G626" t="s">
        <v>1442</v>
      </c>
      <c r="H626" s="15">
        <v>46116</v>
      </c>
      <c r="I626" t="s">
        <v>1443</v>
      </c>
      <c r="J626" t="s">
        <v>16</v>
      </c>
      <c r="K626" t="s">
        <v>185</v>
      </c>
      <c r="N626">
        <v>0</v>
      </c>
      <c r="O626" t="s">
        <v>222</v>
      </c>
      <c r="P626">
        <v>0</v>
      </c>
      <c r="U626" s="15"/>
    </row>
    <row r="627" spans="1:21" x14ac:dyDescent="0.35">
      <c r="A627" t="s">
        <v>14</v>
      </c>
      <c r="B627" t="s">
        <v>497</v>
      </c>
      <c r="C627" t="s">
        <v>504</v>
      </c>
      <c r="D627" t="s">
        <v>505</v>
      </c>
      <c r="E627" t="s">
        <v>506</v>
      </c>
      <c r="F627" t="s">
        <v>501</v>
      </c>
      <c r="G627" t="s">
        <v>1442</v>
      </c>
      <c r="H627" s="15">
        <v>46116</v>
      </c>
      <c r="I627" t="s">
        <v>1444</v>
      </c>
      <c r="J627" t="s">
        <v>16</v>
      </c>
      <c r="K627" t="s">
        <v>185</v>
      </c>
      <c r="N627">
        <v>0</v>
      </c>
      <c r="O627" t="s">
        <v>222</v>
      </c>
      <c r="P627">
        <v>0</v>
      </c>
      <c r="U627" s="15"/>
    </row>
    <row r="628" spans="1:21" x14ac:dyDescent="0.35">
      <c r="A628" t="s">
        <v>14</v>
      </c>
      <c r="B628" t="s">
        <v>497</v>
      </c>
      <c r="C628" t="s">
        <v>678</v>
      </c>
      <c r="D628" t="s">
        <v>679</v>
      </c>
      <c r="E628" t="s">
        <v>679</v>
      </c>
      <c r="F628" t="s">
        <v>644</v>
      </c>
      <c r="G628" t="s">
        <v>2106</v>
      </c>
      <c r="H628" s="15">
        <v>46170</v>
      </c>
      <c r="I628" t="s">
        <v>2107</v>
      </c>
      <c r="J628" t="s">
        <v>233</v>
      </c>
      <c r="K628" t="s">
        <v>185</v>
      </c>
      <c r="N628">
        <v>0</v>
      </c>
      <c r="O628" t="s">
        <v>222</v>
      </c>
      <c r="P628">
        <v>0</v>
      </c>
      <c r="U628" s="15"/>
    </row>
    <row r="629" spans="1:21" x14ac:dyDescent="0.35">
      <c r="A629" t="s">
        <v>14</v>
      </c>
      <c r="B629" t="s">
        <v>497</v>
      </c>
      <c r="C629" t="s">
        <v>1255</v>
      </c>
      <c r="D629" t="s">
        <v>1256</v>
      </c>
      <c r="E629" t="s">
        <v>1257</v>
      </c>
      <c r="F629" t="s">
        <v>644</v>
      </c>
      <c r="G629" t="s">
        <v>2106</v>
      </c>
      <c r="H629" s="15">
        <v>46170</v>
      </c>
      <c r="I629" t="s">
        <v>2108</v>
      </c>
      <c r="J629" t="s">
        <v>233</v>
      </c>
      <c r="K629" t="s">
        <v>185</v>
      </c>
      <c r="N629">
        <v>0</v>
      </c>
      <c r="O629" t="s">
        <v>222</v>
      </c>
      <c r="P629">
        <v>0</v>
      </c>
      <c r="U629" s="15"/>
    </row>
    <row r="630" spans="1:21" x14ac:dyDescent="0.35">
      <c r="A630" t="s">
        <v>14</v>
      </c>
      <c r="B630" t="s">
        <v>497</v>
      </c>
      <c r="C630" t="s">
        <v>498</v>
      </c>
      <c r="D630" t="s">
        <v>499</v>
      </c>
      <c r="E630" t="s">
        <v>500</v>
      </c>
      <c r="F630" t="s">
        <v>501</v>
      </c>
      <c r="G630" t="s">
        <v>1445</v>
      </c>
      <c r="H630" s="15">
        <v>46116</v>
      </c>
      <c r="I630" t="s">
        <v>1446</v>
      </c>
      <c r="J630" t="s">
        <v>233</v>
      </c>
      <c r="K630" t="s">
        <v>185</v>
      </c>
      <c r="N630">
        <v>0</v>
      </c>
      <c r="O630" t="s">
        <v>222</v>
      </c>
      <c r="P630">
        <v>0</v>
      </c>
      <c r="U630" s="15"/>
    </row>
    <row r="631" spans="1:21" x14ac:dyDescent="0.35">
      <c r="A631" t="s">
        <v>14</v>
      </c>
      <c r="B631" t="s">
        <v>497</v>
      </c>
      <c r="C631" t="s">
        <v>651</v>
      </c>
      <c r="D631" t="s">
        <v>652</v>
      </c>
      <c r="E631" t="s">
        <v>653</v>
      </c>
      <c r="F631" t="s">
        <v>644</v>
      </c>
      <c r="G631" t="s">
        <v>2106</v>
      </c>
      <c r="H631" s="15">
        <v>46170</v>
      </c>
      <c r="I631" t="s">
        <v>2109</v>
      </c>
      <c r="J631" t="s">
        <v>233</v>
      </c>
      <c r="K631" t="s">
        <v>185</v>
      </c>
      <c r="N631">
        <v>0</v>
      </c>
      <c r="O631" t="s">
        <v>222</v>
      </c>
      <c r="P631">
        <v>0</v>
      </c>
      <c r="U631" s="15"/>
    </row>
    <row r="632" spans="1:21" x14ac:dyDescent="0.35">
      <c r="A632" t="s">
        <v>14</v>
      </c>
      <c r="B632" t="s">
        <v>497</v>
      </c>
      <c r="C632" t="s">
        <v>515</v>
      </c>
      <c r="D632" t="s">
        <v>516</v>
      </c>
      <c r="E632" t="s">
        <v>517</v>
      </c>
      <c r="F632" t="s">
        <v>501</v>
      </c>
      <c r="G632" t="s">
        <v>1447</v>
      </c>
      <c r="H632" s="15">
        <v>46118</v>
      </c>
      <c r="I632" t="s">
        <v>1448</v>
      </c>
      <c r="J632" t="s">
        <v>233</v>
      </c>
      <c r="K632" t="s">
        <v>185</v>
      </c>
      <c r="N632">
        <v>0</v>
      </c>
      <c r="O632" t="s">
        <v>222</v>
      </c>
      <c r="P632">
        <v>0</v>
      </c>
      <c r="U632" s="15"/>
    </row>
    <row r="633" spans="1:21" x14ac:dyDescent="0.35">
      <c r="A633" t="s">
        <v>14</v>
      </c>
      <c r="B633" t="s">
        <v>497</v>
      </c>
      <c r="C633" t="s">
        <v>515</v>
      </c>
      <c r="D633" t="s">
        <v>516</v>
      </c>
      <c r="E633" t="s">
        <v>517</v>
      </c>
      <c r="F633" t="s">
        <v>501</v>
      </c>
      <c r="G633" t="s">
        <v>1449</v>
      </c>
      <c r="H633" s="15">
        <v>46119</v>
      </c>
      <c r="I633" t="s">
        <v>1450</v>
      </c>
      <c r="J633" t="s">
        <v>16</v>
      </c>
      <c r="K633" t="s">
        <v>185</v>
      </c>
      <c r="N633">
        <v>0</v>
      </c>
      <c r="O633" t="s">
        <v>222</v>
      </c>
      <c r="P633">
        <v>0</v>
      </c>
      <c r="U633" s="15"/>
    </row>
    <row r="634" spans="1:21" x14ac:dyDescent="0.35">
      <c r="A634" t="s">
        <v>14</v>
      </c>
      <c r="B634" t="s">
        <v>497</v>
      </c>
      <c r="C634" t="s">
        <v>697</v>
      </c>
      <c r="D634" t="s">
        <v>698</v>
      </c>
      <c r="E634" t="s">
        <v>699</v>
      </c>
      <c r="F634" t="s">
        <v>644</v>
      </c>
      <c r="G634" t="s">
        <v>2110</v>
      </c>
      <c r="H634" s="15">
        <v>46171</v>
      </c>
      <c r="I634" t="s">
        <v>2111</v>
      </c>
      <c r="J634" t="s">
        <v>16</v>
      </c>
      <c r="K634" t="s">
        <v>185</v>
      </c>
      <c r="N634">
        <v>0</v>
      </c>
      <c r="O634" t="s">
        <v>222</v>
      </c>
      <c r="P634">
        <v>0</v>
      </c>
      <c r="U634" s="15"/>
    </row>
    <row r="635" spans="1:21" x14ac:dyDescent="0.35">
      <c r="A635" t="s">
        <v>14</v>
      </c>
      <c r="B635" t="s">
        <v>497</v>
      </c>
      <c r="C635" t="s">
        <v>1036</v>
      </c>
      <c r="D635" t="s">
        <v>1037</v>
      </c>
      <c r="E635" t="s">
        <v>1038</v>
      </c>
      <c r="F635" t="s">
        <v>644</v>
      </c>
      <c r="G635" t="s">
        <v>2110</v>
      </c>
      <c r="H635" s="15">
        <v>46171</v>
      </c>
      <c r="I635" t="s">
        <v>2112</v>
      </c>
      <c r="J635" t="s">
        <v>16</v>
      </c>
      <c r="K635" t="s">
        <v>185</v>
      </c>
      <c r="N635">
        <v>0</v>
      </c>
      <c r="O635" t="s">
        <v>222</v>
      </c>
      <c r="P635">
        <v>0</v>
      </c>
      <c r="U635" s="15"/>
    </row>
    <row r="636" spans="1:21" x14ac:dyDescent="0.35">
      <c r="A636" t="s">
        <v>14</v>
      </c>
      <c r="B636" t="s">
        <v>497</v>
      </c>
      <c r="C636" t="s">
        <v>662</v>
      </c>
      <c r="D636" t="s">
        <v>663</v>
      </c>
      <c r="E636" t="s">
        <v>664</v>
      </c>
      <c r="F636" t="s">
        <v>644</v>
      </c>
      <c r="G636" t="s">
        <v>2110</v>
      </c>
      <c r="H636" s="15">
        <v>46171</v>
      </c>
      <c r="I636" t="s">
        <v>2113</v>
      </c>
      <c r="J636" t="s">
        <v>16</v>
      </c>
      <c r="K636" t="s">
        <v>185</v>
      </c>
      <c r="N636">
        <v>0</v>
      </c>
      <c r="O636" t="s">
        <v>222</v>
      </c>
      <c r="P636">
        <v>0</v>
      </c>
      <c r="U636" s="15"/>
    </row>
    <row r="637" spans="1:21" x14ac:dyDescent="0.35">
      <c r="A637" t="s">
        <v>14</v>
      </c>
      <c r="B637" t="s">
        <v>497</v>
      </c>
      <c r="C637" t="s">
        <v>504</v>
      </c>
      <c r="D637" t="s">
        <v>505</v>
      </c>
      <c r="E637" t="s">
        <v>506</v>
      </c>
      <c r="F637" t="s">
        <v>501</v>
      </c>
      <c r="G637" t="s">
        <v>1449</v>
      </c>
      <c r="H637" s="15">
        <v>46119</v>
      </c>
      <c r="I637" t="s">
        <v>1451</v>
      </c>
      <c r="J637" t="s">
        <v>16</v>
      </c>
      <c r="K637" t="s">
        <v>185</v>
      </c>
      <c r="N637">
        <v>0</v>
      </c>
      <c r="O637" t="s">
        <v>222</v>
      </c>
      <c r="P637">
        <v>0</v>
      </c>
      <c r="U637" s="15"/>
    </row>
    <row r="638" spans="1:21" x14ac:dyDescent="0.35">
      <c r="A638" t="s">
        <v>14</v>
      </c>
      <c r="B638" t="s">
        <v>497</v>
      </c>
      <c r="C638" t="s">
        <v>515</v>
      </c>
      <c r="D638" t="s">
        <v>516</v>
      </c>
      <c r="E638" t="s">
        <v>517</v>
      </c>
      <c r="F638" t="s">
        <v>501</v>
      </c>
      <c r="G638" t="s">
        <v>1452</v>
      </c>
      <c r="H638" s="15">
        <v>46119</v>
      </c>
      <c r="I638" t="s">
        <v>1453</v>
      </c>
      <c r="J638" t="s">
        <v>233</v>
      </c>
      <c r="K638" t="s">
        <v>185</v>
      </c>
      <c r="N638">
        <v>0</v>
      </c>
      <c r="O638" t="s">
        <v>222</v>
      </c>
      <c r="P638">
        <v>0</v>
      </c>
      <c r="U638" s="15"/>
    </row>
    <row r="639" spans="1:21" x14ac:dyDescent="0.35">
      <c r="A639" t="s">
        <v>14</v>
      </c>
      <c r="B639" t="s">
        <v>497</v>
      </c>
      <c r="C639" t="s">
        <v>667</v>
      </c>
      <c r="D639" t="s">
        <v>668</v>
      </c>
      <c r="E639" t="s">
        <v>669</v>
      </c>
      <c r="F639" t="s">
        <v>644</v>
      </c>
      <c r="G639" t="s">
        <v>2114</v>
      </c>
      <c r="H639" s="15">
        <v>46171</v>
      </c>
      <c r="I639" t="s">
        <v>2115</v>
      </c>
      <c r="J639" t="s">
        <v>233</v>
      </c>
      <c r="K639" t="s">
        <v>185</v>
      </c>
      <c r="N639">
        <v>0</v>
      </c>
      <c r="O639" t="s">
        <v>222</v>
      </c>
      <c r="P639">
        <v>0</v>
      </c>
      <c r="U639" s="15"/>
    </row>
    <row r="640" spans="1:21" x14ac:dyDescent="0.35">
      <c r="A640" t="s">
        <v>14</v>
      </c>
      <c r="B640" t="s">
        <v>497</v>
      </c>
      <c r="C640" t="s">
        <v>651</v>
      </c>
      <c r="D640" t="s">
        <v>652</v>
      </c>
      <c r="E640" t="s">
        <v>653</v>
      </c>
      <c r="F640" t="s">
        <v>644</v>
      </c>
      <c r="G640" t="s">
        <v>2116</v>
      </c>
      <c r="H640" s="15">
        <v>46172</v>
      </c>
      <c r="I640" t="s">
        <v>2117</v>
      </c>
      <c r="J640" t="s">
        <v>16</v>
      </c>
      <c r="K640" t="s">
        <v>185</v>
      </c>
      <c r="N640">
        <v>0</v>
      </c>
      <c r="O640" t="s">
        <v>222</v>
      </c>
      <c r="P640">
        <v>0</v>
      </c>
      <c r="U640" s="15"/>
    </row>
    <row r="641" spans="1:21" x14ac:dyDescent="0.35">
      <c r="A641" t="s">
        <v>14</v>
      </c>
      <c r="B641" t="s">
        <v>497</v>
      </c>
      <c r="C641" t="s">
        <v>977</v>
      </c>
      <c r="D641" t="s">
        <v>978</v>
      </c>
      <c r="E641" t="s">
        <v>979</v>
      </c>
      <c r="F641" t="s">
        <v>501</v>
      </c>
      <c r="G641" t="s">
        <v>1454</v>
      </c>
      <c r="H641" s="15">
        <v>46120</v>
      </c>
      <c r="I641" t="s">
        <v>1455</v>
      </c>
      <c r="J641" t="s">
        <v>16</v>
      </c>
      <c r="K641" t="s">
        <v>185</v>
      </c>
      <c r="N641">
        <v>0</v>
      </c>
      <c r="O641" t="s">
        <v>222</v>
      </c>
      <c r="P641">
        <v>0</v>
      </c>
      <c r="U641" s="15"/>
    </row>
    <row r="642" spans="1:21" x14ac:dyDescent="0.35">
      <c r="A642" t="s">
        <v>14</v>
      </c>
      <c r="B642" t="s">
        <v>497</v>
      </c>
      <c r="C642" t="s">
        <v>1255</v>
      </c>
      <c r="D642" t="s">
        <v>1256</v>
      </c>
      <c r="E642" t="s">
        <v>1257</v>
      </c>
      <c r="F642" t="s">
        <v>644</v>
      </c>
      <c r="G642" t="s">
        <v>2118</v>
      </c>
      <c r="H642" s="15">
        <v>46172</v>
      </c>
      <c r="I642" t="s">
        <v>2119</v>
      </c>
      <c r="J642" t="s">
        <v>233</v>
      </c>
      <c r="K642" t="s">
        <v>185</v>
      </c>
      <c r="N642">
        <v>0</v>
      </c>
      <c r="O642" t="s">
        <v>222</v>
      </c>
      <c r="P642">
        <v>0</v>
      </c>
      <c r="U642" s="15"/>
    </row>
    <row r="643" spans="1:21" x14ac:dyDescent="0.35">
      <c r="A643" t="s">
        <v>14</v>
      </c>
      <c r="B643" t="s">
        <v>497</v>
      </c>
      <c r="C643" t="s">
        <v>716</v>
      </c>
      <c r="D643" t="s">
        <v>717</v>
      </c>
      <c r="E643" t="s">
        <v>718</v>
      </c>
      <c r="F643" t="s">
        <v>644</v>
      </c>
      <c r="G643" t="s">
        <v>2118</v>
      </c>
      <c r="H643" s="15">
        <v>46172</v>
      </c>
      <c r="I643" t="s">
        <v>2120</v>
      </c>
      <c r="J643" t="s">
        <v>233</v>
      </c>
      <c r="K643" t="s">
        <v>185</v>
      </c>
      <c r="N643">
        <v>0</v>
      </c>
      <c r="O643" t="s">
        <v>222</v>
      </c>
      <c r="P643">
        <v>0</v>
      </c>
      <c r="U643" s="15"/>
    </row>
    <row r="644" spans="1:21" x14ac:dyDescent="0.35">
      <c r="A644" t="s">
        <v>14</v>
      </c>
      <c r="B644" t="s">
        <v>497</v>
      </c>
      <c r="C644" t="s">
        <v>1329</v>
      </c>
      <c r="D644" t="s">
        <v>1330</v>
      </c>
      <c r="E644" t="s">
        <v>1331</v>
      </c>
      <c r="F644" t="s">
        <v>501</v>
      </c>
      <c r="G644" t="s">
        <v>1454</v>
      </c>
      <c r="H644" s="15">
        <v>46120</v>
      </c>
      <c r="I644" t="s">
        <v>1456</v>
      </c>
      <c r="J644" t="s">
        <v>16</v>
      </c>
      <c r="K644" t="s">
        <v>185</v>
      </c>
      <c r="N644">
        <v>0</v>
      </c>
      <c r="O644" t="s">
        <v>222</v>
      </c>
      <c r="P644">
        <v>0</v>
      </c>
      <c r="U644" s="15"/>
    </row>
    <row r="645" spans="1:21" x14ac:dyDescent="0.35">
      <c r="A645" t="s">
        <v>14</v>
      </c>
      <c r="B645" t="s">
        <v>497</v>
      </c>
      <c r="C645" t="s">
        <v>515</v>
      </c>
      <c r="D645" t="s">
        <v>516</v>
      </c>
      <c r="E645" t="s">
        <v>517</v>
      </c>
      <c r="F645" t="s">
        <v>501</v>
      </c>
      <c r="G645" t="s">
        <v>1457</v>
      </c>
      <c r="H645" s="15">
        <v>46120</v>
      </c>
      <c r="I645" t="s">
        <v>1458</v>
      </c>
      <c r="J645" t="s">
        <v>233</v>
      </c>
      <c r="K645" t="s">
        <v>185</v>
      </c>
      <c r="N645">
        <v>0</v>
      </c>
      <c r="O645" t="s">
        <v>222</v>
      </c>
      <c r="P645">
        <v>0</v>
      </c>
      <c r="U645" s="15"/>
    </row>
    <row r="646" spans="1:21" x14ac:dyDescent="0.35">
      <c r="A646" t="s">
        <v>14</v>
      </c>
      <c r="B646" t="s">
        <v>497</v>
      </c>
      <c r="C646" t="s">
        <v>561</v>
      </c>
      <c r="D646" t="s">
        <v>562</v>
      </c>
      <c r="E646" t="s">
        <v>562</v>
      </c>
      <c r="F646" t="s">
        <v>501</v>
      </c>
      <c r="G646" t="s">
        <v>1459</v>
      </c>
      <c r="H646" s="15">
        <v>46121</v>
      </c>
      <c r="I646" t="s">
        <v>1460</v>
      </c>
      <c r="J646" t="s">
        <v>16</v>
      </c>
      <c r="K646" t="s">
        <v>185</v>
      </c>
      <c r="N646">
        <v>0</v>
      </c>
      <c r="O646" t="s">
        <v>222</v>
      </c>
      <c r="P646">
        <v>0</v>
      </c>
      <c r="U646" s="15"/>
    </row>
    <row r="647" spans="1:21" x14ac:dyDescent="0.35">
      <c r="A647" t="s">
        <v>14</v>
      </c>
      <c r="B647" t="s">
        <v>497</v>
      </c>
      <c r="C647" t="s">
        <v>662</v>
      </c>
      <c r="D647" t="s">
        <v>663</v>
      </c>
      <c r="E647" t="s">
        <v>664</v>
      </c>
      <c r="F647" t="s">
        <v>644</v>
      </c>
      <c r="G647" t="s">
        <v>2121</v>
      </c>
      <c r="H647" s="15">
        <v>46174</v>
      </c>
      <c r="I647" t="s">
        <v>2122</v>
      </c>
      <c r="J647" t="s">
        <v>16</v>
      </c>
      <c r="K647" t="s">
        <v>185</v>
      </c>
      <c r="N647">
        <v>0</v>
      </c>
      <c r="O647" t="s">
        <v>222</v>
      </c>
      <c r="P647">
        <v>0</v>
      </c>
      <c r="U647" s="15"/>
    </row>
    <row r="648" spans="1:21" x14ac:dyDescent="0.35">
      <c r="A648" t="s">
        <v>14</v>
      </c>
      <c r="B648" t="s">
        <v>497</v>
      </c>
      <c r="C648" t="s">
        <v>682</v>
      </c>
      <c r="D648" t="s">
        <v>683</v>
      </c>
      <c r="E648" t="s">
        <v>683</v>
      </c>
      <c r="F648" t="s">
        <v>644</v>
      </c>
      <c r="G648" t="s">
        <v>2123</v>
      </c>
      <c r="H648" s="15">
        <v>46174</v>
      </c>
      <c r="I648" t="s">
        <v>2124</v>
      </c>
      <c r="J648" t="s">
        <v>233</v>
      </c>
      <c r="K648" t="s">
        <v>185</v>
      </c>
      <c r="N648">
        <v>0</v>
      </c>
      <c r="O648" t="s">
        <v>222</v>
      </c>
      <c r="P648">
        <v>0</v>
      </c>
      <c r="U648" s="15"/>
    </row>
    <row r="649" spans="1:21" x14ac:dyDescent="0.35">
      <c r="A649" t="s">
        <v>14</v>
      </c>
      <c r="B649" t="s">
        <v>497</v>
      </c>
      <c r="C649" t="s">
        <v>536</v>
      </c>
      <c r="D649" t="s">
        <v>537</v>
      </c>
      <c r="E649" t="s">
        <v>538</v>
      </c>
      <c r="F649" t="s">
        <v>501</v>
      </c>
      <c r="G649" t="s">
        <v>1459</v>
      </c>
      <c r="H649" s="15">
        <v>46121</v>
      </c>
      <c r="I649" t="s">
        <v>1461</v>
      </c>
      <c r="J649" t="s">
        <v>16</v>
      </c>
      <c r="K649" t="s">
        <v>185</v>
      </c>
      <c r="N649">
        <v>0</v>
      </c>
      <c r="O649" t="s">
        <v>222</v>
      </c>
      <c r="P649">
        <v>0</v>
      </c>
      <c r="U649" s="15"/>
    </row>
    <row r="650" spans="1:21" x14ac:dyDescent="0.35">
      <c r="A650" t="s">
        <v>14</v>
      </c>
      <c r="B650" t="s">
        <v>497</v>
      </c>
      <c r="C650" t="s">
        <v>662</v>
      </c>
      <c r="D650" t="s">
        <v>663</v>
      </c>
      <c r="E650" t="s">
        <v>664</v>
      </c>
      <c r="F650" t="s">
        <v>644</v>
      </c>
      <c r="G650" t="s">
        <v>2125</v>
      </c>
      <c r="H650" s="15">
        <v>46175</v>
      </c>
      <c r="I650" t="s">
        <v>2126</v>
      </c>
      <c r="J650" t="s">
        <v>16</v>
      </c>
      <c r="K650" t="s">
        <v>185</v>
      </c>
      <c r="N650">
        <v>0</v>
      </c>
      <c r="O650" t="s">
        <v>222</v>
      </c>
      <c r="P650">
        <v>0</v>
      </c>
      <c r="U650" s="15"/>
    </row>
    <row r="651" spans="1:21" x14ac:dyDescent="0.35">
      <c r="A651" t="s">
        <v>14</v>
      </c>
      <c r="B651" t="s">
        <v>497</v>
      </c>
      <c r="C651" t="s">
        <v>2127</v>
      </c>
      <c r="D651" t="s">
        <v>2128</v>
      </c>
      <c r="E651" t="s">
        <v>2128</v>
      </c>
      <c r="F651" t="s">
        <v>644</v>
      </c>
      <c r="G651" t="s">
        <v>2125</v>
      </c>
      <c r="H651" s="15">
        <v>46175</v>
      </c>
      <c r="I651" t="s">
        <v>2129</v>
      </c>
      <c r="J651" t="s">
        <v>16</v>
      </c>
      <c r="K651" t="s">
        <v>185</v>
      </c>
      <c r="N651">
        <v>0</v>
      </c>
      <c r="O651" t="s">
        <v>222</v>
      </c>
      <c r="P651">
        <v>0</v>
      </c>
      <c r="U651" s="15"/>
    </row>
    <row r="652" spans="1:21" x14ac:dyDescent="0.35">
      <c r="A652" t="s">
        <v>14</v>
      </c>
      <c r="B652" t="s">
        <v>497</v>
      </c>
      <c r="C652" t="s">
        <v>531</v>
      </c>
      <c r="D652" t="s">
        <v>532</v>
      </c>
      <c r="E652" t="s">
        <v>533</v>
      </c>
      <c r="F652" t="s">
        <v>501</v>
      </c>
      <c r="G652" t="s">
        <v>1462</v>
      </c>
      <c r="H652" s="15">
        <v>46121</v>
      </c>
      <c r="I652" t="s">
        <v>1463</v>
      </c>
      <c r="J652" t="s">
        <v>233</v>
      </c>
      <c r="K652" t="s">
        <v>185</v>
      </c>
      <c r="N652">
        <v>0</v>
      </c>
      <c r="O652" t="s">
        <v>222</v>
      </c>
      <c r="P652">
        <v>0</v>
      </c>
      <c r="U652" s="15"/>
    </row>
    <row r="653" spans="1:21" x14ac:dyDescent="0.35">
      <c r="A653" t="s">
        <v>14</v>
      </c>
      <c r="B653" t="s">
        <v>497</v>
      </c>
      <c r="C653" t="s">
        <v>880</v>
      </c>
      <c r="D653" t="s">
        <v>881</v>
      </c>
      <c r="E653" t="s">
        <v>882</v>
      </c>
      <c r="F653" t="s">
        <v>501</v>
      </c>
      <c r="G653" t="s">
        <v>1462</v>
      </c>
      <c r="H653" s="15">
        <v>46121</v>
      </c>
      <c r="I653" t="s">
        <v>1464</v>
      </c>
      <c r="J653" t="s">
        <v>233</v>
      </c>
      <c r="K653" t="s">
        <v>185</v>
      </c>
      <c r="N653">
        <v>0</v>
      </c>
      <c r="O653" t="s">
        <v>222</v>
      </c>
      <c r="P653">
        <v>0</v>
      </c>
      <c r="U653" s="15"/>
    </row>
    <row r="654" spans="1:21" x14ac:dyDescent="0.35">
      <c r="A654" t="s">
        <v>14</v>
      </c>
      <c r="B654" t="s">
        <v>497</v>
      </c>
      <c r="C654" t="s">
        <v>615</v>
      </c>
      <c r="D654" t="s">
        <v>616</v>
      </c>
      <c r="E654" t="s">
        <v>617</v>
      </c>
      <c r="F654" t="s">
        <v>501</v>
      </c>
      <c r="G654" t="s">
        <v>1465</v>
      </c>
      <c r="H654" s="15">
        <v>46122</v>
      </c>
      <c r="I654" t="s">
        <v>1466</v>
      </c>
      <c r="J654" t="s">
        <v>16</v>
      </c>
      <c r="K654" t="s">
        <v>185</v>
      </c>
      <c r="N654">
        <v>0</v>
      </c>
      <c r="O654" t="s">
        <v>222</v>
      </c>
      <c r="P654">
        <v>0</v>
      </c>
      <c r="U654" s="15"/>
    </row>
    <row r="655" spans="1:21" x14ac:dyDescent="0.35">
      <c r="A655" t="s">
        <v>14</v>
      </c>
      <c r="B655" t="s">
        <v>497</v>
      </c>
      <c r="C655" t="s">
        <v>1255</v>
      </c>
      <c r="D655" t="s">
        <v>1256</v>
      </c>
      <c r="E655" t="s">
        <v>1257</v>
      </c>
      <c r="F655" t="s">
        <v>644</v>
      </c>
      <c r="G655" t="s">
        <v>2125</v>
      </c>
      <c r="H655" s="15">
        <v>46175</v>
      </c>
      <c r="I655" t="s">
        <v>2130</v>
      </c>
      <c r="J655" t="s">
        <v>16</v>
      </c>
      <c r="K655" t="s">
        <v>185</v>
      </c>
      <c r="N655">
        <v>0</v>
      </c>
      <c r="O655" t="s">
        <v>222</v>
      </c>
      <c r="P655">
        <v>0</v>
      </c>
      <c r="U655" s="15"/>
    </row>
    <row r="656" spans="1:21" x14ac:dyDescent="0.35">
      <c r="A656" t="s">
        <v>14</v>
      </c>
      <c r="B656" t="s">
        <v>497</v>
      </c>
      <c r="C656" t="s">
        <v>651</v>
      </c>
      <c r="D656" t="s">
        <v>652</v>
      </c>
      <c r="E656" t="s">
        <v>653</v>
      </c>
      <c r="F656" t="s">
        <v>644</v>
      </c>
      <c r="G656" t="s">
        <v>2131</v>
      </c>
      <c r="H656" s="15">
        <v>46175</v>
      </c>
      <c r="I656" t="s">
        <v>2132</v>
      </c>
      <c r="J656" t="s">
        <v>233</v>
      </c>
      <c r="K656" t="s">
        <v>185</v>
      </c>
      <c r="N656">
        <v>0</v>
      </c>
      <c r="O656" t="s">
        <v>222</v>
      </c>
      <c r="P656">
        <v>0</v>
      </c>
      <c r="U656" s="15"/>
    </row>
    <row r="657" spans="1:21" x14ac:dyDescent="0.35">
      <c r="A657" t="s">
        <v>14</v>
      </c>
      <c r="B657" t="s">
        <v>497</v>
      </c>
      <c r="C657" t="s">
        <v>899</v>
      </c>
      <c r="D657" t="s">
        <v>900</v>
      </c>
      <c r="E657" t="s">
        <v>901</v>
      </c>
      <c r="F657" t="s">
        <v>501</v>
      </c>
      <c r="G657" t="s">
        <v>1465</v>
      </c>
      <c r="H657" s="15">
        <v>46122</v>
      </c>
      <c r="I657" t="s">
        <v>1467</v>
      </c>
      <c r="J657" t="s">
        <v>16</v>
      </c>
      <c r="K657" t="s">
        <v>185</v>
      </c>
      <c r="N657">
        <v>0</v>
      </c>
      <c r="O657" t="s">
        <v>222</v>
      </c>
      <c r="P657">
        <v>0</v>
      </c>
      <c r="U657" s="15"/>
    </row>
    <row r="658" spans="1:21" x14ac:dyDescent="0.35">
      <c r="A658" t="s">
        <v>14</v>
      </c>
      <c r="B658" t="s">
        <v>497</v>
      </c>
      <c r="C658" t="s">
        <v>515</v>
      </c>
      <c r="D658" t="s">
        <v>516</v>
      </c>
      <c r="E658" t="s">
        <v>517</v>
      </c>
      <c r="F658" t="s">
        <v>501</v>
      </c>
      <c r="G658" t="s">
        <v>1468</v>
      </c>
      <c r="H658" s="15">
        <v>46122</v>
      </c>
      <c r="I658" t="s">
        <v>1469</v>
      </c>
      <c r="J658" t="s">
        <v>233</v>
      </c>
      <c r="K658" t="s">
        <v>185</v>
      </c>
      <c r="N658">
        <v>0</v>
      </c>
      <c r="O658" t="s">
        <v>222</v>
      </c>
      <c r="P658">
        <v>0</v>
      </c>
      <c r="U658" s="15"/>
    </row>
    <row r="659" spans="1:21" x14ac:dyDescent="0.35">
      <c r="A659" t="s">
        <v>14</v>
      </c>
      <c r="B659" t="s">
        <v>497</v>
      </c>
      <c r="C659" t="s">
        <v>737</v>
      </c>
      <c r="D659" t="s">
        <v>738</v>
      </c>
      <c r="E659" t="s">
        <v>739</v>
      </c>
      <c r="F659" t="s">
        <v>644</v>
      </c>
      <c r="G659" t="s">
        <v>2133</v>
      </c>
      <c r="H659" s="15">
        <v>46176</v>
      </c>
      <c r="I659" t="s">
        <v>2134</v>
      </c>
      <c r="J659" t="s">
        <v>16</v>
      </c>
      <c r="K659" t="s">
        <v>185</v>
      </c>
      <c r="N659">
        <v>0</v>
      </c>
      <c r="O659" t="s">
        <v>222</v>
      </c>
      <c r="P659">
        <v>0</v>
      </c>
      <c r="U659" s="15"/>
    </row>
    <row r="660" spans="1:21" x14ac:dyDescent="0.35">
      <c r="A660" t="s">
        <v>14</v>
      </c>
      <c r="B660" t="s">
        <v>497</v>
      </c>
      <c r="C660" t="s">
        <v>641</v>
      </c>
      <c r="D660" t="s">
        <v>642</v>
      </c>
      <c r="E660" t="s">
        <v>643</v>
      </c>
      <c r="F660" t="s">
        <v>644</v>
      </c>
      <c r="G660" t="s">
        <v>2135</v>
      </c>
      <c r="H660" s="15">
        <v>46176</v>
      </c>
      <c r="I660" t="s">
        <v>2136</v>
      </c>
      <c r="J660" t="s">
        <v>233</v>
      </c>
      <c r="K660" t="s">
        <v>185</v>
      </c>
      <c r="N660">
        <v>0</v>
      </c>
      <c r="O660" t="s">
        <v>222</v>
      </c>
      <c r="P660">
        <v>0</v>
      </c>
      <c r="U660" s="15"/>
    </row>
    <row r="661" spans="1:21" x14ac:dyDescent="0.35">
      <c r="A661" t="s">
        <v>14</v>
      </c>
      <c r="B661" t="s">
        <v>497</v>
      </c>
      <c r="C661" t="s">
        <v>498</v>
      </c>
      <c r="D661" t="s">
        <v>499</v>
      </c>
      <c r="E661" t="s">
        <v>500</v>
      </c>
      <c r="F661" t="s">
        <v>501</v>
      </c>
      <c r="G661" t="s">
        <v>1470</v>
      </c>
      <c r="H661" s="15">
        <v>46123</v>
      </c>
      <c r="I661" t="s">
        <v>1471</v>
      </c>
      <c r="J661" t="s">
        <v>16</v>
      </c>
      <c r="K661" t="s">
        <v>185</v>
      </c>
      <c r="N661">
        <v>0</v>
      </c>
      <c r="O661" t="s">
        <v>222</v>
      </c>
      <c r="P661">
        <v>0</v>
      </c>
      <c r="U661" s="15"/>
    </row>
    <row r="662" spans="1:21" x14ac:dyDescent="0.35">
      <c r="A662" t="s">
        <v>14</v>
      </c>
      <c r="B662" t="s">
        <v>497</v>
      </c>
      <c r="C662" t="s">
        <v>504</v>
      </c>
      <c r="D662" t="s">
        <v>505</v>
      </c>
      <c r="E662" t="s">
        <v>506</v>
      </c>
      <c r="F662" t="s">
        <v>501</v>
      </c>
      <c r="G662" t="s">
        <v>1470</v>
      </c>
      <c r="H662" s="15">
        <v>46123</v>
      </c>
      <c r="I662" t="s">
        <v>1472</v>
      </c>
      <c r="J662" t="s">
        <v>16</v>
      </c>
      <c r="K662" t="s">
        <v>185</v>
      </c>
      <c r="N662">
        <v>0</v>
      </c>
      <c r="O662" t="s">
        <v>222</v>
      </c>
      <c r="P662">
        <v>0</v>
      </c>
      <c r="U662" s="15"/>
    </row>
    <row r="663" spans="1:21" x14ac:dyDescent="0.35">
      <c r="A663" t="s">
        <v>14</v>
      </c>
      <c r="B663" t="s">
        <v>497</v>
      </c>
      <c r="C663" t="s">
        <v>498</v>
      </c>
      <c r="D663" t="s">
        <v>499</v>
      </c>
      <c r="E663" t="s">
        <v>500</v>
      </c>
      <c r="F663" t="s">
        <v>501</v>
      </c>
      <c r="G663" t="s">
        <v>1473</v>
      </c>
      <c r="H663" s="15">
        <v>46123</v>
      </c>
      <c r="I663" t="s">
        <v>1474</v>
      </c>
      <c r="J663" t="s">
        <v>233</v>
      </c>
      <c r="K663" t="s">
        <v>185</v>
      </c>
      <c r="N663">
        <v>0</v>
      </c>
      <c r="O663" t="s">
        <v>222</v>
      </c>
      <c r="P663">
        <v>0</v>
      </c>
      <c r="U663" s="15"/>
    </row>
    <row r="664" spans="1:21" x14ac:dyDescent="0.35">
      <c r="A664" t="s">
        <v>14</v>
      </c>
      <c r="B664" t="s">
        <v>497</v>
      </c>
      <c r="C664" t="s">
        <v>651</v>
      </c>
      <c r="D664" t="s">
        <v>652</v>
      </c>
      <c r="E664" t="s">
        <v>653</v>
      </c>
      <c r="F664" t="s">
        <v>644</v>
      </c>
      <c r="G664" t="s">
        <v>2137</v>
      </c>
      <c r="H664" s="15">
        <v>46177</v>
      </c>
      <c r="I664" t="s">
        <v>2138</v>
      </c>
      <c r="J664" t="s">
        <v>16</v>
      </c>
      <c r="K664" t="s">
        <v>185</v>
      </c>
      <c r="N664">
        <v>0</v>
      </c>
      <c r="O664" t="s">
        <v>222</v>
      </c>
      <c r="P664">
        <v>0</v>
      </c>
      <c r="U664" s="15"/>
    </row>
    <row r="665" spans="1:21" x14ac:dyDescent="0.35">
      <c r="A665" t="s">
        <v>14</v>
      </c>
      <c r="B665" t="s">
        <v>497</v>
      </c>
      <c r="C665" t="s">
        <v>515</v>
      </c>
      <c r="D665" t="s">
        <v>516</v>
      </c>
      <c r="E665" t="s">
        <v>517</v>
      </c>
      <c r="F665" t="s">
        <v>501</v>
      </c>
      <c r="G665" t="s">
        <v>1475</v>
      </c>
      <c r="H665" s="15">
        <v>46128</v>
      </c>
      <c r="I665" t="s">
        <v>1476</v>
      </c>
      <c r="J665" t="s">
        <v>16</v>
      </c>
      <c r="K665" t="s">
        <v>185</v>
      </c>
      <c r="N665">
        <v>0</v>
      </c>
      <c r="O665" t="s">
        <v>222</v>
      </c>
      <c r="P665">
        <v>0</v>
      </c>
      <c r="U665" s="15"/>
    </row>
    <row r="666" spans="1:21" x14ac:dyDescent="0.35">
      <c r="A666" t="s">
        <v>14</v>
      </c>
      <c r="B666" t="s">
        <v>497</v>
      </c>
      <c r="C666" t="s">
        <v>536</v>
      </c>
      <c r="D666" t="s">
        <v>537</v>
      </c>
      <c r="E666" t="s">
        <v>538</v>
      </c>
      <c r="F666" t="s">
        <v>501</v>
      </c>
      <c r="G666" t="s">
        <v>1475</v>
      </c>
      <c r="H666" s="15">
        <v>46128</v>
      </c>
      <c r="I666" t="s">
        <v>1477</v>
      </c>
      <c r="J666" t="s">
        <v>16</v>
      </c>
      <c r="K666" t="s">
        <v>185</v>
      </c>
      <c r="N666">
        <v>0</v>
      </c>
      <c r="O666" t="s">
        <v>222</v>
      </c>
      <c r="P666">
        <v>0</v>
      </c>
      <c r="U666" s="15"/>
    </row>
    <row r="667" spans="1:21" x14ac:dyDescent="0.35">
      <c r="A667" t="s">
        <v>14</v>
      </c>
      <c r="B667" t="s">
        <v>497</v>
      </c>
      <c r="C667" t="s">
        <v>531</v>
      </c>
      <c r="D667" t="s">
        <v>532</v>
      </c>
      <c r="E667" t="s">
        <v>533</v>
      </c>
      <c r="F667" t="s">
        <v>501</v>
      </c>
      <c r="G667" t="s">
        <v>1478</v>
      </c>
      <c r="H667" s="15">
        <v>46128</v>
      </c>
      <c r="I667" t="s">
        <v>1479</v>
      </c>
      <c r="J667" t="s">
        <v>233</v>
      </c>
      <c r="K667" t="s">
        <v>185</v>
      </c>
      <c r="N667">
        <v>0</v>
      </c>
      <c r="O667" t="s">
        <v>222</v>
      </c>
      <c r="P667">
        <v>0</v>
      </c>
      <c r="U667" s="15"/>
    </row>
    <row r="668" spans="1:21" x14ac:dyDescent="0.35">
      <c r="A668" t="s">
        <v>14</v>
      </c>
      <c r="B668" t="s">
        <v>497</v>
      </c>
      <c r="C668" t="s">
        <v>2089</v>
      </c>
      <c r="D668" t="s">
        <v>2090</v>
      </c>
      <c r="E668" t="s">
        <v>2091</v>
      </c>
      <c r="F668" t="s">
        <v>644</v>
      </c>
      <c r="G668" t="s">
        <v>2137</v>
      </c>
      <c r="H668" s="15">
        <v>46177</v>
      </c>
      <c r="I668" t="s">
        <v>2139</v>
      </c>
      <c r="J668" t="s">
        <v>16</v>
      </c>
      <c r="K668" t="s">
        <v>185</v>
      </c>
      <c r="N668">
        <v>0</v>
      </c>
      <c r="O668" t="s">
        <v>222</v>
      </c>
      <c r="P668">
        <v>0</v>
      </c>
      <c r="U668" s="15"/>
    </row>
    <row r="669" spans="1:21" x14ac:dyDescent="0.35">
      <c r="A669" t="s">
        <v>14</v>
      </c>
      <c r="B669" t="s">
        <v>497</v>
      </c>
      <c r="C669" t="s">
        <v>658</v>
      </c>
      <c r="D669" t="s">
        <v>659</v>
      </c>
      <c r="E669" t="s">
        <v>660</v>
      </c>
      <c r="F669" t="s">
        <v>644</v>
      </c>
      <c r="G669" t="s">
        <v>2137</v>
      </c>
      <c r="H669" s="15">
        <v>46177</v>
      </c>
      <c r="I669" t="s">
        <v>2140</v>
      </c>
      <c r="J669" t="s">
        <v>16</v>
      </c>
      <c r="K669" t="s">
        <v>185</v>
      </c>
      <c r="N669">
        <v>0</v>
      </c>
      <c r="O669" t="s">
        <v>222</v>
      </c>
      <c r="P669">
        <v>0</v>
      </c>
      <c r="U669" s="15"/>
    </row>
    <row r="670" spans="1:21" x14ac:dyDescent="0.35">
      <c r="A670" t="s">
        <v>14</v>
      </c>
      <c r="B670" t="s">
        <v>497</v>
      </c>
      <c r="C670" t="s">
        <v>651</v>
      </c>
      <c r="D670" t="s">
        <v>652</v>
      </c>
      <c r="E670" t="s">
        <v>653</v>
      </c>
      <c r="F670" t="s">
        <v>644</v>
      </c>
      <c r="G670" t="s">
        <v>2141</v>
      </c>
      <c r="H670" s="15">
        <v>46177</v>
      </c>
      <c r="I670" t="s">
        <v>2142</v>
      </c>
      <c r="J670" t="s">
        <v>233</v>
      </c>
      <c r="K670" t="s">
        <v>185</v>
      </c>
      <c r="N670">
        <v>0</v>
      </c>
      <c r="O670" t="s">
        <v>222</v>
      </c>
      <c r="P670">
        <v>0</v>
      </c>
      <c r="U670" s="15"/>
    </row>
    <row r="671" spans="1:21" x14ac:dyDescent="0.35">
      <c r="A671" t="s">
        <v>14</v>
      </c>
      <c r="B671" t="s">
        <v>497</v>
      </c>
      <c r="C671" t="s">
        <v>777</v>
      </c>
      <c r="D671" t="s">
        <v>778</v>
      </c>
      <c r="E671" t="s">
        <v>779</v>
      </c>
      <c r="F671" t="s">
        <v>644</v>
      </c>
      <c r="G671" t="s">
        <v>2143</v>
      </c>
      <c r="H671" s="15">
        <v>46178</v>
      </c>
      <c r="I671" t="s">
        <v>2144</v>
      </c>
      <c r="J671" t="s">
        <v>16</v>
      </c>
      <c r="K671" t="s">
        <v>185</v>
      </c>
      <c r="N671">
        <v>0</v>
      </c>
      <c r="O671" t="s">
        <v>222</v>
      </c>
      <c r="P671">
        <v>0</v>
      </c>
      <c r="U671" s="15"/>
    </row>
    <row r="672" spans="1:21" x14ac:dyDescent="0.35">
      <c r="A672" t="s">
        <v>14</v>
      </c>
      <c r="B672" t="s">
        <v>497</v>
      </c>
      <c r="C672" t="s">
        <v>515</v>
      </c>
      <c r="D672" t="s">
        <v>516</v>
      </c>
      <c r="E672" t="s">
        <v>517</v>
      </c>
      <c r="F672" t="s">
        <v>501</v>
      </c>
      <c r="G672" t="s">
        <v>1480</v>
      </c>
      <c r="H672" s="15">
        <v>46129</v>
      </c>
      <c r="I672" t="s">
        <v>1481</v>
      </c>
      <c r="J672" t="s">
        <v>16</v>
      </c>
      <c r="K672" t="s">
        <v>185</v>
      </c>
      <c r="N672">
        <v>0</v>
      </c>
      <c r="O672" t="s">
        <v>222</v>
      </c>
      <c r="P672">
        <v>0</v>
      </c>
      <c r="U672" s="15"/>
    </row>
    <row r="673" spans="1:21" x14ac:dyDescent="0.35">
      <c r="A673" t="s">
        <v>14</v>
      </c>
      <c r="B673" t="s">
        <v>497</v>
      </c>
      <c r="C673" t="s">
        <v>2041</v>
      </c>
      <c r="D673" t="s">
        <v>2042</v>
      </c>
      <c r="E673" t="s">
        <v>2043</v>
      </c>
      <c r="F673" t="s">
        <v>644</v>
      </c>
      <c r="G673" t="s">
        <v>2143</v>
      </c>
      <c r="H673" s="15">
        <v>46178</v>
      </c>
      <c r="I673" t="s">
        <v>2145</v>
      </c>
      <c r="J673" t="s">
        <v>16</v>
      </c>
      <c r="K673" t="s">
        <v>185</v>
      </c>
      <c r="N673">
        <v>0</v>
      </c>
      <c r="O673" t="s">
        <v>222</v>
      </c>
      <c r="P673">
        <v>0</v>
      </c>
      <c r="U673" s="15"/>
    </row>
    <row r="674" spans="1:21" x14ac:dyDescent="0.35">
      <c r="A674" t="s">
        <v>14</v>
      </c>
      <c r="B674" t="s">
        <v>497</v>
      </c>
      <c r="C674" t="s">
        <v>557</v>
      </c>
      <c r="D674" t="s">
        <v>558</v>
      </c>
      <c r="E674" t="s">
        <v>559</v>
      </c>
      <c r="F674" t="s">
        <v>501</v>
      </c>
      <c r="G674" t="s">
        <v>1480</v>
      </c>
      <c r="H674" s="15">
        <v>46129</v>
      </c>
      <c r="I674" t="s">
        <v>1482</v>
      </c>
      <c r="J674" t="s">
        <v>16</v>
      </c>
      <c r="K674" t="s">
        <v>185</v>
      </c>
      <c r="N674">
        <v>0</v>
      </c>
      <c r="O674" t="s">
        <v>222</v>
      </c>
      <c r="P674">
        <v>0</v>
      </c>
      <c r="U674" s="15"/>
    </row>
    <row r="675" spans="1:21" x14ac:dyDescent="0.35">
      <c r="A675" t="s">
        <v>14</v>
      </c>
      <c r="B675" t="s">
        <v>497</v>
      </c>
      <c r="C675" t="s">
        <v>2146</v>
      </c>
      <c r="D675" t="s">
        <v>2147</v>
      </c>
      <c r="E675" t="s">
        <v>2148</v>
      </c>
      <c r="F675" t="s">
        <v>644</v>
      </c>
      <c r="G675" t="s">
        <v>2149</v>
      </c>
      <c r="H675" s="15">
        <v>46178</v>
      </c>
      <c r="I675" t="s">
        <v>2150</v>
      </c>
      <c r="J675" t="s">
        <v>233</v>
      </c>
      <c r="K675" t="s">
        <v>185</v>
      </c>
      <c r="N675">
        <v>0</v>
      </c>
      <c r="O675" t="s">
        <v>222</v>
      </c>
      <c r="P675">
        <v>0</v>
      </c>
      <c r="U675" s="15"/>
    </row>
    <row r="676" spans="1:21" x14ac:dyDescent="0.35">
      <c r="A676" t="s">
        <v>14</v>
      </c>
      <c r="B676" t="s">
        <v>497</v>
      </c>
      <c r="C676" t="s">
        <v>1255</v>
      </c>
      <c r="D676" t="s">
        <v>1256</v>
      </c>
      <c r="E676" t="s">
        <v>1257</v>
      </c>
      <c r="F676" t="s">
        <v>644</v>
      </c>
      <c r="G676" t="s">
        <v>2149</v>
      </c>
      <c r="H676" s="15">
        <v>46178</v>
      </c>
      <c r="I676" t="s">
        <v>2151</v>
      </c>
      <c r="J676" t="s">
        <v>233</v>
      </c>
      <c r="K676" t="s">
        <v>185</v>
      </c>
      <c r="N676">
        <v>0</v>
      </c>
      <c r="O676" t="s">
        <v>222</v>
      </c>
      <c r="P676">
        <v>0</v>
      </c>
      <c r="U676" s="15"/>
    </row>
    <row r="677" spans="1:21" x14ac:dyDescent="0.35">
      <c r="A677" t="s">
        <v>14</v>
      </c>
      <c r="B677" t="s">
        <v>497</v>
      </c>
      <c r="C677" t="s">
        <v>977</v>
      </c>
      <c r="D677" t="s">
        <v>978</v>
      </c>
      <c r="E677" t="s">
        <v>979</v>
      </c>
      <c r="F677" t="s">
        <v>501</v>
      </c>
      <c r="G677" t="s">
        <v>1483</v>
      </c>
      <c r="H677" s="15">
        <v>46129</v>
      </c>
      <c r="I677" t="s">
        <v>1484</v>
      </c>
      <c r="J677" t="s">
        <v>233</v>
      </c>
      <c r="K677" t="s">
        <v>185</v>
      </c>
      <c r="N677">
        <v>0</v>
      </c>
      <c r="O677" t="s">
        <v>222</v>
      </c>
      <c r="P677">
        <v>0</v>
      </c>
      <c r="U677" s="15"/>
    </row>
    <row r="678" spans="1:21" x14ac:dyDescent="0.35">
      <c r="A678" t="s">
        <v>14</v>
      </c>
      <c r="B678" t="s">
        <v>497</v>
      </c>
      <c r="C678" t="s">
        <v>940</v>
      </c>
      <c r="D678" t="s">
        <v>941</v>
      </c>
      <c r="E678" t="s">
        <v>942</v>
      </c>
      <c r="F678" t="s">
        <v>501</v>
      </c>
      <c r="G678" t="s">
        <v>1483</v>
      </c>
      <c r="H678" s="15">
        <v>46129</v>
      </c>
      <c r="I678" t="s">
        <v>1485</v>
      </c>
      <c r="J678" t="s">
        <v>233</v>
      </c>
      <c r="K678" t="s">
        <v>185</v>
      </c>
      <c r="N678">
        <v>0</v>
      </c>
      <c r="O678" t="s">
        <v>222</v>
      </c>
      <c r="P678">
        <v>0</v>
      </c>
      <c r="U678" s="15"/>
    </row>
    <row r="679" spans="1:21" x14ac:dyDescent="0.35">
      <c r="A679" t="s">
        <v>14</v>
      </c>
      <c r="B679" t="s">
        <v>497</v>
      </c>
      <c r="C679" t="s">
        <v>2146</v>
      </c>
      <c r="D679" t="s">
        <v>2147</v>
      </c>
      <c r="E679" t="s">
        <v>2148</v>
      </c>
      <c r="F679" t="s">
        <v>644</v>
      </c>
      <c r="G679" t="s">
        <v>2152</v>
      </c>
      <c r="H679" s="15">
        <v>46179</v>
      </c>
      <c r="I679" t="s">
        <v>2153</v>
      </c>
      <c r="J679" t="s">
        <v>16</v>
      </c>
      <c r="K679" t="s">
        <v>185</v>
      </c>
      <c r="N679">
        <v>0</v>
      </c>
      <c r="O679" t="s">
        <v>222</v>
      </c>
      <c r="P679">
        <v>0</v>
      </c>
      <c r="U679" s="15"/>
    </row>
    <row r="680" spans="1:21" x14ac:dyDescent="0.35">
      <c r="A680" t="s">
        <v>14</v>
      </c>
      <c r="B680" t="s">
        <v>497</v>
      </c>
      <c r="C680" t="s">
        <v>2154</v>
      </c>
      <c r="D680" t="s">
        <v>2155</v>
      </c>
      <c r="E680" t="s">
        <v>2156</v>
      </c>
      <c r="F680" t="s">
        <v>644</v>
      </c>
      <c r="G680" t="s">
        <v>2157</v>
      </c>
      <c r="H680" s="15">
        <v>46179</v>
      </c>
      <c r="I680" t="s">
        <v>2158</v>
      </c>
      <c r="J680" t="s">
        <v>233</v>
      </c>
      <c r="K680" t="s">
        <v>185</v>
      </c>
      <c r="N680">
        <v>0</v>
      </c>
      <c r="O680" t="s">
        <v>222</v>
      </c>
      <c r="P680">
        <v>0</v>
      </c>
      <c r="U680" s="15"/>
    </row>
    <row r="681" spans="1:21" x14ac:dyDescent="0.35">
      <c r="A681" t="s">
        <v>14</v>
      </c>
      <c r="B681" t="s">
        <v>497</v>
      </c>
      <c r="C681" t="s">
        <v>667</v>
      </c>
      <c r="D681" t="s">
        <v>668</v>
      </c>
      <c r="E681" t="s">
        <v>669</v>
      </c>
      <c r="F681" t="s">
        <v>644</v>
      </c>
      <c r="G681" t="s">
        <v>2157</v>
      </c>
      <c r="H681" s="15">
        <v>46179</v>
      </c>
      <c r="I681" t="s">
        <v>2159</v>
      </c>
      <c r="J681" t="s">
        <v>233</v>
      </c>
      <c r="K681" t="s">
        <v>185</v>
      </c>
      <c r="N681">
        <v>0</v>
      </c>
      <c r="O681" t="s">
        <v>222</v>
      </c>
      <c r="P681">
        <v>0</v>
      </c>
      <c r="U681" s="15"/>
    </row>
    <row r="682" spans="1:21" x14ac:dyDescent="0.35">
      <c r="A682" t="s">
        <v>14</v>
      </c>
      <c r="B682" t="s">
        <v>497</v>
      </c>
      <c r="C682" t="s">
        <v>498</v>
      </c>
      <c r="D682" t="s">
        <v>499</v>
      </c>
      <c r="E682" t="s">
        <v>500</v>
      </c>
      <c r="F682" t="s">
        <v>501</v>
      </c>
      <c r="G682" t="s">
        <v>1486</v>
      </c>
      <c r="H682" s="15">
        <v>46130</v>
      </c>
      <c r="I682" t="s">
        <v>1487</v>
      </c>
      <c r="J682" t="s">
        <v>16</v>
      </c>
      <c r="K682" t="s">
        <v>185</v>
      </c>
      <c r="N682">
        <v>0</v>
      </c>
      <c r="O682" t="s">
        <v>222</v>
      </c>
      <c r="P682">
        <v>0</v>
      </c>
      <c r="U682" s="15"/>
    </row>
    <row r="683" spans="1:21" x14ac:dyDescent="0.35">
      <c r="A683" t="s">
        <v>14</v>
      </c>
      <c r="B683" t="s">
        <v>497</v>
      </c>
      <c r="C683" t="s">
        <v>504</v>
      </c>
      <c r="D683" t="s">
        <v>505</v>
      </c>
      <c r="E683" t="s">
        <v>506</v>
      </c>
      <c r="F683" t="s">
        <v>501</v>
      </c>
      <c r="G683" t="s">
        <v>1486</v>
      </c>
      <c r="H683" s="15">
        <v>46130</v>
      </c>
      <c r="I683" t="s">
        <v>1488</v>
      </c>
      <c r="J683" t="s">
        <v>16</v>
      </c>
      <c r="K683" t="s">
        <v>185</v>
      </c>
      <c r="N683">
        <v>0</v>
      </c>
      <c r="O683" t="s">
        <v>222</v>
      </c>
      <c r="P683">
        <v>0</v>
      </c>
      <c r="U683" s="15"/>
    </row>
    <row r="684" spans="1:21" x14ac:dyDescent="0.35">
      <c r="A684" t="s">
        <v>14</v>
      </c>
      <c r="B684" t="s">
        <v>497</v>
      </c>
      <c r="C684" t="s">
        <v>498</v>
      </c>
      <c r="D684" t="s">
        <v>499</v>
      </c>
      <c r="E684" t="s">
        <v>500</v>
      </c>
      <c r="F684" t="s">
        <v>501</v>
      </c>
      <c r="G684" t="s">
        <v>1489</v>
      </c>
      <c r="H684" s="15">
        <v>46130</v>
      </c>
      <c r="I684" t="s">
        <v>1490</v>
      </c>
      <c r="J684" t="s">
        <v>233</v>
      </c>
      <c r="K684" t="s">
        <v>185</v>
      </c>
      <c r="N684">
        <v>0</v>
      </c>
      <c r="O684" t="s">
        <v>222</v>
      </c>
      <c r="P684">
        <v>0</v>
      </c>
      <c r="U684" s="15"/>
    </row>
    <row r="685" spans="1:21" x14ac:dyDescent="0.35">
      <c r="A685" t="s">
        <v>14</v>
      </c>
      <c r="B685" t="s">
        <v>497</v>
      </c>
      <c r="C685" t="s">
        <v>662</v>
      </c>
      <c r="D685" t="s">
        <v>663</v>
      </c>
      <c r="E685" t="s">
        <v>664</v>
      </c>
      <c r="F685" t="s">
        <v>644</v>
      </c>
      <c r="G685" t="s">
        <v>2160</v>
      </c>
      <c r="H685" s="15">
        <v>46181</v>
      </c>
      <c r="I685" t="s">
        <v>2161</v>
      </c>
      <c r="J685" t="s">
        <v>233</v>
      </c>
      <c r="K685" t="s">
        <v>185</v>
      </c>
      <c r="N685">
        <v>0</v>
      </c>
      <c r="O685" t="s">
        <v>222</v>
      </c>
      <c r="P685">
        <v>0</v>
      </c>
      <c r="U685" s="15"/>
    </row>
    <row r="686" spans="1:21" x14ac:dyDescent="0.35">
      <c r="A686" t="s">
        <v>14</v>
      </c>
      <c r="B686" t="s">
        <v>497</v>
      </c>
      <c r="C686" t="s">
        <v>1255</v>
      </c>
      <c r="D686" t="s">
        <v>1256</v>
      </c>
      <c r="E686" t="s">
        <v>1257</v>
      </c>
      <c r="F686" t="s">
        <v>644</v>
      </c>
      <c r="G686" t="s">
        <v>2160</v>
      </c>
      <c r="H686" s="15">
        <v>46181</v>
      </c>
      <c r="I686" t="s">
        <v>2162</v>
      </c>
      <c r="J686" t="s">
        <v>233</v>
      </c>
      <c r="K686" t="s">
        <v>185</v>
      </c>
      <c r="N686">
        <v>0</v>
      </c>
      <c r="O686" t="s">
        <v>222</v>
      </c>
      <c r="P686">
        <v>0</v>
      </c>
      <c r="U686" s="15"/>
    </row>
    <row r="687" spans="1:21" x14ac:dyDescent="0.35">
      <c r="A687" t="s">
        <v>14</v>
      </c>
      <c r="B687" t="s">
        <v>497</v>
      </c>
      <c r="C687" t="s">
        <v>662</v>
      </c>
      <c r="D687" t="s">
        <v>663</v>
      </c>
      <c r="E687" t="s">
        <v>664</v>
      </c>
      <c r="F687" t="s">
        <v>644</v>
      </c>
      <c r="G687" t="s">
        <v>2163</v>
      </c>
      <c r="H687" s="15">
        <v>46182</v>
      </c>
      <c r="I687" t="s">
        <v>2164</v>
      </c>
      <c r="J687" t="s">
        <v>16</v>
      </c>
      <c r="K687" t="s">
        <v>185</v>
      </c>
      <c r="N687">
        <v>0</v>
      </c>
      <c r="O687" t="s">
        <v>222</v>
      </c>
      <c r="P687">
        <v>0</v>
      </c>
      <c r="U687" s="15"/>
    </row>
    <row r="688" spans="1:21" x14ac:dyDescent="0.35">
      <c r="A688" t="s">
        <v>14</v>
      </c>
      <c r="B688" t="s">
        <v>497</v>
      </c>
      <c r="C688" t="s">
        <v>515</v>
      </c>
      <c r="D688" t="s">
        <v>516</v>
      </c>
      <c r="E688" t="s">
        <v>517</v>
      </c>
      <c r="F688" t="s">
        <v>501</v>
      </c>
      <c r="G688" t="s">
        <v>1491</v>
      </c>
      <c r="H688" s="15">
        <v>46132</v>
      </c>
      <c r="I688" t="s">
        <v>1492</v>
      </c>
      <c r="J688" t="s">
        <v>16</v>
      </c>
      <c r="K688" t="s">
        <v>185</v>
      </c>
      <c r="N688">
        <v>0</v>
      </c>
      <c r="O688" t="s">
        <v>222</v>
      </c>
      <c r="P688">
        <v>0</v>
      </c>
      <c r="U688" s="15"/>
    </row>
    <row r="689" spans="1:21" x14ac:dyDescent="0.35">
      <c r="A689" t="s">
        <v>14</v>
      </c>
      <c r="B689" t="s">
        <v>497</v>
      </c>
      <c r="C689" t="s">
        <v>2165</v>
      </c>
      <c r="D689" t="s">
        <v>2166</v>
      </c>
      <c r="E689" t="s">
        <v>2166</v>
      </c>
      <c r="F689" t="s">
        <v>644</v>
      </c>
      <c r="G689" t="s">
        <v>2163</v>
      </c>
      <c r="H689" s="15">
        <v>46182</v>
      </c>
      <c r="I689" t="s">
        <v>2167</v>
      </c>
      <c r="J689" t="s">
        <v>16</v>
      </c>
      <c r="K689" t="s">
        <v>185</v>
      </c>
      <c r="N689">
        <v>0</v>
      </c>
      <c r="O689" t="s">
        <v>222</v>
      </c>
      <c r="P689">
        <v>0</v>
      </c>
      <c r="U689" s="15"/>
    </row>
    <row r="690" spans="1:21" x14ac:dyDescent="0.35">
      <c r="A690" t="s">
        <v>14</v>
      </c>
      <c r="B690" t="s">
        <v>497</v>
      </c>
      <c r="C690" t="s">
        <v>557</v>
      </c>
      <c r="D690" t="s">
        <v>558</v>
      </c>
      <c r="E690" t="s">
        <v>559</v>
      </c>
      <c r="F690" t="s">
        <v>501</v>
      </c>
      <c r="G690" t="s">
        <v>1491</v>
      </c>
      <c r="H690" s="15">
        <v>46132</v>
      </c>
      <c r="I690" t="s">
        <v>1493</v>
      </c>
      <c r="J690" t="s">
        <v>16</v>
      </c>
      <c r="K690" t="s">
        <v>185</v>
      </c>
      <c r="N690">
        <v>0</v>
      </c>
      <c r="O690" t="s">
        <v>222</v>
      </c>
      <c r="P690">
        <v>0</v>
      </c>
      <c r="U690" s="15"/>
    </row>
    <row r="691" spans="1:21" x14ac:dyDescent="0.35">
      <c r="A691" t="s">
        <v>14</v>
      </c>
      <c r="B691" t="s">
        <v>497</v>
      </c>
      <c r="C691" t="s">
        <v>515</v>
      </c>
      <c r="D691" t="s">
        <v>516</v>
      </c>
      <c r="E691" t="s">
        <v>517</v>
      </c>
      <c r="F691" t="s">
        <v>501</v>
      </c>
      <c r="G691" t="s">
        <v>1494</v>
      </c>
      <c r="H691" s="15">
        <v>46132</v>
      </c>
      <c r="I691" t="s">
        <v>1495</v>
      </c>
      <c r="J691" t="s">
        <v>233</v>
      </c>
      <c r="K691" t="s">
        <v>185</v>
      </c>
      <c r="N691">
        <v>0</v>
      </c>
      <c r="O691" t="s">
        <v>222</v>
      </c>
      <c r="P691">
        <v>0</v>
      </c>
      <c r="U691" s="15"/>
    </row>
    <row r="692" spans="1:21" x14ac:dyDescent="0.35">
      <c r="A692" t="s">
        <v>14</v>
      </c>
      <c r="B692" t="s">
        <v>497</v>
      </c>
      <c r="C692" t="s">
        <v>667</v>
      </c>
      <c r="D692" t="s">
        <v>668</v>
      </c>
      <c r="E692" t="s">
        <v>669</v>
      </c>
      <c r="F692" t="s">
        <v>644</v>
      </c>
      <c r="G692" t="s">
        <v>2168</v>
      </c>
      <c r="H692" s="15">
        <v>46182</v>
      </c>
      <c r="I692" t="s">
        <v>2169</v>
      </c>
      <c r="J692" t="s">
        <v>233</v>
      </c>
      <c r="K692" t="s">
        <v>185</v>
      </c>
      <c r="N692">
        <v>0</v>
      </c>
      <c r="O692" t="s">
        <v>222</v>
      </c>
      <c r="P692">
        <v>0</v>
      </c>
      <c r="U692" s="15"/>
    </row>
    <row r="693" spans="1:21" x14ac:dyDescent="0.35">
      <c r="A693" t="s">
        <v>14</v>
      </c>
      <c r="B693" t="s">
        <v>497</v>
      </c>
      <c r="C693" t="s">
        <v>651</v>
      </c>
      <c r="D693" t="s">
        <v>652</v>
      </c>
      <c r="E693" t="s">
        <v>653</v>
      </c>
      <c r="F693" t="s">
        <v>644</v>
      </c>
      <c r="G693" t="s">
        <v>2168</v>
      </c>
      <c r="H693" s="15">
        <v>46182</v>
      </c>
      <c r="I693" t="s">
        <v>2170</v>
      </c>
      <c r="J693" t="s">
        <v>233</v>
      </c>
      <c r="K693" t="s">
        <v>185</v>
      </c>
      <c r="N693">
        <v>0</v>
      </c>
      <c r="O693" t="s">
        <v>222</v>
      </c>
      <c r="P693">
        <v>0</v>
      </c>
      <c r="U693" s="15"/>
    </row>
    <row r="694" spans="1:21" x14ac:dyDescent="0.35">
      <c r="A694" t="s">
        <v>14</v>
      </c>
      <c r="B694" t="s">
        <v>497</v>
      </c>
      <c r="C694" t="s">
        <v>498</v>
      </c>
      <c r="D694" t="s">
        <v>499</v>
      </c>
      <c r="E694" t="s">
        <v>500</v>
      </c>
      <c r="F694" t="s">
        <v>501</v>
      </c>
      <c r="G694" t="s">
        <v>1496</v>
      </c>
      <c r="H694" s="15">
        <v>46133</v>
      </c>
      <c r="I694" t="s">
        <v>1497</v>
      </c>
      <c r="J694" t="s">
        <v>16</v>
      </c>
      <c r="K694" t="s">
        <v>185</v>
      </c>
      <c r="N694">
        <v>0</v>
      </c>
      <c r="O694" t="s">
        <v>222</v>
      </c>
      <c r="P694">
        <v>0</v>
      </c>
      <c r="U694" s="15"/>
    </row>
    <row r="695" spans="1:21" x14ac:dyDescent="0.35">
      <c r="A695" t="s">
        <v>14</v>
      </c>
      <c r="B695" t="s">
        <v>497</v>
      </c>
      <c r="C695" t="s">
        <v>504</v>
      </c>
      <c r="D695" t="s">
        <v>505</v>
      </c>
      <c r="E695" t="s">
        <v>506</v>
      </c>
      <c r="F695" t="s">
        <v>501</v>
      </c>
      <c r="G695" t="s">
        <v>1496</v>
      </c>
      <c r="H695" s="15">
        <v>46133</v>
      </c>
      <c r="I695" t="s">
        <v>1498</v>
      </c>
      <c r="J695" t="s">
        <v>16</v>
      </c>
      <c r="K695" t="s">
        <v>185</v>
      </c>
      <c r="N695">
        <v>0</v>
      </c>
      <c r="O695" t="s">
        <v>222</v>
      </c>
      <c r="P695">
        <v>0</v>
      </c>
      <c r="U695" s="15"/>
    </row>
    <row r="696" spans="1:21" x14ac:dyDescent="0.35">
      <c r="A696" t="s">
        <v>14</v>
      </c>
      <c r="B696" t="s">
        <v>497</v>
      </c>
      <c r="C696" t="s">
        <v>498</v>
      </c>
      <c r="D696" t="s">
        <v>499</v>
      </c>
      <c r="E696" t="s">
        <v>500</v>
      </c>
      <c r="F696" t="s">
        <v>501</v>
      </c>
      <c r="G696" t="s">
        <v>1499</v>
      </c>
      <c r="H696" s="15">
        <v>46133</v>
      </c>
      <c r="I696" t="s">
        <v>1500</v>
      </c>
      <c r="J696" t="s">
        <v>233</v>
      </c>
      <c r="K696" t="s">
        <v>185</v>
      </c>
      <c r="N696">
        <v>0</v>
      </c>
      <c r="O696" t="s">
        <v>222</v>
      </c>
      <c r="P696">
        <v>0</v>
      </c>
      <c r="U696" s="15"/>
    </row>
    <row r="697" spans="1:21" x14ac:dyDescent="0.35">
      <c r="A697" t="s">
        <v>14</v>
      </c>
      <c r="B697" t="s">
        <v>497</v>
      </c>
      <c r="C697" t="s">
        <v>816</v>
      </c>
      <c r="D697" t="s">
        <v>817</v>
      </c>
      <c r="E697" t="s">
        <v>818</v>
      </c>
      <c r="F697" t="s">
        <v>644</v>
      </c>
      <c r="G697" t="s">
        <v>2171</v>
      </c>
      <c r="H697" s="15">
        <v>46183</v>
      </c>
      <c r="I697" t="s">
        <v>2172</v>
      </c>
      <c r="J697" t="s">
        <v>16</v>
      </c>
      <c r="K697" t="s">
        <v>185</v>
      </c>
      <c r="N697">
        <v>0</v>
      </c>
      <c r="O697" t="s">
        <v>222</v>
      </c>
      <c r="P697">
        <v>0</v>
      </c>
      <c r="U697" s="15"/>
    </row>
    <row r="698" spans="1:21" x14ac:dyDescent="0.35">
      <c r="A698" t="s">
        <v>14</v>
      </c>
      <c r="B698" t="s">
        <v>497</v>
      </c>
      <c r="C698" t="s">
        <v>932</v>
      </c>
      <c r="D698" t="s">
        <v>933</v>
      </c>
      <c r="E698" t="s">
        <v>934</v>
      </c>
      <c r="F698" t="s">
        <v>644</v>
      </c>
      <c r="G698" t="s">
        <v>2171</v>
      </c>
      <c r="H698" s="15">
        <v>46183</v>
      </c>
      <c r="I698" t="s">
        <v>2173</v>
      </c>
      <c r="J698" t="s">
        <v>16</v>
      </c>
      <c r="K698" t="s">
        <v>185</v>
      </c>
      <c r="N698">
        <v>0</v>
      </c>
      <c r="O698" t="s">
        <v>222</v>
      </c>
      <c r="P698">
        <v>0</v>
      </c>
      <c r="U698" s="15"/>
    </row>
    <row r="699" spans="1:21" x14ac:dyDescent="0.35">
      <c r="A699" t="s">
        <v>14</v>
      </c>
      <c r="B699" t="s">
        <v>497</v>
      </c>
      <c r="C699" t="s">
        <v>531</v>
      </c>
      <c r="D699" t="s">
        <v>532</v>
      </c>
      <c r="E699" t="s">
        <v>533</v>
      </c>
      <c r="F699" t="s">
        <v>501</v>
      </c>
      <c r="G699" t="s">
        <v>1501</v>
      </c>
      <c r="H699" s="15">
        <v>46134</v>
      </c>
      <c r="I699" t="s">
        <v>1502</v>
      </c>
      <c r="J699" t="s">
        <v>16</v>
      </c>
      <c r="K699" t="s">
        <v>185</v>
      </c>
      <c r="N699">
        <v>0</v>
      </c>
      <c r="O699" t="s">
        <v>222</v>
      </c>
      <c r="P699">
        <v>0</v>
      </c>
      <c r="U699" s="15"/>
    </row>
    <row r="700" spans="1:21" x14ac:dyDescent="0.35">
      <c r="A700" t="s">
        <v>14</v>
      </c>
      <c r="B700" t="s">
        <v>497</v>
      </c>
      <c r="C700" t="s">
        <v>641</v>
      </c>
      <c r="D700" t="s">
        <v>642</v>
      </c>
      <c r="E700" t="s">
        <v>643</v>
      </c>
      <c r="F700" t="s">
        <v>644</v>
      </c>
      <c r="G700" t="s">
        <v>2174</v>
      </c>
      <c r="H700" s="15">
        <v>46183</v>
      </c>
      <c r="I700" t="s">
        <v>2175</v>
      </c>
      <c r="J700" t="s">
        <v>233</v>
      </c>
      <c r="K700" t="s">
        <v>185</v>
      </c>
      <c r="N700">
        <v>0</v>
      </c>
      <c r="O700" t="s">
        <v>222</v>
      </c>
      <c r="P700">
        <v>0</v>
      </c>
      <c r="U700" s="15"/>
    </row>
    <row r="701" spans="1:21" x14ac:dyDescent="0.35">
      <c r="A701" t="s">
        <v>14</v>
      </c>
      <c r="B701" t="s">
        <v>497</v>
      </c>
      <c r="C701" t="s">
        <v>725</v>
      </c>
      <c r="D701" t="s">
        <v>726</v>
      </c>
      <c r="E701" t="s">
        <v>727</v>
      </c>
      <c r="F701" t="s">
        <v>644</v>
      </c>
      <c r="G701" t="s">
        <v>2176</v>
      </c>
      <c r="H701" s="15">
        <v>46184</v>
      </c>
      <c r="I701" t="s">
        <v>2177</v>
      </c>
      <c r="J701" t="s">
        <v>16</v>
      </c>
      <c r="K701" t="s">
        <v>185</v>
      </c>
      <c r="N701">
        <v>0</v>
      </c>
      <c r="O701" t="s">
        <v>222</v>
      </c>
      <c r="P701">
        <v>0</v>
      </c>
      <c r="U701" s="15"/>
    </row>
    <row r="702" spans="1:21" x14ac:dyDescent="0.35">
      <c r="A702" t="s">
        <v>14</v>
      </c>
      <c r="B702" t="s">
        <v>497</v>
      </c>
      <c r="C702" t="s">
        <v>536</v>
      </c>
      <c r="D702" t="s">
        <v>537</v>
      </c>
      <c r="E702" t="s">
        <v>538</v>
      </c>
      <c r="F702" t="s">
        <v>501</v>
      </c>
      <c r="G702" t="s">
        <v>1501</v>
      </c>
      <c r="H702" s="15">
        <v>46134</v>
      </c>
      <c r="I702" t="s">
        <v>1503</v>
      </c>
      <c r="J702" t="s">
        <v>16</v>
      </c>
      <c r="K702" t="s">
        <v>185</v>
      </c>
      <c r="N702">
        <v>0</v>
      </c>
      <c r="O702" t="s">
        <v>222</v>
      </c>
      <c r="P702">
        <v>0</v>
      </c>
      <c r="U702" s="15"/>
    </row>
    <row r="703" spans="1:21" x14ac:dyDescent="0.35">
      <c r="A703" t="s">
        <v>14</v>
      </c>
      <c r="B703" t="s">
        <v>497</v>
      </c>
      <c r="C703" t="s">
        <v>515</v>
      </c>
      <c r="D703" t="s">
        <v>516</v>
      </c>
      <c r="E703" t="s">
        <v>517</v>
      </c>
      <c r="F703" t="s">
        <v>501</v>
      </c>
      <c r="G703" t="s">
        <v>1504</v>
      </c>
      <c r="H703" s="15">
        <v>46134</v>
      </c>
      <c r="I703" t="s">
        <v>1505</v>
      </c>
      <c r="J703" t="s">
        <v>233</v>
      </c>
      <c r="K703" t="s">
        <v>185</v>
      </c>
      <c r="N703">
        <v>0</v>
      </c>
      <c r="O703" t="s">
        <v>222</v>
      </c>
      <c r="P703">
        <v>0</v>
      </c>
      <c r="U703" s="15"/>
    </row>
    <row r="704" spans="1:21" x14ac:dyDescent="0.35">
      <c r="A704" t="s">
        <v>14</v>
      </c>
      <c r="B704" t="s">
        <v>497</v>
      </c>
      <c r="C704" t="s">
        <v>651</v>
      </c>
      <c r="D704" t="s">
        <v>652</v>
      </c>
      <c r="E704" t="s">
        <v>653</v>
      </c>
      <c r="F704" t="s">
        <v>644</v>
      </c>
      <c r="G704" t="s">
        <v>2176</v>
      </c>
      <c r="H704" s="15">
        <v>46184</v>
      </c>
      <c r="I704" t="s">
        <v>2178</v>
      </c>
      <c r="J704" t="s">
        <v>16</v>
      </c>
      <c r="K704" t="s">
        <v>185</v>
      </c>
      <c r="N704">
        <v>0</v>
      </c>
      <c r="O704" t="s">
        <v>222</v>
      </c>
      <c r="P704">
        <v>0</v>
      </c>
      <c r="U704" s="15"/>
    </row>
    <row r="705" spans="1:21" x14ac:dyDescent="0.35">
      <c r="A705" t="s">
        <v>14</v>
      </c>
      <c r="B705" t="s">
        <v>497</v>
      </c>
      <c r="C705" t="s">
        <v>1255</v>
      </c>
      <c r="D705" t="s">
        <v>1256</v>
      </c>
      <c r="E705" t="s">
        <v>1257</v>
      </c>
      <c r="F705" t="s">
        <v>644</v>
      </c>
      <c r="G705" t="s">
        <v>2179</v>
      </c>
      <c r="H705" s="15">
        <v>46184</v>
      </c>
      <c r="I705" t="s">
        <v>2180</v>
      </c>
      <c r="J705" t="s">
        <v>233</v>
      </c>
      <c r="K705" t="s">
        <v>185</v>
      </c>
      <c r="N705">
        <v>0</v>
      </c>
      <c r="O705" t="s">
        <v>222</v>
      </c>
      <c r="P705">
        <v>0</v>
      </c>
      <c r="U705" s="15"/>
    </row>
    <row r="706" spans="1:21" x14ac:dyDescent="0.35">
      <c r="A706" t="s">
        <v>14</v>
      </c>
      <c r="B706" t="s">
        <v>497</v>
      </c>
      <c r="C706" t="s">
        <v>515</v>
      </c>
      <c r="D706" t="s">
        <v>516</v>
      </c>
      <c r="E706" t="s">
        <v>517</v>
      </c>
      <c r="F706" t="s">
        <v>501</v>
      </c>
      <c r="G706" t="s">
        <v>1506</v>
      </c>
      <c r="H706" s="15">
        <v>46135</v>
      </c>
      <c r="I706" t="s">
        <v>1507</v>
      </c>
      <c r="J706" t="s">
        <v>16</v>
      </c>
      <c r="K706" t="s">
        <v>185</v>
      </c>
      <c r="N706">
        <v>0</v>
      </c>
      <c r="O706" t="s">
        <v>222</v>
      </c>
      <c r="P706">
        <v>0</v>
      </c>
      <c r="U706" s="15"/>
    </row>
    <row r="707" spans="1:21" x14ac:dyDescent="0.35">
      <c r="A707" t="s">
        <v>14</v>
      </c>
      <c r="B707" t="s">
        <v>497</v>
      </c>
      <c r="C707" t="s">
        <v>557</v>
      </c>
      <c r="D707" t="s">
        <v>558</v>
      </c>
      <c r="E707" t="s">
        <v>559</v>
      </c>
      <c r="F707" t="s">
        <v>501</v>
      </c>
      <c r="G707" t="s">
        <v>1506</v>
      </c>
      <c r="H707" s="15">
        <v>46135</v>
      </c>
      <c r="I707" t="s">
        <v>1508</v>
      </c>
      <c r="J707" t="s">
        <v>16</v>
      </c>
      <c r="K707" t="s">
        <v>185</v>
      </c>
      <c r="N707">
        <v>0</v>
      </c>
      <c r="O707" t="s">
        <v>222</v>
      </c>
      <c r="P707">
        <v>0</v>
      </c>
      <c r="U707" s="15"/>
    </row>
    <row r="708" spans="1:21" x14ac:dyDescent="0.35">
      <c r="A708" t="s">
        <v>14</v>
      </c>
      <c r="B708" t="s">
        <v>497</v>
      </c>
      <c r="C708" t="s">
        <v>777</v>
      </c>
      <c r="D708" t="s">
        <v>778</v>
      </c>
      <c r="E708" t="s">
        <v>779</v>
      </c>
      <c r="F708" t="s">
        <v>644</v>
      </c>
      <c r="G708" t="s">
        <v>2181</v>
      </c>
      <c r="H708" s="15">
        <v>46185</v>
      </c>
      <c r="I708" t="s">
        <v>2182</v>
      </c>
      <c r="J708" t="s">
        <v>16</v>
      </c>
      <c r="K708" t="s">
        <v>185</v>
      </c>
      <c r="N708">
        <v>0</v>
      </c>
      <c r="O708" t="s">
        <v>222</v>
      </c>
      <c r="P708">
        <v>0</v>
      </c>
      <c r="U708" s="15"/>
    </row>
    <row r="709" spans="1:21" x14ac:dyDescent="0.35">
      <c r="A709" t="s">
        <v>14</v>
      </c>
      <c r="B709" t="s">
        <v>497</v>
      </c>
      <c r="C709" t="s">
        <v>791</v>
      </c>
      <c r="D709" t="s">
        <v>792</v>
      </c>
      <c r="E709" t="s">
        <v>793</v>
      </c>
      <c r="F709" t="s">
        <v>644</v>
      </c>
      <c r="G709" t="s">
        <v>2183</v>
      </c>
      <c r="H709" s="15">
        <v>46185</v>
      </c>
      <c r="I709" t="s">
        <v>2184</v>
      </c>
      <c r="J709" t="s">
        <v>233</v>
      </c>
      <c r="K709" t="s">
        <v>185</v>
      </c>
      <c r="N709">
        <v>0</v>
      </c>
      <c r="O709" t="s">
        <v>222</v>
      </c>
      <c r="P709">
        <v>0</v>
      </c>
      <c r="U709" s="15"/>
    </row>
    <row r="710" spans="1:21" x14ac:dyDescent="0.35">
      <c r="A710" t="s">
        <v>14</v>
      </c>
      <c r="B710" t="s">
        <v>497</v>
      </c>
      <c r="C710" t="s">
        <v>498</v>
      </c>
      <c r="D710" t="s">
        <v>499</v>
      </c>
      <c r="E710" t="s">
        <v>500</v>
      </c>
      <c r="F710" t="s">
        <v>501</v>
      </c>
      <c r="G710" t="s">
        <v>1509</v>
      </c>
      <c r="H710" s="15">
        <v>46135</v>
      </c>
      <c r="I710" t="s">
        <v>1510</v>
      </c>
      <c r="J710" t="s">
        <v>233</v>
      </c>
      <c r="K710" t="s">
        <v>185</v>
      </c>
      <c r="N710">
        <v>0</v>
      </c>
      <c r="O710" t="s">
        <v>222</v>
      </c>
      <c r="P710">
        <v>0</v>
      </c>
      <c r="U710" s="15"/>
    </row>
    <row r="711" spans="1:21" x14ac:dyDescent="0.35">
      <c r="A711" t="s">
        <v>14</v>
      </c>
      <c r="B711" t="s">
        <v>497</v>
      </c>
      <c r="C711" t="s">
        <v>536</v>
      </c>
      <c r="D711" t="s">
        <v>537</v>
      </c>
      <c r="E711" t="s">
        <v>538</v>
      </c>
      <c r="F711" t="s">
        <v>501</v>
      </c>
      <c r="G711" t="s">
        <v>1511</v>
      </c>
      <c r="H711" s="15">
        <v>46136</v>
      </c>
      <c r="I711" t="s">
        <v>1512</v>
      </c>
      <c r="J711" t="s">
        <v>233</v>
      </c>
      <c r="K711" t="s">
        <v>185</v>
      </c>
      <c r="N711">
        <v>0</v>
      </c>
      <c r="O711" t="s">
        <v>222</v>
      </c>
      <c r="P711">
        <v>0</v>
      </c>
      <c r="U711" s="15"/>
    </row>
    <row r="712" spans="1:21" x14ac:dyDescent="0.35">
      <c r="A712" t="s">
        <v>14</v>
      </c>
      <c r="B712" t="s">
        <v>497</v>
      </c>
      <c r="C712" t="s">
        <v>531</v>
      </c>
      <c r="D712" t="s">
        <v>532</v>
      </c>
      <c r="E712" t="s">
        <v>533</v>
      </c>
      <c r="F712" t="s">
        <v>501</v>
      </c>
      <c r="G712" t="s">
        <v>1511</v>
      </c>
      <c r="H712" s="15">
        <v>46136</v>
      </c>
      <c r="I712" t="s">
        <v>1513</v>
      </c>
      <c r="J712" t="s">
        <v>233</v>
      </c>
      <c r="K712" t="s">
        <v>185</v>
      </c>
      <c r="N712">
        <v>0</v>
      </c>
      <c r="O712" t="s">
        <v>222</v>
      </c>
      <c r="P712">
        <v>0</v>
      </c>
      <c r="U712" s="15"/>
    </row>
    <row r="713" spans="1:21" x14ac:dyDescent="0.35">
      <c r="A713" t="s">
        <v>14</v>
      </c>
      <c r="B713" t="s">
        <v>497</v>
      </c>
      <c r="C713" t="s">
        <v>662</v>
      </c>
      <c r="D713" t="s">
        <v>663</v>
      </c>
      <c r="E713" t="s">
        <v>664</v>
      </c>
      <c r="F713" t="s">
        <v>644</v>
      </c>
      <c r="G713" t="s">
        <v>2183</v>
      </c>
      <c r="H713" s="15">
        <v>46185</v>
      </c>
      <c r="I713" t="s">
        <v>2185</v>
      </c>
      <c r="J713" t="s">
        <v>233</v>
      </c>
      <c r="K713" t="s">
        <v>185</v>
      </c>
      <c r="N713">
        <v>0</v>
      </c>
      <c r="O713" t="s">
        <v>222</v>
      </c>
      <c r="P713">
        <v>0</v>
      </c>
      <c r="U713" s="15"/>
    </row>
    <row r="714" spans="1:21" x14ac:dyDescent="0.35">
      <c r="A714" t="s">
        <v>14</v>
      </c>
      <c r="B714" t="s">
        <v>497</v>
      </c>
      <c r="C714" t="s">
        <v>667</v>
      </c>
      <c r="D714" t="s">
        <v>668</v>
      </c>
      <c r="E714" t="s">
        <v>669</v>
      </c>
      <c r="F714" t="s">
        <v>644</v>
      </c>
      <c r="G714" t="s">
        <v>2186</v>
      </c>
      <c r="H714" s="15">
        <v>46186</v>
      </c>
      <c r="I714" t="s">
        <v>2187</v>
      </c>
      <c r="J714" t="s">
        <v>16</v>
      </c>
      <c r="K714" t="s">
        <v>185</v>
      </c>
      <c r="N714">
        <v>0</v>
      </c>
      <c r="O714" t="s">
        <v>222</v>
      </c>
      <c r="P714">
        <v>0</v>
      </c>
      <c r="U714" s="15"/>
    </row>
    <row r="715" spans="1:21" x14ac:dyDescent="0.35">
      <c r="A715" t="s">
        <v>14</v>
      </c>
      <c r="B715" t="s">
        <v>497</v>
      </c>
      <c r="C715" t="s">
        <v>498</v>
      </c>
      <c r="D715" t="s">
        <v>499</v>
      </c>
      <c r="E715" t="s">
        <v>500</v>
      </c>
      <c r="F715" t="s">
        <v>501</v>
      </c>
      <c r="G715" t="s">
        <v>1514</v>
      </c>
      <c r="H715" s="15">
        <v>46137</v>
      </c>
      <c r="I715" t="s">
        <v>1515</v>
      </c>
      <c r="J715" t="s">
        <v>16</v>
      </c>
      <c r="K715" t="s">
        <v>185</v>
      </c>
      <c r="N715">
        <v>0</v>
      </c>
      <c r="O715" t="s">
        <v>222</v>
      </c>
      <c r="P715">
        <v>0</v>
      </c>
      <c r="U715" s="15"/>
    </row>
    <row r="716" spans="1:21" x14ac:dyDescent="0.35">
      <c r="A716" t="s">
        <v>14</v>
      </c>
      <c r="B716" t="s">
        <v>497</v>
      </c>
      <c r="C716" t="s">
        <v>651</v>
      </c>
      <c r="D716" t="s">
        <v>652</v>
      </c>
      <c r="E716" t="s">
        <v>653</v>
      </c>
      <c r="F716" t="s">
        <v>644</v>
      </c>
      <c r="G716" t="s">
        <v>2188</v>
      </c>
      <c r="H716" s="15">
        <v>46186</v>
      </c>
      <c r="I716" t="s">
        <v>2189</v>
      </c>
      <c r="J716" t="s">
        <v>233</v>
      </c>
      <c r="K716" t="s">
        <v>185</v>
      </c>
      <c r="N716">
        <v>0</v>
      </c>
      <c r="O716" t="s">
        <v>222</v>
      </c>
      <c r="P716">
        <v>0</v>
      </c>
      <c r="U716" s="15"/>
    </row>
    <row r="717" spans="1:21" x14ac:dyDescent="0.35">
      <c r="A717" t="s">
        <v>14</v>
      </c>
      <c r="B717" t="s">
        <v>497</v>
      </c>
      <c r="C717" t="s">
        <v>651</v>
      </c>
      <c r="D717" t="s">
        <v>652</v>
      </c>
      <c r="E717" t="s">
        <v>653</v>
      </c>
      <c r="F717" t="s">
        <v>644</v>
      </c>
      <c r="G717" t="s">
        <v>2190</v>
      </c>
      <c r="H717" s="15">
        <v>46188</v>
      </c>
      <c r="I717" t="s">
        <v>2191</v>
      </c>
      <c r="J717" t="s">
        <v>16</v>
      </c>
      <c r="K717" t="s">
        <v>185</v>
      </c>
      <c r="N717">
        <v>0</v>
      </c>
      <c r="O717" t="s">
        <v>222</v>
      </c>
      <c r="P717">
        <v>0</v>
      </c>
      <c r="U717" s="15"/>
    </row>
    <row r="718" spans="1:21" x14ac:dyDescent="0.35">
      <c r="A718" t="s">
        <v>14</v>
      </c>
      <c r="B718" t="s">
        <v>497</v>
      </c>
      <c r="C718" t="s">
        <v>504</v>
      </c>
      <c r="D718" t="s">
        <v>505</v>
      </c>
      <c r="E718" t="s">
        <v>506</v>
      </c>
      <c r="F718" t="s">
        <v>501</v>
      </c>
      <c r="G718" t="s">
        <v>1514</v>
      </c>
      <c r="H718" s="15">
        <v>46137</v>
      </c>
      <c r="I718" t="s">
        <v>1516</v>
      </c>
      <c r="J718" t="s">
        <v>16</v>
      </c>
      <c r="K718" t="s">
        <v>185</v>
      </c>
      <c r="N718">
        <v>0</v>
      </c>
      <c r="O718" t="s">
        <v>222</v>
      </c>
      <c r="P718">
        <v>0</v>
      </c>
      <c r="U718" s="15"/>
    </row>
    <row r="719" spans="1:21" x14ac:dyDescent="0.35">
      <c r="A719" t="s">
        <v>14</v>
      </c>
      <c r="B719" t="s">
        <v>497</v>
      </c>
      <c r="C719" t="s">
        <v>667</v>
      </c>
      <c r="D719" t="s">
        <v>668</v>
      </c>
      <c r="E719" t="s">
        <v>669</v>
      </c>
      <c r="F719" t="s">
        <v>644</v>
      </c>
      <c r="G719" t="s">
        <v>2190</v>
      </c>
      <c r="H719" s="15">
        <v>46188</v>
      </c>
      <c r="I719" t="s">
        <v>2192</v>
      </c>
      <c r="J719" t="s">
        <v>16</v>
      </c>
      <c r="K719" t="s">
        <v>185</v>
      </c>
      <c r="N719">
        <v>0</v>
      </c>
      <c r="O719" t="s">
        <v>222</v>
      </c>
      <c r="P719">
        <v>0</v>
      </c>
      <c r="U719" s="15"/>
    </row>
    <row r="720" spans="1:21" x14ac:dyDescent="0.35">
      <c r="A720" t="s">
        <v>14</v>
      </c>
      <c r="B720" t="s">
        <v>497</v>
      </c>
      <c r="C720" t="s">
        <v>651</v>
      </c>
      <c r="D720" t="s">
        <v>652</v>
      </c>
      <c r="E720" t="s">
        <v>653</v>
      </c>
      <c r="F720" t="s">
        <v>644</v>
      </c>
      <c r="G720" t="s">
        <v>2193</v>
      </c>
      <c r="H720" s="15">
        <v>46188</v>
      </c>
      <c r="I720" t="s">
        <v>2194</v>
      </c>
      <c r="J720" t="s">
        <v>233</v>
      </c>
      <c r="K720" t="s">
        <v>185</v>
      </c>
      <c r="N720">
        <v>0</v>
      </c>
      <c r="O720" t="s">
        <v>222</v>
      </c>
      <c r="P720">
        <v>0</v>
      </c>
      <c r="U720" s="15"/>
    </row>
    <row r="721" spans="1:21" x14ac:dyDescent="0.35">
      <c r="A721" t="s">
        <v>14</v>
      </c>
      <c r="B721" t="s">
        <v>497</v>
      </c>
      <c r="C721" t="s">
        <v>498</v>
      </c>
      <c r="D721" t="s">
        <v>499</v>
      </c>
      <c r="E721" t="s">
        <v>500</v>
      </c>
      <c r="F721" t="s">
        <v>501</v>
      </c>
      <c r="G721" t="s">
        <v>1517</v>
      </c>
      <c r="H721" s="15">
        <v>46137</v>
      </c>
      <c r="I721" t="s">
        <v>1518</v>
      </c>
      <c r="J721" t="s">
        <v>233</v>
      </c>
      <c r="K721" t="s">
        <v>185</v>
      </c>
      <c r="N721">
        <v>0</v>
      </c>
      <c r="O721" t="s">
        <v>222</v>
      </c>
      <c r="P721">
        <v>0</v>
      </c>
      <c r="U721" s="15"/>
    </row>
    <row r="722" spans="1:21" x14ac:dyDescent="0.35">
      <c r="A722" t="s">
        <v>14</v>
      </c>
      <c r="B722" t="s">
        <v>497</v>
      </c>
      <c r="C722" t="s">
        <v>615</v>
      </c>
      <c r="D722" t="s">
        <v>616</v>
      </c>
      <c r="E722" t="s">
        <v>617</v>
      </c>
      <c r="F722" t="s">
        <v>501</v>
      </c>
      <c r="G722" t="s">
        <v>1519</v>
      </c>
      <c r="H722" s="15">
        <v>46139</v>
      </c>
      <c r="I722" t="s">
        <v>1520</v>
      </c>
      <c r="J722" t="s">
        <v>16</v>
      </c>
      <c r="K722" t="s">
        <v>185</v>
      </c>
      <c r="N722">
        <v>0</v>
      </c>
      <c r="O722" t="s">
        <v>222</v>
      </c>
      <c r="P722">
        <v>0</v>
      </c>
      <c r="U722" s="15"/>
    </row>
    <row r="723" spans="1:21" x14ac:dyDescent="0.35">
      <c r="A723" t="s">
        <v>14</v>
      </c>
      <c r="B723" t="s">
        <v>497</v>
      </c>
      <c r="C723" t="s">
        <v>729</v>
      </c>
      <c r="D723" t="s">
        <v>730</v>
      </c>
      <c r="E723" t="s">
        <v>731</v>
      </c>
      <c r="F723" t="s">
        <v>644</v>
      </c>
      <c r="G723" t="s">
        <v>2193</v>
      </c>
      <c r="H723" s="15">
        <v>46188</v>
      </c>
      <c r="I723" t="s">
        <v>2195</v>
      </c>
      <c r="J723" t="s">
        <v>233</v>
      </c>
      <c r="K723" t="s">
        <v>185</v>
      </c>
      <c r="N723">
        <v>0</v>
      </c>
      <c r="O723" t="s">
        <v>222</v>
      </c>
      <c r="P723">
        <v>0</v>
      </c>
      <c r="U723" s="15"/>
    </row>
    <row r="724" spans="1:21" x14ac:dyDescent="0.35">
      <c r="A724" t="s">
        <v>14</v>
      </c>
      <c r="B724" t="s">
        <v>497</v>
      </c>
      <c r="C724" t="s">
        <v>647</v>
      </c>
      <c r="D724" t="s">
        <v>648</v>
      </c>
      <c r="E724" t="s">
        <v>649</v>
      </c>
      <c r="F724" t="s">
        <v>644</v>
      </c>
      <c r="G724" t="s">
        <v>2196</v>
      </c>
      <c r="H724" s="15">
        <v>46189</v>
      </c>
      <c r="I724" t="s">
        <v>2197</v>
      </c>
      <c r="J724" t="s">
        <v>16</v>
      </c>
      <c r="K724" t="s">
        <v>185</v>
      </c>
      <c r="N724">
        <v>0</v>
      </c>
      <c r="O724" t="s">
        <v>222</v>
      </c>
      <c r="P724">
        <v>0</v>
      </c>
      <c r="U724" s="15"/>
    </row>
    <row r="725" spans="1:21" x14ac:dyDescent="0.35">
      <c r="A725" t="s">
        <v>14</v>
      </c>
      <c r="B725" t="s">
        <v>497</v>
      </c>
      <c r="C725" t="s">
        <v>504</v>
      </c>
      <c r="D725" t="s">
        <v>505</v>
      </c>
      <c r="E725" t="s">
        <v>506</v>
      </c>
      <c r="F725" t="s">
        <v>501</v>
      </c>
      <c r="G725" t="s">
        <v>1519</v>
      </c>
      <c r="H725" s="15">
        <v>46139</v>
      </c>
      <c r="I725" t="s">
        <v>1521</v>
      </c>
      <c r="J725" t="s">
        <v>16</v>
      </c>
      <c r="K725" t="s">
        <v>185</v>
      </c>
      <c r="N725">
        <v>0</v>
      </c>
      <c r="O725" t="s">
        <v>222</v>
      </c>
      <c r="P725">
        <v>0</v>
      </c>
      <c r="U725" s="15"/>
    </row>
    <row r="726" spans="1:21" x14ac:dyDescent="0.35">
      <c r="A726" t="s">
        <v>14</v>
      </c>
      <c r="B726" t="s">
        <v>497</v>
      </c>
      <c r="C726" t="s">
        <v>651</v>
      </c>
      <c r="D726" t="s">
        <v>652</v>
      </c>
      <c r="E726" t="s">
        <v>653</v>
      </c>
      <c r="F726" t="s">
        <v>644</v>
      </c>
      <c r="G726" t="s">
        <v>2196</v>
      </c>
      <c r="H726" s="15">
        <v>46189</v>
      </c>
      <c r="I726" t="s">
        <v>2198</v>
      </c>
      <c r="J726" t="s">
        <v>16</v>
      </c>
      <c r="K726" t="s">
        <v>185</v>
      </c>
      <c r="N726">
        <v>0</v>
      </c>
      <c r="O726" t="s">
        <v>222</v>
      </c>
      <c r="P726">
        <v>0</v>
      </c>
      <c r="U726" s="15"/>
    </row>
    <row r="727" spans="1:21" x14ac:dyDescent="0.35">
      <c r="A727" t="s">
        <v>14</v>
      </c>
      <c r="B727" t="s">
        <v>497</v>
      </c>
      <c r="C727" t="s">
        <v>777</v>
      </c>
      <c r="D727" t="s">
        <v>778</v>
      </c>
      <c r="E727" t="s">
        <v>779</v>
      </c>
      <c r="F727" t="s">
        <v>644</v>
      </c>
      <c r="G727" t="s">
        <v>2199</v>
      </c>
      <c r="H727" s="15">
        <v>46189</v>
      </c>
      <c r="I727" t="s">
        <v>2200</v>
      </c>
      <c r="J727" t="s">
        <v>233</v>
      </c>
      <c r="K727" t="s">
        <v>185</v>
      </c>
      <c r="N727">
        <v>0</v>
      </c>
      <c r="O727" t="s">
        <v>222</v>
      </c>
      <c r="P727">
        <v>0</v>
      </c>
      <c r="U727" s="15"/>
    </row>
    <row r="728" spans="1:21" x14ac:dyDescent="0.35">
      <c r="A728" t="s">
        <v>14</v>
      </c>
      <c r="B728" t="s">
        <v>497</v>
      </c>
      <c r="C728" t="s">
        <v>515</v>
      </c>
      <c r="D728" t="s">
        <v>516</v>
      </c>
      <c r="E728" t="s">
        <v>517</v>
      </c>
      <c r="F728" t="s">
        <v>501</v>
      </c>
      <c r="G728" t="s">
        <v>1522</v>
      </c>
      <c r="H728" s="15">
        <v>46139</v>
      </c>
      <c r="I728" t="s">
        <v>1523</v>
      </c>
      <c r="J728" t="s">
        <v>233</v>
      </c>
      <c r="K728" t="s">
        <v>185</v>
      </c>
      <c r="N728">
        <v>0</v>
      </c>
      <c r="O728" t="s">
        <v>222</v>
      </c>
      <c r="P728">
        <v>0</v>
      </c>
      <c r="U728" s="15"/>
    </row>
    <row r="729" spans="1:21" x14ac:dyDescent="0.35">
      <c r="A729" t="s">
        <v>14</v>
      </c>
      <c r="B729" t="s">
        <v>497</v>
      </c>
      <c r="C729" t="s">
        <v>515</v>
      </c>
      <c r="D729" t="s">
        <v>516</v>
      </c>
      <c r="E729" t="s">
        <v>517</v>
      </c>
      <c r="F729" t="s">
        <v>501</v>
      </c>
      <c r="G729" t="s">
        <v>1524</v>
      </c>
      <c r="H729" s="15">
        <v>46140</v>
      </c>
      <c r="I729" t="s">
        <v>1525</v>
      </c>
      <c r="J729" t="s">
        <v>16</v>
      </c>
      <c r="K729" t="s">
        <v>185</v>
      </c>
      <c r="N729">
        <v>0</v>
      </c>
      <c r="O729" t="s">
        <v>222</v>
      </c>
      <c r="P729">
        <v>0</v>
      </c>
      <c r="U729" s="15"/>
    </row>
    <row r="730" spans="1:21" x14ac:dyDescent="0.35">
      <c r="A730" t="s">
        <v>14</v>
      </c>
      <c r="B730" t="s">
        <v>497</v>
      </c>
      <c r="C730" t="s">
        <v>557</v>
      </c>
      <c r="D730" t="s">
        <v>558</v>
      </c>
      <c r="E730" t="s">
        <v>559</v>
      </c>
      <c r="F730" t="s">
        <v>501</v>
      </c>
      <c r="G730" t="s">
        <v>1524</v>
      </c>
      <c r="H730" s="15">
        <v>46140</v>
      </c>
      <c r="I730" t="s">
        <v>1526</v>
      </c>
      <c r="J730" t="s">
        <v>16</v>
      </c>
      <c r="K730" t="s">
        <v>185</v>
      </c>
      <c r="N730">
        <v>0</v>
      </c>
      <c r="O730" t="s">
        <v>222</v>
      </c>
      <c r="P730">
        <v>0</v>
      </c>
      <c r="U730" s="15"/>
    </row>
    <row r="731" spans="1:21" x14ac:dyDescent="0.35">
      <c r="A731" t="s">
        <v>14</v>
      </c>
      <c r="B731" t="s">
        <v>497</v>
      </c>
      <c r="C731" t="s">
        <v>651</v>
      </c>
      <c r="D731" t="s">
        <v>652</v>
      </c>
      <c r="E731" t="s">
        <v>653</v>
      </c>
      <c r="F731" t="s">
        <v>644</v>
      </c>
      <c r="G731" t="s">
        <v>2199</v>
      </c>
      <c r="H731" s="15">
        <v>46189</v>
      </c>
      <c r="I731" t="s">
        <v>2201</v>
      </c>
      <c r="J731" t="s">
        <v>233</v>
      </c>
      <c r="K731" t="s">
        <v>185</v>
      </c>
      <c r="N731">
        <v>0</v>
      </c>
      <c r="O731" t="s">
        <v>222</v>
      </c>
      <c r="P731">
        <v>0</v>
      </c>
      <c r="U731" s="15"/>
    </row>
    <row r="732" spans="1:21" x14ac:dyDescent="0.35">
      <c r="A732" t="s">
        <v>14</v>
      </c>
      <c r="B732" t="s">
        <v>497</v>
      </c>
      <c r="C732" t="s">
        <v>1255</v>
      </c>
      <c r="D732" t="s">
        <v>1256</v>
      </c>
      <c r="E732" t="s">
        <v>1257</v>
      </c>
      <c r="F732" t="s">
        <v>644</v>
      </c>
      <c r="G732" t="s">
        <v>2202</v>
      </c>
      <c r="H732" s="15">
        <v>46190</v>
      </c>
      <c r="I732" t="s">
        <v>2203</v>
      </c>
      <c r="J732" t="s">
        <v>16</v>
      </c>
      <c r="K732" t="s">
        <v>185</v>
      </c>
      <c r="N732">
        <v>0</v>
      </c>
      <c r="O732" t="s">
        <v>222</v>
      </c>
      <c r="P732">
        <v>0</v>
      </c>
      <c r="U732" s="15"/>
    </row>
    <row r="733" spans="1:21" x14ac:dyDescent="0.35">
      <c r="A733" t="s">
        <v>14</v>
      </c>
      <c r="B733" t="s">
        <v>497</v>
      </c>
      <c r="C733" t="s">
        <v>515</v>
      </c>
      <c r="D733" t="s">
        <v>516</v>
      </c>
      <c r="E733" t="s">
        <v>517</v>
      </c>
      <c r="F733" t="s">
        <v>501</v>
      </c>
      <c r="G733" t="s">
        <v>1527</v>
      </c>
      <c r="H733" s="15">
        <v>46140</v>
      </c>
      <c r="I733" t="s">
        <v>1528</v>
      </c>
      <c r="J733" t="s">
        <v>233</v>
      </c>
      <c r="K733" t="s">
        <v>185</v>
      </c>
      <c r="N733">
        <v>0</v>
      </c>
      <c r="O733" t="s">
        <v>222</v>
      </c>
      <c r="P733">
        <v>0</v>
      </c>
      <c r="U733" s="15"/>
    </row>
    <row r="734" spans="1:21" x14ac:dyDescent="0.35">
      <c r="A734" t="s">
        <v>14</v>
      </c>
      <c r="B734" t="s">
        <v>497</v>
      </c>
      <c r="C734" t="s">
        <v>866</v>
      </c>
      <c r="D734" t="s">
        <v>867</v>
      </c>
      <c r="E734" t="s">
        <v>868</v>
      </c>
      <c r="F734" t="s">
        <v>501</v>
      </c>
      <c r="G734" t="s">
        <v>1529</v>
      </c>
      <c r="H734" s="15">
        <v>46141</v>
      </c>
      <c r="I734" t="s">
        <v>1530</v>
      </c>
      <c r="J734" t="s">
        <v>16</v>
      </c>
      <c r="K734" t="s">
        <v>185</v>
      </c>
      <c r="N734">
        <v>0</v>
      </c>
      <c r="O734" t="s">
        <v>222</v>
      </c>
      <c r="P734">
        <v>0</v>
      </c>
      <c r="U734" s="15"/>
    </row>
    <row r="735" spans="1:21" x14ac:dyDescent="0.35">
      <c r="A735" t="s">
        <v>14</v>
      </c>
      <c r="B735" t="s">
        <v>497</v>
      </c>
      <c r="C735" t="s">
        <v>651</v>
      </c>
      <c r="D735" t="s">
        <v>652</v>
      </c>
      <c r="E735" t="s">
        <v>653</v>
      </c>
      <c r="F735" t="s">
        <v>644</v>
      </c>
      <c r="G735" t="s">
        <v>2202</v>
      </c>
      <c r="H735" s="15">
        <v>46190</v>
      </c>
      <c r="I735" t="s">
        <v>2204</v>
      </c>
      <c r="J735" t="s">
        <v>16</v>
      </c>
      <c r="K735" t="s">
        <v>185</v>
      </c>
      <c r="N735">
        <v>0</v>
      </c>
      <c r="O735" t="s">
        <v>222</v>
      </c>
      <c r="P735">
        <v>0</v>
      </c>
      <c r="U735" s="15"/>
    </row>
    <row r="736" spans="1:21" x14ac:dyDescent="0.35">
      <c r="A736" t="s">
        <v>14</v>
      </c>
      <c r="B736" t="s">
        <v>497</v>
      </c>
      <c r="C736" t="s">
        <v>1255</v>
      </c>
      <c r="D736" t="s">
        <v>1256</v>
      </c>
      <c r="E736" t="s">
        <v>1257</v>
      </c>
      <c r="F736" t="s">
        <v>644</v>
      </c>
      <c r="G736" t="s">
        <v>3076</v>
      </c>
      <c r="H736" s="15">
        <v>46190</v>
      </c>
      <c r="I736" t="s">
        <v>3077</v>
      </c>
      <c r="J736" t="s">
        <v>233</v>
      </c>
      <c r="K736" t="s">
        <v>185</v>
      </c>
      <c r="N736">
        <v>0</v>
      </c>
      <c r="O736" t="s">
        <v>222</v>
      </c>
      <c r="P736">
        <v>0</v>
      </c>
      <c r="U736" s="15"/>
    </row>
    <row r="737" spans="1:21" x14ac:dyDescent="0.35">
      <c r="A737" t="s">
        <v>14</v>
      </c>
      <c r="B737" t="s">
        <v>497</v>
      </c>
      <c r="C737" t="s">
        <v>651</v>
      </c>
      <c r="D737" t="s">
        <v>652</v>
      </c>
      <c r="E737" t="s">
        <v>653</v>
      </c>
      <c r="F737" t="s">
        <v>644</v>
      </c>
      <c r="G737" t="s">
        <v>3076</v>
      </c>
      <c r="H737" s="15">
        <v>46190</v>
      </c>
      <c r="I737" t="s">
        <v>3078</v>
      </c>
      <c r="J737" t="s">
        <v>233</v>
      </c>
      <c r="K737" t="s">
        <v>185</v>
      </c>
      <c r="N737">
        <v>0</v>
      </c>
      <c r="O737" t="s">
        <v>222</v>
      </c>
      <c r="P737">
        <v>0</v>
      </c>
      <c r="U737" s="15"/>
    </row>
    <row r="738" spans="1:21" x14ac:dyDescent="0.35">
      <c r="A738" t="s">
        <v>14</v>
      </c>
      <c r="B738" t="s">
        <v>497</v>
      </c>
      <c r="C738" t="s">
        <v>515</v>
      </c>
      <c r="D738" t="s">
        <v>516</v>
      </c>
      <c r="E738" t="s">
        <v>517</v>
      </c>
      <c r="F738" t="s">
        <v>501</v>
      </c>
      <c r="G738" t="s">
        <v>1529</v>
      </c>
      <c r="H738" s="15">
        <v>46141</v>
      </c>
      <c r="I738" t="s">
        <v>1531</v>
      </c>
      <c r="J738" t="s">
        <v>16</v>
      </c>
      <c r="K738" t="s">
        <v>185</v>
      </c>
      <c r="N738">
        <v>0</v>
      </c>
      <c r="O738" t="s">
        <v>222</v>
      </c>
      <c r="P738">
        <v>0</v>
      </c>
      <c r="U738" s="15"/>
    </row>
    <row r="739" spans="1:21" x14ac:dyDescent="0.35">
      <c r="A739" t="s">
        <v>14</v>
      </c>
      <c r="B739" t="s">
        <v>497</v>
      </c>
      <c r="C739" t="s">
        <v>557</v>
      </c>
      <c r="D739" t="s">
        <v>558</v>
      </c>
      <c r="E739" t="s">
        <v>559</v>
      </c>
      <c r="F739" t="s">
        <v>501</v>
      </c>
      <c r="G739" t="s">
        <v>1532</v>
      </c>
      <c r="H739" s="15">
        <v>46141</v>
      </c>
      <c r="I739" t="s">
        <v>1533</v>
      </c>
      <c r="J739" t="s">
        <v>233</v>
      </c>
      <c r="K739" t="s">
        <v>185</v>
      </c>
      <c r="N739">
        <v>0</v>
      </c>
      <c r="O739" t="s">
        <v>222</v>
      </c>
      <c r="P739">
        <v>0</v>
      </c>
      <c r="U739" s="15"/>
    </row>
    <row r="740" spans="1:21" x14ac:dyDescent="0.35">
      <c r="A740" t="s">
        <v>14</v>
      </c>
      <c r="B740" t="s">
        <v>497</v>
      </c>
      <c r="C740" t="s">
        <v>651</v>
      </c>
      <c r="D740" t="s">
        <v>652</v>
      </c>
      <c r="E740" t="s">
        <v>653</v>
      </c>
      <c r="F740" t="s">
        <v>644</v>
      </c>
      <c r="G740" t="s">
        <v>3079</v>
      </c>
      <c r="H740" s="15">
        <v>46191</v>
      </c>
      <c r="I740" t="s">
        <v>3080</v>
      </c>
      <c r="J740" t="s">
        <v>16</v>
      </c>
      <c r="K740" t="s">
        <v>185</v>
      </c>
      <c r="N740">
        <v>0</v>
      </c>
      <c r="O740" t="s">
        <v>222</v>
      </c>
      <c r="P740">
        <v>0</v>
      </c>
      <c r="U740" s="15"/>
    </row>
    <row r="741" spans="1:21" x14ac:dyDescent="0.35">
      <c r="A741" t="s">
        <v>14</v>
      </c>
      <c r="B741" t="s">
        <v>497</v>
      </c>
      <c r="C741" t="s">
        <v>3081</v>
      </c>
      <c r="D741" t="s">
        <v>3082</v>
      </c>
      <c r="E741" t="s">
        <v>3083</v>
      </c>
      <c r="F741" t="s">
        <v>644</v>
      </c>
      <c r="G741" t="s">
        <v>3084</v>
      </c>
      <c r="H741" s="15">
        <v>46191</v>
      </c>
      <c r="I741" t="s">
        <v>3085</v>
      </c>
      <c r="J741" t="s">
        <v>233</v>
      </c>
      <c r="K741" t="s">
        <v>185</v>
      </c>
      <c r="N741">
        <v>0</v>
      </c>
      <c r="O741" t="s">
        <v>222</v>
      </c>
      <c r="P741">
        <v>0</v>
      </c>
      <c r="U741" s="15"/>
    </row>
    <row r="742" spans="1:21" x14ac:dyDescent="0.35">
      <c r="A742" t="s">
        <v>14</v>
      </c>
      <c r="B742" t="s">
        <v>497</v>
      </c>
      <c r="C742" t="s">
        <v>697</v>
      </c>
      <c r="D742" t="s">
        <v>698</v>
      </c>
      <c r="E742" t="s">
        <v>699</v>
      </c>
      <c r="F742" t="s">
        <v>644</v>
      </c>
      <c r="G742" t="s">
        <v>3084</v>
      </c>
      <c r="H742" s="15">
        <v>46191</v>
      </c>
      <c r="I742" t="s">
        <v>3086</v>
      </c>
      <c r="J742" t="s">
        <v>233</v>
      </c>
      <c r="K742" t="s">
        <v>185</v>
      </c>
      <c r="N742">
        <v>0</v>
      </c>
      <c r="O742" t="s">
        <v>222</v>
      </c>
      <c r="P742">
        <v>0</v>
      </c>
      <c r="U742" s="15"/>
    </row>
    <row r="743" spans="1:21" x14ac:dyDescent="0.35">
      <c r="A743" t="s">
        <v>14</v>
      </c>
      <c r="B743" t="s">
        <v>497</v>
      </c>
      <c r="C743" t="s">
        <v>515</v>
      </c>
      <c r="D743" t="s">
        <v>516</v>
      </c>
      <c r="E743" t="s">
        <v>517</v>
      </c>
      <c r="F743" t="s">
        <v>501</v>
      </c>
      <c r="G743" t="s">
        <v>1532</v>
      </c>
      <c r="H743" s="15">
        <v>46141</v>
      </c>
      <c r="I743" t="s">
        <v>1534</v>
      </c>
      <c r="J743" t="s">
        <v>233</v>
      </c>
      <c r="K743" t="s">
        <v>185</v>
      </c>
      <c r="N743">
        <v>0</v>
      </c>
      <c r="O743" t="s">
        <v>222</v>
      </c>
      <c r="P743">
        <v>0</v>
      </c>
      <c r="U743" s="15"/>
    </row>
    <row r="744" spans="1:21" x14ac:dyDescent="0.35">
      <c r="A744" t="s">
        <v>14</v>
      </c>
      <c r="B744" t="s">
        <v>497</v>
      </c>
      <c r="C744" t="s">
        <v>521</v>
      </c>
      <c r="D744" t="s">
        <v>522</v>
      </c>
      <c r="E744" t="s">
        <v>523</v>
      </c>
      <c r="F744" t="s">
        <v>501</v>
      </c>
      <c r="G744" t="s">
        <v>1535</v>
      </c>
      <c r="H744" s="15">
        <v>46142</v>
      </c>
      <c r="I744" t="s">
        <v>1536</v>
      </c>
      <c r="J744" t="s">
        <v>16</v>
      </c>
      <c r="K744" t="s">
        <v>185</v>
      </c>
      <c r="N744">
        <v>0</v>
      </c>
      <c r="O744" t="s">
        <v>222</v>
      </c>
      <c r="P744">
        <v>0</v>
      </c>
      <c r="U744" s="15"/>
    </row>
    <row r="745" spans="1:21" x14ac:dyDescent="0.35">
      <c r="A745" t="s">
        <v>14</v>
      </c>
      <c r="B745" t="s">
        <v>497</v>
      </c>
      <c r="C745" t="s">
        <v>504</v>
      </c>
      <c r="D745" t="s">
        <v>505</v>
      </c>
      <c r="E745" t="s">
        <v>506</v>
      </c>
      <c r="F745" t="s">
        <v>501</v>
      </c>
      <c r="G745" t="s">
        <v>1535</v>
      </c>
      <c r="H745" s="15">
        <v>46142</v>
      </c>
      <c r="I745" t="s">
        <v>1537</v>
      </c>
      <c r="J745" t="s">
        <v>16</v>
      </c>
      <c r="K745" t="s">
        <v>185</v>
      </c>
      <c r="N745">
        <v>0</v>
      </c>
      <c r="O745" t="s">
        <v>222</v>
      </c>
      <c r="P745">
        <v>0</v>
      </c>
      <c r="U745" s="15"/>
    </row>
    <row r="746" spans="1:21" x14ac:dyDescent="0.35">
      <c r="A746" t="s">
        <v>14</v>
      </c>
      <c r="B746" t="s">
        <v>497</v>
      </c>
      <c r="C746" t="s">
        <v>692</v>
      </c>
      <c r="D746" t="s">
        <v>693</v>
      </c>
      <c r="E746" t="s">
        <v>694</v>
      </c>
      <c r="F746" t="s">
        <v>644</v>
      </c>
      <c r="G746" t="s">
        <v>3087</v>
      </c>
      <c r="H746" s="15">
        <v>46192</v>
      </c>
      <c r="I746" t="s">
        <v>3088</v>
      </c>
      <c r="J746" t="s">
        <v>16</v>
      </c>
      <c r="K746" t="s">
        <v>185</v>
      </c>
      <c r="N746">
        <v>0</v>
      </c>
      <c r="O746" t="s">
        <v>222</v>
      </c>
      <c r="P746">
        <v>0</v>
      </c>
      <c r="U746" s="15"/>
    </row>
    <row r="747" spans="1:21" x14ac:dyDescent="0.35">
      <c r="A747" t="s">
        <v>14</v>
      </c>
      <c r="B747" t="s">
        <v>497</v>
      </c>
      <c r="C747" t="s">
        <v>667</v>
      </c>
      <c r="D747" t="s">
        <v>668</v>
      </c>
      <c r="E747" t="s">
        <v>669</v>
      </c>
      <c r="F747" t="s">
        <v>644</v>
      </c>
      <c r="G747" t="s">
        <v>3087</v>
      </c>
      <c r="H747" s="15">
        <v>46192</v>
      </c>
      <c r="I747" t="s">
        <v>3089</v>
      </c>
      <c r="J747" t="s">
        <v>16</v>
      </c>
      <c r="K747" t="s">
        <v>185</v>
      </c>
      <c r="N747">
        <v>0</v>
      </c>
      <c r="O747" t="s">
        <v>222</v>
      </c>
      <c r="P747">
        <v>0</v>
      </c>
      <c r="U747" s="15"/>
    </row>
    <row r="748" spans="1:21" x14ac:dyDescent="0.35">
      <c r="A748" t="s">
        <v>14</v>
      </c>
      <c r="B748" t="s">
        <v>497</v>
      </c>
      <c r="C748" t="s">
        <v>498</v>
      </c>
      <c r="D748" t="s">
        <v>499</v>
      </c>
      <c r="E748" t="s">
        <v>500</v>
      </c>
      <c r="F748" t="s">
        <v>501</v>
      </c>
      <c r="G748" t="s">
        <v>1538</v>
      </c>
      <c r="H748" s="15">
        <v>46142</v>
      </c>
      <c r="I748" t="s">
        <v>1539</v>
      </c>
      <c r="J748" t="s">
        <v>233</v>
      </c>
      <c r="K748" t="s">
        <v>185</v>
      </c>
      <c r="N748">
        <v>0</v>
      </c>
      <c r="O748" t="s">
        <v>222</v>
      </c>
      <c r="P748">
        <v>0</v>
      </c>
      <c r="U748" s="15"/>
    </row>
    <row r="749" spans="1:21" x14ac:dyDescent="0.35">
      <c r="A749" t="s">
        <v>14</v>
      </c>
      <c r="B749" t="s">
        <v>497</v>
      </c>
      <c r="C749" t="s">
        <v>651</v>
      </c>
      <c r="D749" t="s">
        <v>652</v>
      </c>
      <c r="E749" t="s">
        <v>653</v>
      </c>
      <c r="F749" t="s">
        <v>644</v>
      </c>
      <c r="G749" t="s">
        <v>3090</v>
      </c>
      <c r="H749" s="15">
        <v>46192</v>
      </c>
      <c r="I749" t="s">
        <v>3091</v>
      </c>
      <c r="J749" t="s">
        <v>233</v>
      </c>
      <c r="K749" t="s">
        <v>185</v>
      </c>
      <c r="N749">
        <v>0</v>
      </c>
      <c r="O749" t="s">
        <v>222</v>
      </c>
      <c r="P749">
        <v>0</v>
      </c>
      <c r="U749" s="15"/>
    </row>
    <row r="750" spans="1:21" x14ac:dyDescent="0.35">
      <c r="A750" t="s">
        <v>14</v>
      </c>
      <c r="B750" t="s">
        <v>497</v>
      </c>
      <c r="C750" t="s">
        <v>765</v>
      </c>
      <c r="D750" t="s">
        <v>766</v>
      </c>
      <c r="E750" t="s">
        <v>767</v>
      </c>
      <c r="F750" t="s">
        <v>644</v>
      </c>
      <c r="G750" t="s">
        <v>3090</v>
      </c>
      <c r="H750" s="15">
        <v>46192</v>
      </c>
      <c r="I750" t="s">
        <v>3092</v>
      </c>
      <c r="J750" t="s">
        <v>233</v>
      </c>
      <c r="K750" t="s">
        <v>185</v>
      </c>
      <c r="N750">
        <v>0</v>
      </c>
      <c r="O750" t="s">
        <v>222</v>
      </c>
      <c r="P750">
        <v>0</v>
      </c>
      <c r="U750" s="15"/>
    </row>
    <row r="751" spans="1:21" x14ac:dyDescent="0.35">
      <c r="A751" t="s">
        <v>14</v>
      </c>
      <c r="B751" t="s">
        <v>497</v>
      </c>
      <c r="C751" t="s">
        <v>498</v>
      </c>
      <c r="D751" t="s">
        <v>499</v>
      </c>
      <c r="E751" t="s">
        <v>500</v>
      </c>
      <c r="F751" t="s">
        <v>501</v>
      </c>
      <c r="G751" t="s">
        <v>1540</v>
      </c>
      <c r="H751" s="15">
        <v>46144</v>
      </c>
      <c r="I751" t="s">
        <v>1541</v>
      </c>
      <c r="J751" t="s">
        <v>16</v>
      </c>
      <c r="K751" t="s">
        <v>185</v>
      </c>
      <c r="N751">
        <v>0</v>
      </c>
      <c r="O751" t="s">
        <v>222</v>
      </c>
      <c r="P751">
        <v>0</v>
      </c>
      <c r="U751" s="15"/>
    </row>
    <row r="752" spans="1:21" x14ac:dyDescent="0.35">
      <c r="A752" t="s">
        <v>14</v>
      </c>
      <c r="B752" t="s">
        <v>497</v>
      </c>
      <c r="C752" t="s">
        <v>504</v>
      </c>
      <c r="D752" t="s">
        <v>505</v>
      </c>
      <c r="E752" t="s">
        <v>506</v>
      </c>
      <c r="F752" t="s">
        <v>501</v>
      </c>
      <c r="G752" t="s">
        <v>1540</v>
      </c>
      <c r="H752" s="15">
        <v>46144</v>
      </c>
      <c r="I752" t="s">
        <v>1542</v>
      </c>
      <c r="J752" t="s">
        <v>16</v>
      </c>
      <c r="K752" t="s">
        <v>185</v>
      </c>
      <c r="N752">
        <v>0</v>
      </c>
      <c r="O752" t="s">
        <v>222</v>
      </c>
      <c r="P752">
        <v>0</v>
      </c>
      <c r="U752" s="15"/>
    </row>
    <row r="753" spans="1:21" x14ac:dyDescent="0.35">
      <c r="A753" t="s">
        <v>14</v>
      </c>
      <c r="B753" t="s">
        <v>497</v>
      </c>
      <c r="C753" t="s">
        <v>651</v>
      </c>
      <c r="D753" t="s">
        <v>652</v>
      </c>
      <c r="E753" t="s">
        <v>653</v>
      </c>
      <c r="F753" t="s">
        <v>644</v>
      </c>
      <c r="G753" t="s">
        <v>3093</v>
      </c>
      <c r="H753" s="15">
        <v>46193</v>
      </c>
      <c r="I753" t="s">
        <v>3094</v>
      </c>
      <c r="J753" t="s">
        <v>16</v>
      </c>
      <c r="K753" t="s">
        <v>185</v>
      </c>
      <c r="N753">
        <v>0</v>
      </c>
      <c r="O753" t="s">
        <v>222</v>
      </c>
      <c r="P753">
        <v>0</v>
      </c>
      <c r="U753" s="15"/>
    </row>
    <row r="754" spans="1:21" x14ac:dyDescent="0.35">
      <c r="A754" t="s">
        <v>14</v>
      </c>
      <c r="B754" t="s">
        <v>497</v>
      </c>
      <c r="C754" t="s">
        <v>667</v>
      </c>
      <c r="D754" t="s">
        <v>668</v>
      </c>
      <c r="E754" t="s">
        <v>669</v>
      </c>
      <c r="F754" t="s">
        <v>644</v>
      </c>
      <c r="G754" t="s">
        <v>3095</v>
      </c>
      <c r="H754" s="15">
        <v>46193</v>
      </c>
      <c r="I754" t="s">
        <v>3096</v>
      </c>
      <c r="J754" t="s">
        <v>233</v>
      </c>
      <c r="K754" t="s">
        <v>185</v>
      </c>
      <c r="N754">
        <v>0</v>
      </c>
      <c r="O754" t="s">
        <v>222</v>
      </c>
      <c r="P754">
        <v>0</v>
      </c>
      <c r="U754" s="15"/>
    </row>
    <row r="755" spans="1:21" x14ac:dyDescent="0.35">
      <c r="A755" t="s">
        <v>14</v>
      </c>
      <c r="B755" t="s">
        <v>497</v>
      </c>
      <c r="C755" t="s">
        <v>498</v>
      </c>
      <c r="D755" t="s">
        <v>499</v>
      </c>
      <c r="E755" t="s">
        <v>500</v>
      </c>
      <c r="F755" t="s">
        <v>501</v>
      </c>
      <c r="G755" t="s">
        <v>1543</v>
      </c>
      <c r="H755" s="15">
        <v>46144</v>
      </c>
      <c r="I755" t="s">
        <v>1544</v>
      </c>
      <c r="J755" t="s">
        <v>233</v>
      </c>
      <c r="K755" t="s">
        <v>185</v>
      </c>
      <c r="N755">
        <v>0</v>
      </c>
      <c r="O755" t="s">
        <v>222</v>
      </c>
      <c r="P755">
        <v>0</v>
      </c>
      <c r="U755" s="15"/>
    </row>
    <row r="756" spans="1:21" x14ac:dyDescent="0.35">
      <c r="A756" t="s">
        <v>14</v>
      </c>
      <c r="B756" t="s">
        <v>497</v>
      </c>
      <c r="C756" t="s">
        <v>1164</v>
      </c>
      <c r="D756" t="s">
        <v>1165</v>
      </c>
      <c r="E756" t="s">
        <v>1166</v>
      </c>
      <c r="F756" t="s">
        <v>644</v>
      </c>
      <c r="G756" t="s">
        <v>3097</v>
      </c>
      <c r="H756" s="15">
        <v>46195</v>
      </c>
      <c r="I756" t="s">
        <v>3098</v>
      </c>
      <c r="J756" t="s">
        <v>233</v>
      </c>
      <c r="K756" t="s">
        <v>185</v>
      </c>
      <c r="N756">
        <v>0</v>
      </c>
      <c r="O756" t="s">
        <v>222</v>
      </c>
      <c r="P756">
        <v>0</v>
      </c>
      <c r="U756" s="15"/>
    </row>
    <row r="757" spans="1:21" x14ac:dyDescent="0.35">
      <c r="A757" t="s">
        <v>14</v>
      </c>
      <c r="B757" t="s">
        <v>497</v>
      </c>
      <c r="C757" t="s">
        <v>821</v>
      </c>
      <c r="D757" t="s">
        <v>822</v>
      </c>
      <c r="E757" t="s">
        <v>823</v>
      </c>
      <c r="F757" t="s">
        <v>644</v>
      </c>
      <c r="G757" t="s">
        <v>3097</v>
      </c>
      <c r="H757" s="15">
        <v>46195</v>
      </c>
      <c r="I757" t="s">
        <v>3099</v>
      </c>
      <c r="J757" t="s">
        <v>233</v>
      </c>
      <c r="K757" t="s">
        <v>185</v>
      </c>
      <c r="N757">
        <v>0</v>
      </c>
      <c r="O757" t="s">
        <v>222</v>
      </c>
      <c r="P757">
        <v>0</v>
      </c>
      <c r="U757" s="15"/>
    </row>
    <row r="758" spans="1:21" x14ac:dyDescent="0.35">
      <c r="A758" t="s">
        <v>14</v>
      </c>
      <c r="B758" t="s">
        <v>497</v>
      </c>
      <c r="C758" t="s">
        <v>498</v>
      </c>
      <c r="D758" t="s">
        <v>499</v>
      </c>
      <c r="E758" t="s">
        <v>500</v>
      </c>
      <c r="F758" t="s">
        <v>501</v>
      </c>
      <c r="G758" t="s">
        <v>1545</v>
      </c>
      <c r="H758" s="15">
        <v>46146</v>
      </c>
      <c r="I758" t="s">
        <v>1546</v>
      </c>
      <c r="J758" t="s">
        <v>16</v>
      </c>
      <c r="K758" t="s">
        <v>185</v>
      </c>
      <c r="N758">
        <v>0</v>
      </c>
      <c r="O758" t="s">
        <v>222</v>
      </c>
      <c r="P758">
        <v>0</v>
      </c>
      <c r="U758" s="15"/>
    </row>
    <row r="759" spans="1:21" x14ac:dyDescent="0.35">
      <c r="A759" t="s">
        <v>14</v>
      </c>
      <c r="B759" t="s">
        <v>497</v>
      </c>
      <c r="C759" t="s">
        <v>504</v>
      </c>
      <c r="D759" t="s">
        <v>505</v>
      </c>
      <c r="E759" t="s">
        <v>506</v>
      </c>
      <c r="F759" t="s">
        <v>501</v>
      </c>
      <c r="G759" t="s">
        <v>1545</v>
      </c>
      <c r="H759" s="15">
        <v>46146</v>
      </c>
      <c r="I759" t="s">
        <v>1547</v>
      </c>
      <c r="J759" t="s">
        <v>16</v>
      </c>
      <c r="K759" t="s">
        <v>185</v>
      </c>
      <c r="N759">
        <v>0</v>
      </c>
      <c r="O759" t="s">
        <v>222</v>
      </c>
      <c r="P759">
        <v>0</v>
      </c>
      <c r="U759" s="15"/>
    </row>
    <row r="760" spans="1:21" x14ac:dyDescent="0.35">
      <c r="A760" t="s">
        <v>14</v>
      </c>
      <c r="B760" t="s">
        <v>497</v>
      </c>
      <c r="C760" t="s">
        <v>750</v>
      </c>
      <c r="D760" t="s">
        <v>751</v>
      </c>
      <c r="E760" t="s">
        <v>752</v>
      </c>
      <c r="F760" t="s">
        <v>644</v>
      </c>
      <c r="G760" t="s">
        <v>3100</v>
      </c>
      <c r="H760" s="15">
        <v>46196</v>
      </c>
      <c r="I760" t="s">
        <v>3101</v>
      </c>
      <c r="J760" t="s">
        <v>16</v>
      </c>
      <c r="K760" t="s">
        <v>185</v>
      </c>
      <c r="N760">
        <v>0</v>
      </c>
      <c r="O760" t="s">
        <v>222</v>
      </c>
      <c r="P760">
        <v>0</v>
      </c>
      <c r="U760" s="15"/>
    </row>
    <row r="761" spans="1:21" x14ac:dyDescent="0.35">
      <c r="A761" t="s">
        <v>14</v>
      </c>
      <c r="B761" t="s">
        <v>497</v>
      </c>
      <c r="C761" t="s">
        <v>647</v>
      </c>
      <c r="D761" t="s">
        <v>648</v>
      </c>
      <c r="E761" t="s">
        <v>649</v>
      </c>
      <c r="F761" t="s">
        <v>644</v>
      </c>
      <c r="G761" t="s">
        <v>3100</v>
      </c>
      <c r="H761" s="15">
        <v>46196</v>
      </c>
      <c r="I761" t="s">
        <v>3102</v>
      </c>
      <c r="J761" t="s">
        <v>16</v>
      </c>
      <c r="K761" t="s">
        <v>185</v>
      </c>
      <c r="N761">
        <v>0</v>
      </c>
      <c r="O761" t="s">
        <v>222</v>
      </c>
      <c r="P761">
        <v>0</v>
      </c>
      <c r="U761" s="15"/>
    </row>
    <row r="762" spans="1:21" x14ac:dyDescent="0.35">
      <c r="A762" t="s">
        <v>14</v>
      </c>
      <c r="B762" t="s">
        <v>497</v>
      </c>
      <c r="C762" t="s">
        <v>641</v>
      </c>
      <c r="D762" t="s">
        <v>642</v>
      </c>
      <c r="E762" t="s">
        <v>643</v>
      </c>
      <c r="F762" t="s">
        <v>644</v>
      </c>
      <c r="G762" t="s">
        <v>3103</v>
      </c>
      <c r="H762" s="15">
        <v>46196</v>
      </c>
      <c r="I762" t="s">
        <v>3104</v>
      </c>
      <c r="J762" t="s">
        <v>233</v>
      </c>
      <c r="K762" t="s">
        <v>185</v>
      </c>
      <c r="N762">
        <v>0</v>
      </c>
      <c r="O762" t="s">
        <v>222</v>
      </c>
      <c r="P762">
        <v>0</v>
      </c>
      <c r="U762" s="15"/>
    </row>
    <row r="763" spans="1:21" x14ac:dyDescent="0.35">
      <c r="A763" t="s">
        <v>14</v>
      </c>
      <c r="B763" t="s">
        <v>497</v>
      </c>
      <c r="C763" t="s">
        <v>498</v>
      </c>
      <c r="D763" t="s">
        <v>499</v>
      </c>
      <c r="E763" t="s">
        <v>500</v>
      </c>
      <c r="F763" t="s">
        <v>501</v>
      </c>
      <c r="G763" t="s">
        <v>1548</v>
      </c>
      <c r="H763" s="15">
        <v>46146</v>
      </c>
      <c r="I763" t="s">
        <v>1549</v>
      </c>
      <c r="J763" t="s">
        <v>233</v>
      </c>
      <c r="K763" t="s">
        <v>185</v>
      </c>
      <c r="N763">
        <v>0</v>
      </c>
      <c r="O763" t="s">
        <v>222</v>
      </c>
      <c r="P763">
        <v>0</v>
      </c>
      <c r="U763" s="15"/>
    </row>
    <row r="764" spans="1:21" x14ac:dyDescent="0.35">
      <c r="A764" t="s">
        <v>14</v>
      </c>
      <c r="B764" t="s">
        <v>497</v>
      </c>
      <c r="C764" t="s">
        <v>1550</v>
      </c>
      <c r="D764" t="s">
        <v>1551</v>
      </c>
      <c r="E764" t="s">
        <v>1552</v>
      </c>
      <c r="F764" t="s">
        <v>501</v>
      </c>
      <c r="G764" t="s">
        <v>1553</v>
      </c>
      <c r="H764" s="15">
        <v>46147</v>
      </c>
      <c r="I764" t="s">
        <v>1554</v>
      </c>
      <c r="J764" t="s">
        <v>16</v>
      </c>
      <c r="K764" t="s">
        <v>185</v>
      </c>
      <c r="N764">
        <v>0</v>
      </c>
      <c r="O764" t="s">
        <v>222</v>
      </c>
      <c r="P764">
        <v>0</v>
      </c>
      <c r="U764" s="15"/>
    </row>
    <row r="765" spans="1:21" x14ac:dyDescent="0.35">
      <c r="A765" t="s">
        <v>14</v>
      </c>
      <c r="B765" t="s">
        <v>497</v>
      </c>
      <c r="C765" t="s">
        <v>2004</v>
      </c>
      <c r="D765" t="s">
        <v>2005</v>
      </c>
      <c r="E765" t="s">
        <v>2006</v>
      </c>
      <c r="F765" t="s">
        <v>644</v>
      </c>
      <c r="G765" t="s">
        <v>3103</v>
      </c>
      <c r="H765" s="15">
        <v>46196</v>
      </c>
      <c r="I765" t="s">
        <v>3105</v>
      </c>
      <c r="J765" t="s">
        <v>233</v>
      </c>
      <c r="K765" t="s">
        <v>185</v>
      </c>
      <c r="N765">
        <v>0</v>
      </c>
      <c r="O765" t="s">
        <v>222</v>
      </c>
      <c r="P765">
        <v>0</v>
      </c>
      <c r="U765" s="15"/>
    </row>
    <row r="766" spans="1:21" x14ac:dyDescent="0.35">
      <c r="A766" t="s">
        <v>14</v>
      </c>
      <c r="B766" t="s">
        <v>497</v>
      </c>
      <c r="C766" t="s">
        <v>682</v>
      </c>
      <c r="D766" t="s">
        <v>683</v>
      </c>
      <c r="E766" t="s">
        <v>683</v>
      </c>
      <c r="F766" t="s">
        <v>644</v>
      </c>
      <c r="G766" t="s">
        <v>3106</v>
      </c>
      <c r="H766" s="15">
        <v>46197</v>
      </c>
      <c r="I766" t="s">
        <v>3107</v>
      </c>
      <c r="J766" t="s">
        <v>16</v>
      </c>
      <c r="K766" t="s">
        <v>185</v>
      </c>
      <c r="N766">
        <v>0</v>
      </c>
      <c r="O766" t="s">
        <v>222</v>
      </c>
      <c r="P766">
        <v>0</v>
      </c>
      <c r="U766" s="15"/>
    </row>
    <row r="767" spans="1:21" x14ac:dyDescent="0.35">
      <c r="A767" t="s">
        <v>14</v>
      </c>
      <c r="B767" t="s">
        <v>497</v>
      </c>
      <c r="C767" t="s">
        <v>515</v>
      </c>
      <c r="D767" t="s">
        <v>516</v>
      </c>
      <c r="E767" t="s">
        <v>517</v>
      </c>
      <c r="F767" t="s">
        <v>501</v>
      </c>
      <c r="G767" t="s">
        <v>1555</v>
      </c>
      <c r="H767" s="15">
        <v>46147</v>
      </c>
      <c r="I767" t="s">
        <v>1556</v>
      </c>
      <c r="J767" t="s">
        <v>233</v>
      </c>
      <c r="K767" t="s">
        <v>185</v>
      </c>
      <c r="N767">
        <v>0</v>
      </c>
      <c r="O767" t="s">
        <v>222</v>
      </c>
      <c r="P767">
        <v>0</v>
      </c>
      <c r="U767" s="15"/>
    </row>
    <row r="768" spans="1:21" x14ac:dyDescent="0.35">
      <c r="A768" t="s">
        <v>14</v>
      </c>
      <c r="B768" t="s">
        <v>497</v>
      </c>
      <c r="C768" t="s">
        <v>515</v>
      </c>
      <c r="D768" t="s">
        <v>516</v>
      </c>
      <c r="E768" t="s">
        <v>517</v>
      </c>
      <c r="F768" t="s">
        <v>501</v>
      </c>
      <c r="G768" t="s">
        <v>1557</v>
      </c>
      <c r="H768" s="15">
        <v>46148</v>
      </c>
      <c r="I768" t="s">
        <v>1558</v>
      </c>
      <c r="J768" t="s">
        <v>16</v>
      </c>
      <c r="K768" t="s">
        <v>185</v>
      </c>
      <c r="N768">
        <v>0</v>
      </c>
      <c r="O768" t="s">
        <v>222</v>
      </c>
      <c r="P768">
        <v>0</v>
      </c>
      <c r="U768" s="15"/>
    </row>
    <row r="769" spans="1:21" x14ac:dyDescent="0.35">
      <c r="A769" t="s">
        <v>14</v>
      </c>
      <c r="B769" t="s">
        <v>497</v>
      </c>
      <c r="C769" t="s">
        <v>662</v>
      </c>
      <c r="D769" t="s">
        <v>663</v>
      </c>
      <c r="E769" t="s">
        <v>664</v>
      </c>
      <c r="F769" t="s">
        <v>644</v>
      </c>
      <c r="G769" t="s">
        <v>3106</v>
      </c>
      <c r="H769" s="15">
        <v>46197</v>
      </c>
      <c r="I769" t="s">
        <v>3108</v>
      </c>
      <c r="J769" t="s">
        <v>16</v>
      </c>
      <c r="K769" t="s">
        <v>185</v>
      </c>
      <c r="N769">
        <v>0</v>
      </c>
      <c r="O769" t="s">
        <v>222</v>
      </c>
      <c r="P769">
        <v>0</v>
      </c>
      <c r="U769" s="15"/>
    </row>
    <row r="770" spans="1:21" x14ac:dyDescent="0.35">
      <c r="A770" t="s">
        <v>14</v>
      </c>
      <c r="B770" t="s">
        <v>497</v>
      </c>
      <c r="C770" t="s">
        <v>667</v>
      </c>
      <c r="D770" t="s">
        <v>668</v>
      </c>
      <c r="E770" t="s">
        <v>669</v>
      </c>
      <c r="F770" t="s">
        <v>644</v>
      </c>
      <c r="G770" t="s">
        <v>3109</v>
      </c>
      <c r="H770" s="15">
        <v>46197</v>
      </c>
      <c r="I770" t="s">
        <v>3110</v>
      </c>
      <c r="J770" t="s">
        <v>233</v>
      </c>
      <c r="K770" t="s">
        <v>185</v>
      </c>
      <c r="N770">
        <v>0</v>
      </c>
      <c r="O770" t="s">
        <v>222</v>
      </c>
      <c r="P770">
        <v>0</v>
      </c>
      <c r="U770" s="15"/>
    </row>
    <row r="771" spans="1:21" x14ac:dyDescent="0.35">
      <c r="A771" t="s">
        <v>14</v>
      </c>
      <c r="B771" t="s">
        <v>497</v>
      </c>
      <c r="C771" t="s">
        <v>641</v>
      </c>
      <c r="D771" t="s">
        <v>642</v>
      </c>
      <c r="E771" t="s">
        <v>643</v>
      </c>
      <c r="F771" t="s">
        <v>644</v>
      </c>
      <c r="G771" t="s">
        <v>3111</v>
      </c>
      <c r="H771" s="15">
        <v>46198</v>
      </c>
      <c r="I771" t="s">
        <v>3112</v>
      </c>
      <c r="J771" t="s">
        <v>16</v>
      </c>
      <c r="K771" t="s">
        <v>185</v>
      </c>
      <c r="N771">
        <v>0</v>
      </c>
      <c r="O771" t="s">
        <v>222</v>
      </c>
      <c r="P771">
        <v>0</v>
      </c>
      <c r="U771" s="15"/>
    </row>
    <row r="772" spans="1:21" x14ac:dyDescent="0.35">
      <c r="A772" t="s">
        <v>14</v>
      </c>
      <c r="B772" t="s">
        <v>497</v>
      </c>
      <c r="C772" t="s">
        <v>557</v>
      </c>
      <c r="D772" t="s">
        <v>558</v>
      </c>
      <c r="E772" t="s">
        <v>559</v>
      </c>
      <c r="F772" t="s">
        <v>501</v>
      </c>
      <c r="G772" t="s">
        <v>1557</v>
      </c>
      <c r="H772" s="15">
        <v>46148</v>
      </c>
      <c r="I772" t="s">
        <v>1559</v>
      </c>
      <c r="J772" t="s">
        <v>16</v>
      </c>
      <c r="K772" t="s">
        <v>185</v>
      </c>
      <c r="N772">
        <v>0</v>
      </c>
      <c r="O772" t="s">
        <v>222</v>
      </c>
      <c r="P772">
        <v>0</v>
      </c>
      <c r="U772" s="15"/>
    </row>
    <row r="773" spans="1:21" x14ac:dyDescent="0.35">
      <c r="A773" t="s">
        <v>14</v>
      </c>
      <c r="B773" t="s">
        <v>497</v>
      </c>
      <c r="C773" t="s">
        <v>557</v>
      </c>
      <c r="D773" t="s">
        <v>558</v>
      </c>
      <c r="E773" t="s">
        <v>559</v>
      </c>
      <c r="F773" t="s">
        <v>501</v>
      </c>
      <c r="G773" t="s">
        <v>1557</v>
      </c>
      <c r="H773" s="15">
        <v>46148</v>
      </c>
      <c r="I773" t="s">
        <v>1559</v>
      </c>
      <c r="J773" t="s">
        <v>16</v>
      </c>
      <c r="K773" t="s">
        <v>185</v>
      </c>
      <c r="N773">
        <v>0</v>
      </c>
      <c r="O773" t="s">
        <v>222</v>
      </c>
      <c r="P773">
        <v>0</v>
      </c>
      <c r="U773" s="15"/>
    </row>
    <row r="774" spans="1:21" x14ac:dyDescent="0.35">
      <c r="A774" t="s">
        <v>14</v>
      </c>
      <c r="B774" t="s">
        <v>497</v>
      </c>
      <c r="C774" t="s">
        <v>515</v>
      </c>
      <c r="D774" t="s">
        <v>516</v>
      </c>
      <c r="E774" t="s">
        <v>517</v>
      </c>
      <c r="F774" t="s">
        <v>501</v>
      </c>
      <c r="G774" t="s">
        <v>1560</v>
      </c>
      <c r="H774" s="15">
        <v>46148</v>
      </c>
      <c r="I774" t="s">
        <v>1561</v>
      </c>
      <c r="J774" t="s">
        <v>233</v>
      </c>
      <c r="K774" t="s">
        <v>185</v>
      </c>
      <c r="N774">
        <v>0</v>
      </c>
      <c r="O774" t="s">
        <v>222</v>
      </c>
      <c r="P774">
        <v>0</v>
      </c>
      <c r="U774" s="15"/>
    </row>
    <row r="775" spans="1:21" x14ac:dyDescent="0.35">
      <c r="A775" t="s">
        <v>14</v>
      </c>
      <c r="B775" t="s">
        <v>497</v>
      </c>
      <c r="C775" t="s">
        <v>515</v>
      </c>
      <c r="D775" t="s">
        <v>516</v>
      </c>
      <c r="E775" t="s">
        <v>517</v>
      </c>
      <c r="F775" t="s">
        <v>501</v>
      </c>
      <c r="G775" t="s">
        <v>1562</v>
      </c>
      <c r="H775" s="15">
        <v>46149</v>
      </c>
      <c r="I775" t="s">
        <v>1563</v>
      </c>
      <c r="J775" t="s">
        <v>16</v>
      </c>
      <c r="K775" t="s">
        <v>185</v>
      </c>
      <c r="N775">
        <v>0</v>
      </c>
      <c r="O775" t="s">
        <v>222</v>
      </c>
      <c r="P775">
        <v>0</v>
      </c>
      <c r="U775" s="15"/>
    </row>
    <row r="776" spans="1:21" x14ac:dyDescent="0.35">
      <c r="A776" t="s">
        <v>14</v>
      </c>
      <c r="B776" t="s">
        <v>497</v>
      </c>
      <c r="C776" t="s">
        <v>777</v>
      </c>
      <c r="D776" t="s">
        <v>778</v>
      </c>
      <c r="E776" t="s">
        <v>779</v>
      </c>
      <c r="F776" t="s">
        <v>644</v>
      </c>
      <c r="G776" t="s">
        <v>3111</v>
      </c>
      <c r="H776" s="15">
        <v>46198</v>
      </c>
      <c r="I776" t="s">
        <v>3113</v>
      </c>
      <c r="J776" t="s">
        <v>16</v>
      </c>
      <c r="K776" t="s">
        <v>185</v>
      </c>
      <c r="N776">
        <v>0</v>
      </c>
      <c r="O776" t="s">
        <v>222</v>
      </c>
      <c r="P776">
        <v>0</v>
      </c>
      <c r="U776" s="15"/>
    </row>
    <row r="777" spans="1:21" x14ac:dyDescent="0.35">
      <c r="A777" t="s">
        <v>14</v>
      </c>
      <c r="B777" t="s">
        <v>497</v>
      </c>
      <c r="C777" t="s">
        <v>2041</v>
      </c>
      <c r="D777" t="s">
        <v>2042</v>
      </c>
      <c r="E777" t="s">
        <v>2043</v>
      </c>
      <c r="F777" t="s">
        <v>644</v>
      </c>
      <c r="G777" t="s">
        <v>3114</v>
      </c>
      <c r="H777" s="15">
        <v>46198</v>
      </c>
      <c r="I777" t="s">
        <v>3115</v>
      </c>
      <c r="J777" t="s">
        <v>233</v>
      </c>
      <c r="K777" t="s">
        <v>185</v>
      </c>
      <c r="N777">
        <v>0</v>
      </c>
      <c r="O777" t="s">
        <v>222</v>
      </c>
      <c r="P777">
        <v>0</v>
      </c>
      <c r="U777" s="15"/>
    </row>
    <row r="778" spans="1:21" x14ac:dyDescent="0.35">
      <c r="A778" t="s">
        <v>14</v>
      </c>
      <c r="B778" t="s">
        <v>497</v>
      </c>
      <c r="C778" t="s">
        <v>536</v>
      </c>
      <c r="D778" t="s">
        <v>537</v>
      </c>
      <c r="E778" t="s">
        <v>538</v>
      </c>
      <c r="F778" t="s">
        <v>501</v>
      </c>
      <c r="G778" t="s">
        <v>1562</v>
      </c>
      <c r="H778" s="15">
        <v>46149</v>
      </c>
      <c r="I778" t="s">
        <v>1564</v>
      </c>
      <c r="J778" t="s">
        <v>16</v>
      </c>
      <c r="K778" t="s">
        <v>185</v>
      </c>
      <c r="N778">
        <v>0</v>
      </c>
      <c r="O778" t="s">
        <v>222</v>
      </c>
      <c r="P778">
        <v>0</v>
      </c>
      <c r="U778" s="15"/>
    </row>
    <row r="779" spans="1:21" x14ac:dyDescent="0.35">
      <c r="A779" t="s">
        <v>14</v>
      </c>
      <c r="B779" t="s">
        <v>497</v>
      </c>
      <c r="C779" t="s">
        <v>757</v>
      </c>
      <c r="D779" t="s">
        <v>758</v>
      </c>
      <c r="E779" t="s">
        <v>759</v>
      </c>
      <c r="F779" t="s">
        <v>644</v>
      </c>
      <c r="G779" t="s">
        <v>3116</v>
      </c>
      <c r="H779" s="15">
        <v>46199</v>
      </c>
      <c r="I779" t="s">
        <v>3117</v>
      </c>
      <c r="J779" t="s">
        <v>16</v>
      </c>
      <c r="K779" t="s">
        <v>185</v>
      </c>
      <c r="N779">
        <v>0</v>
      </c>
      <c r="O779" t="s">
        <v>222</v>
      </c>
      <c r="P779">
        <v>0</v>
      </c>
      <c r="U779" s="15"/>
    </row>
    <row r="780" spans="1:21" x14ac:dyDescent="0.35">
      <c r="A780" t="s">
        <v>14</v>
      </c>
      <c r="B780" t="s">
        <v>497</v>
      </c>
      <c r="C780" t="s">
        <v>667</v>
      </c>
      <c r="D780" t="s">
        <v>668</v>
      </c>
      <c r="E780" t="s">
        <v>669</v>
      </c>
      <c r="F780" t="s">
        <v>644</v>
      </c>
      <c r="G780" t="s">
        <v>3116</v>
      </c>
      <c r="H780" s="15">
        <v>46199</v>
      </c>
      <c r="I780" t="s">
        <v>3118</v>
      </c>
      <c r="J780" t="s">
        <v>16</v>
      </c>
      <c r="K780" t="s">
        <v>185</v>
      </c>
      <c r="N780">
        <v>0</v>
      </c>
      <c r="O780" t="s">
        <v>222</v>
      </c>
      <c r="P780">
        <v>0</v>
      </c>
      <c r="U780" s="15"/>
    </row>
    <row r="781" spans="1:21" x14ac:dyDescent="0.35">
      <c r="A781" t="s">
        <v>14</v>
      </c>
      <c r="B781" t="s">
        <v>497</v>
      </c>
      <c r="C781" t="s">
        <v>515</v>
      </c>
      <c r="D781" t="s">
        <v>516</v>
      </c>
      <c r="E781" t="s">
        <v>517</v>
      </c>
      <c r="F781" t="s">
        <v>501</v>
      </c>
      <c r="G781" t="s">
        <v>1565</v>
      </c>
      <c r="H781" s="15">
        <v>46149</v>
      </c>
      <c r="I781" t="s">
        <v>1566</v>
      </c>
      <c r="J781" t="s">
        <v>233</v>
      </c>
      <c r="K781" t="s">
        <v>185</v>
      </c>
      <c r="N781">
        <v>0</v>
      </c>
      <c r="O781" t="s">
        <v>222</v>
      </c>
      <c r="P781">
        <v>0</v>
      </c>
      <c r="U781" s="15"/>
    </row>
    <row r="782" spans="1:21" x14ac:dyDescent="0.35">
      <c r="A782" t="s">
        <v>14</v>
      </c>
      <c r="B782" t="s">
        <v>497</v>
      </c>
      <c r="C782" t="s">
        <v>515</v>
      </c>
      <c r="D782" t="s">
        <v>516</v>
      </c>
      <c r="E782" t="s">
        <v>517</v>
      </c>
      <c r="F782" t="s">
        <v>501</v>
      </c>
      <c r="G782" t="s">
        <v>1567</v>
      </c>
      <c r="H782" s="15">
        <v>46150</v>
      </c>
      <c r="I782" t="s">
        <v>1568</v>
      </c>
      <c r="J782" t="s">
        <v>16</v>
      </c>
      <c r="K782" t="s">
        <v>185</v>
      </c>
      <c r="N782">
        <v>0</v>
      </c>
      <c r="O782" t="s">
        <v>222</v>
      </c>
      <c r="P782">
        <v>0</v>
      </c>
      <c r="U782" s="15"/>
    </row>
    <row r="783" spans="1:21" x14ac:dyDescent="0.35">
      <c r="A783" t="s">
        <v>14</v>
      </c>
      <c r="B783" t="s">
        <v>497</v>
      </c>
      <c r="C783" t="s">
        <v>557</v>
      </c>
      <c r="D783" t="s">
        <v>558</v>
      </c>
      <c r="E783" t="s">
        <v>559</v>
      </c>
      <c r="F783" t="s">
        <v>501</v>
      </c>
      <c r="G783" t="s">
        <v>1567</v>
      </c>
      <c r="H783" s="15">
        <v>46150</v>
      </c>
      <c r="I783" t="s">
        <v>1569</v>
      </c>
      <c r="J783" t="s">
        <v>16</v>
      </c>
      <c r="K783" t="s">
        <v>185</v>
      </c>
      <c r="N783">
        <v>0</v>
      </c>
      <c r="O783" t="s">
        <v>222</v>
      </c>
      <c r="P783">
        <v>0</v>
      </c>
      <c r="U783" s="15"/>
    </row>
    <row r="784" spans="1:21" x14ac:dyDescent="0.35">
      <c r="A784" t="s">
        <v>14</v>
      </c>
      <c r="B784" t="s">
        <v>497</v>
      </c>
      <c r="C784" t="s">
        <v>662</v>
      </c>
      <c r="D784" t="s">
        <v>663</v>
      </c>
      <c r="E784" t="s">
        <v>664</v>
      </c>
      <c r="F784" t="s">
        <v>644</v>
      </c>
      <c r="G784" t="s">
        <v>3116</v>
      </c>
      <c r="H784" s="15">
        <v>46199</v>
      </c>
      <c r="I784" t="s">
        <v>3119</v>
      </c>
      <c r="J784" t="s">
        <v>16</v>
      </c>
      <c r="K784" t="s">
        <v>185</v>
      </c>
      <c r="N784">
        <v>0</v>
      </c>
      <c r="O784" t="s">
        <v>222</v>
      </c>
      <c r="P784">
        <v>0</v>
      </c>
      <c r="U784" s="15"/>
    </row>
    <row r="785" spans="1:21" x14ac:dyDescent="0.35">
      <c r="A785" t="s">
        <v>14</v>
      </c>
      <c r="B785" t="s">
        <v>497</v>
      </c>
      <c r="C785" t="s">
        <v>552</v>
      </c>
      <c r="D785" t="s">
        <v>553</v>
      </c>
      <c r="E785" t="s">
        <v>554</v>
      </c>
      <c r="F785" t="s">
        <v>501</v>
      </c>
      <c r="G785" t="s">
        <v>1570</v>
      </c>
      <c r="H785" s="15">
        <v>46150</v>
      </c>
      <c r="I785" t="s">
        <v>1571</v>
      </c>
      <c r="J785" t="s">
        <v>233</v>
      </c>
      <c r="K785" t="s">
        <v>185</v>
      </c>
      <c r="N785">
        <v>0</v>
      </c>
      <c r="O785" t="s">
        <v>222</v>
      </c>
      <c r="P785">
        <v>0</v>
      </c>
      <c r="U785" s="15"/>
    </row>
    <row r="786" spans="1:21" x14ac:dyDescent="0.35">
      <c r="A786" t="s">
        <v>14</v>
      </c>
      <c r="B786" t="s">
        <v>497</v>
      </c>
      <c r="C786" t="s">
        <v>1388</v>
      </c>
      <c r="D786" t="s">
        <v>1389</v>
      </c>
      <c r="E786" t="s">
        <v>1390</v>
      </c>
      <c r="F786" t="s">
        <v>501</v>
      </c>
      <c r="G786" t="s">
        <v>1570</v>
      </c>
      <c r="H786" s="15">
        <v>46150</v>
      </c>
      <c r="I786" t="s">
        <v>1572</v>
      </c>
      <c r="J786" t="s">
        <v>233</v>
      </c>
      <c r="K786" t="s">
        <v>185</v>
      </c>
      <c r="N786">
        <v>0</v>
      </c>
      <c r="O786" t="s">
        <v>222</v>
      </c>
      <c r="P786">
        <v>0</v>
      </c>
      <c r="U786" s="15"/>
    </row>
    <row r="787" spans="1:21" x14ac:dyDescent="0.35">
      <c r="A787" t="s">
        <v>14</v>
      </c>
      <c r="B787" t="s">
        <v>497</v>
      </c>
      <c r="C787" t="s">
        <v>552</v>
      </c>
      <c r="D787" t="s">
        <v>553</v>
      </c>
      <c r="E787" t="s">
        <v>554</v>
      </c>
      <c r="F787" t="s">
        <v>501</v>
      </c>
      <c r="G787" t="s">
        <v>1573</v>
      </c>
      <c r="H787" s="15">
        <v>46151</v>
      </c>
      <c r="I787" t="s">
        <v>1574</v>
      </c>
      <c r="J787" t="s">
        <v>16</v>
      </c>
      <c r="K787" t="s">
        <v>185</v>
      </c>
      <c r="N787">
        <v>0</v>
      </c>
      <c r="O787" t="s">
        <v>222</v>
      </c>
      <c r="P787">
        <v>0</v>
      </c>
      <c r="U787" s="15"/>
    </row>
    <row r="788" spans="1:21" x14ac:dyDescent="0.35">
      <c r="A788" t="s">
        <v>14</v>
      </c>
      <c r="B788" t="s">
        <v>497</v>
      </c>
      <c r="C788" t="s">
        <v>557</v>
      </c>
      <c r="D788" t="s">
        <v>558</v>
      </c>
      <c r="E788" t="s">
        <v>559</v>
      </c>
      <c r="F788" t="s">
        <v>501</v>
      </c>
      <c r="G788" t="s">
        <v>1573</v>
      </c>
      <c r="H788" s="15">
        <v>46151</v>
      </c>
      <c r="I788" t="s">
        <v>1575</v>
      </c>
      <c r="J788" t="s">
        <v>16</v>
      </c>
      <c r="K788" t="s">
        <v>185</v>
      </c>
      <c r="N788">
        <v>0</v>
      </c>
      <c r="O788" t="s">
        <v>222</v>
      </c>
      <c r="P788">
        <v>0</v>
      </c>
      <c r="U788" s="15"/>
    </row>
    <row r="789" spans="1:21" x14ac:dyDescent="0.35">
      <c r="A789" t="s">
        <v>14</v>
      </c>
      <c r="B789" t="s">
        <v>497</v>
      </c>
      <c r="C789" t="s">
        <v>552</v>
      </c>
      <c r="D789" t="s">
        <v>553</v>
      </c>
      <c r="E789" t="s">
        <v>554</v>
      </c>
      <c r="F789" t="s">
        <v>501</v>
      </c>
      <c r="G789" t="s">
        <v>1576</v>
      </c>
      <c r="H789" s="15">
        <v>46151</v>
      </c>
      <c r="I789" t="s">
        <v>1577</v>
      </c>
      <c r="J789" t="s">
        <v>233</v>
      </c>
      <c r="K789" t="s">
        <v>185</v>
      </c>
      <c r="N789">
        <v>0</v>
      </c>
      <c r="O789" t="s">
        <v>222</v>
      </c>
      <c r="P789">
        <v>0</v>
      </c>
      <c r="U789" s="15"/>
    </row>
    <row r="790" spans="1:21" x14ac:dyDescent="0.35">
      <c r="A790" t="s">
        <v>14</v>
      </c>
      <c r="B790" t="s">
        <v>497</v>
      </c>
      <c r="C790" t="s">
        <v>515</v>
      </c>
      <c r="D790" t="s">
        <v>516</v>
      </c>
      <c r="E790" t="s">
        <v>517</v>
      </c>
      <c r="F790" t="s">
        <v>501</v>
      </c>
      <c r="G790" t="s">
        <v>1578</v>
      </c>
      <c r="H790" s="15">
        <v>46153</v>
      </c>
      <c r="I790" t="s">
        <v>1579</v>
      </c>
      <c r="J790" t="s">
        <v>16</v>
      </c>
      <c r="K790" t="s">
        <v>185</v>
      </c>
      <c r="N790">
        <v>0</v>
      </c>
      <c r="O790" t="s">
        <v>222</v>
      </c>
      <c r="P790">
        <v>0</v>
      </c>
      <c r="U790" s="15"/>
    </row>
    <row r="791" spans="1:21" x14ac:dyDescent="0.35">
      <c r="A791" t="s">
        <v>14</v>
      </c>
      <c r="B791" t="s">
        <v>497</v>
      </c>
      <c r="C791" t="s">
        <v>899</v>
      </c>
      <c r="D791" t="s">
        <v>900</v>
      </c>
      <c r="E791" t="s">
        <v>901</v>
      </c>
      <c r="F791" t="s">
        <v>501</v>
      </c>
      <c r="G791" t="s">
        <v>1578</v>
      </c>
      <c r="H791" s="15">
        <v>46153</v>
      </c>
      <c r="I791" t="s">
        <v>1580</v>
      </c>
      <c r="J791" t="s">
        <v>16</v>
      </c>
      <c r="K791" t="s">
        <v>185</v>
      </c>
      <c r="N791">
        <v>0</v>
      </c>
      <c r="O791" t="s">
        <v>222</v>
      </c>
      <c r="P791">
        <v>0</v>
      </c>
      <c r="U791" s="15"/>
    </row>
    <row r="792" spans="1:21" x14ac:dyDescent="0.35">
      <c r="A792" t="s">
        <v>14</v>
      </c>
      <c r="B792" t="s">
        <v>497</v>
      </c>
      <c r="C792" t="s">
        <v>1335</v>
      </c>
      <c r="D792" t="s">
        <v>1336</v>
      </c>
      <c r="E792" t="s">
        <v>1337</v>
      </c>
      <c r="F792" t="s">
        <v>501</v>
      </c>
      <c r="G792" t="s">
        <v>1581</v>
      </c>
      <c r="H792" s="15">
        <v>46153</v>
      </c>
      <c r="I792" t="s">
        <v>1582</v>
      </c>
      <c r="J792" t="s">
        <v>233</v>
      </c>
      <c r="K792" t="s">
        <v>185</v>
      </c>
      <c r="N792">
        <v>0</v>
      </c>
      <c r="O792" t="s">
        <v>222</v>
      </c>
      <c r="P792">
        <v>0</v>
      </c>
      <c r="U792" s="15"/>
    </row>
    <row r="793" spans="1:21" x14ac:dyDescent="0.35">
      <c r="A793" t="s">
        <v>14</v>
      </c>
      <c r="B793" t="s">
        <v>497</v>
      </c>
      <c r="C793" t="s">
        <v>1335</v>
      </c>
      <c r="D793" t="s">
        <v>1336</v>
      </c>
      <c r="E793" t="s">
        <v>1337</v>
      </c>
      <c r="F793" t="s">
        <v>501</v>
      </c>
      <c r="G793" t="s">
        <v>1581</v>
      </c>
      <c r="H793" s="15">
        <v>46153</v>
      </c>
      <c r="I793" t="s">
        <v>1582</v>
      </c>
      <c r="J793" t="s">
        <v>233</v>
      </c>
      <c r="K793" t="s">
        <v>185</v>
      </c>
      <c r="N793">
        <v>0</v>
      </c>
      <c r="O793" t="s">
        <v>222</v>
      </c>
      <c r="P793">
        <v>0</v>
      </c>
      <c r="U793" s="15"/>
    </row>
    <row r="794" spans="1:21" x14ac:dyDescent="0.35">
      <c r="A794" t="s">
        <v>14</v>
      </c>
      <c r="B794" t="s">
        <v>497</v>
      </c>
      <c r="C794" t="s">
        <v>515</v>
      </c>
      <c r="D794" t="s">
        <v>516</v>
      </c>
      <c r="E794" t="s">
        <v>517</v>
      </c>
      <c r="F794" t="s">
        <v>501</v>
      </c>
      <c r="G794" t="s">
        <v>1581</v>
      </c>
      <c r="H794" s="15">
        <v>46153</v>
      </c>
      <c r="I794" t="s">
        <v>1583</v>
      </c>
      <c r="J794" t="s">
        <v>233</v>
      </c>
      <c r="K794" t="s">
        <v>185</v>
      </c>
      <c r="N794">
        <v>0</v>
      </c>
      <c r="O794" t="s">
        <v>222</v>
      </c>
      <c r="P794">
        <v>0</v>
      </c>
      <c r="U794" s="15"/>
    </row>
    <row r="795" spans="1:21" x14ac:dyDescent="0.35">
      <c r="A795" t="s">
        <v>14</v>
      </c>
      <c r="B795" t="s">
        <v>497</v>
      </c>
      <c r="C795" t="s">
        <v>531</v>
      </c>
      <c r="D795" t="s">
        <v>532</v>
      </c>
      <c r="E795" t="s">
        <v>533</v>
      </c>
      <c r="F795" t="s">
        <v>501</v>
      </c>
      <c r="G795" t="s">
        <v>1584</v>
      </c>
      <c r="H795" s="15">
        <v>46154</v>
      </c>
      <c r="I795" t="s">
        <v>1585</v>
      </c>
      <c r="J795" t="s">
        <v>16</v>
      </c>
      <c r="K795" t="s">
        <v>185</v>
      </c>
      <c r="N795">
        <v>0</v>
      </c>
      <c r="O795" t="s">
        <v>222</v>
      </c>
      <c r="P795">
        <v>0</v>
      </c>
      <c r="U795" s="15"/>
    </row>
    <row r="796" spans="1:21" x14ac:dyDescent="0.35">
      <c r="A796" t="s">
        <v>14</v>
      </c>
      <c r="B796" t="s">
        <v>497</v>
      </c>
      <c r="C796" t="s">
        <v>536</v>
      </c>
      <c r="D796" t="s">
        <v>537</v>
      </c>
      <c r="E796" t="s">
        <v>538</v>
      </c>
      <c r="F796" t="s">
        <v>501</v>
      </c>
      <c r="G796" t="s">
        <v>1584</v>
      </c>
      <c r="H796" s="15">
        <v>46154</v>
      </c>
      <c r="I796" t="s">
        <v>1586</v>
      </c>
      <c r="J796" t="s">
        <v>16</v>
      </c>
      <c r="K796" t="s">
        <v>185</v>
      </c>
      <c r="N796">
        <v>0</v>
      </c>
      <c r="O796" t="s">
        <v>222</v>
      </c>
      <c r="P796">
        <v>0</v>
      </c>
      <c r="U796" s="15"/>
    </row>
    <row r="797" spans="1:21" x14ac:dyDescent="0.35">
      <c r="A797" t="s">
        <v>14</v>
      </c>
      <c r="B797" t="s">
        <v>497</v>
      </c>
      <c r="C797" t="s">
        <v>531</v>
      </c>
      <c r="D797" t="s">
        <v>532</v>
      </c>
      <c r="E797" t="s">
        <v>533</v>
      </c>
      <c r="F797" t="s">
        <v>501</v>
      </c>
      <c r="G797" t="s">
        <v>1587</v>
      </c>
      <c r="H797" s="15">
        <v>46154</v>
      </c>
      <c r="I797" t="s">
        <v>1588</v>
      </c>
      <c r="J797" t="s">
        <v>233</v>
      </c>
      <c r="K797" t="s">
        <v>185</v>
      </c>
      <c r="N797">
        <v>0</v>
      </c>
      <c r="O797" t="s">
        <v>222</v>
      </c>
      <c r="P797">
        <v>0</v>
      </c>
      <c r="U797" s="15"/>
    </row>
    <row r="798" spans="1:21" x14ac:dyDescent="0.35">
      <c r="A798" t="s">
        <v>14</v>
      </c>
      <c r="B798" t="s">
        <v>497</v>
      </c>
      <c r="C798" t="s">
        <v>498</v>
      </c>
      <c r="D798" t="s">
        <v>499</v>
      </c>
      <c r="E798" t="s">
        <v>500</v>
      </c>
      <c r="F798" t="s">
        <v>501</v>
      </c>
      <c r="G798" t="s">
        <v>1589</v>
      </c>
      <c r="H798" s="15">
        <v>46155</v>
      </c>
      <c r="I798" t="s">
        <v>1590</v>
      </c>
      <c r="J798" t="s">
        <v>16</v>
      </c>
      <c r="K798" t="s">
        <v>185</v>
      </c>
      <c r="N798">
        <v>0</v>
      </c>
      <c r="O798" t="s">
        <v>222</v>
      </c>
      <c r="P798">
        <v>0</v>
      </c>
      <c r="U798" s="15"/>
    </row>
    <row r="799" spans="1:21" x14ac:dyDescent="0.35">
      <c r="A799" t="s">
        <v>14</v>
      </c>
      <c r="B799" t="s">
        <v>497</v>
      </c>
      <c r="C799" t="s">
        <v>504</v>
      </c>
      <c r="D799" t="s">
        <v>505</v>
      </c>
      <c r="E799" t="s">
        <v>506</v>
      </c>
      <c r="F799" t="s">
        <v>501</v>
      </c>
      <c r="G799" t="s">
        <v>1589</v>
      </c>
      <c r="H799" s="15">
        <v>46155</v>
      </c>
      <c r="I799" t="s">
        <v>1591</v>
      </c>
      <c r="J799" t="s">
        <v>16</v>
      </c>
      <c r="K799" t="s">
        <v>185</v>
      </c>
      <c r="N799">
        <v>0</v>
      </c>
      <c r="O799" t="s">
        <v>222</v>
      </c>
      <c r="P799">
        <v>0</v>
      </c>
      <c r="U799" s="15"/>
    </row>
    <row r="800" spans="1:21" x14ac:dyDescent="0.35">
      <c r="A800" t="s">
        <v>14</v>
      </c>
      <c r="B800" t="s">
        <v>497</v>
      </c>
      <c r="C800" t="s">
        <v>498</v>
      </c>
      <c r="D800" t="s">
        <v>499</v>
      </c>
      <c r="E800" t="s">
        <v>500</v>
      </c>
      <c r="F800" t="s">
        <v>501</v>
      </c>
      <c r="G800" t="s">
        <v>1592</v>
      </c>
      <c r="H800" s="15">
        <v>46155</v>
      </c>
      <c r="I800" t="s">
        <v>1593</v>
      </c>
      <c r="J800" t="s">
        <v>233</v>
      </c>
      <c r="K800" t="s">
        <v>185</v>
      </c>
      <c r="N800">
        <v>0</v>
      </c>
      <c r="O800" t="s">
        <v>222</v>
      </c>
      <c r="P800">
        <v>0</v>
      </c>
      <c r="U800" s="15"/>
    </row>
    <row r="801" spans="1:21" x14ac:dyDescent="0.35">
      <c r="A801" t="s">
        <v>14</v>
      </c>
      <c r="B801" t="s">
        <v>497</v>
      </c>
      <c r="C801" t="s">
        <v>515</v>
      </c>
      <c r="D801" t="s">
        <v>516</v>
      </c>
      <c r="E801" t="s">
        <v>517</v>
      </c>
      <c r="F801" t="s">
        <v>501</v>
      </c>
      <c r="G801" t="s">
        <v>1594</v>
      </c>
      <c r="H801" s="15">
        <v>46156</v>
      </c>
      <c r="I801" t="s">
        <v>1595</v>
      </c>
      <c r="J801" t="s">
        <v>16</v>
      </c>
      <c r="K801" t="s">
        <v>185</v>
      </c>
      <c r="N801">
        <v>0</v>
      </c>
      <c r="O801" t="s">
        <v>222</v>
      </c>
      <c r="P801">
        <v>0</v>
      </c>
      <c r="U801" s="15"/>
    </row>
    <row r="802" spans="1:21" x14ac:dyDescent="0.35">
      <c r="A802" t="s">
        <v>14</v>
      </c>
      <c r="B802" t="s">
        <v>497</v>
      </c>
      <c r="C802" t="s">
        <v>504</v>
      </c>
      <c r="D802" t="s">
        <v>505</v>
      </c>
      <c r="E802" t="s">
        <v>506</v>
      </c>
      <c r="F802" t="s">
        <v>501</v>
      </c>
      <c r="G802" t="s">
        <v>1594</v>
      </c>
      <c r="H802" s="15">
        <v>46156</v>
      </c>
      <c r="I802" t="s">
        <v>1596</v>
      </c>
      <c r="J802" t="s">
        <v>16</v>
      </c>
      <c r="K802" t="s">
        <v>185</v>
      </c>
      <c r="N802">
        <v>0</v>
      </c>
      <c r="O802" t="s">
        <v>222</v>
      </c>
      <c r="P802">
        <v>0</v>
      </c>
      <c r="U802" s="15"/>
    </row>
    <row r="803" spans="1:21" x14ac:dyDescent="0.35">
      <c r="A803" t="s">
        <v>14</v>
      </c>
      <c r="B803" t="s">
        <v>497</v>
      </c>
      <c r="C803" t="s">
        <v>498</v>
      </c>
      <c r="D803" t="s">
        <v>499</v>
      </c>
      <c r="E803" t="s">
        <v>500</v>
      </c>
      <c r="F803" t="s">
        <v>501</v>
      </c>
      <c r="G803" t="s">
        <v>1597</v>
      </c>
      <c r="H803" s="15">
        <v>46156</v>
      </c>
      <c r="I803" t="s">
        <v>1598</v>
      </c>
      <c r="J803" t="s">
        <v>233</v>
      </c>
      <c r="K803" t="s">
        <v>185</v>
      </c>
      <c r="N803">
        <v>0</v>
      </c>
      <c r="O803" t="s">
        <v>222</v>
      </c>
      <c r="P803">
        <v>0</v>
      </c>
      <c r="U803" s="15"/>
    </row>
    <row r="804" spans="1:21" x14ac:dyDescent="0.35">
      <c r="A804" t="s">
        <v>14</v>
      </c>
      <c r="B804" t="s">
        <v>497</v>
      </c>
      <c r="C804" t="s">
        <v>515</v>
      </c>
      <c r="D804" t="s">
        <v>516</v>
      </c>
      <c r="E804" t="s">
        <v>517</v>
      </c>
      <c r="F804" t="s">
        <v>501</v>
      </c>
      <c r="G804" t="s">
        <v>1599</v>
      </c>
      <c r="H804" s="15">
        <v>46157</v>
      </c>
      <c r="I804" t="s">
        <v>1600</v>
      </c>
      <c r="J804" t="s">
        <v>16</v>
      </c>
      <c r="K804" t="s">
        <v>185</v>
      </c>
      <c r="N804">
        <v>0</v>
      </c>
      <c r="O804" t="s">
        <v>222</v>
      </c>
      <c r="P804">
        <v>0</v>
      </c>
      <c r="U804" s="15"/>
    </row>
    <row r="805" spans="1:21" x14ac:dyDescent="0.35">
      <c r="A805" t="s">
        <v>14</v>
      </c>
      <c r="B805" t="s">
        <v>497</v>
      </c>
      <c r="C805" t="s">
        <v>557</v>
      </c>
      <c r="D805" t="s">
        <v>558</v>
      </c>
      <c r="E805" t="s">
        <v>559</v>
      </c>
      <c r="F805" t="s">
        <v>501</v>
      </c>
      <c r="G805" t="s">
        <v>1599</v>
      </c>
      <c r="H805" s="15">
        <v>46157</v>
      </c>
      <c r="I805" t="s">
        <v>1601</v>
      </c>
      <c r="J805" t="s">
        <v>16</v>
      </c>
      <c r="K805" t="s">
        <v>185</v>
      </c>
      <c r="N805">
        <v>0</v>
      </c>
      <c r="O805" t="s">
        <v>222</v>
      </c>
      <c r="P805">
        <v>0</v>
      </c>
      <c r="U805" s="15"/>
    </row>
    <row r="806" spans="1:21" x14ac:dyDescent="0.35">
      <c r="A806" t="s">
        <v>14</v>
      </c>
      <c r="B806" t="s">
        <v>497</v>
      </c>
      <c r="C806" t="s">
        <v>552</v>
      </c>
      <c r="D806" t="s">
        <v>553</v>
      </c>
      <c r="E806" t="s">
        <v>554</v>
      </c>
      <c r="F806" t="s">
        <v>501</v>
      </c>
      <c r="G806" t="s">
        <v>1602</v>
      </c>
      <c r="H806" s="15">
        <v>46157</v>
      </c>
      <c r="I806" t="s">
        <v>1603</v>
      </c>
      <c r="J806" t="s">
        <v>233</v>
      </c>
      <c r="K806" t="s">
        <v>185</v>
      </c>
      <c r="N806">
        <v>0</v>
      </c>
      <c r="O806" t="s">
        <v>222</v>
      </c>
      <c r="P806">
        <v>0</v>
      </c>
      <c r="U806" s="15"/>
    </row>
    <row r="807" spans="1:21" x14ac:dyDescent="0.35">
      <c r="A807" t="s">
        <v>14</v>
      </c>
      <c r="B807" t="s">
        <v>497</v>
      </c>
      <c r="C807" t="s">
        <v>880</v>
      </c>
      <c r="D807" t="s">
        <v>881</v>
      </c>
      <c r="E807" t="s">
        <v>882</v>
      </c>
      <c r="F807" t="s">
        <v>501</v>
      </c>
      <c r="G807" t="s">
        <v>1602</v>
      </c>
      <c r="H807" s="15">
        <v>46157</v>
      </c>
      <c r="I807" t="s">
        <v>1604</v>
      </c>
      <c r="J807" t="s">
        <v>233</v>
      </c>
      <c r="K807" t="s">
        <v>185</v>
      </c>
      <c r="N807">
        <v>0</v>
      </c>
      <c r="O807" t="s">
        <v>222</v>
      </c>
      <c r="P807">
        <v>0</v>
      </c>
      <c r="U807" s="15"/>
    </row>
    <row r="808" spans="1:21" x14ac:dyDescent="0.35">
      <c r="A808" t="s">
        <v>14</v>
      </c>
      <c r="B808" t="s">
        <v>497</v>
      </c>
      <c r="C808" t="s">
        <v>498</v>
      </c>
      <c r="D808" t="s">
        <v>499</v>
      </c>
      <c r="E808" t="s">
        <v>500</v>
      </c>
      <c r="F808" t="s">
        <v>501</v>
      </c>
      <c r="G808" t="s">
        <v>1605</v>
      </c>
      <c r="H808" s="15">
        <v>46158</v>
      </c>
      <c r="I808" t="s">
        <v>1606</v>
      </c>
      <c r="J808" t="s">
        <v>16</v>
      </c>
      <c r="K808" t="s">
        <v>185</v>
      </c>
      <c r="N808">
        <v>0</v>
      </c>
      <c r="O808" t="s">
        <v>222</v>
      </c>
      <c r="P808">
        <v>0</v>
      </c>
      <c r="U808" s="15"/>
    </row>
    <row r="809" spans="1:21" x14ac:dyDescent="0.35">
      <c r="A809" t="s">
        <v>14</v>
      </c>
      <c r="B809" t="s">
        <v>497</v>
      </c>
      <c r="C809" t="s">
        <v>504</v>
      </c>
      <c r="D809" t="s">
        <v>505</v>
      </c>
      <c r="E809" t="s">
        <v>506</v>
      </c>
      <c r="F809" t="s">
        <v>501</v>
      </c>
      <c r="G809" t="s">
        <v>1605</v>
      </c>
      <c r="H809" s="15">
        <v>46158</v>
      </c>
      <c r="I809" t="s">
        <v>1607</v>
      </c>
      <c r="J809" t="s">
        <v>16</v>
      </c>
      <c r="K809" t="s">
        <v>185</v>
      </c>
      <c r="N809">
        <v>0</v>
      </c>
      <c r="O809" t="s">
        <v>222</v>
      </c>
      <c r="P809">
        <v>0</v>
      </c>
      <c r="U809" s="15"/>
    </row>
    <row r="810" spans="1:21" x14ac:dyDescent="0.35">
      <c r="A810" t="s">
        <v>14</v>
      </c>
      <c r="B810" t="s">
        <v>497</v>
      </c>
      <c r="C810" t="s">
        <v>498</v>
      </c>
      <c r="D810" t="s">
        <v>499</v>
      </c>
      <c r="E810" t="s">
        <v>500</v>
      </c>
      <c r="F810" t="s">
        <v>501</v>
      </c>
      <c r="G810" t="s">
        <v>1608</v>
      </c>
      <c r="H810" s="15">
        <v>46158</v>
      </c>
      <c r="I810" t="s">
        <v>1609</v>
      </c>
      <c r="J810" t="s">
        <v>233</v>
      </c>
      <c r="K810" t="s">
        <v>185</v>
      </c>
      <c r="N810">
        <v>0</v>
      </c>
      <c r="O810" t="s">
        <v>222</v>
      </c>
      <c r="P810">
        <v>0</v>
      </c>
      <c r="U810" s="15"/>
    </row>
    <row r="811" spans="1:21" x14ac:dyDescent="0.35">
      <c r="A811" t="s">
        <v>14</v>
      </c>
      <c r="B811" t="s">
        <v>497</v>
      </c>
      <c r="C811" t="s">
        <v>515</v>
      </c>
      <c r="D811" t="s">
        <v>516</v>
      </c>
      <c r="E811" t="s">
        <v>517</v>
      </c>
      <c r="F811" t="s">
        <v>501</v>
      </c>
      <c r="G811" t="s">
        <v>1610</v>
      </c>
      <c r="H811" s="15">
        <v>46160</v>
      </c>
      <c r="I811" t="s">
        <v>1611</v>
      </c>
      <c r="J811" t="s">
        <v>233</v>
      </c>
      <c r="K811" t="s">
        <v>185</v>
      </c>
      <c r="N811">
        <v>0</v>
      </c>
      <c r="O811" t="s">
        <v>222</v>
      </c>
      <c r="P811">
        <v>0</v>
      </c>
      <c r="U811" s="15"/>
    </row>
    <row r="812" spans="1:21" x14ac:dyDescent="0.35">
      <c r="A812" t="s">
        <v>14</v>
      </c>
      <c r="B812" t="s">
        <v>497</v>
      </c>
      <c r="C812" t="s">
        <v>531</v>
      </c>
      <c r="D812" t="s">
        <v>532</v>
      </c>
      <c r="E812" t="s">
        <v>533</v>
      </c>
      <c r="F812" t="s">
        <v>501</v>
      </c>
      <c r="G812" t="s">
        <v>1612</v>
      </c>
      <c r="H812" s="15">
        <v>46161</v>
      </c>
      <c r="I812" t="s">
        <v>1613</v>
      </c>
      <c r="J812" t="s">
        <v>16</v>
      </c>
      <c r="K812" t="s">
        <v>185</v>
      </c>
      <c r="N812">
        <v>0</v>
      </c>
      <c r="O812" t="s">
        <v>222</v>
      </c>
      <c r="P812">
        <v>0</v>
      </c>
      <c r="U812" s="15"/>
    </row>
    <row r="813" spans="1:21" x14ac:dyDescent="0.35">
      <c r="A813" t="s">
        <v>14</v>
      </c>
      <c r="B813" t="s">
        <v>497</v>
      </c>
      <c r="C813" t="s">
        <v>504</v>
      </c>
      <c r="D813" t="s">
        <v>505</v>
      </c>
      <c r="E813" t="s">
        <v>506</v>
      </c>
      <c r="F813" t="s">
        <v>501</v>
      </c>
      <c r="G813" t="s">
        <v>1612</v>
      </c>
      <c r="H813" s="15">
        <v>46161</v>
      </c>
      <c r="I813" t="s">
        <v>1614</v>
      </c>
      <c r="J813" t="s">
        <v>16</v>
      </c>
      <c r="K813" t="s">
        <v>185</v>
      </c>
      <c r="N813">
        <v>0</v>
      </c>
      <c r="O813" t="s">
        <v>222</v>
      </c>
      <c r="P813">
        <v>0</v>
      </c>
      <c r="U813" s="15"/>
    </row>
    <row r="814" spans="1:21" x14ac:dyDescent="0.35">
      <c r="A814" t="s">
        <v>14</v>
      </c>
      <c r="B814" t="s">
        <v>497</v>
      </c>
      <c r="C814" t="s">
        <v>866</v>
      </c>
      <c r="D814" t="s">
        <v>867</v>
      </c>
      <c r="E814" t="s">
        <v>868</v>
      </c>
      <c r="F814" t="s">
        <v>501</v>
      </c>
      <c r="G814" t="s">
        <v>1615</v>
      </c>
      <c r="H814" s="15">
        <v>46161</v>
      </c>
      <c r="I814" t="s">
        <v>1616</v>
      </c>
      <c r="J814" t="s">
        <v>233</v>
      </c>
      <c r="K814" t="s">
        <v>185</v>
      </c>
      <c r="N814">
        <v>0</v>
      </c>
      <c r="O814" t="s">
        <v>222</v>
      </c>
      <c r="P814">
        <v>0</v>
      </c>
      <c r="U814" s="15"/>
    </row>
    <row r="815" spans="1:21" x14ac:dyDescent="0.35">
      <c r="A815" t="s">
        <v>14</v>
      </c>
      <c r="B815" t="s">
        <v>497</v>
      </c>
      <c r="C815" t="s">
        <v>515</v>
      </c>
      <c r="D815" t="s">
        <v>516</v>
      </c>
      <c r="E815" t="s">
        <v>517</v>
      </c>
      <c r="F815" t="s">
        <v>501</v>
      </c>
      <c r="G815" t="s">
        <v>1615</v>
      </c>
      <c r="H815" s="15">
        <v>46161</v>
      </c>
      <c r="I815" t="s">
        <v>1617</v>
      </c>
      <c r="J815" t="s">
        <v>233</v>
      </c>
      <c r="K815" t="s">
        <v>185</v>
      </c>
      <c r="N815">
        <v>0</v>
      </c>
      <c r="O815" t="s">
        <v>222</v>
      </c>
      <c r="P815">
        <v>0</v>
      </c>
      <c r="U815" s="15"/>
    </row>
    <row r="816" spans="1:21" x14ac:dyDescent="0.35">
      <c r="A816" t="s">
        <v>14</v>
      </c>
      <c r="B816" t="s">
        <v>497</v>
      </c>
      <c r="C816" t="s">
        <v>515</v>
      </c>
      <c r="D816" t="s">
        <v>516</v>
      </c>
      <c r="E816" t="s">
        <v>517</v>
      </c>
      <c r="F816" t="s">
        <v>501</v>
      </c>
      <c r="G816" t="s">
        <v>1618</v>
      </c>
      <c r="H816" s="15">
        <v>46162</v>
      </c>
      <c r="I816" t="s">
        <v>1619</v>
      </c>
      <c r="J816" t="s">
        <v>16</v>
      </c>
      <c r="K816" t="s">
        <v>185</v>
      </c>
      <c r="N816">
        <v>0</v>
      </c>
      <c r="O816" t="s">
        <v>222</v>
      </c>
      <c r="P816">
        <v>0</v>
      </c>
      <c r="U816" s="15"/>
    </row>
    <row r="817" spans="1:21" x14ac:dyDescent="0.35">
      <c r="A817" t="s">
        <v>14</v>
      </c>
      <c r="B817" t="s">
        <v>497</v>
      </c>
      <c r="C817" t="s">
        <v>557</v>
      </c>
      <c r="D817" t="s">
        <v>558</v>
      </c>
      <c r="E817" t="s">
        <v>559</v>
      </c>
      <c r="F817" t="s">
        <v>501</v>
      </c>
      <c r="G817" t="s">
        <v>1618</v>
      </c>
      <c r="H817" s="15">
        <v>46162</v>
      </c>
      <c r="I817" t="s">
        <v>1620</v>
      </c>
      <c r="J817" t="s">
        <v>16</v>
      </c>
      <c r="K817" t="s">
        <v>185</v>
      </c>
      <c r="N817">
        <v>0</v>
      </c>
      <c r="O817" t="s">
        <v>222</v>
      </c>
      <c r="P817">
        <v>0</v>
      </c>
      <c r="U817" s="15"/>
    </row>
    <row r="818" spans="1:21" x14ac:dyDescent="0.35">
      <c r="A818" t="s">
        <v>14</v>
      </c>
      <c r="B818" t="s">
        <v>497</v>
      </c>
      <c r="C818" t="s">
        <v>557</v>
      </c>
      <c r="D818" t="s">
        <v>558</v>
      </c>
      <c r="E818" t="s">
        <v>559</v>
      </c>
      <c r="F818" t="s">
        <v>501</v>
      </c>
      <c r="G818" t="s">
        <v>1618</v>
      </c>
      <c r="H818" s="15">
        <v>46162</v>
      </c>
      <c r="I818" t="s">
        <v>1620</v>
      </c>
      <c r="J818" t="s">
        <v>16</v>
      </c>
      <c r="K818" t="s">
        <v>185</v>
      </c>
      <c r="N818">
        <v>0</v>
      </c>
      <c r="O818" t="s">
        <v>222</v>
      </c>
      <c r="P818">
        <v>0</v>
      </c>
      <c r="U818" s="15"/>
    </row>
    <row r="819" spans="1:21" x14ac:dyDescent="0.35">
      <c r="A819" t="s">
        <v>14</v>
      </c>
      <c r="B819" t="s">
        <v>497</v>
      </c>
      <c r="C819" t="s">
        <v>515</v>
      </c>
      <c r="D819" t="s">
        <v>516</v>
      </c>
      <c r="E819" t="s">
        <v>517</v>
      </c>
      <c r="F819" t="s">
        <v>501</v>
      </c>
      <c r="G819" t="s">
        <v>1621</v>
      </c>
      <c r="H819" s="15">
        <v>46162</v>
      </c>
      <c r="I819" t="s">
        <v>1622</v>
      </c>
      <c r="J819" t="s">
        <v>233</v>
      </c>
      <c r="K819" t="s">
        <v>185</v>
      </c>
      <c r="N819">
        <v>0</v>
      </c>
      <c r="O819" t="s">
        <v>222</v>
      </c>
      <c r="P819">
        <v>0</v>
      </c>
      <c r="U819" s="15"/>
    </row>
    <row r="820" spans="1:21" x14ac:dyDescent="0.35">
      <c r="A820" t="s">
        <v>14</v>
      </c>
      <c r="B820" t="s">
        <v>497</v>
      </c>
      <c r="C820" t="s">
        <v>515</v>
      </c>
      <c r="D820" t="s">
        <v>516</v>
      </c>
      <c r="E820" t="s">
        <v>517</v>
      </c>
      <c r="F820" t="s">
        <v>501</v>
      </c>
      <c r="G820" t="s">
        <v>1621</v>
      </c>
      <c r="H820" s="15">
        <v>46162</v>
      </c>
      <c r="I820" t="s">
        <v>1622</v>
      </c>
      <c r="J820" t="s">
        <v>233</v>
      </c>
      <c r="K820" t="s">
        <v>185</v>
      </c>
      <c r="N820">
        <v>0</v>
      </c>
      <c r="O820" t="s">
        <v>222</v>
      </c>
      <c r="P820">
        <v>0</v>
      </c>
      <c r="U820" s="15"/>
    </row>
    <row r="821" spans="1:21" x14ac:dyDescent="0.35">
      <c r="A821" t="s">
        <v>14</v>
      </c>
      <c r="B821" t="s">
        <v>497</v>
      </c>
      <c r="C821" t="s">
        <v>498</v>
      </c>
      <c r="D821" t="s">
        <v>499</v>
      </c>
      <c r="E821" t="s">
        <v>500</v>
      </c>
      <c r="F821" t="s">
        <v>501</v>
      </c>
      <c r="G821" t="s">
        <v>1623</v>
      </c>
      <c r="H821" s="15">
        <v>46163</v>
      </c>
      <c r="I821" t="s">
        <v>1624</v>
      </c>
      <c r="J821" t="s">
        <v>16</v>
      </c>
      <c r="K821" t="s">
        <v>185</v>
      </c>
      <c r="N821">
        <v>0</v>
      </c>
      <c r="O821" t="s">
        <v>222</v>
      </c>
      <c r="P821">
        <v>0</v>
      </c>
      <c r="U821" s="15"/>
    </row>
    <row r="822" spans="1:21" x14ac:dyDescent="0.35">
      <c r="A822" t="s">
        <v>14</v>
      </c>
      <c r="B822" t="s">
        <v>497</v>
      </c>
      <c r="C822" t="s">
        <v>504</v>
      </c>
      <c r="D822" t="s">
        <v>505</v>
      </c>
      <c r="E822" t="s">
        <v>506</v>
      </c>
      <c r="F822" t="s">
        <v>501</v>
      </c>
      <c r="G822" t="s">
        <v>1623</v>
      </c>
      <c r="H822" s="15">
        <v>46163</v>
      </c>
      <c r="I822" t="s">
        <v>1625</v>
      </c>
      <c r="J822" t="s">
        <v>16</v>
      </c>
      <c r="K822" t="s">
        <v>185</v>
      </c>
      <c r="N822">
        <v>0</v>
      </c>
      <c r="O822" t="s">
        <v>222</v>
      </c>
      <c r="P822">
        <v>0</v>
      </c>
      <c r="U822" s="15"/>
    </row>
    <row r="823" spans="1:21" x14ac:dyDescent="0.35">
      <c r="A823" t="s">
        <v>14</v>
      </c>
      <c r="B823" t="s">
        <v>497</v>
      </c>
      <c r="C823" t="s">
        <v>498</v>
      </c>
      <c r="D823" t="s">
        <v>499</v>
      </c>
      <c r="E823" t="s">
        <v>500</v>
      </c>
      <c r="F823" t="s">
        <v>501</v>
      </c>
      <c r="G823" t="s">
        <v>1626</v>
      </c>
      <c r="H823" s="15">
        <v>46163</v>
      </c>
      <c r="I823" t="s">
        <v>1627</v>
      </c>
      <c r="J823" t="s">
        <v>233</v>
      </c>
      <c r="K823" t="s">
        <v>185</v>
      </c>
      <c r="N823">
        <v>0</v>
      </c>
      <c r="O823" t="s">
        <v>222</v>
      </c>
      <c r="P823">
        <v>0</v>
      </c>
      <c r="U823" s="15"/>
    </row>
    <row r="824" spans="1:21" x14ac:dyDescent="0.35">
      <c r="A824" t="s">
        <v>14</v>
      </c>
      <c r="B824" t="s">
        <v>497</v>
      </c>
      <c r="C824" t="s">
        <v>615</v>
      </c>
      <c r="D824" t="s">
        <v>616</v>
      </c>
      <c r="E824" t="s">
        <v>617</v>
      </c>
      <c r="F824" t="s">
        <v>501</v>
      </c>
      <c r="G824" t="s">
        <v>1628</v>
      </c>
      <c r="H824" s="15">
        <v>46164</v>
      </c>
      <c r="I824" t="s">
        <v>1629</v>
      </c>
      <c r="J824" t="s">
        <v>16</v>
      </c>
      <c r="K824" t="s">
        <v>185</v>
      </c>
      <c r="N824">
        <v>0</v>
      </c>
      <c r="O824" t="s">
        <v>222</v>
      </c>
      <c r="P824">
        <v>0</v>
      </c>
      <c r="U824" s="15"/>
    </row>
    <row r="825" spans="1:21" x14ac:dyDescent="0.35">
      <c r="A825" t="s">
        <v>14</v>
      </c>
      <c r="B825" t="s">
        <v>497</v>
      </c>
      <c r="C825" t="s">
        <v>615</v>
      </c>
      <c r="D825" t="s">
        <v>616</v>
      </c>
      <c r="E825" t="s">
        <v>617</v>
      </c>
      <c r="F825" t="s">
        <v>501</v>
      </c>
      <c r="G825" t="s">
        <v>1628</v>
      </c>
      <c r="H825" s="15">
        <v>46164</v>
      </c>
      <c r="I825" t="s">
        <v>1629</v>
      </c>
      <c r="J825" t="s">
        <v>16</v>
      </c>
      <c r="K825" t="s">
        <v>185</v>
      </c>
      <c r="N825">
        <v>0</v>
      </c>
      <c r="O825" t="s">
        <v>222</v>
      </c>
      <c r="P825">
        <v>0</v>
      </c>
      <c r="U825" s="15"/>
    </row>
    <row r="826" spans="1:21" x14ac:dyDescent="0.35">
      <c r="A826" t="s">
        <v>14</v>
      </c>
      <c r="B826" t="s">
        <v>497</v>
      </c>
      <c r="C826" t="s">
        <v>899</v>
      </c>
      <c r="D826" t="s">
        <v>900</v>
      </c>
      <c r="E826" t="s">
        <v>901</v>
      </c>
      <c r="F826" t="s">
        <v>501</v>
      </c>
      <c r="G826" t="s">
        <v>1628</v>
      </c>
      <c r="H826" s="15">
        <v>46164</v>
      </c>
      <c r="I826" t="s">
        <v>1630</v>
      </c>
      <c r="J826" t="s">
        <v>16</v>
      </c>
      <c r="K826" t="s">
        <v>185</v>
      </c>
      <c r="N826">
        <v>0</v>
      </c>
      <c r="O826" t="s">
        <v>222</v>
      </c>
      <c r="P826">
        <v>0</v>
      </c>
      <c r="U826" s="15"/>
    </row>
    <row r="827" spans="1:21" x14ac:dyDescent="0.35">
      <c r="A827" t="s">
        <v>14</v>
      </c>
      <c r="B827" t="s">
        <v>497</v>
      </c>
      <c r="C827" t="s">
        <v>515</v>
      </c>
      <c r="D827" t="s">
        <v>516</v>
      </c>
      <c r="E827" t="s">
        <v>517</v>
      </c>
      <c r="F827" t="s">
        <v>501</v>
      </c>
      <c r="G827" t="s">
        <v>1631</v>
      </c>
      <c r="H827" s="15">
        <v>46164</v>
      </c>
      <c r="I827" t="s">
        <v>1632</v>
      </c>
      <c r="J827" t="s">
        <v>233</v>
      </c>
      <c r="K827" t="s">
        <v>185</v>
      </c>
      <c r="N827">
        <v>0</v>
      </c>
      <c r="O827" t="s">
        <v>222</v>
      </c>
      <c r="P827">
        <v>0</v>
      </c>
      <c r="U827" s="15"/>
    </row>
    <row r="828" spans="1:21" x14ac:dyDescent="0.35">
      <c r="A828" t="s">
        <v>14</v>
      </c>
      <c r="B828" t="s">
        <v>497</v>
      </c>
      <c r="C828" t="s">
        <v>552</v>
      </c>
      <c r="D828" t="s">
        <v>553</v>
      </c>
      <c r="E828" t="s">
        <v>554</v>
      </c>
      <c r="F828" t="s">
        <v>501</v>
      </c>
      <c r="G828" t="s">
        <v>1633</v>
      </c>
      <c r="H828" s="15">
        <v>46165</v>
      </c>
      <c r="I828" t="s">
        <v>1634</v>
      </c>
      <c r="J828" t="s">
        <v>16</v>
      </c>
      <c r="K828" t="s">
        <v>185</v>
      </c>
      <c r="N828">
        <v>0</v>
      </c>
      <c r="O828" t="s">
        <v>222</v>
      </c>
      <c r="P828">
        <v>0</v>
      </c>
      <c r="U828" s="15"/>
    </row>
    <row r="829" spans="1:21" x14ac:dyDescent="0.35">
      <c r="A829" t="s">
        <v>14</v>
      </c>
      <c r="B829" t="s">
        <v>497</v>
      </c>
      <c r="C829" t="s">
        <v>557</v>
      </c>
      <c r="D829" t="s">
        <v>558</v>
      </c>
      <c r="E829" t="s">
        <v>559</v>
      </c>
      <c r="F829" t="s">
        <v>501</v>
      </c>
      <c r="G829" t="s">
        <v>1633</v>
      </c>
      <c r="H829" s="15">
        <v>46165</v>
      </c>
      <c r="I829" t="s">
        <v>1635</v>
      </c>
      <c r="J829" t="s">
        <v>16</v>
      </c>
      <c r="K829" t="s">
        <v>185</v>
      </c>
      <c r="N829">
        <v>0</v>
      </c>
      <c r="O829" t="s">
        <v>222</v>
      </c>
      <c r="P829">
        <v>0</v>
      </c>
      <c r="U829" s="15"/>
    </row>
    <row r="830" spans="1:21" x14ac:dyDescent="0.35">
      <c r="A830" t="s">
        <v>14</v>
      </c>
      <c r="B830" t="s">
        <v>497</v>
      </c>
      <c r="C830" t="s">
        <v>552</v>
      </c>
      <c r="D830" t="s">
        <v>553</v>
      </c>
      <c r="E830" t="s">
        <v>554</v>
      </c>
      <c r="F830" t="s">
        <v>501</v>
      </c>
      <c r="G830" t="s">
        <v>1636</v>
      </c>
      <c r="H830" s="15">
        <v>46165</v>
      </c>
      <c r="I830" t="s">
        <v>1637</v>
      </c>
      <c r="J830" t="s">
        <v>233</v>
      </c>
      <c r="K830" t="s">
        <v>185</v>
      </c>
      <c r="N830">
        <v>0</v>
      </c>
      <c r="O830" t="s">
        <v>222</v>
      </c>
      <c r="P830">
        <v>0</v>
      </c>
      <c r="U830" s="15"/>
    </row>
    <row r="831" spans="1:21" x14ac:dyDescent="0.35">
      <c r="A831" t="s">
        <v>14</v>
      </c>
      <c r="B831" t="s">
        <v>497</v>
      </c>
      <c r="C831" t="s">
        <v>498</v>
      </c>
      <c r="D831" t="s">
        <v>499</v>
      </c>
      <c r="E831" t="s">
        <v>500</v>
      </c>
      <c r="F831" t="s">
        <v>501</v>
      </c>
      <c r="G831" t="s">
        <v>1638</v>
      </c>
      <c r="H831" s="15">
        <v>46167</v>
      </c>
      <c r="I831" t="s">
        <v>1639</v>
      </c>
      <c r="J831" t="s">
        <v>16</v>
      </c>
      <c r="K831" t="s">
        <v>185</v>
      </c>
      <c r="N831">
        <v>0</v>
      </c>
      <c r="O831" t="s">
        <v>222</v>
      </c>
      <c r="P831">
        <v>0</v>
      </c>
      <c r="U831" s="15"/>
    </row>
    <row r="832" spans="1:21" x14ac:dyDescent="0.35">
      <c r="A832" t="s">
        <v>14</v>
      </c>
      <c r="B832" t="s">
        <v>497</v>
      </c>
      <c r="C832" t="s">
        <v>1640</v>
      </c>
      <c r="D832" t="s">
        <v>1641</v>
      </c>
      <c r="E832" t="s">
        <v>1642</v>
      </c>
      <c r="F832" t="s">
        <v>501</v>
      </c>
      <c r="G832" t="s">
        <v>1638</v>
      </c>
      <c r="H832" s="15">
        <v>46167</v>
      </c>
      <c r="I832" t="s">
        <v>1643</v>
      </c>
      <c r="J832" t="s">
        <v>16</v>
      </c>
      <c r="K832" t="s">
        <v>185</v>
      </c>
      <c r="N832">
        <v>0</v>
      </c>
      <c r="O832" t="s">
        <v>222</v>
      </c>
      <c r="P832">
        <v>0</v>
      </c>
      <c r="U832" s="15"/>
    </row>
    <row r="833" spans="1:21" x14ac:dyDescent="0.35">
      <c r="A833" t="s">
        <v>14</v>
      </c>
      <c r="B833" t="s">
        <v>497</v>
      </c>
      <c r="C833" t="s">
        <v>1335</v>
      </c>
      <c r="D833" t="s">
        <v>1336</v>
      </c>
      <c r="E833" t="s">
        <v>1337</v>
      </c>
      <c r="F833" t="s">
        <v>501</v>
      </c>
      <c r="G833" t="s">
        <v>1644</v>
      </c>
      <c r="H833" s="15">
        <v>46167</v>
      </c>
      <c r="I833" t="s">
        <v>1645</v>
      </c>
      <c r="J833" t="s">
        <v>233</v>
      </c>
      <c r="K833" t="s">
        <v>185</v>
      </c>
      <c r="N833">
        <v>0</v>
      </c>
      <c r="O833" t="s">
        <v>222</v>
      </c>
      <c r="P833">
        <v>0</v>
      </c>
      <c r="U833" s="15"/>
    </row>
    <row r="834" spans="1:21" x14ac:dyDescent="0.35">
      <c r="A834" t="s">
        <v>14</v>
      </c>
      <c r="B834" t="s">
        <v>497</v>
      </c>
      <c r="C834" t="s">
        <v>1335</v>
      </c>
      <c r="D834" t="s">
        <v>1336</v>
      </c>
      <c r="E834" t="s">
        <v>1337</v>
      </c>
      <c r="F834" t="s">
        <v>501</v>
      </c>
      <c r="G834" t="s">
        <v>1644</v>
      </c>
      <c r="H834" s="15">
        <v>46167</v>
      </c>
      <c r="I834" t="s">
        <v>1645</v>
      </c>
      <c r="J834" t="s">
        <v>233</v>
      </c>
      <c r="K834" t="s">
        <v>185</v>
      </c>
      <c r="N834">
        <v>0</v>
      </c>
      <c r="O834" t="s">
        <v>222</v>
      </c>
      <c r="P834">
        <v>0</v>
      </c>
      <c r="U834" s="15"/>
    </row>
    <row r="835" spans="1:21" x14ac:dyDescent="0.35">
      <c r="A835" t="s">
        <v>14</v>
      </c>
      <c r="B835" t="s">
        <v>497</v>
      </c>
      <c r="C835" t="s">
        <v>531</v>
      </c>
      <c r="D835" t="s">
        <v>532</v>
      </c>
      <c r="E835" t="s">
        <v>533</v>
      </c>
      <c r="F835" t="s">
        <v>501</v>
      </c>
      <c r="G835" t="s">
        <v>1646</v>
      </c>
      <c r="H835" s="15">
        <v>46168</v>
      </c>
      <c r="I835" t="s">
        <v>1647</v>
      </c>
      <c r="J835" t="s">
        <v>16</v>
      </c>
      <c r="K835" t="s">
        <v>185</v>
      </c>
      <c r="N835">
        <v>0</v>
      </c>
      <c r="O835" t="s">
        <v>222</v>
      </c>
      <c r="P835">
        <v>0</v>
      </c>
      <c r="U835" s="15"/>
    </row>
    <row r="836" spans="1:21" x14ac:dyDescent="0.35">
      <c r="A836" t="s">
        <v>14</v>
      </c>
      <c r="B836" t="s">
        <v>497</v>
      </c>
      <c r="C836" t="s">
        <v>1550</v>
      </c>
      <c r="D836" t="s">
        <v>1551</v>
      </c>
      <c r="E836" t="s">
        <v>1552</v>
      </c>
      <c r="F836" t="s">
        <v>501</v>
      </c>
      <c r="G836" t="s">
        <v>1646</v>
      </c>
      <c r="H836" s="15">
        <v>46168</v>
      </c>
      <c r="I836" t="s">
        <v>1648</v>
      </c>
      <c r="J836" t="s">
        <v>16</v>
      </c>
      <c r="K836" t="s">
        <v>185</v>
      </c>
      <c r="N836">
        <v>0</v>
      </c>
      <c r="O836" t="s">
        <v>222</v>
      </c>
      <c r="P836">
        <v>0</v>
      </c>
      <c r="U836" s="15"/>
    </row>
    <row r="837" spans="1:21" x14ac:dyDescent="0.35">
      <c r="A837" t="s">
        <v>14</v>
      </c>
      <c r="B837" t="s">
        <v>497</v>
      </c>
      <c r="C837" t="s">
        <v>536</v>
      </c>
      <c r="D837" t="s">
        <v>537</v>
      </c>
      <c r="E837" t="s">
        <v>538</v>
      </c>
      <c r="F837" t="s">
        <v>501</v>
      </c>
      <c r="G837" t="s">
        <v>1649</v>
      </c>
      <c r="H837" s="15">
        <v>46168</v>
      </c>
      <c r="I837" t="s">
        <v>1650</v>
      </c>
      <c r="J837" t="s">
        <v>233</v>
      </c>
      <c r="K837" t="s">
        <v>185</v>
      </c>
      <c r="N837">
        <v>0</v>
      </c>
      <c r="O837" t="s">
        <v>222</v>
      </c>
      <c r="P837">
        <v>0</v>
      </c>
      <c r="U837" s="15"/>
    </row>
    <row r="838" spans="1:21" x14ac:dyDescent="0.35">
      <c r="A838" t="s">
        <v>14</v>
      </c>
      <c r="B838" t="s">
        <v>497</v>
      </c>
      <c r="C838" t="s">
        <v>531</v>
      </c>
      <c r="D838" t="s">
        <v>532</v>
      </c>
      <c r="E838" t="s">
        <v>533</v>
      </c>
      <c r="F838" t="s">
        <v>501</v>
      </c>
      <c r="G838" t="s">
        <v>1649</v>
      </c>
      <c r="H838" s="15">
        <v>46168</v>
      </c>
      <c r="I838" t="s">
        <v>1651</v>
      </c>
      <c r="J838" t="s">
        <v>233</v>
      </c>
      <c r="K838" t="s">
        <v>185</v>
      </c>
      <c r="N838">
        <v>0</v>
      </c>
      <c r="O838" t="s">
        <v>222</v>
      </c>
      <c r="P838">
        <v>0</v>
      </c>
      <c r="U838" s="15"/>
    </row>
    <row r="839" spans="1:21" x14ac:dyDescent="0.35">
      <c r="A839" t="s">
        <v>14</v>
      </c>
      <c r="B839" t="s">
        <v>497</v>
      </c>
      <c r="C839" t="s">
        <v>498</v>
      </c>
      <c r="D839" t="s">
        <v>499</v>
      </c>
      <c r="E839" t="s">
        <v>500</v>
      </c>
      <c r="F839" t="s">
        <v>501</v>
      </c>
      <c r="G839" t="s">
        <v>1652</v>
      </c>
      <c r="H839" s="15">
        <v>46169</v>
      </c>
      <c r="I839" t="s">
        <v>1653</v>
      </c>
      <c r="J839" t="s">
        <v>16</v>
      </c>
      <c r="K839" t="s">
        <v>185</v>
      </c>
      <c r="N839">
        <v>0</v>
      </c>
      <c r="O839" t="s">
        <v>222</v>
      </c>
      <c r="P839">
        <v>0</v>
      </c>
      <c r="U839" s="15"/>
    </row>
    <row r="840" spans="1:21" x14ac:dyDescent="0.35">
      <c r="A840" t="s">
        <v>14</v>
      </c>
      <c r="B840" t="s">
        <v>497</v>
      </c>
      <c r="C840" t="s">
        <v>498</v>
      </c>
      <c r="D840" t="s">
        <v>499</v>
      </c>
      <c r="E840" t="s">
        <v>500</v>
      </c>
      <c r="F840" t="s">
        <v>501</v>
      </c>
      <c r="G840" t="s">
        <v>1652</v>
      </c>
      <c r="H840" s="15">
        <v>46169</v>
      </c>
      <c r="I840" t="s">
        <v>1653</v>
      </c>
      <c r="J840" t="s">
        <v>16</v>
      </c>
      <c r="K840" t="s">
        <v>185</v>
      </c>
      <c r="N840">
        <v>0</v>
      </c>
      <c r="O840" t="s">
        <v>222</v>
      </c>
      <c r="P840">
        <v>0</v>
      </c>
      <c r="U840" s="15"/>
    </row>
    <row r="841" spans="1:21" x14ac:dyDescent="0.35">
      <c r="A841" t="s">
        <v>14</v>
      </c>
      <c r="B841" t="s">
        <v>497</v>
      </c>
      <c r="C841" t="s">
        <v>504</v>
      </c>
      <c r="D841" t="s">
        <v>505</v>
      </c>
      <c r="E841" t="s">
        <v>506</v>
      </c>
      <c r="F841" t="s">
        <v>501</v>
      </c>
      <c r="G841" t="s">
        <v>1652</v>
      </c>
      <c r="H841" s="15">
        <v>46169</v>
      </c>
      <c r="I841" t="s">
        <v>1654</v>
      </c>
      <c r="J841" t="s">
        <v>16</v>
      </c>
      <c r="K841" t="s">
        <v>185</v>
      </c>
      <c r="N841">
        <v>0</v>
      </c>
      <c r="O841" t="s">
        <v>222</v>
      </c>
      <c r="P841">
        <v>0</v>
      </c>
      <c r="U841" s="15"/>
    </row>
    <row r="842" spans="1:21" x14ac:dyDescent="0.35">
      <c r="A842" t="s">
        <v>14</v>
      </c>
      <c r="B842" t="s">
        <v>497</v>
      </c>
      <c r="C842" t="s">
        <v>521</v>
      </c>
      <c r="D842" t="s">
        <v>522</v>
      </c>
      <c r="E842" t="s">
        <v>523</v>
      </c>
      <c r="F842" t="s">
        <v>501</v>
      </c>
      <c r="G842" t="s">
        <v>1655</v>
      </c>
      <c r="H842" s="15">
        <v>46169</v>
      </c>
      <c r="I842" t="s">
        <v>1656</v>
      </c>
      <c r="J842" t="s">
        <v>233</v>
      </c>
      <c r="K842" t="s">
        <v>185</v>
      </c>
      <c r="N842">
        <v>0</v>
      </c>
      <c r="O842" t="s">
        <v>222</v>
      </c>
      <c r="P842">
        <v>0</v>
      </c>
      <c r="U842" s="15"/>
    </row>
    <row r="843" spans="1:21" x14ac:dyDescent="0.35">
      <c r="A843" t="s">
        <v>14</v>
      </c>
      <c r="B843" t="s">
        <v>497</v>
      </c>
      <c r="C843" t="s">
        <v>977</v>
      </c>
      <c r="D843" t="s">
        <v>978</v>
      </c>
      <c r="E843" t="s">
        <v>979</v>
      </c>
      <c r="F843" t="s">
        <v>501</v>
      </c>
      <c r="G843" t="s">
        <v>1655</v>
      </c>
      <c r="H843" s="15">
        <v>46169</v>
      </c>
      <c r="I843" t="s">
        <v>1657</v>
      </c>
      <c r="J843" t="s">
        <v>233</v>
      </c>
      <c r="K843" t="s">
        <v>185</v>
      </c>
      <c r="N843">
        <v>0</v>
      </c>
      <c r="O843" t="s">
        <v>222</v>
      </c>
      <c r="P843">
        <v>0</v>
      </c>
      <c r="U843" s="15"/>
    </row>
    <row r="844" spans="1:21" x14ac:dyDescent="0.35">
      <c r="A844" t="s">
        <v>14</v>
      </c>
      <c r="B844" t="s">
        <v>497</v>
      </c>
      <c r="C844" t="s">
        <v>498</v>
      </c>
      <c r="D844" t="s">
        <v>499</v>
      </c>
      <c r="E844" t="s">
        <v>500</v>
      </c>
      <c r="F844" t="s">
        <v>501</v>
      </c>
      <c r="G844" t="s">
        <v>1658</v>
      </c>
      <c r="H844" s="15">
        <v>46170</v>
      </c>
      <c r="I844" t="s">
        <v>1659</v>
      </c>
      <c r="J844" t="s">
        <v>16</v>
      </c>
      <c r="K844" t="s">
        <v>185</v>
      </c>
      <c r="N844">
        <v>0</v>
      </c>
      <c r="O844" t="s">
        <v>222</v>
      </c>
      <c r="P844">
        <v>0</v>
      </c>
      <c r="U844" s="15"/>
    </row>
    <row r="845" spans="1:21" x14ac:dyDescent="0.35">
      <c r="A845" t="s">
        <v>14</v>
      </c>
      <c r="B845" t="s">
        <v>497</v>
      </c>
      <c r="C845" t="s">
        <v>504</v>
      </c>
      <c r="D845" t="s">
        <v>505</v>
      </c>
      <c r="E845" t="s">
        <v>506</v>
      </c>
      <c r="F845" t="s">
        <v>501</v>
      </c>
      <c r="G845" t="s">
        <v>1658</v>
      </c>
      <c r="H845" s="15">
        <v>46170</v>
      </c>
      <c r="I845" t="s">
        <v>1660</v>
      </c>
      <c r="J845" t="s">
        <v>16</v>
      </c>
      <c r="K845" t="s">
        <v>185</v>
      </c>
      <c r="N845">
        <v>0</v>
      </c>
      <c r="O845" t="s">
        <v>222</v>
      </c>
      <c r="P845">
        <v>0</v>
      </c>
      <c r="U845" s="15"/>
    </row>
    <row r="846" spans="1:21" x14ac:dyDescent="0.35">
      <c r="A846" t="s">
        <v>14</v>
      </c>
      <c r="B846" t="s">
        <v>497</v>
      </c>
      <c r="C846" t="s">
        <v>940</v>
      </c>
      <c r="D846" t="s">
        <v>941</v>
      </c>
      <c r="E846" t="s">
        <v>942</v>
      </c>
      <c r="F846" t="s">
        <v>501</v>
      </c>
      <c r="G846" t="s">
        <v>1661</v>
      </c>
      <c r="H846" s="15">
        <v>46170</v>
      </c>
      <c r="I846" t="s">
        <v>1662</v>
      </c>
      <c r="J846" t="s">
        <v>233</v>
      </c>
      <c r="K846" t="s">
        <v>185</v>
      </c>
      <c r="N846">
        <v>0</v>
      </c>
      <c r="O846" t="s">
        <v>222</v>
      </c>
      <c r="P846">
        <v>0</v>
      </c>
      <c r="U846" s="15"/>
    </row>
    <row r="847" spans="1:21" x14ac:dyDescent="0.35">
      <c r="A847" t="s">
        <v>14</v>
      </c>
      <c r="B847" t="s">
        <v>497</v>
      </c>
      <c r="C847" t="s">
        <v>515</v>
      </c>
      <c r="D847" t="s">
        <v>516</v>
      </c>
      <c r="E847" t="s">
        <v>517</v>
      </c>
      <c r="F847" t="s">
        <v>501</v>
      </c>
      <c r="G847" t="s">
        <v>1661</v>
      </c>
      <c r="H847" s="15">
        <v>46170</v>
      </c>
      <c r="I847" t="s">
        <v>1663</v>
      </c>
      <c r="J847" t="s">
        <v>233</v>
      </c>
      <c r="K847" t="s">
        <v>185</v>
      </c>
      <c r="N847">
        <v>0</v>
      </c>
      <c r="O847" t="s">
        <v>222</v>
      </c>
      <c r="P847">
        <v>0</v>
      </c>
      <c r="U847" s="15"/>
    </row>
    <row r="848" spans="1:21" x14ac:dyDescent="0.35">
      <c r="A848" t="s">
        <v>14</v>
      </c>
      <c r="B848" t="s">
        <v>497</v>
      </c>
      <c r="C848" t="s">
        <v>498</v>
      </c>
      <c r="D848" t="s">
        <v>499</v>
      </c>
      <c r="E848" t="s">
        <v>500</v>
      </c>
      <c r="F848" t="s">
        <v>501</v>
      </c>
      <c r="G848" t="s">
        <v>1766</v>
      </c>
      <c r="H848" s="15">
        <v>46171</v>
      </c>
      <c r="I848" t="s">
        <v>1767</v>
      </c>
      <c r="J848" t="s">
        <v>16</v>
      </c>
      <c r="K848" t="s">
        <v>185</v>
      </c>
      <c r="N848">
        <v>0</v>
      </c>
      <c r="O848" t="s">
        <v>222</v>
      </c>
      <c r="P848">
        <v>0</v>
      </c>
      <c r="U848" s="15"/>
    </row>
    <row r="849" spans="1:21" x14ac:dyDescent="0.35">
      <c r="A849" t="s">
        <v>14</v>
      </c>
      <c r="B849" t="s">
        <v>497</v>
      </c>
      <c r="C849" t="s">
        <v>504</v>
      </c>
      <c r="D849" t="s">
        <v>505</v>
      </c>
      <c r="E849" t="s">
        <v>506</v>
      </c>
      <c r="F849" t="s">
        <v>501</v>
      </c>
      <c r="G849" t="s">
        <v>1766</v>
      </c>
      <c r="H849" s="15">
        <v>46171</v>
      </c>
      <c r="I849" t="s">
        <v>1768</v>
      </c>
      <c r="J849" t="s">
        <v>16</v>
      </c>
      <c r="K849" t="s">
        <v>185</v>
      </c>
      <c r="N849">
        <v>0</v>
      </c>
      <c r="O849" t="s">
        <v>222</v>
      </c>
      <c r="P849">
        <v>0</v>
      </c>
      <c r="U849" s="15"/>
    </row>
    <row r="850" spans="1:21" x14ac:dyDescent="0.35">
      <c r="A850" t="s">
        <v>14</v>
      </c>
      <c r="B850" t="s">
        <v>497</v>
      </c>
      <c r="C850" t="s">
        <v>866</v>
      </c>
      <c r="D850" t="s">
        <v>867</v>
      </c>
      <c r="E850" t="s">
        <v>868</v>
      </c>
      <c r="F850" t="s">
        <v>501</v>
      </c>
      <c r="G850" t="s">
        <v>1769</v>
      </c>
      <c r="H850" s="15">
        <v>46171</v>
      </c>
      <c r="I850" t="s">
        <v>1770</v>
      </c>
      <c r="J850" t="s">
        <v>233</v>
      </c>
      <c r="K850" t="s">
        <v>185</v>
      </c>
      <c r="N850">
        <v>0</v>
      </c>
      <c r="O850" t="s">
        <v>222</v>
      </c>
      <c r="P850">
        <v>0</v>
      </c>
      <c r="U850" s="15"/>
    </row>
    <row r="851" spans="1:21" x14ac:dyDescent="0.35">
      <c r="A851" t="s">
        <v>14</v>
      </c>
      <c r="B851" t="s">
        <v>497</v>
      </c>
      <c r="C851" t="s">
        <v>515</v>
      </c>
      <c r="D851" t="s">
        <v>516</v>
      </c>
      <c r="E851" t="s">
        <v>517</v>
      </c>
      <c r="F851" t="s">
        <v>501</v>
      </c>
      <c r="G851" t="s">
        <v>1769</v>
      </c>
      <c r="H851" s="15">
        <v>46171</v>
      </c>
      <c r="I851" t="s">
        <v>1771</v>
      </c>
      <c r="J851" t="s">
        <v>233</v>
      </c>
      <c r="K851" t="s">
        <v>185</v>
      </c>
      <c r="N851">
        <v>0</v>
      </c>
      <c r="O851" t="s">
        <v>222</v>
      </c>
      <c r="P851">
        <v>0</v>
      </c>
      <c r="U851" s="15"/>
    </row>
    <row r="852" spans="1:21" x14ac:dyDescent="0.35">
      <c r="A852" t="s">
        <v>14</v>
      </c>
      <c r="B852" t="s">
        <v>497</v>
      </c>
      <c r="C852" t="s">
        <v>531</v>
      </c>
      <c r="D852" t="s">
        <v>532</v>
      </c>
      <c r="E852" t="s">
        <v>533</v>
      </c>
      <c r="F852" t="s">
        <v>501</v>
      </c>
      <c r="G852" t="s">
        <v>1772</v>
      </c>
      <c r="H852" s="15">
        <v>46172</v>
      </c>
      <c r="I852" t="s">
        <v>1773</v>
      </c>
      <c r="J852" t="s">
        <v>16</v>
      </c>
      <c r="K852" t="s">
        <v>185</v>
      </c>
      <c r="N852">
        <v>0</v>
      </c>
      <c r="O852" t="s">
        <v>222</v>
      </c>
      <c r="P852">
        <v>0</v>
      </c>
      <c r="U852" s="15"/>
    </row>
    <row r="853" spans="1:21" x14ac:dyDescent="0.35">
      <c r="A853" t="s">
        <v>14</v>
      </c>
      <c r="B853" t="s">
        <v>497</v>
      </c>
      <c r="C853" t="s">
        <v>536</v>
      </c>
      <c r="D853" t="s">
        <v>537</v>
      </c>
      <c r="E853" t="s">
        <v>538</v>
      </c>
      <c r="F853" t="s">
        <v>501</v>
      </c>
      <c r="G853" t="s">
        <v>1772</v>
      </c>
      <c r="H853" s="15">
        <v>46172</v>
      </c>
      <c r="I853" t="s">
        <v>1774</v>
      </c>
      <c r="J853" t="s">
        <v>16</v>
      </c>
      <c r="K853" t="s">
        <v>185</v>
      </c>
      <c r="N853">
        <v>0</v>
      </c>
      <c r="O853" t="s">
        <v>222</v>
      </c>
      <c r="P853">
        <v>0</v>
      </c>
      <c r="U853" s="15"/>
    </row>
    <row r="854" spans="1:21" x14ac:dyDescent="0.35">
      <c r="A854" t="s">
        <v>14</v>
      </c>
      <c r="B854" t="s">
        <v>497</v>
      </c>
      <c r="C854" t="s">
        <v>531</v>
      </c>
      <c r="D854" t="s">
        <v>532</v>
      </c>
      <c r="E854" t="s">
        <v>533</v>
      </c>
      <c r="F854" t="s">
        <v>501</v>
      </c>
      <c r="G854" t="s">
        <v>1775</v>
      </c>
      <c r="H854" s="15">
        <v>46172</v>
      </c>
      <c r="I854" t="s">
        <v>1776</v>
      </c>
      <c r="J854" t="s">
        <v>233</v>
      </c>
      <c r="K854" t="s">
        <v>185</v>
      </c>
      <c r="N854">
        <v>0</v>
      </c>
      <c r="O854" t="s">
        <v>222</v>
      </c>
      <c r="P854">
        <v>0</v>
      </c>
      <c r="U854" s="15"/>
    </row>
    <row r="855" spans="1:21" x14ac:dyDescent="0.35">
      <c r="A855" t="s">
        <v>14</v>
      </c>
      <c r="B855" t="s">
        <v>497</v>
      </c>
      <c r="C855" t="s">
        <v>552</v>
      </c>
      <c r="D855" t="s">
        <v>553</v>
      </c>
      <c r="E855" t="s">
        <v>554</v>
      </c>
      <c r="F855" t="s">
        <v>501</v>
      </c>
      <c r="G855" t="s">
        <v>1777</v>
      </c>
      <c r="H855" s="15">
        <v>46174</v>
      </c>
      <c r="I855" t="s">
        <v>1778</v>
      </c>
      <c r="J855" t="s">
        <v>16</v>
      </c>
      <c r="K855" t="s">
        <v>185</v>
      </c>
      <c r="N855">
        <v>0</v>
      </c>
      <c r="O855" t="s">
        <v>222</v>
      </c>
      <c r="P855">
        <v>0</v>
      </c>
      <c r="U855" s="15"/>
    </row>
    <row r="856" spans="1:21" x14ac:dyDescent="0.35">
      <c r="A856" t="s">
        <v>14</v>
      </c>
      <c r="B856" t="s">
        <v>497</v>
      </c>
      <c r="C856" t="s">
        <v>557</v>
      </c>
      <c r="D856" t="s">
        <v>558</v>
      </c>
      <c r="E856" t="s">
        <v>559</v>
      </c>
      <c r="F856" t="s">
        <v>501</v>
      </c>
      <c r="G856" t="s">
        <v>1777</v>
      </c>
      <c r="H856" s="15">
        <v>46174</v>
      </c>
      <c r="I856" t="s">
        <v>1779</v>
      </c>
      <c r="J856" t="s">
        <v>16</v>
      </c>
      <c r="K856" t="s">
        <v>185</v>
      </c>
      <c r="N856">
        <v>0</v>
      </c>
      <c r="O856" t="s">
        <v>222</v>
      </c>
      <c r="P856">
        <v>0</v>
      </c>
      <c r="U856" s="15"/>
    </row>
    <row r="857" spans="1:21" x14ac:dyDescent="0.35">
      <c r="A857" t="s">
        <v>14</v>
      </c>
      <c r="B857" t="s">
        <v>497</v>
      </c>
      <c r="C857" t="s">
        <v>552</v>
      </c>
      <c r="D857" t="s">
        <v>553</v>
      </c>
      <c r="E857" t="s">
        <v>554</v>
      </c>
      <c r="F857" t="s">
        <v>501</v>
      </c>
      <c r="G857" t="s">
        <v>1780</v>
      </c>
      <c r="H857" s="15">
        <v>46174</v>
      </c>
      <c r="I857" t="s">
        <v>1781</v>
      </c>
      <c r="J857" t="s">
        <v>233</v>
      </c>
      <c r="K857" t="s">
        <v>185</v>
      </c>
      <c r="N857">
        <v>0</v>
      </c>
      <c r="O857" t="s">
        <v>222</v>
      </c>
      <c r="P857">
        <v>0</v>
      </c>
      <c r="U857" s="15"/>
    </row>
    <row r="858" spans="1:21" x14ac:dyDescent="0.35">
      <c r="A858" t="s">
        <v>14</v>
      </c>
      <c r="B858" t="s">
        <v>497</v>
      </c>
      <c r="C858" t="s">
        <v>977</v>
      </c>
      <c r="D858" t="s">
        <v>978</v>
      </c>
      <c r="E858" t="s">
        <v>979</v>
      </c>
      <c r="F858" t="s">
        <v>501</v>
      </c>
      <c r="G858" t="s">
        <v>1782</v>
      </c>
      <c r="H858" s="15">
        <v>46175</v>
      </c>
      <c r="I858" t="s">
        <v>1783</v>
      </c>
      <c r="J858" t="s">
        <v>233</v>
      </c>
      <c r="K858" t="s">
        <v>185</v>
      </c>
      <c r="N858">
        <v>0</v>
      </c>
      <c r="O858" t="s">
        <v>222</v>
      </c>
      <c r="P858">
        <v>0</v>
      </c>
      <c r="U858" s="15"/>
    </row>
    <row r="859" spans="1:21" x14ac:dyDescent="0.35">
      <c r="A859" t="s">
        <v>14</v>
      </c>
      <c r="B859" t="s">
        <v>497</v>
      </c>
      <c r="C859" t="s">
        <v>531</v>
      </c>
      <c r="D859" t="s">
        <v>532</v>
      </c>
      <c r="E859" t="s">
        <v>533</v>
      </c>
      <c r="F859" t="s">
        <v>501</v>
      </c>
      <c r="G859" t="s">
        <v>1784</v>
      </c>
      <c r="H859" s="15">
        <v>46176</v>
      </c>
      <c r="I859" t="s">
        <v>1785</v>
      </c>
      <c r="J859" t="s">
        <v>16</v>
      </c>
      <c r="K859" t="s">
        <v>185</v>
      </c>
      <c r="N859">
        <v>0</v>
      </c>
      <c r="O859" t="s">
        <v>222</v>
      </c>
      <c r="P859">
        <v>0</v>
      </c>
      <c r="U859" s="15"/>
    </row>
    <row r="860" spans="1:21" x14ac:dyDescent="0.35">
      <c r="A860" t="s">
        <v>14</v>
      </c>
      <c r="B860" t="s">
        <v>497</v>
      </c>
      <c r="C860" t="s">
        <v>536</v>
      </c>
      <c r="D860" t="s">
        <v>537</v>
      </c>
      <c r="E860" t="s">
        <v>538</v>
      </c>
      <c r="F860" t="s">
        <v>501</v>
      </c>
      <c r="G860" t="s">
        <v>1784</v>
      </c>
      <c r="H860" s="15">
        <v>46176</v>
      </c>
      <c r="I860" t="s">
        <v>1786</v>
      </c>
      <c r="J860" t="s">
        <v>16</v>
      </c>
      <c r="K860" t="s">
        <v>185</v>
      </c>
      <c r="N860">
        <v>0</v>
      </c>
      <c r="O860" t="s">
        <v>222</v>
      </c>
      <c r="P860">
        <v>0</v>
      </c>
      <c r="U860" s="15"/>
    </row>
    <row r="861" spans="1:21" x14ac:dyDescent="0.35">
      <c r="A861" t="s">
        <v>14</v>
      </c>
      <c r="B861" t="s">
        <v>497</v>
      </c>
      <c r="C861" t="s">
        <v>561</v>
      </c>
      <c r="D861" t="s">
        <v>562</v>
      </c>
      <c r="E861" t="s">
        <v>562</v>
      </c>
      <c r="F861" t="s">
        <v>501</v>
      </c>
      <c r="G861" t="s">
        <v>1787</v>
      </c>
      <c r="H861" s="15">
        <v>46177</v>
      </c>
      <c r="I861" t="s">
        <v>1788</v>
      </c>
      <c r="J861" t="s">
        <v>16</v>
      </c>
      <c r="K861" t="s">
        <v>185</v>
      </c>
      <c r="N861">
        <v>0</v>
      </c>
      <c r="O861" t="s">
        <v>222</v>
      </c>
      <c r="P861">
        <v>0</v>
      </c>
      <c r="U861" s="15"/>
    </row>
    <row r="862" spans="1:21" x14ac:dyDescent="0.35">
      <c r="A862" t="s">
        <v>14</v>
      </c>
      <c r="B862" t="s">
        <v>497</v>
      </c>
      <c r="C862" t="s">
        <v>504</v>
      </c>
      <c r="D862" t="s">
        <v>505</v>
      </c>
      <c r="E862" t="s">
        <v>506</v>
      </c>
      <c r="F862" t="s">
        <v>501</v>
      </c>
      <c r="G862" t="s">
        <v>1787</v>
      </c>
      <c r="H862" s="15">
        <v>46177</v>
      </c>
      <c r="I862" t="s">
        <v>1789</v>
      </c>
      <c r="J862" t="s">
        <v>16</v>
      </c>
      <c r="K862" t="s">
        <v>185</v>
      </c>
      <c r="N862">
        <v>0</v>
      </c>
      <c r="O862" t="s">
        <v>222</v>
      </c>
      <c r="P862">
        <v>0</v>
      </c>
      <c r="U862" s="15"/>
    </row>
    <row r="863" spans="1:21" x14ac:dyDescent="0.35">
      <c r="A863" t="s">
        <v>14</v>
      </c>
      <c r="B863" t="s">
        <v>497</v>
      </c>
      <c r="C863" t="s">
        <v>515</v>
      </c>
      <c r="D863" t="s">
        <v>516</v>
      </c>
      <c r="E863" t="s">
        <v>517</v>
      </c>
      <c r="F863" t="s">
        <v>501</v>
      </c>
      <c r="G863" t="s">
        <v>1790</v>
      </c>
      <c r="H863" s="15">
        <v>46177</v>
      </c>
      <c r="I863" t="s">
        <v>1791</v>
      </c>
      <c r="J863" t="s">
        <v>233</v>
      </c>
      <c r="K863" t="s">
        <v>185</v>
      </c>
      <c r="N863">
        <v>0</v>
      </c>
      <c r="O863" t="s">
        <v>222</v>
      </c>
      <c r="P863">
        <v>0</v>
      </c>
      <c r="U863" s="15"/>
    </row>
    <row r="864" spans="1:21" x14ac:dyDescent="0.35">
      <c r="A864" t="s">
        <v>14</v>
      </c>
      <c r="B864" t="s">
        <v>497</v>
      </c>
      <c r="C864" t="s">
        <v>515</v>
      </c>
      <c r="D864" t="s">
        <v>516</v>
      </c>
      <c r="E864" t="s">
        <v>517</v>
      </c>
      <c r="F864" t="s">
        <v>501</v>
      </c>
      <c r="G864" t="s">
        <v>1792</v>
      </c>
      <c r="H864" s="15">
        <v>46178</v>
      </c>
      <c r="I864" t="s">
        <v>1793</v>
      </c>
      <c r="J864" t="s">
        <v>16</v>
      </c>
      <c r="K864" t="s">
        <v>185</v>
      </c>
      <c r="N864">
        <v>0</v>
      </c>
      <c r="O864" t="s">
        <v>222</v>
      </c>
      <c r="P864">
        <v>0</v>
      </c>
      <c r="U864" s="15"/>
    </row>
    <row r="865" spans="1:21" x14ac:dyDescent="0.35">
      <c r="A865" t="s">
        <v>14</v>
      </c>
      <c r="B865" t="s">
        <v>497</v>
      </c>
      <c r="C865" t="s">
        <v>515</v>
      </c>
      <c r="D865" t="s">
        <v>516</v>
      </c>
      <c r="E865" t="s">
        <v>517</v>
      </c>
      <c r="F865" t="s">
        <v>501</v>
      </c>
      <c r="G865" t="s">
        <v>1792</v>
      </c>
      <c r="H865" s="15">
        <v>46178</v>
      </c>
      <c r="I865" t="s">
        <v>1793</v>
      </c>
      <c r="J865" t="s">
        <v>16</v>
      </c>
      <c r="K865" t="s">
        <v>185</v>
      </c>
      <c r="N865">
        <v>0</v>
      </c>
      <c r="O865" t="s">
        <v>222</v>
      </c>
      <c r="P865">
        <v>0</v>
      </c>
      <c r="U865" s="15"/>
    </row>
    <row r="866" spans="1:21" x14ac:dyDescent="0.35">
      <c r="A866" t="s">
        <v>14</v>
      </c>
      <c r="B866" t="s">
        <v>497</v>
      </c>
      <c r="C866" t="s">
        <v>504</v>
      </c>
      <c r="D866" t="s">
        <v>505</v>
      </c>
      <c r="E866" t="s">
        <v>506</v>
      </c>
      <c r="F866" t="s">
        <v>501</v>
      </c>
      <c r="G866" t="s">
        <v>1792</v>
      </c>
      <c r="H866" s="15">
        <v>46178</v>
      </c>
      <c r="I866" t="s">
        <v>1794</v>
      </c>
      <c r="J866" t="s">
        <v>16</v>
      </c>
      <c r="K866" t="s">
        <v>185</v>
      </c>
      <c r="N866">
        <v>0</v>
      </c>
      <c r="O866" t="s">
        <v>222</v>
      </c>
      <c r="P866">
        <v>0</v>
      </c>
      <c r="U866" s="15"/>
    </row>
    <row r="867" spans="1:21" x14ac:dyDescent="0.35">
      <c r="A867" t="s">
        <v>14</v>
      </c>
      <c r="B867" t="s">
        <v>497</v>
      </c>
      <c r="C867" t="s">
        <v>498</v>
      </c>
      <c r="D867" t="s">
        <v>499</v>
      </c>
      <c r="E867" t="s">
        <v>500</v>
      </c>
      <c r="F867" t="s">
        <v>501</v>
      </c>
      <c r="G867" t="s">
        <v>1795</v>
      </c>
      <c r="H867" s="15">
        <v>46178</v>
      </c>
      <c r="I867" t="s">
        <v>1796</v>
      </c>
      <c r="J867" t="s">
        <v>233</v>
      </c>
      <c r="K867" t="s">
        <v>185</v>
      </c>
      <c r="N867">
        <v>0</v>
      </c>
      <c r="O867" t="s">
        <v>222</v>
      </c>
      <c r="P867">
        <v>0</v>
      </c>
      <c r="U867" s="15"/>
    </row>
    <row r="868" spans="1:21" x14ac:dyDescent="0.35">
      <c r="A868" t="s">
        <v>14</v>
      </c>
      <c r="B868" t="s">
        <v>497</v>
      </c>
      <c r="C868" t="s">
        <v>498</v>
      </c>
      <c r="D868" t="s">
        <v>499</v>
      </c>
      <c r="E868" t="s">
        <v>500</v>
      </c>
      <c r="F868" t="s">
        <v>501</v>
      </c>
      <c r="G868" t="s">
        <v>1797</v>
      </c>
      <c r="H868" s="15">
        <v>46179</v>
      </c>
      <c r="I868" t="s">
        <v>1798</v>
      </c>
      <c r="J868" t="s">
        <v>16</v>
      </c>
      <c r="K868" t="s">
        <v>185</v>
      </c>
      <c r="N868">
        <v>0</v>
      </c>
      <c r="O868" t="s">
        <v>222</v>
      </c>
      <c r="P868">
        <v>0</v>
      </c>
      <c r="U868" s="15"/>
    </row>
    <row r="869" spans="1:21" x14ac:dyDescent="0.35">
      <c r="A869" t="s">
        <v>14</v>
      </c>
      <c r="B869" t="s">
        <v>497</v>
      </c>
      <c r="C869" t="s">
        <v>504</v>
      </c>
      <c r="D869" t="s">
        <v>505</v>
      </c>
      <c r="E869" t="s">
        <v>506</v>
      </c>
      <c r="F869" t="s">
        <v>501</v>
      </c>
      <c r="G869" t="s">
        <v>1797</v>
      </c>
      <c r="H869" s="15">
        <v>46179</v>
      </c>
      <c r="I869" t="s">
        <v>1799</v>
      </c>
      <c r="J869" t="s">
        <v>16</v>
      </c>
      <c r="K869" t="s">
        <v>185</v>
      </c>
      <c r="N869">
        <v>0</v>
      </c>
      <c r="O869" t="s">
        <v>222</v>
      </c>
      <c r="P869">
        <v>0</v>
      </c>
      <c r="U869" s="15"/>
    </row>
    <row r="870" spans="1:21" x14ac:dyDescent="0.35">
      <c r="A870" t="s">
        <v>14</v>
      </c>
      <c r="B870" t="s">
        <v>497</v>
      </c>
      <c r="C870" t="s">
        <v>498</v>
      </c>
      <c r="D870" t="s">
        <v>499</v>
      </c>
      <c r="E870" t="s">
        <v>500</v>
      </c>
      <c r="F870" t="s">
        <v>501</v>
      </c>
      <c r="G870" t="s">
        <v>1800</v>
      </c>
      <c r="H870" s="15">
        <v>46179</v>
      </c>
      <c r="I870" t="s">
        <v>1801</v>
      </c>
      <c r="J870" t="s">
        <v>233</v>
      </c>
      <c r="K870" t="s">
        <v>185</v>
      </c>
      <c r="N870">
        <v>0</v>
      </c>
      <c r="O870" t="s">
        <v>222</v>
      </c>
      <c r="P870">
        <v>0</v>
      </c>
      <c r="U870" s="15"/>
    </row>
    <row r="871" spans="1:21" x14ac:dyDescent="0.35">
      <c r="A871" t="s">
        <v>14</v>
      </c>
      <c r="B871" t="s">
        <v>497</v>
      </c>
      <c r="C871" t="s">
        <v>515</v>
      </c>
      <c r="D871" t="s">
        <v>516</v>
      </c>
      <c r="E871" t="s">
        <v>517</v>
      </c>
      <c r="F871" t="s">
        <v>501</v>
      </c>
      <c r="G871" t="s">
        <v>1802</v>
      </c>
      <c r="H871" s="15">
        <v>46181</v>
      </c>
      <c r="I871" t="s">
        <v>1803</v>
      </c>
      <c r="J871" t="s">
        <v>16</v>
      </c>
      <c r="K871" t="s">
        <v>185</v>
      </c>
      <c r="N871">
        <v>0</v>
      </c>
      <c r="O871" t="s">
        <v>222</v>
      </c>
      <c r="P871">
        <v>0</v>
      </c>
      <c r="U871" s="15"/>
    </row>
    <row r="872" spans="1:21" x14ac:dyDescent="0.35">
      <c r="A872" t="s">
        <v>14</v>
      </c>
      <c r="B872" t="s">
        <v>497</v>
      </c>
      <c r="C872" t="s">
        <v>557</v>
      </c>
      <c r="D872" t="s">
        <v>558</v>
      </c>
      <c r="E872" t="s">
        <v>559</v>
      </c>
      <c r="F872" t="s">
        <v>501</v>
      </c>
      <c r="G872" t="s">
        <v>1802</v>
      </c>
      <c r="H872" s="15">
        <v>46181</v>
      </c>
      <c r="I872" t="s">
        <v>1804</v>
      </c>
      <c r="J872" t="s">
        <v>16</v>
      </c>
      <c r="K872" t="s">
        <v>185</v>
      </c>
      <c r="N872">
        <v>0</v>
      </c>
      <c r="O872" t="s">
        <v>222</v>
      </c>
      <c r="P872">
        <v>0</v>
      </c>
      <c r="U872" s="15"/>
    </row>
    <row r="873" spans="1:21" x14ac:dyDescent="0.35">
      <c r="A873" t="s">
        <v>14</v>
      </c>
      <c r="B873" t="s">
        <v>497</v>
      </c>
      <c r="C873" t="s">
        <v>515</v>
      </c>
      <c r="D873" t="s">
        <v>516</v>
      </c>
      <c r="E873" t="s">
        <v>517</v>
      </c>
      <c r="F873" t="s">
        <v>501</v>
      </c>
      <c r="G873" t="s">
        <v>1805</v>
      </c>
      <c r="H873" s="15">
        <v>46181</v>
      </c>
      <c r="I873" t="s">
        <v>1806</v>
      </c>
      <c r="J873" t="s">
        <v>233</v>
      </c>
      <c r="K873" t="s">
        <v>185</v>
      </c>
      <c r="N873">
        <v>0</v>
      </c>
      <c r="O873" t="s">
        <v>222</v>
      </c>
      <c r="P873">
        <v>0</v>
      </c>
      <c r="U873" s="15"/>
    </row>
    <row r="874" spans="1:21" x14ac:dyDescent="0.35">
      <c r="A874" t="s">
        <v>14</v>
      </c>
      <c r="B874" t="s">
        <v>497</v>
      </c>
      <c r="C874" t="s">
        <v>615</v>
      </c>
      <c r="D874" t="s">
        <v>616</v>
      </c>
      <c r="E874" t="s">
        <v>617</v>
      </c>
      <c r="F874" t="s">
        <v>501</v>
      </c>
      <c r="G874" t="s">
        <v>1807</v>
      </c>
      <c r="H874" s="15">
        <v>46182</v>
      </c>
      <c r="I874" t="s">
        <v>1808</v>
      </c>
      <c r="J874" t="s">
        <v>16</v>
      </c>
      <c r="K874" t="s">
        <v>185</v>
      </c>
      <c r="N874">
        <v>0</v>
      </c>
      <c r="O874" t="s">
        <v>222</v>
      </c>
      <c r="P874">
        <v>0</v>
      </c>
      <c r="U874" s="15"/>
    </row>
    <row r="875" spans="1:21" x14ac:dyDescent="0.35">
      <c r="A875" t="s">
        <v>14</v>
      </c>
      <c r="B875" t="s">
        <v>497</v>
      </c>
      <c r="C875" t="s">
        <v>615</v>
      </c>
      <c r="D875" t="s">
        <v>616</v>
      </c>
      <c r="E875" t="s">
        <v>617</v>
      </c>
      <c r="F875" t="s">
        <v>501</v>
      </c>
      <c r="G875" t="s">
        <v>1807</v>
      </c>
      <c r="H875" s="15">
        <v>46182</v>
      </c>
      <c r="I875" t="s">
        <v>1809</v>
      </c>
      <c r="J875" t="s">
        <v>16</v>
      </c>
      <c r="K875" t="s">
        <v>185</v>
      </c>
      <c r="N875">
        <v>0</v>
      </c>
      <c r="O875" t="s">
        <v>222</v>
      </c>
      <c r="P875">
        <v>0</v>
      </c>
      <c r="U875" s="15"/>
    </row>
    <row r="876" spans="1:21" x14ac:dyDescent="0.35">
      <c r="A876" t="s">
        <v>14</v>
      </c>
      <c r="B876" t="s">
        <v>497</v>
      </c>
      <c r="C876" t="s">
        <v>899</v>
      </c>
      <c r="D876" t="s">
        <v>900</v>
      </c>
      <c r="E876" t="s">
        <v>901</v>
      </c>
      <c r="F876" t="s">
        <v>501</v>
      </c>
      <c r="G876" t="s">
        <v>1810</v>
      </c>
      <c r="H876" s="15">
        <v>46182</v>
      </c>
      <c r="I876" t="s">
        <v>1811</v>
      </c>
      <c r="J876" t="s">
        <v>233</v>
      </c>
      <c r="K876" t="s">
        <v>185</v>
      </c>
      <c r="N876">
        <v>0</v>
      </c>
      <c r="O876" t="s">
        <v>222</v>
      </c>
      <c r="P876">
        <v>0</v>
      </c>
      <c r="U876" s="15"/>
    </row>
    <row r="877" spans="1:21" x14ac:dyDescent="0.35">
      <c r="A877" t="s">
        <v>14</v>
      </c>
      <c r="B877" t="s">
        <v>497</v>
      </c>
      <c r="C877" t="s">
        <v>977</v>
      </c>
      <c r="D877" t="s">
        <v>978</v>
      </c>
      <c r="E877" t="s">
        <v>979</v>
      </c>
      <c r="F877" t="s">
        <v>501</v>
      </c>
      <c r="G877" t="s">
        <v>1810</v>
      </c>
      <c r="H877" s="15">
        <v>46182</v>
      </c>
      <c r="I877" t="s">
        <v>1812</v>
      </c>
      <c r="J877" t="s">
        <v>233</v>
      </c>
      <c r="K877" t="s">
        <v>185</v>
      </c>
      <c r="N877">
        <v>0</v>
      </c>
      <c r="O877" t="s">
        <v>222</v>
      </c>
      <c r="P877">
        <v>0</v>
      </c>
      <c r="U877" s="15"/>
    </row>
    <row r="878" spans="1:21" x14ac:dyDescent="0.35">
      <c r="A878" t="s">
        <v>14</v>
      </c>
      <c r="B878" t="s">
        <v>497</v>
      </c>
      <c r="C878" t="s">
        <v>515</v>
      </c>
      <c r="D878" t="s">
        <v>516</v>
      </c>
      <c r="E878" t="s">
        <v>517</v>
      </c>
      <c r="F878" t="s">
        <v>501</v>
      </c>
      <c r="G878" t="s">
        <v>1813</v>
      </c>
      <c r="H878" s="15">
        <v>46183</v>
      </c>
      <c r="I878" t="s">
        <v>1814</v>
      </c>
      <c r="J878" t="s">
        <v>16</v>
      </c>
      <c r="K878" t="s">
        <v>185</v>
      </c>
      <c r="N878">
        <v>0</v>
      </c>
      <c r="O878" t="s">
        <v>222</v>
      </c>
      <c r="P878">
        <v>0</v>
      </c>
      <c r="U878" s="15"/>
    </row>
    <row r="879" spans="1:21" x14ac:dyDescent="0.35">
      <c r="A879" t="s">
        <v>14</v>
      </c>
      <c r="B879" t="s">
        <v>497</v>
      </c>
      <c r="C879" t="s">
        <v>504</v>
      </c>
      <c r="D879" t="s">
        <v>505</v>
      </c>
      <c r="E879" t="s">
        <v>506</v>
      </c>
      <c r="F879" t="s">
        <v>501</v>
      </c>
      <c r="G879" t="s">
        <v>1815</v>
      </c>
      <c r="H879" s="15">
        <v>46183</v>
      </c>
      <c r="I879" t="s">
        <v>1816</v>
      </c>
      <c r="J879" t="s">
        <v>233</v>
      </c>
      <c r="K879" t="s">
        <v>185</v>
      </c>
      <c r="N879">
        <v>0</v>
      </c>
      <c r="O879" t="s">
        <v>222</v>
      </c>
      <c r="P879">
        <v>0</v>
      </c>
      <c r="U879" s="15"/>
    </row>
    <row r="880" spans="1:21" x14ac:dyDescent="0.35">
      <c r="A880" t="s">
        <v>14</v>
      </c>
      <c r="B880" t="s">
        <v>497</v>
      </c>
      <c r="C880" t="s">
        <v>498</v>
      </c>
      <c r="D880" t="s">
        <v>499</v>
      </c>
      <c r="E880" t="s">
        <v>500</v>
      </c>
      <c r="F880" t="s">
        <v>501</v>
      </c>
      <c r="G880" t="s">
        <v>1815</v>
      </c>
      <c r="H880" s="15">
        <v>46183</v>
      </c>
      <c r="I880" t="s">
        <v>1819</v>
      </c>
      <c r="J880" t="s">
        <v>233</v>
      </c>
      <c r="K880" t="s">
        <v>185</v>
      </c>
      <c r="N880">
        <v>0</v>
      </c>
      <c r="O880" t="s">
        <v>222</v>
      </c>
      <c r="P880">
        <v>0</v>
      </c>
      <c r="U880" s="15"/>
    </row>
    <row r="881" spans="1:21" x14ac:dyDescent="0.35">
      <c r="A881" t="s">
        <v>14</v>
      </c>
      <c r="B881" t="s">
        <v>497</v>
      </c>
      <c r="C881" t="s">
        <v>1002</v>
      </c>
      <c r="D881" t="s">
        <v>1003</v>
      </c>
      <c r="E881" t="s">
        <v>1004</v>
      </c>
      <c r="F881" t="s">
        <v>501</v>
      </c>
      <c r="G881" t="s">
        <v>1815</v>
      </c>
      <c r="H881" s="15">
        <v>46183</v>
      </c>
      <c r="I881" t="s">
        <v>1823</v>
      </c>
      <c r="J881" t="s">
        <v>233</v>
      </c>
      <c r="K881" t="s">
        <v>185</v>
      </c>
      <c r="N881">
        <v>0</v>
      </c>
      <c r="O881" t="s">
        <v>222</v>
      </c>
      <c r="P881">
        <v>0</v>
      </c>
      <c r="U881" s="15"/>
    </row>
    <row r="882" spans="1:21" x14ac:dyDescent="0.35">
      <c r="A882" t="s">
        <v>14</v>
      </c>
      <c r="B882" t="s">
        <v>497</v>
      </c>
      <c r="C882" t="s">
        <v>561</v>
      </c>
      <c r="D882" t="s">
        <v>562</v>
      </c>
      <c r="E882" t="s">
        <v>562</v>
      </c>
      <c r="F882" t="s">
        <v>501</v>
      </c>
      <c r="G882" t="s">
        <v>1824</v>
      </c>
      <c r="H882" s="15">
        <v>46184</v>
      </c>
      <c r="I882" t="s">
        <v>1825</v>
      </c>
      <c r="J882" t="s">
        <v>16</v>
      </c>
      <c r="K882" t="s">
        <v>185</v>
      </c>
      <c r="N882">
        <v>0</v>
      </c>
      <c r="O882" t="s">
        <v>222</v>
      </c>
      <c r="P882">
        <v>0</v>
      </c>
      <c r="U882" s="15"/>
    </row>
    <row r="883" spans="1:21" x14ac:dyDescent="0.35">
      <c r="A883" t="s">
        <v>14</v>
      </c>
      <c r="B883" t="s">
        <v>497</v>
      </c>
      <c r="C883" t="s">
        <v>504</v>
      </c>
      <c r="D883" t="s">
        <v>505</v>
      </c>
      <c r="E883" t="s">
        <v>506</v>
      </c>
      <c r="F883" t="s">
        <v>501</v>
      </c>
      <c r="G883" t="s">
        <v>1824</v>
      </c>
      <c r="H883" s="15">
        <v>46184</v>
      </c>
      <c r="I883" t="s">
        <v>1830</v>
      </c>
      <c r="J883" t="s">
        <v>16</v>
      </c>
      <c r="K883" t="s">
        <v>185</v>
      </c>
      <c r="N883">
        <v>0</v>
      </c>
      <c r="O883" t="s">
        <v>222</v>
      </c>
      <c r="P883">
        <v>0</v>
      </c>
      <c r="U883" s="15"/>
    </row>
    <row r="884" spans="1:21" x14ac:dyDescent="0.35">
      <c r="A884" t="s">
        <v>14</v>
      </c>
      <c r="B884" t="s">
        <v>497</v>
      </c>
      <c r="C884" t="s">
        <v>531</v>
      </c>
      <c r="D884" t="s">
        <v>532</v>
      </c>
      <c r="E884" t="s">
        <v>533</v>
      </c>
      <c r="F884" t="s">
        <v>501</v>
      </c>
      <c r="G884" t="s">
        <v>1834</v>
      </c>
      <c r="H884" s="15">
        <v>46184</v>
      </c>
      <c r="I884" t="s">
        <v>1835</v>
      </c>
      <c r="J884" t="s">
        <v>233</v>
      </c>
      <c r="K884" t="s">
        <v>185</v>
      </c>
      <c r="N884">
        <v>0</v>
      </c>
      <c r="O884" t="s">
        <v>222</v>
      </c>
      <c r="P884">
        <v>0</v>
      </c>
      <c r="U884" s="15"/>
    </row>
    <row r="885" spans="1:21" x14ac:dyDescent="0.35">
      <c r="A885" t="s">
        <v>14</v>
      </c>
      <c r="B885" t="s">
        <v>497</v>
      </c>
      <c r="C885" t="s">
        <v>498</v>
      </c>
      <c r="D885" t="s">
        <v>499</v>
      </c>
      <c r="E885" t="s">
        <v>500</v>
      </c>
      <c r="F885" t="s">
        <v>501</v>
      </c>
      <c r="G885" t="s">
        <v>1836</v>
      </c>
      <c r="H885" s="15">
        <v>46185</v>
      </c>
      <c r="I885" t="s">
        <v>1837</v>
      </c>
      <c r="J885" t="s">
        <v>16</v>
      </c>
      <c r="K885" t="s">
        <v>185</v>
      </c>
      <c r="N885">
        <v>0</v>
      </c>
      <c r="O885" t="s">
        <v>222</v>
      </c>
      <c r="P885">
        <v>0</v>
      </c>
      <c r="U885" s="15"/>
    </row>
    <row r="886" spans="1:21" x14ac:dyDescent="0.35">
      <c r="A886" t="s">
        <v>14</v>
      </c>
      <c r="B886" t="s">
        <v>497</v>
      </c>
      <c r="C886" t="s">
        <v>504</v>
      </c>
      <c r="D886" t="s">
        <v>505</v>
      </c>
      <c r="E886" t="s">
        <v>506</v>
      </c>
      <c r="F886" t="s">
        <v>501</v>
      </c>
      <c r="G886" t="s">
        <v>1840</v>
      </c>
      <c r="H886" s="15">
        <v>46185</v>
      </c>
      <c r="I886" t="s">
        <v>1841</v>
      </c>
      <c r="J886" t="s">
        <v>233</v>
      </c>
      <c r="K886" t="s">
        <v>185</v>
      </c>
      <c r="N886">
        <v>0</v>
      </c>
      <c r="O886" t="s">
        <v>222</v>
      </c>
      <c r="P886">
        <v>0</v>
      </c>
      <c r="U886" s="15"/>
    </row>
    <row r="887" spans="1:21" x14ac:dyDescent="0.35">
      <c r="A887" t="s">
        <v>14</v>
      </c>
      <c r="B887" t="s">
        <v>497</v>
      </c>
      <c r="C887" t="s">
        <v>515</v>
      </c>
      <c r="D887" t="s">
        <v>516</v>
      </c>
      <c r="E887" t="s">
        <v>517</v>
      </c>
      <c r="F887" t="s">
        <v>501</v>
      </c>
      <c r="G887" t="s">
        <v>1840</v>
      </c>
      <c r="H887" s="15">
        <v>46185</v>
      </c>
      <c r="I887" t="s">
        <v>1847</v>
      </c>
      <c r="J887" t="s">
        <v>233</v>
      </c>
      <c r="K887" t="s">
        <v>185</v>
      </c>
      <c r="N887">
        <v>0</v>
      </c>
      <c r="O887" t="s">
        <v>222</v>
      </c>
      <c r="P887">
        <v>0</v>
      </c>
      <c r="U887" s="15"/>
    </row>
    <row r="888" spans="1:21" x14ac:dyDescent="0.35">
      <c r="A888" t="s">
        <v>14</v>
      </c>
      <c r="B888" t="s">
        <v>497</v>
      </c>
      <c r="C888" t="s">
        <v>615</v>
      </c>
      <c r="D888" t="s">
        <v>616</v>
      </c>
      <c r="E888" t="s">
        <v>617</v>
      </c>
      <c r="F888" t="s">
        <v>501</v>
      </c>
      <c r="G888" t="s">
        <v>1850</v>
      </c>
      <c r="H888" s="15">
        <v>46186</v>
      </c>
      <c r="I888" t="s">
        <v>1851</v>
      </c>
      <c r="J888" t="s">
        <v>16</v>
      </c>
      <c r="K888" t="s">
        <v>185</v>
      </c>
      <c r="N888">
        <v>0</v>
      </c>
      <c r="O888" t="s">
        <v>222</v>
      </c>
      <c r="P888">
        <v>0</v>
      </c>
      <c r="U888" s="15"/>
    </row>
    <row r="889" spans="1:21" x14ac:dyDescent="0.35">
      <c r="A889" t="s">
        <v>14</v>
      </c>
      <c r="B889" t="s">
        <v>497</v>
      </c>
      <c r="C889" t="s">
        <v>899</v>
      </c>
      <c r="D889" t="s">
        <v>900</v>
      </c>
      <c r="E889" t="s">
        <v>901</v>
      </c>
      <c r="F889" t="s">
        <v>501</v>
      </c>
      <c r="G889" t="s">
        <v>1850</v>
      </c>
      <c r="H889" s="15">
        <v>46186</v>
      </c>
      <c r="I889" t="s">
        <v>1853</v>
      </c>
      <c r="J889" t="s">
        <v>16</v>
      </c>
      <c r="K889" t="s">
        <v>185</v>
      </c>
      <c r="N889">
        <v>0</v>
      </c>
      <c r="O889" t="s">
        <v>222</v>
      </c>
      <c r="P889">
        <v>0</v>
      </c>
      <c r="U889" s="15"/>
    </row>
    <row r="890" spans="1:21" x14ac:dyDescent="0.35">
      <c r="A890" t="s">
        <v>14</v>
      </c>
      <c r="B890" t="s">
        <v>497</v>
      </c>
      <c r="C890" t="s">
        <v>615</v>
      </c>
      <c r="D890" t="s">
        <v>616</v>
      </c>
      <c r="E890" t="s">
        <v>617</v>
      </c>
      <c r="F890" t="s">
        <v>501</v>
      </c>
      <c r="G890" t="s">
        <v>1854</v>
      </c>
      <c r="H890" s="15">
        <v>46186</v>
      </c>
      <c r="I890" t="s">
        <v>1855</v>
      </c>
      <c r="J890" t="s">
        <v>233</v>
      </c>
      <c r="K890" t="s">
        <v>185</v>
      </c>
      <c r="N890">
        <v>0</v>
      </c>
      <c r="O890" t="s">
        <v>222</v>
      </c>
      <c r="P890">
        <v>0</v>
      </c>
      <c r="U890" s="15"/>
    </row>
    <row r="891" spans="1:21" x14ac:dyDescent="0.35">
      <c r="A891" t="s">
        <v>14</v>
      </c>
      <c r="B891" t="s">
        <v>497</v>
      </c>
      <c r="C891" t="s">
        <v>515</v>
      </c>
      <c r="D891" t="s">
        <v>516</v>
      </c>
      <c r="E891" t="s">
        <v>517</v>
      </c>
      <c r="F891" t="s">
        <v>501</v>
      </c>
      <c r="G891" t="s">
        <v>1863</v>
      </c>
      <c r="H891" s="15">
        <v>46188</v>
      </c>
      <c r="I891" t="s">
        <v>1864</v>
      </c>
      <c r="J891" t="s">
        <v>233</v>
      </c>
      <c r="K891" t="s">
        <v>185</v>
      </c>
      <c r="N891">
        <v>0</v>
      </c>
      <c r="O891" t="s">
        <v>222</v>
      </c>
      <c r="P891">
        <v>0</v>
      </c>
      <c r="U891" s="15"/>
    </row>
    <row r="892" spans="1:21" x14ac:dyDescent="0.35">
      <c r="A892" t="s">
        <v>14</v>
      </c>
      <c r="B892" t="s">
        <v>497</v>
      </c>
      <c r="C892" t="s">
        <v>531</v>
      </c>
      <c r="D892" t="s">
        <v>532</v>
      </c>
      <c r="E892" t="s">
        <v>533</v>
      </c>
      <c r="F892" t="s">
        <v>501</v>
      </c>
      <c r="G892" t="s">
        <v>1865</v>
      </c>
      <c r="H892" s="15">
        <v>46189</v>
      </c>
      <c r="I892" t="s">
        <v>1866</v>
      </c>
      <c r="J892" t="s">
        <v>16</v>
      </c>
      <c r="K892" t="s">
        <v>185</v>
      </c>
      <c r="N892">
        <v>0</v>
      </c>
      <c r="O892" t="s">
        <v>222</v>
      </c>
      <c r="P892">
        <v>0</v>
      </c>
      <c r="U892" s="15"/>
    </row>
    <row r="893" spans="1:21" x14ac:dyDescent="0.35">
      <c r="A893" t="s">
        <v>14</v>
      </c>
      <c r="B893" t="s">
        <v>497</v>
      </c>
      <c r="C893" t="s">
        <v>536</v>
      </c>
      <c r="D893" t="s">
        <v>537</v>
      </c>
      <c r="E893" t="s">
        <v>538</v>
      </c>
      <c r="F893" t="s">
        <v>501</v>
      </c>
      <c r="G893" t="s">
        <v>1865</v>
      </c>
      <c r="H893" s="15">
        <v>46189</v>
      </c>
      <c r="I893" t="s">
        <v>1871</v>
      </c>
      <c r="J893" t="s">
        <v>16</v>
      </c>
      <c r="K893" t="s">
        <v>185</v>
      </c>
      <c r="N893">
        <v>0</v>
      </c>
      <c r="O893" t="s">
        <v>222</v>
      </c>
      <c r="P893">
        <v>0</v>
      </c>
      <c r="U893" s="15"/>
    </row>
    <row r="894" spans="1:21" x14ac:dyDescent="0.35">
      <c r="A894" t="s">
        <v>14</v>
      </c>
      <c r="B894" t="s">
        <v>497</v>
      </c>
      <c r="C894" t="s">
        <v>940</v>
      </c>
      <c r="D894" t="s">
        <v>941</v>
      </c>
      <c r="E894" t="s">
        <v>942</v>
      </c>
      <c r="F894" t="s">
        <v>501</v>
      </c>
      <c r="G894" t="s">
        <v>1874</v>
      </c>
      <c r="H894" s="15">
        <v>46189</v>
      </c>
      <c r="I894" t="s">
        <v>1875</v>
      </c>
      <c r="J894" t="s">
        <v>233</v>
      </c>
      <c r="K894" t="s">
        <v>185</v>
      </c>
      <c r="N894">
        <v>0</v>
      </c>
      <c r="O894" t="s">
        <v>222</v>
      </c>
      <c r="P894">
        <v>0</v>
      </c>
      <c r="U894" s="15"/>
    </row>
    <row r="895" spans="1:21" x14ac:dyDescent="0.35">
      <c r="A895" t="s">
        <v>14</v>
      </c>
      <c r="B895" t="s">
        <v>497</v>
      </c>
      <c r="C895" t="s">
        <v>515</v>
      </c>
      <c r="D895" t="s">
        <v>516</v>
      </c>
      <c r="E895" t="s">
        <v>517</v>
      </c>
      <c r="F895" t="s">
        <v>501</v>
      </c>
      <c r="G895" t="s">
        <v>1874</v>
      </c>
      <c r="H895" s="15">
        <v>46189</v>
      </c>
      <c r="I895" t="s">
        <v>1876</v>
      </c>
      <c r="J895" t="s">
        <v>233</v>
      </c>
      <c r="K895" t="s">
        <v>185</v>
      </c>
      <c r="N895">
        <v>0</v>
      </c>
      <c r="O895" t="s">
        <v>222</v>
      </c>
      <c r="P895">
        <v>0</v>
      </c>
      <c r="U895" s="15"/>
    </row>
    <row r="896" spans="1:21" x14ac:dyDescent="0.35">
      <c r="A896" t="s">
        <v>14</v>
      </c>
      <c r="B896" t="s">
        <v>497</v>
      </c>
      <c r="C896" t="s">
        <v>515</v>
      </c>
      <c r="D896" t="s">
        <v>516</v>
      </c>
      <c r="E896" t="s">
        <v>517</v>
      </c>
      <c r="F896" t="s">
        <v>501</v>
      </c>
      <c r="G896" t="s">
        <v>1884</v>
      </c>
      <c r="H896" s="15">
        <v>46190</v>
      </c>
      <c r="I896" t="s">
        <v>1885</v>
      </c>
      <c r="J896" t="s">
        <v>16</v>
      </c>
      <c r="K896" t="s">
        <v>185</v>
      </c>
      <c r="N896">
        <v>0</v>
      </c>
      <c r="O896" t="s">
        <v>222</v>
      </c>
      <c r="P896">
        <v>0</v>
      </c>
      <c r="U896" s="15"/>
    </row>
    <row r="897" spans="1:21" x14ac:dyDescent="0.35">
      <c r="A897" t="s">
        <v>14</v>
      </c>
      <c r="B897" t="s">
        <v>497</v>
      </c>
      <c r="C897" t="s">
        <v>504</v>
      </c>
      <c r="D897" t="s">
        <v>505</v>
      </c>
      <c r="E897" t="s">
        <v>506</v>
      </c>
      <c r="F897" t="s">
        <v>501</v>
      </c>
      <c r="G897" t="s">
        <v>1884</v>
      </c>
      <c r="H897" s="15">
        <v>46190</v>
      </c>
      <c r="I897" t="s">
        <v>1886</v>
      </c>
      <c r="J897" t="s">
        <v>16</v>
      </c>
      <c r="K897" t="s">
        <v>185</v>
      </c>
      <c r="N897">
        <v>0</v>
      </c>
      <c r="O897" t="s">
        <v>222</v>
      </c>
      <c r="P897">
        <v>0</v>
      </c>
      <c r="U897" s="15"/>
    </row>
    <row r="898" spans="1:21" x14ac:dyDescent="0.35">
      <c r="A898" t="s">
        <v>14</v>
      </c>
      <c r="B898" t="s">
        <v>497</v>
      </c>
      <c r="C898" t="s">
        <v>542</v>
      </c>
      <c r="D898" t="s">
        <v>543</v>
      </c>
      <c r="E898" t="s">
        <v>544</v>
      </c>
      <c r="F898" t="s">
        <v>501</v>
      </c>
      <c r="G898" t="s">
        <v>1887</v>
      </c>
      <c r="H898" s="15">
        <v>46190</v>
      </c>
      <c r="I898" t="s">
        <v>1888</v>
      </c>
      <c r="J898" t="s">
        <v>233</v>
      </c>
      <c r="K898" t="s">
        <v>185</v>
      </c>
      <c r="N898">
        <v>0</v>
      </c>
      <c r="O898" t="s">
        <v>222</v>
      </c>
      <c r="P898">
        <v>0</v>
      </c>
      <c r="U898" s="15"/>
    </row>
    <row r="899" spans="1:21" x14ac:dyDescent="0.35">
      <c r="A899" t="s">
        <v>14</v>
      </c>
      <c r="B899" t="s">
        <v>497</v>
      </c>
      <c r="C899" t="s">
        <v>531</v>
      </c>
      <c r="D899" t="s">
        <v>532</v>
      </c>
      <c r="E899" t="s">
        <v>533</v>
      </c>
      <c r="F899" t="s">
        <v>501</v>
      </c>
      <c r="G899" t="s">
        <v>1887</v>
      </c>
      <c r="H899" s="15">
        <v>46190</v>
      </c>
      <c r="I899" t="s">
        <v>1889</v>
      </c>
      <c r="J899" t="s">
        <v>233</v>
      </c>
      <c r="K899" t="s">
        <v>185</v>
      </c>
      <c r="N899">
        <v>0</v>
      </c>
      <c r="O899" t="s">
        <v>222</v>
      </c>
      <c r="P899">
        <v>0</v>
      </c>
      <c r="U899" s="15"/>
    </row>
    <row r="900" spans="1:21" x14ac:dyDescent="0.35">
      <c r="A900" t="s">
        <v>14</v>
      </c>
      <c r="B900" t="s">
        <v>497</v>
      </c>
      <c r="C900" t="s">
        <v>515</v>
      </c>
      <c r="D900" t="s">
        <v>516</v>
      </c>
      <c r="E900" t="s">
        <v>517</v>
      </c>
      <c r="F900" t="s">
        <v>501</v>
      </c>
      <c r="G900" t="s">
        <v>1893</v>
      </c>
      <c r="H900" s="15">
        <v>46191</v>
      </c>
      <c r="I900" t="s">
        <v>1894</v>
      </c>
      <c r="J900" t="s">
        <v>16</v>
      </c>
      <c r="K900" t="s">
        <v>185</v>
      </c>
      <c r="N900">
        <v>0</v>
      </c>
      <c r="O900" t="s">
        <v>222</v>
      </c>
      <c r="P900">
        <v>0</v>
      </c>
      <c r="U900" s="15"/>
    </row>
    <row r="901" spans="1:21" x14ac:dyDescent="0.35">
      <c r="A901" t="s">
        <v>14</v>
      </c>
      <c r="B901" t="s">
        <v>497</v>
      </c>
      <c r="C901" t="s">
        <v>557</v>
      </c>
      <c r="D901" t="s">
        <v>558</v>
      </c>
      <c r="E901" t="s">
        <v>559</v>
      </c>
      <c r="F901" t="s">
        <v>501</v>
      </c>
      <c r="G901" t="s">
        <v>1893</v>
      </c>
      <c r="H901" s="15">
        <v>46191</v>
      </c>
      <c r="I901" t="s">
        <v>1899</v>
      </c>
      <c r="J901" t="s">
        <v>16</v>
      </c>
      <c r="K901" t="s">
        <v>185</v>
      </c>
      <c r="N901">
        <v>0</v>
      </c>
      <c r="O901" t="s">
        <v>222</v>
      </c>
      <c r="P901">
        <v>0</v>
      </c>
      <c r="U901" s="15"/>
    </row>
    <row r="902" spans="1:21" x14ac:dyDescent="0.35">
      <c r="A902" t="s">
        <v>14</v>
      </c>
      <c r="B902" t="s">
        <v>497</v>
      </c>
      <c r="C902" t="s">
        <v>552</v>
      </c>
      <c r="D902" t="s">
        <v>553</v>
      </c>
      <c r="E902" t="s">
        <v>554</v>
      </c>
      <c r="F902" t="s">
        <v>501</v>
      </c>
      <c r="G902" t="s">
        <v>1900</v>
      </c>
      <c r="H902" s="15">
        <v>46191</v>
      </c>
      <c r="I902" t="s">
        <v>1901</v>
      </c>
      <c r="J902" t="s">
        <v>233</v>
      </c>
      <c r="K902" t="s">
        <v>185</v>
      </c>
      <c r="N902">
        <v>0</v>
      </c>
      <c r="O902" t="s">
        <v>222</v>
      </c>
      <c r="P902">
        <v>0</v>
      </c>
      <c r="U902" s="15"/>
    </row>
    <row r="903" spans="1:21" x14ac:dyDescent="0.35">
      <c r="A903" t="s">
        <v>14</v>
      </c>
      <c r="B903" t="s">
        <v>497</v>
      </c>
      <c r="C903" t="s">
        <v>1388</v>
      </c>
      <c r="D903" t="s">
        <v>1389</v>
      </c>
      <c r="E903" t="s">
        <v>1390</v>
      </c>
      <c r="F903" t="s">
        <v>501</v>
      </c>
      <c r="G903" t="s">
        <v>1900</v>
      </c>
      <c r="H903" s="15">
        <v>46191</v>
      </c>
      <c r="I903" t="s">
        <v>1902</v>
      </c>
      <c r="J903" t="s">
        <v>233</v>
      </c>
      <c r="K903" t="s">
        <v>185</v>
      </c>
      <c r="N903">
        <v>0</v>
      </c>
      <c r="O903" t="s">
        <v>222</v>
      </c>
      <c r="P903">
        <v>0</v>
      </c>
      <c r="U903" s="15"/>
    </row>
    <row r="904" spans="1:21" x14ac:dyDescent="0.35">
      <c r="A904" t="s">
        <v>14</v>
      </c>
      <c r="B904" t="s">
        <v>497</v>
      </c>
      <c r="C904" t="s">
        <v>1388</v>
      </c>
      <c r="D904" t="s">
        <v>1389</v>
      </c>
      <c r="E904" t="s">
        <v>1390</v>
      </c>
      <c r="F904" t="s">
        <v>501</v>
      </c>
      <c r="G904" t="s">
        <v>1900</v>
      </c>
      <c r="H904" s="15">
        <v>46191</v>
      </c>
      <c r="I904" t="s">
        <v>1902</v>
      </c>
      <c r="J904" t="s">
        <v>233</v>
      </c>
      <c r="K904" t="s">
        <v>185</v>
      </c>
      <c r="N904">
        <v>0</v>
      </c>
      <c r="O904" t="s">
        <v>222</v>
      </c>
      <c r="P904">
        <v>0</v>
      </c>
      <c r="U904" s="15"/>
    </row>
    <row r="905" spans="1:21" x14ac:dyDescent="0.35">
      <c r="A905" t="s">
        <v>14</v>
      </c>
      <c r="B905" t="s">
        <v>497</v>
      </c>
      <c r="C905" t="s">
        <v>515</v>
      </c>
      <c r="D905" t="s">
        <v>516</v>
      </c>
      <c r="E905" t="s">
        <v>517</v>
      </c>
      <c r="F905" t="s">
        <v>501</v>
      </c>
      <c r="G905" t="s">
        <v>1908</v>
      </c>
      <c r="H905" s="15">
        <v>46192</v>
      </c>
      <c r="I905" t="s">
        <v>1909</v>
      </c>
      <c r="J905" t="s">
        <v>16</v>
      </c>
      <c r="K905" t="s">
        <v>185</v>
      </c>
      <c r="N905">
        <v>0</v>
      </c>
      <c r="O905" t="s">
        <v>222</v>
      </c>
      <c r="P905">
        <v>0</v>
      </c>
      <c r="U905" s="15"/>
    </row>
    <row r="906" spans="1:21" x14ac:dyDescent="0.35">
      <c r="A906" t="s">
        <v>14</v>
      </c>
      <c r="B906" t="s">
        <v>497</v>
      </c>
      <c r="C906" t="s">
        <v>504</v>
      </c>
      <c r="D906" t="s">
        <v>505</v>
      </c>
      <c r="E906" t="s">
        <v>506</v>
      </c>
      <c r="F906" t="s">
        <v>501</v>
      </c>
      <c r="G906" t="s">
        <v>1908</v>
      </c>
      <c r="H906" s="15">
        <v>46192</v>
      </c>
      <c r="I906" t="s">
        <v>1911</v>
      </c>
      <c r="J906" t="s">
        <v>16</v>
      </c>
      <c r="K906" t="s">
        <v>185</v>
      </c>
      <c r="N906">
        <v>0</v>
      </c>
      <c r="O906" t="s">
        <v>222</v>
      </c>
      <c r="P906">
        <v>0</v>
      </c>
      <c r="U906" s="15"/>
    </row>
    <row r="907" spans="1:21" x14ac:dyDescent="0.35">
      <c r="A907" t="s">
        <v>14</v>
      </c>
      <c r="B907" t="s">
        <v>497</v>
      </c>
      <c r="C907" t="s">
        <v>498</v>
      </c>
      <c r="D907" t="s">
        <v>499</v>
      </c>
      <c r="E907" t="s">
        <v>500</v>
      </c>
      <c r="F907" t="s">
        <v>501</v>
      </c>
      <c r="G907" t="s">
        <v>1912</v>
      </c>
      <c r="H907" s="15">
        <v>46192</v>
      </c>
      <c r="I907" t="s">
        <v>1913</v>
      </c>
      <c r="J907" t="s">
        <v>233</v>
      </c>
      <c r="K907" t="s">
        <v>185</v>
      </c>
      <c r="N907">
        <v>0</v>
      </c>
      <c r="O907" t="s">
        <v>222</v>
      </c>
      <c r="P907">
        <v>0</v>
      </c>
      <c r="U907" s="15"/>
    </row>
    <row r="908" spans="1:21" x14ac:dyDescent="0.35">
      <c r="A908" t="s">
        <v>14</v>
      </c>
      <c r="B908" t="s">
        <v>497</v>
      </c>
      <c r="C908" t="s">
        <v>498</v>
      </c>
      <c r="D908" t="s">
        <v>499</v>
      </c>
      <c r="E908" t="s">
        <v>500</v>
      </c>
      <c r="F908" t="s">
        <v>501</v>
      </c>
      <c r="G908" t="s">
        <v>1917</v>
      </c>
      <c r="H908" s="15">
        <v>46193</v>
      </c>
      <c r="I908" t="s">
        <v>1918</v>
      </c>
      <c r="J908" t="s">
        <v>16</v>
      </c>
      <c r="K908" t="s">
        <v>185</v>
      </c>
      <c r="N908">
        <v>0</v>
      </c>
      <c r="O908" t="s">
        <v>222</v>
      </c>
      <c r="P908">
        <v>0</v>
      </c>
      <c r="U908" s="15"/>
    </row>
    <row r="909" spans="1:21" x14ac:dyDescent="0.35">
      <c r="A909" t="s">
        <v>14</v>
      </c>
      <c r="B909" t="s">
        <v>497</v>
      </c>
      <c r="C909" t="s">
        <v>504</v>
      </c>
      <c r="D909" t="s">
        <v>505</v>
      </c>
      <c r="E909" t="s">
        <v>506</v>
      </c>
      <c r="F909" t="s">
        <v>501</v>
      </c>
      <c r="G909" t="s">
        <v>1917</v>
      </c>
      <c r="H909" s="15">
        <v>46193</v>
      </c>
      <c r="I909" t="s">
        <v>1919</v>
      </c>
      <c r="J909" t="s">
        <v>16</v>
      </c>
      <c r="K909" t="s">
        <v>185</v>
      </c>
      <c r="N909">
        <v>0</v>
      </c>
      <c r="O909" t="s">
        <v>222</v>
      </c>
      <c r="P909">
        <v>0</v>
      </c>
      <c r="U909" s="15"/>
    </row>
    <row r="910" spans="1:21" x14ac:dyDescent="0.35">
      <c r="A910" t="s">
        <v>14</v>
      </c>
      <c r="B910" t="s">
        <v>497</v>
      </c>
      <c r="C910" t="s">
        <v>498</v>
      </c>
      <c r="D910" t="s">
        <v>499</v>
      </c>
      <c r="E910" t="s">
        <v>500</v>
      </c>
      <c r="F910" t="s">
        <v>501</v>
      </c>
      <c r="G910" t="s">
        <v>1924</v>
      </c>
      <c r="H910" s="15">
        <v>46193</v>
      </c>
      <c r="I910" t="s">
        <v>1925</v>
      </c>
      <c r="J910" t="s">
        <v>233</v>
      </c>
      <c r="K910" t="s">
        <v>185</v>
      </c>
      <c r="N910">
        <v>0</v>
      </c>
      <c r="O910" t="s">
        <v>222</v>
      </c>
      <c r="P910">
        <v>0</v>
      </c>
      <c r="U910" s="15"/>
    </row>
    <row r="911" spans="1:21" x14ac:dyDescent="0.35">
      <c r="A911" t="s">
        <v>14</v>
      </c>
      <c r="B911" t="s">
        <v>497</v>
      </c>
      <c r="C911" t="s">
        <v>515</v>
      </c>
      <c r="D911" t="s">
        <v>516</v>
      </c>
      <c r="E911" t="s">
        <v>517</v>
      </c>
      <c r="F911" t="s">
        <v>501</v>
      </c>
      <c r="G911" t="s">
        <v>1935</v>
      </c>
      <c r="H911" s="15">
        <v>46195</v>
      </c>
      <c r="I911" t="s">
        <v>1936</v>
      </c>
      <c r="J911" t="s">
        <v>16</v>
      </c>
      <c r="K911" t="s">
        <v>185</v>
      </c>
      <c r="N911">
        <v>0</v>
      </c>
      <c r="O911" t="s">
        <v>222</v>
      </c>
      <c r="P911">
        <v>0</v>
      </c>
      <c r="U911" s="15"/>
    </row>
    <row r="912" spans="1:21" x14ac:dyDescent="0.35">
      <c r="A912" t="s">
        <v>14</v>
      </c>
      <c r="B912" t="s">
        <v>497</v>
      </c>
      <c r="C912" t="s">
        <v>504</v>
      </c>
      <c r="D912" t="s">
        <v>505</v>
      </c>
      <c r="E912" t="s">
        <v>506</v>
      </c>
      <c r="F912" t="s">
        <v>501</v>
      </c>
      <c r="G912" t="s">
        <v>1935</v>
      </c>
      <c r="H912" s="15">
        <v>46195</v>
      </c>
      <c r="I912" t="s">
        <v>1941</v>
      </c>
      <c r="J912" t="s">
        <v>16</v>
      </c>
      <c r="K912" t="s">
        <v>185</v>
      </c>
      <c r="N912">
        <v>0</v>
      </c>
      <c r="O912" t="s">
        <v>222</v>
      </c>
      <c r="P912">
        <v>0</v>
      </c>
      <c r="U912" s="15"/>
    </row>
    <row r="913" spans="1:21" x14ac:dyDescent="0.35">
      <c r="A913" t="s">
        <v>14</v>
      </c>
      <c r="B913" t="s">
        <v>497</v>
      </c>
      <c r="C913" t="s">
        <v>498</v>
      </c>
      <c r="D913" t="s">
        <v>499</v>
      </c>
      <c r="E913" t="s">
        <v>500</v>
      </c>
      <c r="F913" t="s">
        <v>501</v>
      </c>
      <c r="G913" t="s">
        <v>1942</v>
      </c>
      <c r="H913" s="15">
        <v>46195</v>
      </c>
      <c r="I913" t="s">
        <v>1943</v>
      </c>
      <c r="J913" t="s">
        <v>233</v>
      </c>
      <c r="K913" t="s">
        <v>185</v>
      </c>
      <c r="N913">
        <v>0</v>
      </c>
      <c r="O913" t="s">
        <v>222</v>
      </c>
      <c r="P913">
        <v>0</v>
      </c>
      <c r="U913" s="15"/>
    </row>
    <row r="914" spans="1:21" x14ac:dyDescent="0.35">
      <c r="A914" t="s">
        <v>14</v>
      </c>
      <c r="B914" t="s">
        <v>497</v>
      </c>
      <c r="C914" t="s">
        <v>552</v>
      </c>
      <c r="D914" t="s">
        <v>553</v>
      </c>
      <c r="E914" t="s">
        <v>554</v>
      </c>
      <c r="F914" t="s">
        <v>501</v>
      </c>
      <c r="G914" t="s">
        <v>1945</v>
      </c>
      <c r="H914" s="15">
        <v>46196</v>
      </c>
      <c r="I914" t="s">
        <v>1946</v>
      </c>
      <c r="J914" t="s">
        <v>16</v>
      </c>
      <c r="K914" t="s">
        <v>185</v>
      </c>
      <c r="N914">
        <v>0</v>
      </c>
      <c r="O914" t="s">
        <v>222</v>
      </c>
      <c r="P914">
        <v>0</v>
      </c>
      <c r="U914" s="15"/>
    </row>
    <row r="915" spans="1:21" x14ac:dyDescent="0.35">
      <c r="A915" t="s">
        <v>14</v>
      </c>
      <c r="B915" t="s">
        <v>497</v>
      </c>
      <c r="C915" t="s">
        <v>557</v>
      </c>
      <c r="D915" t="s">
        <v>558</v>
      </c>
      <c r="E915" t="s">
        <v>559</v>
      </c>
      <c r="F915" t="s">
        <v>501</v>
      </c>
      <c r="G915" t="s">
        <v>1945</v>
      </c>
      <c r="H915" s="15">
        <v>46196</v>
      </c>
      <c r="I915" t="s">
        <v>1947</v>
      </c>
      <c r="J915" t="s">
        <v>16</v>
      </c>
      <c r="K915" t="s">
        <v>185</v>
      </c>
      <c r="N915">
        <v>0</v>
      </c>
      <c r="O915" t="s">
        <v>222</v>
      </c>
      <c r="P915">
        <v>0</v>
      </c>
      <c r="U915" s="15"/>
    </row>
    <row r="916" spans="1:21" x14ac:dyDescent="0.35">
      <c r="A916" t="s">
        <v>14</v>
      </c>
      <c r="B916" t="s">
        <v>497</v>
      </c>
      <c r="C916" t="s">
        <v>515</v>
      </c>
      <c r="D916" t="s">
        <v>516</v>
      </c>
      <c r="E916" t="s">
        <v>517</v>
      </c>
      <c r="F916" t="s">
        <v>501</v>
      </c>
      <c r="G916" t="s">
        <v>1953</v>
      </c>
      <c r="H916" s="15">
        <v>46196</v>
      </c>
      <c r="I916" t="s">
        <v>1954</v>
      </c>
      <c r="J916" t="s">
        <v>233</v>
      </c>
      <c r="K916" t="s">
        <v>185</v>
      </c>
      <c r="N916">
        <v>0</v>
      </c>
      <c r="O916" t="s">
        <v>222</v>
      </c>
      <c r="P916">
        <v>0</v>
      </c>
      <c r="U916" s="15"/>
    </row>
    <row r="917" spans="1:21" x14ac:dyDescent="0.35">
      <c r="A917" t="s">
        <v>14</v>
      </c>
      <c r="B917" t="s">
        <v>497</v>
      </c>
      <c r="C917" t="s">
        <v>531</v>
      </c>
      <c r="D917" t="s">
        <v>532</v>
      </c>
      <c r="E917" t="s">
        <v>533</v>
      </c>
      <c r="F917" t="s">
        <v>501</v>
      </c>
      <c r="G917" t="s">
        <v>1955</v>
      </c>
      <c r="H917" s="15">
        <v>46197</v>
      </c>
      <c r="I917" t="s">
        <v>1956</v>
      </c>
      <c r="J917" t="s">
        <v>16</v>
      </c>
      <c r="K917" t="s">
        <v>185</v>
      </c>
      <c r="N917">
        <v>0</v>
      </c>
      <c r="O917" t="s">
        <v>222</v>
      </c>
      <c r="P917">
        <v>0</v>
      </c>
      <c r="U917" s="15"/>
    </row>
    <row r="918" spans="1:21" x14ac:dyDescent="0.35">
      <c r="A918" t="s">
        <v>14</v>
      </c>
      <c r="B918" t="s">
        <v>497</v>
      </c>
      <c r="C918" t="s">
        <v>557</v>
      </c>
      <c r="D918" t="s">
        <v>558</v>
      </c>
      <c r="E918" t="s">
        <v>559</v>
      </c>
      <c r="F918" t="s">
        <v>501</v>
      </c>
      <c r="G918" t="s">
        <v>1955</v>
      </c>
      <c r="H918" s="15">
        <v>46197</v>
      </c>
      <c r="I918" t="s">
        <v>1957</v>
      </c>
      <c r="J918" t="s">
        <v>16</v>
      </c>
      <c r="K918" t="s">
        <v>185</v>
      </c>
      <c r="N918">
        <v>0</v>
      </c>
      <c r="O918" t="s">
        <v>222</v>
      </c>
      <c r="P918">
        <v>0</v>
      </c>
      <c r="U918" s="15"/>
    </row>
    <row r="919" spans="1:21" x14ac:dyDescent="0.35">
      <c r="A919" t="s">
        <v>14</v>
      </c>
      <c r="B919" t="s">
        <v>497</v>
      </c>
      <c r="C919" t="s">
        <v>531</v>
      </c>
      <c r="D919" t="s">
        <v>532</v>
      </c>
      <c r="E919" t="s">
        <v>533</v>
      </c>
      <c r="F919" t="s">
        <v>501</v>
      </c>
      <c r="G919" t="s">
        <v>1962</v>
      </c>
      <c r="H919" s="15">
        <v>46197</v>
      </c>
      <c r="I919" t="s">
        <v>1963</v>
      </c>
      <c r="J919" t="s">
        <v>233</v>
      </c>
      <c r="K919" t="s">
        <v>185</v>
      </c>
      <c r="N919">
        <v>0</v>
      </c>
      <c r="O919" t="s">
        <v>222</v>
      </c>
      <c r="P919">
        <v>0</v>
      </c>
      <c r="U919" s="15"/>
    </row>
    <row r="920" spans="1:21" x14ac:dyDescent="0.35">
      <c r="A920" t="s">
        <v>14</v>
      </c>
      <c r="B920" t="s">
        <v>497</v>
      </c>
      <c r="C920" t="s">
        <v>542</v>
      </c>
      <c r="D920" t="s">
        <v>543</v>
      </c>
      <c r="E920" t="s">
        <v>544</v>
      </c>
      <c r="F920" t="s">
        <v>501</v>
      </c>
      <c r="G920" t="s">
        <v>1964</v>
      </c>
      <c r="H920" s="15">
        <v>46198</v>
      </c>
      <c r="I920" t="s">
        <v>1965</v>
      </c>
      <c r="J920" t="s">
        <v>16</v>
      </c>
      <c r="K920" t="s">
        <v>185</v>
      </c>
      <c r="N920">
        <v>0</v>
      </c>
      <c r="O920" t="s">
        <v>222</v>
      </c>
      <c r="P920">
        <v>0</v>
      </c>
      <c r="U920" s="15"/>
    </row>
    <row r="921" spans="1:21" x14ac:dyDescent="0.35">
      <c r="A921" t="s">
        <v>14</v>
      </c>
      <c r="B921" t="s">
        <v>497</v>
      </c>
      <c r="C921" t="s">
        <v>557</v>
      </c>
      <c r="D921" t="s">
        <v>558</v>
      </c>
      <c r="E921" t="s">
        <v>559</v>
      </c>
      <c r="F921" t="s">
        <v>501</v>
      </c>
      <c r="G921" t="s">
        <v>1964</v>
      </c>
      <c r="H921" s="15">
        <v>46198</v>
      </c>
      <c r="I921" t="s">
        <v>1971</v>
      </c>
      <c r="J921" t="s">
        <v>16</v>
      </c>
      <c r="K921" t="s">
        <v>185</v>
      </c>
      <c r="N921">
        <v>0</v>
      </c>
      <c r="O921" t="s">
        <v>222</v>
      </c>
      <c r="P921">
        <v>0</v>
      </c>
      <c r="U921" s="15"/>
    </row>
    <row r="922" spans="1:21" x14ac:dyDescent="0.35">
      <c r="A922" t="s">
        <v>14</v>
      </c>
      <c r="B922" t="s">
        <v>497</v>
      </c>
      <c r="C922" t="s">
        <v>552</v>
      </c>
      <c r="D922" t="s">
        <v>553</v>
      </c>
      <c r="E922" t="s">
        <v>554</v>
      </c>
      <c r="F922" t="s">
        <v>501</v>
      </c>
      <c r="G922" t="s">
        <v>1974</v>
      </c>
      <c r="H922" s="15">
        <v>46198</v>
      </c>
      <c r="I922" t="s">
        <v>1975</v>
      </c>
      <c r="J922" t="s">
        <v>233</v>
      </c>
      <c r="K922" t="s">
        <v>185</v>
      </c>
      <c r="N922">
        <v>0</v>
      </c>
      <c r="O922" t="s">
        <v>222</v>
      </c>
      <c r="P922">
        <v>0</v>
      </c>
      <c r="U922" s="15"/>
    </row>
    <row r="923" spans="1:21" x14ac:dyDescent="0.35">
      <c r="A923" t="s">
        <v>14</v>
      </c>
      <c r="B923" t="s">
        <v>15</v>
      </c>
      <c r="C923" t="s">
        <v>234</v>
      </c>
      <c r="D923" t="s">
        <v>235</v>
      </c>
      <c r="E923" t="s">
        <v>236</v>
      </c>
      <c r="F923" t="s">
        <v>22</v>
      </c>
      <c r="G923" t="s">
        <v>290</v>
      </c>
      <c r="H923" s="15">
        <v>46070</v>
      </c>
      <c r="I923" t="s">
        <v>291</v>
      </c>
      <c r="J923" t="s">
        <v>16</v>
      </c>
      <c r="K923" t="s">
        <v>185</v>
      </c>
      <c r="N923">
        <v>0</v>
      </c>
      <c r="O923" t="s">
        <v>222</v>
      </c>
      <c r="P923">
        <v>0</v>
      </c>
      <c r="U923" s="15"/>
    </row>
    <row r="924" spans="1:21" x14ac:dyDescent="0.35">
      <c r="A924" t="s">
        <v>14</v>
      </c>
      <c r="B924" t="s">
        <v>15</v>
      </c>
      <c r="C924" t="s">
        <v>234</v>
      </c>
      <c r="D924" t="s">
        <v>235</v>
      </c>
      <c r="E924" t="s">
        <v>236</v>
      </c>
      <c r="F924" t="s">
        <v>22</v>
      </c>
      <c r="G924" t="s">
        <v>292</v>
      </c>
      <c r="H924" s="15">
        <v>46071</v>
      </c>
      <c r="I924" t="s">
        <v>293</v>
      </c>
      <c r="J924" t="s">
        <v>16</v>
      </c>
      <c r="K924" t="s">
        <v>185</v>
      </c>
      <c r="N924">
        <v>0</v>
      </c>
      <c r="O924" t="s">
        <v>222</v>
      </c>
      <c r="P924">
        <v>0</v>
      </c>
      <c r="U924" s="15"/>
    </row>
    <row r="925" spans="1:21" x14ac:dyDescent="0.35">
      <c r="A925" t="s">
        <v>14</v>
      </c>
      <c r="B925" t="s">
        <v>15</v>
      </c>
      <c r="C925" t="s">
        <v>234</v>
      </c>
      <c r="D925" t="s">
        <v>235</v>
      </c>
      <c r="E925" t="s">
        <v>236</v>
      </c>
      <c r="F925" t="s">
        <v>22</v>
      </c>
      <c r="G925" t="s">
        <v>294</v>
      </c>
      <c r="H925" s="15">
        <v>46072</v>
      </c>
      <c r="I925" t="s">
        <v>295</v>
      </c>
      <c r="J925" t="s">
        <v>16</v>
      </c>
      <c r="K925" t="s">
        <v>185</v>
      </c>
      <c r="N925">
        <v>0</v>
      </c>
      <c r="O925" t="s">
        <v>222</v>
      </c>
      <c r="P925">
        <v>0</v>
      </c>
      <c r="U925" s="15"/>
    </row>
    <row r="926" spans="1:21" x14ac:dyDescent="0.35">
      <c r="A926" t="s">
        <v>14</v>
      </c>
      <c r="B926" t="s">
        <v>15</v>
      </c>
      <c r="C926" t="s">
        <v>228</v>
      </c>
      <c r="D926" t="s">
        <v>229</v>
      </c>
      <c r="E926" t="s">
        <v>230</v>
      </c>
      <c r="F926" t="s">
        <v>22</v>
      </c>
      <c r="G926" t="s">
        <v>296</v>
      </c>
      <c r="H926" s="15">
        <v>46073</v>
      </c>
      <c r="I926" t="s">
        <v>297</v>
      </c>
      <c r="J926" t="s">
        <v>16</v>
      </c>
      <c r="K926" t="s">
        <v>185</v>
      </c>
      <c r="N926">
        <v>0</v>
      </c>
      <c r="O926" t="s">
        <v>222</v>
      </c>
      <c r="P926">
        <v>0</v>
      </c>
      <c r="U926" s="15"/>
    </row>
    <row r="927" spans="1:21" x14ac:dyDescent="0.35">
      <c r="A927" t="s">
        <v>14</v>
      </c>
      <c r="B927" t="s">
        <v>15</v>
      </c>
      <c r="C927" t="s">
        <v>234</v>
      </c>
      <c r="D927" t="s">
        <v>235</v>
      </c>
      <c r="E927" t="s">
        <v>236</v>
      </c>
      <c r="F927" t="s">
        <v>22</v>
      </c>
      <c r="G927" t="s">
        <v>298</v>
      </c>
      <c r="H927" s="15">
        <v>46074</v>
      </c>
      <c r="I927" t="s">
        <v>299</v>
      </c>
      <c r="J927" t="s">
        <v>16</v>
      </c>
      <c r="K927" t="s">
        <v>185</v>
      </c>
      <c r="N927">
        <v>0</v>
      </c>
      <c r="O927" t="s">
        <v>222</v>
      </c>
      <c r="P927">
        <v>0</v>
      </c>
      <c r="U927" s="15"/>
    </row>
    <row r="928" spans="1:21" x14ac:dyDescent="0.35">
      <c r="A928" t="s">
        <v>14</v>
      </c>
      <c r="B928" t="s">
        <v>15</v>
      </c>
      <c r="C928" t="s">
        <v>277</v>
      </c>
      <c r="D928" t="s">
        <v>278</v>
      </c>
      <c r="E928" t="s">
        <v>279</v>
      </c>
      <c r="F928" t="s">
        <v>22</v>
      </c>
      <c r="G928" t="s">
        <v>300</v>
      </c>
      <c r="H928" s="15">
        <v>46076</v>
      </c>
      <c r="I928" t="s">
        <v>301</v>
      </c>
      <c r="J928" t="s">
        <v>16</v>
      </c>
      <c r="K928" t="s">
        <v>185</v>
      </c>
      <c r="N928">
        <v>0</v>
      </c>
      <c r="O928" t="s">
        <v>222</v>
      </c>
      <c r="P928">
        <v>0</v>
      </c>
      <c r="U928" s="15"/>
    </row>
    <row r="929" spans="1:21" x14ac:dyDescent="0.35">
      <c r="A929" t="s">
        <v>14</v>
      </c>
      <c r="B929" t="s">
        <v>15</v>
      </c>
      <c r="C929" t="s">
        <v>277</v>
      </c>
      <c r="D929" t="s">
        <v>278</v>
      </c>
      <c r="E929" t="s">
        <v>279</v>
      </c>
      <c r="F929" t="s">
        <v>22</v>
      </c>
      <c r="G929" t="s">
        <v>302</v>
      </c>
      <c r="H929" s="15">
        <v>46079</v>
      </c>
      <c r="I929" t="s">
        <v>303</v>
      </c>
      <c r="J929" t="s">
        <v>16</v>
      </c>
      <c r="K929" t="s">
        <v>185</v>
      </c>
      <c r="N929">
        <v>0</v>
      </c>
      <c r="O929" t="s">
        <v>222</v>
      </c>
      <c r="P929">
        <v>0</v>
      </c>
      <c r="U929" s="15"/>
    </row>
    <row r="930" spans="1:21" x14ac:dyDescent="0.35">
      <c r="A930" t="s">
        <v>14</v>
      </c>
      <c r="B930" t="s">
        <v>15</v>
      </c>
      <c r="C930" t="s">
        <v>234</v>
      </c>
      <c r="D930" t="s">
        <v>235</v>
      </c>
      <c r="E930" t="s">
        <v>236</v>
      </c>
      <c r="F930" t="s">
        <v>22</v>
      </c>
      <c r="G930" t="s">
        <v>304</v>
      </c>
      <c r="H930" s="15">
        <v>46085</v>
      </c>
      <c r="I930" t="s">
        <v>305</v>
      </c>
      <c r="J930" t="s">
        <v>16</v>
      </c>
      <c r="K930" t="s">
        <v>185</v>
      </c>
      <c r="N930">
        <v>0</v>
      </c>
      <c r="O930" t="s">
        <v>222</v>
      </c>
      <c r="P930">
        <v>0</v>
      </c>
      <c r="U930" s="15"/>
    </row>
    <row r="931" spans="1:21" x14ac:dyDescent="0.35">
      <c r="A931" t="s">
        <v>14</v>
      </c>
      <c r="B931" t="s">
        <v>15</v>
      </c>
      <c r="C931" t="s">
        <v>234</v>
      </c>
      <c r="D931" t="s">
        <v>235</v>
      </c>
      <c r="E931" t="s">
        <v>236</v>
      </c>
      <c r="F931" t="s">
        <v>22</v>
      </c>
      <c r="G931" t="s">
        <v>306</v>
      </c>
      <c r="H931" s="15">
        <v>46086</v>
      </c>
      <c r="I931" t="s">
        <v>307</v>
      </c>
      <c r="J931" t="s">
        <v>16</v>
      </c>
      <c r="K931" t="s">
        <v>185</v>
      </c>
      <c r="N931">
        <v>0</v>
      </c>
      <c r="O931" t="s">
        <v>222</v>
      </c>
      <c r="P931">
        <v>0</v>
      </c>
      <c r="U931" s="15"/>
    </row>
    <row r="932" spans="1:21" x14ac:dyDescent="0.35">
      <c r="A932" t="s">
        <v>14</v>
      </c>
      <c r="B932" t="s">
        <v>15</v>
      </c>
      <c r="C932" t="s">
        <v>234</v>
      </c>
      <c r="D932" t="s">
        <v>235</v>
      </c>
      <c r="E932" t="s">
        <v>236</v>
      </c>
      <c r="F932" t="s">
        <v>22</v>
      </c>
      <c r="G932" t="s">
        <v>308</v>
      </c>
      <c r="H932" s="15">
        <v>46087</v>
      </c>
      <c r="I932" t="s">
        <v>309</v>
      </c>
      <c r="J932" t="s">
        <v>16</v>
      </c>
      <c r="K932" t="s">
        <v>185</v>
      </c>
      <c r="N932">
        <v>0</v>
      </c>
      <c r="O932" t="s">
        <v>222</v>
      </c>
      <c r="P932">
        <v>0</v>
      </c>
      <c r="U932" s="15"/>
    </row>
    <row r="933" spans="1:21" x14ac:dyDescent="0.35">
      <c r="A933" t="s">
        <v>14</v>
      </c>
      <c r="B933" t="s">
        <v>15</v>
      </c>
      <c r="C933" t="s">
        <v>234</v>
      </c>
      <c r="D933" t="s">
        <v>235</v>
      </c>
      <c r="E933" t="s">
        <v>236</v>
      </c>
      <c r="F933" t="s">
        <v>22</v>
      </c>
      <c r="G933" t="s">
        <v>310</v>
      </c>
      <c r="H933" s="15">
        <v>46091</v>
      </c>
      <c r="I933" t="s">
        <v>311</v>
      </c>
      <c r="J933" t="s">
        <v>16</v>
      </c>
      <c r="K933" t="s">
        <v>185</v>
      </c>
      <c r="N933">
        <v>0</v>
      </c>
      <c r="O933" t="s">
        <v>222</v>
      </c>
      <c r="P933">
        <v>0</v>
      </c>
      <c r="U933" s="15"/>
    </row>
    <row r="934" spans="1:21" x14ac:dyDescent="0.35">
      <c r="A934" t="s">
        <v>14</v>
      </c>
      <c r="B934" t="s">
        <v>15</v>
      </c>
      <c r="C934" t="s">
        <v>234</v>
      </c>
      <c r="D934" t="s">
        <v>235</v>
      </c>
      <c r="E934" t="s">
        <v>236</v>
      </c>
      <c r="F934" t="s">
        <v>22</v>
      </c>
      <c r="G934" t="s">
        <v>312</v>
      </c>
      <c r="H934" s="15">
        <v>46092</v>
      </c>
      <c r="I934" t="s">
        <v>313</v>
      </c>
      <c r="J934" t="s">
        <v>16</v>
      </c>
      <c r="K934" t="s">
        <v>185</v>
      </c>
      <c r="N934">
        <v>0</v>
      </c>
      <c r="O934" t="s">
        <v>222</v>
      </c>
      <c r="P934">
        <v>0</v>
      </c>
      <c r="U934" s="15"/>
    </row>
    <row r="935" spans="1:21" x14ac:dyDescent="0.35">
      <c r="A935" t="s">
        <v>14</v>
      </c>
      <c r="B935" t="s">
        <v>15</v>
      </c>
      <c r="C935" t="s">
        <v>234</v>
      </c>
      <c r="D935" t="s">
        <v>235</v>
      </c>
      <c r="E935" t="s">
        <v>236</v>
      </c>
      <c r="F935" t="s">
        <v>22</v>
      </c>
      <c r="G935" t="s">
        <v>314</v>
      </c>
      <c r="H935" s="15">
        <v>46093</v>
      </c>
      <c r="I935" t="s">
        <v>315</v>
      </c>
      <c r="J935" t="s">
        <v>16</v>
      </c>
      <c r="K935" t="s">
        <v>185</v>
      </c>
      <c r="N935">
        <v>0</v>
      </c>
      <c r="O935" t="s">
        <v>222</v>
      </c>
      <c r="P935">
        <v>0</v>
      </c>
      <c r="U935" s="15"/>
    </row>
    <row r="936" spans="1:21" x14ac:dyDescent="0.35">
      <c r="A936" t="s">
        <v>14</v>
      </c>
      <c r="B936" t="s">
        <v>15</v>
      </c>
      <c r="C936" t="s">
        <v>234</v>
      </c>
      <c r="D936" t="s">
        <v>235</v>
      </c>
      <c r="E936" t="s">
        <v>236</v>
      </c>
      <c r="F936" t="s">
        <v>22</v>
      </c>
      <c r="G936" t="s">
        <v>316</v>
      </c>
      <c r="H936" s="15">
        <v>46094</v>
      </c>
      <c r="I936" t="s">
        <v>317</v>
      </c>
      <c r="J936" t="s">
        <v>16</v>
      </c>
      <c r="K936" t="s">
        <v>185</v>
      </c>
      <c r="N936">
        <v>0</v>
      </c>
      <c r="O936" t="s">
        <v>222</v>
      </c>
      <c r="P936">
        <v>0</v>
      </c>
      <c r="U936" s="15"/>
    </row>
    <row r="937" spans="1:21" x14ac:dyDescent="0.35">
      <c r="A937" t="s">
        <v>14</v>
      </c>
      <c r="B937" t="s">
        <v>15</v>
      </c>
      <c r="C937" t="s">
        <v>228</v>
      </c>
      <c r="D937" t="s">
        <v>229</v>
      </c>
      <c r="E937" t="s">
        <v>230</v>
      </c>
      <c r="F937" t="s">
        <v>22</v>
      </c>
      <c r="G937" t="s">
        <v>318</v>
      </c>
      <c r="H937" s="15">
        <v>46097</v>
      </c>
      <c r="I937" t="s">
        <v>319</v>
      </c>
      <c r="J937" t="s">
        <v>16</v>
      </c>
      <c r="K937" t="s">
        <v>185</v>
      </c>
      <c r="N937">
        <v>0</v>
      </c>
      <c r="O937" t="s">
        <v>222</v>
      </c>
      <c r="P937">
        <v>0</v>
      </c>
      <c r="U937" s="15"/>
    </row>
    <row r="938" spans="1:21" x14ac:dyDescent="0.35">
      <c r="A938" t="s">
        <v>14</v>
      </c>
      <c r="B938" t="s">
        <v>15</v>
      </c>
      <c r="C938" t="s">
        <v>234</v>
      </c>
      <c r="D938" t="s">
        <v>235</v>
      </c>
      <c r="E938" t="s">
        <v>236</v>
      </c>
      <c r="F938" t="s">
        <v>22</v>
      </c>
      <c r="G938" t="s">
        <v>1664</v>
      </c>
      <c r="H938" s="15">
        <v>46101</v>
      </c>
      <c r="I938" t="s">
        <v>1665</v>
      </c>
      <c r="J938" t="s">
        <v>16</v>
      </c>
      <c r="K938" t="s">
        <v>185</v>
      </c>
      <c r="N938">
        <v>0</v>
      </c>
      <c r="O938" t="s">
        <v>222</v>
      </c>
      <c r="P938">
        <v>0</v>
      </c>
      <c r="U938" s="15"/>
    </row>
    <row r="939" spans="1:21" x14ac:dyDescent="0.35">
      <c r="A939" t="s">
        <v>14</v>
      </c>
      <c r="B939" t="s">
        <v>15</v>
      </c>
      <c r="C939" t="s">
        <v>217</v>
      </c>
      <c r="D939" t="s">
        <v>218</v>
      </c>
      <c r="E939" t="s">
        <v>219</v>
      </c>
      <c r="F939" t="s">
        <v>22</v>
      </c>
      <c r="G939" t="s">
        <v>1666</v>
      </c>
      <c r="H939" s="15">
        <v>46104</v>
      </c>
      <c r="I939" t="s">
        <v>1667</v>
      </c>
      <c r="J939" t="s">
        <v>16</v>
      </c>
      <c r="K939" t="s">
        <v>185</v>
      </c>
      <c r="N939">
        <v>0</v>
      </c>
      <c r="O939" t="s">
        <v>222</v>
      </c>
      <c r="P939">
        <v>0</v>
      </c>
      <c r="U939" s="15"/>
    </row>
    <row r="940" spans="1:21" x14ac:dyDescent="0.35">
      <c r="A940" t="s">
        <v>14</v>
      </c>
      <c r="B940" t="s">
        <v>15</v>
      </c>
      <c r="C940" t="s">
        <v>228</v>
      </c>
      <c r="D940" t="s">
        <v>229</v>
      </c>
      <c r="E940" t="s">
        <v>230</v>
      </c>
      <c r="F940" t="s">
        <v>22</v>
      </c>
      <c r="G940" t="s">
        <v>1668</v>
      </c>
      <c r="H940" s="15">
        <v>46105</v>
      </c>
      <c r="I940" t="s">
        <v>1669</v>
      </c>
      <c r="J940" t="s">
        <v>16</v>
      </c>
      <c r="K940" t="s">
        <v>185</v>
      </c>
      <c r="N940">
        <v>0</v>
      </c>
      <c r="O940" t="s">
        <v>222</v>
      </c>
      <c r="P940">
        <v>0</v>
      </c>
      <c r="U940" s="15"/>
    </row>
    <row r="941" spans="1:21" x14ac:dyDescent="0.35">
      <c r="A941" t="s">
        <v>14</v>
      </c>
      <c r="B941" t="s">
        <v>15</v>
      </c>
      <c r="C941" t="s">
        <v>228</v>
      </c>
      <c r="D941" t="s">
        <v>229</v>
      </c>
      <c r="E941" t="s">
        <v>230</v>
      </c>
      <c r="F941" t="s">
        <v>22</v>
      </c>
      <c r="G941" t="s">
        <v>1670</v>
      </c>
      <c r="H941" s="15">
        <v>46106</v>
      </c>
      <c r="I941" t="s">
        <v>1671</v>
      </c>
      <c r="J941" t="s">
        <v>16</v>
      </c>
      <c r="K941" t="s">
        <v>185</v>
      </c>
      <c r="N941">
        <v>0</v>
      </c>
      <c r="O941" t="s">
        <v>222</v>
      </c>
      <c r="P941">
        <v>0</v>
      </c>
      <c r="U941" s="15"/>
    </row>
    <row r="942" spans="1:21" x14ac:dyDescent="0.35">
      <c r="A942" t="s">
        <v>14</v>
      </c>
      <c r="B942" t="s">
        <v>15</v>
      </c>
      <c r="C942" t="s">
        <v>1672</v>
      </c>
      <c r="D942" t="s">
        <v>1673</v>
      </c>
      <c r="E942" t="s">
        <v>1674</v>
      </c>
      <c r="F942" t="s">
        <v>22</v>
      </c>
      <c r="G942" t="s">
        <v>1675</v>
      </c>
      <c r="H942" s="15">
        <v>46107</v>
      </c>
      <c r="I942" t="s">
        <v>1676</v>
      </c>
      <c r="J942" t="s">
        <v>16</v>
      </c>
      <c r="K942" t="s">
        <v>185</v>
      </c>
      <c r="N942">
        <v>0</v>
      </c>
      <c r="O942" t="s">
        <v>222</v>
      </c>
      <c r="P942">
        <v>0</v>
      </c>
      <c r="U942" s="15"/>
    </row>
    <row r="943" spans="1:21" x14ac:dyDescent="0.35">
      <c r="A943" t="s">
        <v>14</v>
      </c>
      <c r="B943" t="s">
        <v>15</v>
      </c>
      <c r="C943" t="s">
        <v>217</v>
      </c>
      <c r="D943" t="s">
        <v>218</v>
      </c>
      <c r="E943" t="s">
        <v>219</v>
      </c>
      <c r="F943" t="s">
        <v>22</v>
      </c>
      <c r="G943" t="s">
        <v>1677</v>
      </c>
      <c r="H943" s="15">
        <v>46113</v>
      </c>
      <c r="I943" t="s">
        <v>1678</v>
      </c>
      <c r="J943" t="s">
        <v>16</v>
      </c>
      <c r="K943" t="s">
        <v>185</v>
      </c>
      <c r="N943">
        <v>0</v>
      </c>
      <c r="O943" t="s">
        <v>222</v>
      </c>
      <c r="P943">
        <v>0</v>
      </c>
      <c r="U943" s="15"/>
    </row>
    <row r="944" spans="1:21" x14ac:dyDescent="0.35">
      <c r="A944" t="s">
        <v>14</v>
      </c>
      <c r="B944" t="s">
        <v>15</v>
      </c>
      <c r="C944" t="s">
        <v>277</v>
      </c>
      <c r="D944" t="s">
        <v>278</v>
      </c>
      <c r="E944" t="s">
        <v>279</v>
      </c>
      <c r="F944" t="s">
        <v>22</v>
      </c>
      <c r="G944" t="s">
        <v>1679</v>
      </c>
      <c r="H944" s="15">
        <v>46113</v>
      </c>
      <c r="I944" t="s">
        <v>1680</v>
      </c>
      <c r="J944" t="s">
        <v>233</v>
      </c>
      <c r="K944" t="s">
        <v>185</v>
      </c>
      <c r="N944">
        <v>0</v>
      </c>
      <c r="O944" t="s">
        <v>222</v>
      </c>
      <c r="P944">
        <v>0</v>
      </c>
      <c r="U944" s="15"/>
    </row>
    <row r="945" spans="1:21" x14ac:dyDescent="0.35">
      <c r="A945" t="s">
        <v>14</v>
      </c>
      <c r="B945" t="s">
        <v>15</v>
      </c>
      <c r="C945" t="s">
        <v>228</v>
      </c>
      <c r="D945" t="s">
        <v>229</v>
      </c>
      <c r="E945" t="s">
        <v>230</v>
      </c>
      <c r="F945" t="s">
        <v>22</v>
      </c>
      <c r="G945" t="s">
        <v>1681</v>
      </c>
      <c r="H945" s="15">
        <v>46114</v>
      </c>
      <c r="I945" t="s">
        <v>1682</v>
      </c>
      <c r="J945" t="s">
        <v>16</v>
      </c>
      <c r="K945" t="s">
        <v>185</v>
      </c>
      <c r="N945">
        <v>0</v>
      </c>
      <c r="O945" t="s">
        <v>222</v>
      </c>
      <c r="P945">
        <v>0</v>
      </c>
      <c r="U945" s="15"/>
    </row>
    <row r="946" spans="1:21" x14ac:dyDescent="0.35">
      <c r="A946" t="s">
        <v>14</v>
      </c>
      <c r="B946" t="s">
        <v>15</v>
      </c>
      <c r="C946" t="s">
        <v>228</v>
      </c>
      <c r="D946" t="s">
        <v>229</v>
      </c>
      <c r="E946" t="s">
        <v>230</v>
      </c>
      <c r="F946" t="s">
        <v>22</v>
      </c>
      <c r="G946" t="s">
        <v>1683</v>
      </c>
      <c r="H946" s="15">
        <v>46115</v>
      </c>
      <c r="I946" t="s">
        <v>1684</v>
      </c>
      <c r="J946" t="s">
        <v>16</v>
      </c>
      <c r="K946" t="s">
        <v>185</v>
      </c>
      <c r="N946">
        <v>0</v>
      </c>
      <c r="O946" t="s">
        <v>222</v>
      </c>
      <c r="P946">
        <v>0</v>
      </c>
      <c r="U946" s="15"/>
    </row>
    <row r="947" spans="1:21" x14ac:dyDescent="0.35">
      <c r="A947" t="s">
        <v>14</v>
      </c>
      <c r="B947" t="s">
        <v>15</v>
      </c>
      <c r="C947" t="s">
        <v>228</v>
      </c>
      <c r="D947" t="s">
        <v>229</v>
      </c>
      <c r="E947" t="s">
        <v>230</v>
      </c>
      <c r="F947" t="s">
        <v>22</v>
      </c>
      <c r="G947" t="s">
        <v>1683</v>
      </c>
      <c r="H947" s="15">
        <v>46115</v>
      </c>
      <c r="I947" t="s">
        <v>1684</v>
      </c>
      <c r="J947" t="s">
        <v>16</v>
      </c>
      <c r="K947" t="s">
        <v>185</v>
      </c>
      <c r="N947">
        <v>0</v>
      </c>
      <c r="O947" t="s">
        <v>222</v>
      </c>
      <c r="P947">
        <v>0</v>
      </c>
      <c r="U947" s="15"/>
    </row>
    <row r="948" spans="1:21" x14ac:dyDescent="0.35">
      <c r="A948" t="s">
        <v>14</v>
      </c>
      <c r="B948" t="s">
        <v>15</v>
      </c>
      <c r="C948" t="s">
        <v>234</v>
      </c>
      <c r="D948" t="s">
        <v>235</v>
      </c>
      <c r="E948" t="s">
        <v>236</v>
      </c>
      <c r="F948" t="s">
        <v>22</v>
      </c>
      <c r="G948" t="s">
        <v>1685</v>
      </c>
      <c r="H948" s="15">
        <v>46116</v>
      </c>
      <c r="I948" t="s">
        <v>1686</v>
      </c>
      <c r="J948" t="s">
        <v>16</v>
      </c>
      <c r="K948" t="s">
        <v>185</v>
      </c>
      <c r="N948">
        <v>0</v>
      </c>
      <c r="O948" t="s">
        <v>222</v>
      </c>
      <c r="P948">
        <v>0</v>
      </c>
      <c r="U948" s="15"/>
    </row>
    <row r="949" spans="1:21" x14ac:dyDescent="0.35">
      <c r="A949" t="s">
        <v>14</v>
      </c>
      <c r="B949" t="s">
        <v>15</v>
      </c>
      <c r="C949" t="s">
        <v>234</v>
      </c>
      <c r="D949" t="s">
        <v>235</v>
      </c>
      <c r="E949" t="s">
        <v>236</v>
      </c>
      <c r="F949" t="s">
        <v>22</v>
      </c>
      <c r="G949" t="s">
        <v>1687</v>
      </c>
      <c r="H949" s="15">
        <v>46118</v>
      </c>
      <c r="I949" t="s">
        <v>1688</v>
      </c>
      <c r="J949" t="s">
        <v>16</v>
      </c>
      <c r="K949" t="s">
        <v>185</v>
      </c>
      <c r="N949">
        <v>0</v>
      </c>
      <c r="O949" t="s">
        <v>222</v>
      </c>
      <c r="P949">
        <v>0</v>
      </c>
      <c r="U949" s="15"/>
    </row>
    <row r="950" spans="1:21" x14ac:dyDescent="0.35">
      <c r="A950" t="s">
        <v>14</v>
      </c>
      <c r="B950" t="s">
        <v>15</v>
      </c>
      <c r="C950" t="s">
        <v>234</v>
      </c>
      <c r="D950" t="s">
        <v>235</v>
      </c>
      <c r="E950" t="s">
        <v>236</v>
      </c>
      <c r="F950" t="s">
        <v>22</v>
      </c>
      <c r="G950" t="s">
        <v>1689</v>
      </c>
      <c r="H950" s="15">
        <v>46119</v>
      </c>
      <c r="I950" t="s">
        <v>1690</v>
      </c>
      <c r="J950" t="s">
        <v>16</v>
      </c>
      <c r="K950" t="s">
        <v>185</v>
      </c>
      <c r="N950">
        <v>0</v>
      </c>
      <c r="O950" t="s">
        <v>222</v>
      </c>
      <c r="P950">
        <v>0</v>
      </c>
      <c r="U950" s="15"/>
    </row>
    <row r="951" spans="1:21" x14ac:dyDescent="0.35">
      <c r="A951" t="s">
        <v>14</v>
      </c>
      <c r="B951" t="s">
        <v>15</v>
      </c>
      <c r="C951" t="s">
        <v>1691</v>
      </c>
      <c r="D951" t="s">
        <v>1692</v>
      </c>
      <c r="E951" t="s">
        <v>1693</v>
      </c>
      <c r="F951" t="s">
        <v>22</v>
      </c>
      <c r="G951" t="s">
        <v>1694</v>
      </c>
      <c r="H951" s="15">
        <v>46121</v>
      </c>
      <c r="I951" t="s">
        <v>1695</v>
      </c>
      <c r="J951" t="s">
        <v>16</v>
      </c>
      <c r="K951" t="s">
        <v>185</v>
      </c>
      <c r="N951">
        <v>0</v>
      </c>
      <c r="O951" t="s">
        <v>222</v>
      </c>
      <c r="P951">
        <v>0</v>
      </c>
      <c r="U951" s="15"/>
    </row>
    <row r="952" spans="1:21" x14ac:dyDescent="0.35">
      <c r="A952" t="s">
        <v>14</v>
      </c>
      <c r="B952" t="s">
        <v>15</v>
      </c>
      <c r="C952" t="s">
        <v>234</v>
      </c>
      <c r="D952" t="s">
        <v>235</v>
      </c>
      <c r="E952" t="s">
        <v>236</v>
      </c>
      <c r="F952" t="s">
        <v>22</v>
      </c>
      <c r="G952" t="s">
        <v>1696</v>
      </c>
      <c r="H952" s="15">
        <v>46121</v>
      </c>
      <c r="I952" t="s">
        <v>1697</v>
      </c>
      <c r="J952" t="s">
        <v>233</v>
      </c>
      <c r="K952" t="s">
        <v>185</v>
      </c>
      <c r="N952">
        <v>0</v>
      </c>
      <c r="O952" t="s">
        <v>222</v>
      </c>
      <c r="P952">
        <v>0</v>
      </c>
      <c r="U952" s="15"/>
    </row>
    <row r="953" spans="1:21" x14ac:dyDescent="0.35">
      <c r="A953" t="s">
        <v>14</v>
      </c>
      <c r="B953" t="s">
        <v>15</v>
      </c>
      <c r="C953" t="s">
        <v>234</v>
      </c>
      <c r="D953" t="s">
        <v>235</v>
      </c>
      <c r="E953" t="s">
        <v>236</v>
      </c>
      <c r="F953" t="s">
        <v>22</v>
      </c>
      <c r="G953" t="s">
        <v>1698</v>
      </c>
      <c r="H953" s="15">
        <v>46122</v>
      </c>
      <c r="I953" t="s">
        <v>1699</v>
      </c>
      <c r="J953" t="s">
        <v>16</v>
      </c>
      <c r="K953" t="s">
        <v>185</v>
      </c>
      <c r="N953">
        <v>0</v>
      </c>
      <c r="O953" t="s">
        <v>222</v>
      </c>
      <c r="P953">
        <v>0</v>
      </c>
      <c r="U953" s="15"/>
    </row>
    <row r="954" spans="1:21" x14ac:dyDescent="0.35">
      <c r="A954" t="s">
        <v>14</v>
      </c>
      <c r="B954" t="s">
        <v>15</v>
      </c>
      <c r="C954" t="s">
        <v>277</v>
      </c>
      <c r="D954" t="s">
        <v>278</v>
      </c>
      <c r="E954" t="s">
        <v>279</v>
      </c>
      <c r="F954" t="s">
        <v>22</v>
      </c>
      <c r="G954" t="s">
        <v>1700</v>
      </c>
      <c r="H954" s="15">
        <v>46137</v>
      </c>
      <c r="I954" t="s">
        <v>1701</v>
      </c>
      <c r="J954" t="s">
        <v>16</v>
      </c>
      <c r="K954" t="s">
        <v>185</v>
      </c>
      <c r="N954">
        <v>0</v>
      </c>
      <c r="O954" t="s">
        <v>222</v>
      </c>
      <c r="P954">
        <v>0</v>
      </c>
      <c r="U954" s="15"/>
    </row>
    <row r="955" spans="1:21" x14ac:dyDescent="0.35">
      <c r="A955" t="s">
        <v>14</v>
      </c>
      <c r="B955" t="s">
        <v>15</v>
      </c>
      <c r="C955" t="s">
        <v>277</v>
      </c>
      <c r="D955" t="s">
        <v>278</v>
      </c>
      <c r="E955" t="s">
        <v>279</v>
      </c>
      <c r="F955" t="s">
        <v>22</v>
      </c>
      <c r="G955" t="s">
        <v>1702</v>
      </c>
      <c r="H955" s="15">
        <v>46139</v>
      </c>
      <c r="I955" t="s">
        <v>1703</v>
      </c>
      <c r="J955" t="s">
        <v>16</v>
      </c>
      <c r="K955" t="s">
        <v>185</v>
      </c>
      <c r="N955">
        <v>0</v>
      </c>
      <c r="O955" t="s">
        <v>222</v>
      </c>
      <c r="P955">
        <v>0</v>
      </c>
      <c r="U955" s="15"/>
    </row>
    <row r="956" spans="1:21" x14ac:dyDescent="0.35">
      <c r="A956" t="s">
        <v>14</v>
      </c>
      <c r="B956" t="s">
        <v>15</v>
      </c>
      <c r="C956" t="s">
        <v>234</v>
      </c>
      <c r="D956" t="s">
        <v>235</v>
      </c>
      <c r="E956" t="s">
        <v>236</v>
      </c>
      <c r="F956" t="s">
        <v>22</v>
      </c>
      <c r="G956" t="s">
        <v>1704</v>
      </c>
      <c r="H956" s="15">
        <v>46133</v>
      </c>
      <c r="I956" t="s">
        <v>1705</v>
      </c>
      <c r="J956" t="s">
        <v>16</v>
      </c>
      <c r="K956" t="s">
        <v>185</v>
      </c>
      <c r="N956">
        <v>0</v>
      </c>
      <c r="O956" t="s">
        <v>222</v>
      </c>
      <c r="P956">
        <v>0</v>
      </c>
      <c r="U956" s="15"/>
    </row>
    <row r="957" spans="1:21" x14ac:dyDescent="0.35">
      <c r="A957" t="s">
        <v>14</v>
      </c>
      <c r="B957" t="s">
        <v>15</v>
      </c>
      <c r="C957" t="s">
        <v>228</v>
      </c>
      <c r="D957" t="s">
        <v>229</v>
      </c>
      <c r="E957" t="s">
        <v>230</v>
      </c>
      <c r="F957" t="s">
        <v>22</v>
      </c>
      <c r="G957" t="s">
        <v>1706</v>
      </c>
      <c r="H957" s="15">
        <v>46135</v>
      </c>
      <c r="I957" t="s">
        <v>1707</v>
      </c>
      <c r="J957" t="s">
        <v>16</v>
      </c>
      <c r="K957" t="s">
        <v>185</v>
      </c>
      <c r="N957">
        <v>0</v>
      </c>
      <c r="O957" t="s">
        <v>222</v>
      </c>
      <c r="P957">
        <v>0</v>
      </c>
      <c r="U957" s="15"/>
    </row>
    <row r="958" spans="1:21" x14ac:dyDescent="0.35">
      <c r="A958" t="s">
        <v>14</v>
      </c>
      <c r="B958" t="s">
        <v>15</v>
      </c>
      <c r="C958" t="s">
        <v>228</v>
      </c>
      <c r="D958" t="s">
        <v>229</v>
      </c>
      <c r="E958" t="s">
        <v>230</v>
      </c>
      <c r="F958" t="s">
        <v>22</v>
      </c>
      <c r="G958" t="s">
        <v>1708</v>
      </c>
      <c r="H958" s="15">
        <v>46140</v>
      </c>
      <c r="I958" t="s">
        <v>1709</v>
      </c>
      <c r="J958" t="s">
        <v>16</v>
      </c>
      <c r="K958" t="s">
        <v>185</v>
      </c>
      <c r="N958">
        <v>0</v>
      </c>
      <c r="O958" t="s">
        <v>222</v>
      </c>
      <c r="P958">
        <v>0</v>
      </c>
      <c r="U958" s="15"/>
    </row>
    <row r="959" spans="1:21" x14ac:dyDescent="0.35">
      <c r="A959" t="s">
        <v>14</v>
      </c>
      <c r="B959" t="s">
        <v>15</v>
      </c>
      <c r="C959" t="s">
        <v>277</v>
      </c>
      <c r="D959" t="s">
        <v>278</v>
      </c>
      <c r="E959" t="s">
        <v>279</v>
      </c>
      <c r="F959" t="s">
        <v>22</v>
      </c>
      <c r="G959" t="s">
        <v>1710</v>
      </c>
      <c r="H959" s="15">
        <v>46134</v>
      </c>
      <c r="I959" t="s">
        <v>1711</v>
      </c>
      <c r="J959" t="s">
        <v>16</v>
      </c>
      <c r="K959" t="s">
        <v>185</v>
      </c>
      <c r="N959">
        <v>0</v>
      </c>
      <c r="O959" t="s">
        <v>222</v>
      </c>
      <c r="P959">
        <v>0</v>
      </c>
      <c r="U959" s="15"/>
    </row>
    <row r="960" spans="1:21" x14ac:dyDescent="0.35">
      <c r="A960" t="s">
        <v>14</v>
      </c>
      <c r="B960" t="s">
        <v>15</v>
      </c>
      <c r="C960" t="s">
        <v>228</v>
      </c>
      <c r="D960" t="s">
        <v>229</v>
      </c>
      <c r="E960" t="s">
        <v>230</v>
      </c>
      <c r="F960" t="s">
        <v>22</v>
      </c>
      <c r="G960" t="s">
        <v>1712</v>
      </c>
      <c r="H960" s="15">
        <v>46141</v>
      </c>
      <c r="I960" t="s">
        <v>1713</v>
      </c>
      <c r="J960" t="s">
        <v>16</v>
      </c>
      <c r="K960" t="s">
        <v>185</v>
      </c>
      <c r="N960">
        <v>0</v>
      </c>
      <c r="O960" t="s">
        <v>222</v>
      </c>
      <c r="P960">
        <v>0</v>
      </c>
      <c r="U960" s="15"/>
    </row>
    <row r="961" spans="1:21" x14ac:dyDescent="0.35">
      <c r="A961" t="s">
        <v>14</v>
      </c>
      <c r="B961" t="s">
        <v>15</v>
      </c>
      <c r="C961" t="s">
        <v>228</v>
      </c>
      <c r="D961" t="s">
        <v>229</v>
      </c>
      <c r="E961" t="s">
        <v>230</v>
      </c>
      <c r="F961" t="s">
        <v>22</v>
      </c>
      <c r="G961" t="s">
        <v>1714</v>
      </c>
      <c r="H961" s="15">
        <v>46147</v>
      </c>
      <c r="I961" t="s">
        <v>1715</v>
      </c>
      <c r="J961" t="s">
        <v>16</v>
      </c>
      <c r="K961" t="s">
        <v>185</v>
      </c>
      <c r="N961">
        <v>0</v>
      </c>
      <c r="O961" t="s">
        <v>222</v>
      </c>
      <c r="P961">
        <v>0</v>
      </c>
      <c r="U961" s="15"/>
    </row>
    <row r="962" spans="1:21" x14ac:dyDescent="0.35">
      <c r="A962" t="s">
        <v>14</v>
      </c>
      <c r="B962" t="s">
        <v>15</v>
      </c>
      <c r="C962" t="s">
        <v>1691</v>
      </c>
      <c r="D962" t="s">
        <v>1692</v>
      </c>
      <c r="E962" t="s">
        <v>1693</v>
      </c>
      <c r="F962" t="s">
        <v>22</v>
      </c>
      <c r="G962" t="s">
        <v>1716</v>
      </c>
      <c r="H962" s="15">
        <v>46146</v>
      </c>
      <c r="I962" t="s">
        <v>1717</v>
      </c>
      <c r="J962" t="s">
        <v>16</v>
      </c>
      <c r="K962" t="s">
        <v>185</v>
      </c>
      <c r="N962">
        <v>0</v>
      </c>
      <c r="O962" t="s">
        <v>222</v>
      </c>
      <c r="P962">
        <v>0</v>
      </c>
      <c r="U962" s="15"/>
    </row>
    <row r="963" spans="1:21" x14ac:dyDescent="0.35">
      <c r="A963" t="s">
        <v>14</v>
      </c>
      <c r="B963" t="s">
        <v>15</v>
      </c>
      <c r="C963" t="s">
        <v>228</v>
      </c>
      <c r="D963" t="s">
        <v>229</v>
      </c>
      <c r="E963" t="s">
        <v>230</v>
      </c>
      <c r="F963" t="s">
        <v>22</v>
      </c>
      <c r="G963" t="s">
        <v>1718</v>
      </c>
      <c r="H963" s="15">
        <v>46148</v>
      </c>
      <c r="I963" t="s">
        <v>1719</v>
      </c>
      <c r="J963" t="s">
        <v>16</v>
      </c>
      <c r="K963" t="s">
        <v>185</v>
      </c>
      <c r="N963">
        <v>0</v>
      </c>
      <c r="O963" t="s">
        <v>222</v>
      </c>
      <c r="P963">
        <v>0</v>
      </c>
      <c r="U963" s="15"/>
    </row>
    <row r="964" spans="1:21" x14ac:dyDescent="0.35">
      <c r="A964" t="s">
        <v>14</v>
      </c>
      <c r="B964" t="s">
        <v>15</v>
      </c>
      <c r="C964" t="s">
        <v>217</v>
      </c>
      <c r="D964" t="s">
        <v>218</v>
      </c>
      <c r="E964" t="s">
        <v>219</v>
      </c>
      <c r="F964" t="s">
        <v>22</v>
      </c>
      <c r="G964" t="s">
        <v>1720</v>
      </c>
      <c r="H964" s="15">
        <v>46149</v>
      </c>
      <c r="I964" t="s">
        <v>1721</v>
      </c>
      <c r="J964" t="s">
        <v>16</v>
      </c>
      <c r="K964" t="s">
        <v>185</v>
      </c>
      <c r="N964">
        <v>0</v>
      </c>
      <c r="O964" t="s">
        <v>222</v>
      </c>
      <c r="P964">
        <v>0</v>
      </c>
      <c r="U964" s="15"/>
    </row>
    <row r="965" spans="1:21" x14ac:dyDescent="0.35">
      <c r="A965" t="s">
        <v>14</v>
      </c>
      <c r="B965" t="s">
        <v>15</v>
      </c>
      <c r="C965" t="s">
        <v>1672</v>
      </c>
      <c r="D965" t="s">
        <v>1673</v>
      </c>
      <c r="E965" t="s">
        <v>1674</v>
      </c>
      <c r="F965" t="s">
        <v>22</v>
      </c>
      <c r="G965" t="s">
        <v>1722</v>
      </c>
      <c r="H965" s="15">
        <v>46157</v>
      </c>
      <c r="I965" t="s">
        <v>1723</v>
      </c>
      <c r="J965" t="s">
        <v>16</v>
      </c>
      <c r="K965" t="s">
        <v>185</v>
      </c>
      <c r="N965">
        <v>0</v>
      </c>
      <c r="O965" t="s">
        <v>222</v>
      </c>
      <c r="P965">
        <v>0</v>
      </c>
      <c r="U965" s="15"/>
    </row>
    <row r="966" spans="1:21" x14ac:dyDescent="0.35">
      <c r="A966" t="s">
        <v>14</v>
      </c>
      <c r="B966" t="s">
        <v>15</v>
      </c>
      <c r="C966" t="s">
        <v>277</v>
      </c>
      <c r="D966" t="s">
        <v>278</v>
      </c>
      <c r="E966" t="s">
        <v>279</v>
      </c>
      <c r="F966" t="s">
        <v>22</v>
      </c>
      <c r="G966" t="s">
        <v>1724</v>
      </c>
      <c r="H966" s="15">
        <v>46160</v>
      </c>
      <c r="I966" t="s">
        <v>1725</v>
      </c>
      <c r="J966" t="s">
        <v>16</v>
      </c>
      <c r="K966" t="s">
        <v>185</v>
      </c>
      <c r="N966">
        <v>0</v>
      </c>
      <c r="O966" t="s">
        <v>222</v>
      </c>
      <c r="P966">
        <v>0</v>
      </c>
      <c r="U966" s="15"/>
    </row>
    <row r="967" spans="1:21" x14ac:dyDescent="0.35">
      <c r="A967" t="s">
        <v>14</v>
      </c>
      <c r="B967" t="s">
        <v>15</v>
      </c>
      <c r="C967" t="s">
        <v>228</v>
      </c>
      <c r="D967" t="s">
        <v>229</v>
      </c>
      <c r="E967" t="s">
        <v>230</v>
      </c>
      <c r="F967" t="s">
        <v>22</v>
      </c>
      <c r="G967" t="s">
        <v>1726</v>
      </c>
      <c r="H967" s="15">
        <v>46156</v>
      </c>
      <c r="I967" t="s">
        <v>1727</v>
      </c>
      <c r="J967" t="s">
        <v>16</v>
      </c>
      <c r="K967" t="s">
        <v>185</v>
      </c>
      <c r="N967">
        <v>0</v>
      </c>
      <c r="O967" t="s">
        <v>222</v>
      </c>
      <c r="P967">
        <v>0</v>
      </c>
      <c r="U967" s="15"/>
    </row>
    <row r="968" spans="1:21" x14ac:dyDescent="0.35">
      <c r="A968" t="s">
        <v>14</v>
      </c>
      <c r="B968" t="s">
        <v>15</v>
      </c>
      <c r="C968" t="s">
        <v>228</v>
      </c>
      <c r="D968" t="s">
        <v>229</v>
      </c>
      <c r="E968" t="s">
        <v>230</v>
      </c>
      <c r="F968" t="s">
        <v>22</v>
      </c>
      <c r="G968" t="s">
        <v>1728</v>
      </c>
      <c r="H968" s="15">
        <v>46161</v>
      </c>
      <c r="I968" t="s">
        <v>1729</v>
      </c>
      <c r="J968" t="s">
        <v>16</v>
      </c>
      <c r="K968" t="s">
        <v>185</v>
      </c>
      <c r="N968">
        <v>0</v>
      </c>
      <c r="O968" t="s">
        <v>222</v>
      </c>
      <c r="P968">
        <v>0</v>
      </c>
      <c r="U968" s="15"/>
    </row>
    <row r="969" spans="1:21" x14ac:dyDescent="0.35">
      <c r="A969" t="s">
        <v>14</v>
      </c>
      <c r="B969" t="s">
        <v>15</v>
      </c>
      <c r="C969" t="s">
        <v>228</v>
      </c>
      <c r="D969" t="s">
        <v>229</v>
      </c>
      <c r="E969" t="s">
        <v>230</v>
      </c>
      <c r="F969" t="s">
        <v>22</v>
      </c>
      <c r="G969" t="s">
        <v>1730</v>
      </c>
      <c r="H969" s="15">
        <v>46162</v>
      </c>
      <c r="I969" t="s">
        <v>1731</v>
      </c>
      <c r="J969" t="s">
        <v>16</v>
      </c>
      <c r="K969" t="s">
        <v>185</v>
      </c>
      <c r="N969">
        <v>0</v>
      </c>
      <c r="O969" t="s">
        <v>222</v>
      </c>
      <c r="P969">
        <v>0</v>
      </c>
      <c r="U969" s="15"/>
    </row>
    <row r="970" spans="1:21" x14ac:dyDescent="0.35">
      <c r="A970" t="s">
        <v>14</v>
      </c>
      <c r="B970" t="s">
        <v>15</v>
      </c>
      <c r="C970" t="s">
        <v>228</v>
      </c>
      <c r="D970" t="s">
        <v>229</v>
      </c>
      <c r="E970" t="s">
        <v>230</v>
      </c>
      <c r="F970" t="s">
        <v>22</v>
      </c>
      <c r="G970" t="s">
        <v>1732</v>
      </c>
      <c r="H970" s="15">
        <v>46163</v>
      </c>
      <c r="I970" t="s">
        <v>1733</v>
      </c>
      <c r="J970" t="s">
        <v>16</v>
      </c>
      <c r="K970" t="s">
        <v>185</v>
      </c>
      <c r="N970">
        <v>0</v>
      </c>
      <c r="O970" t="s">
        <v>222</v>
      </c>
      <c r="P970">
        <v>0</v>
      </c>
      <c r="U970" s="15"/>
    </row>
    <row r="971" spans="1:21" x14ac:dyDescent="0.35">
      <c r="A971" t="s">
        <v>14</v>
      </c>
      <c r="B971" t="s">
        <v>15</v>
      </c>
      <c r="C971" t="s">
        <v>234</v>
      </c>
      <c r="D971" t="s">
        <v>235</v>
      </c>
      <c r="E971" t="s">
        <v>236</v>
      </c>
      <c r="F971" t="s">
        <v>22</v>
      </c>
      <c r="G971" t="s">
        <v>1734</v>
      </c>
      <c r="H971" s="15">
        <v>46165</v>
      </c>
      <c r="I971" t="s">
        <v>1735</v>
      </c>
      <c r="J971" t="s">
        <v>16</v>
      </c>
      <c r="K971" t="s">
        <v>185</v>
      </c>
      <c r="N971">
        <v>0</v>
      </c>
      <c r="O971" t="s">
        <v>222</v>
      </c>
      <c r="P971">
        <v>0</v>
      </c>
      <c r="U971" s="15"/>
    </row>
    <row r="972" spans="1:21" x14ac:dyDescent="0.35">
      <c r="A972" t="s">
        <v>14</v>
      </c>
      <c r="B972" t="s">
        <v>15</v>
      </c>
      <c r="C972" t="s">
        <v>234</v>
      </c>
      <c r="D972" t="s">
        <v>235</v>
      </c>
      <c r="E972" t="s">
        <v>236</v>
      </c>
      <c r="F972" t="s">
        <v>22</v>
      </c>
      <c r="G972" t="s">
        <v>1736</v>
      </c>
      <c r="H972" s="15">
        <v>46167</v>
      </c>
      <c r="I972" t="s">
        <v>1737</v>
      </c>
      <c r="J972" t="s">
        <v>16</v>
      </c>
      <c r="K972" t="s">
        <v>185</v>
      </c>
      <c r="N972">
        <v>0</v>
      </c>
      <c r="O972" t="s">
        <v>222</v>
      </c>
      <c r="P972">
        <v>0</v>
      </c>
      <c r="U972" s="15"/>
    </row>
    <row r="973" spans="1:21" x14ac:dyDescent="0.35">
      <c r="A973" t="s">
        <v>14</v>
      </c>
      <c r="B973" t="s">
        <v>15</v>
      </c>
      <c r="C973" t="s">
        <v>234</v>
      </c>
      <c r="D973" t="s">
        <v>235</v>
      </c>
      <c r="E973" t="s">
        <v>236</v>
      </c>
      <c r="F973" t="s">
        <v>22</v>
      </c>
      <c r="G973" t="s">
        <v>1738</v>
      </c>
      <c r="H973" s="15">
        <v>46169</v>
      </c>
      <c r="I973" t="s">
        <v>1739</v>
      </c>
      <c r="J973" t="s">
        <v>16</v>
      </c>
      <c r="K973" t="s">
        <v>185</v>
      </c>
      <c r="N973">
        <v>0</v>
      </c>
      <c r="O973" t="s">
        <v>222</v>
      </c>
      <c r="P973">
        <v>0</v>
      </c>
      <c r="U973" s="15"/>
    </row>
    <row r="974" spans="1:21" x14ac:dyDescent="0.35">
      <c r="A974" t="s">
        <v>14</v>
      </c>
      <c r="B974" t="s">
        <v>15</v>
      </c>
      <c r="C974" t="s">
        <v>234</v>
      </c>
      <c r="D974" t="s">
        <v>235</v>
      </c>
      <c r="E974" t="s">
        <v>236</v>
      </c>
      <c r="F974" t="s">
        <v>22</v>
      </c>
      <c r="G974" t="s">
        <v>1740</v>
      </c>
      <c r="H974" s="15">
        <v>46170</v>
      </c>
      <c r="I974" t="s">
        <v>1741</v>
      </c>
      <c r="J974" t="s">
        <v>16</v>
      </c>
      <c r="K974" t="s">
        <v>185</v>
      </c>
      <c r="N974">
        <v>0</v>
      </c>
      <c r="O974" t="s">
        <v>222</v>
      </c>
      <c r="P974">
        <v>0</v>
      </c>
      <c r="U974" s="15"/>
    </row>
    <row r="975" spans="1:21" x14ac:dyDescent="0.35">
      <c r="A975" t="s">
        <v>14</v>
      </c>
      <c r="B975" t="s">
        <v>15</v>
      </c>
      <c r="C975" t="s">
        <v>277</v>
      </c>
      <c r="D975" t="s">
        <v>278</v>
      </c>
      <c r="E975" t="s">
        <v>279</v>
      </c>
      <c r="F975" t="s">
        <v>22</v>
      </c>
      <c r="G975" t="s">
        <v>1742</v>
      </c>
      <c r="H975" s="15">
        <v>46171</v>
      </c>
      <c r="I975" t="s">
        <v>1743</v>
      </c>
      <c r="J975" t="s">
        <v>16</v>
      </c>
      <c r="K975" t="s">
        <v>185</v>
      </c>
      <c r="N975">
        <v>0</v>
      </c>
      <c r="O975" t="s">
        <v>222</v>
      </c>
      <c r="P975">
        <v>0</v>
      </c>
      <c r="U975" s="15"/>
    </row>
    <row r="976" spans="1:21" x14ac:dyDescent="0.35">
      <c r="A976" t="s">
        <v>14</v>
      </c>
      <c r="B976" t="s">
        <v>15</v>
      </c>
      <c r="C976" t="s">
        <v>234</v>
      </c>
      <c r="D976" t="s">
        <v>235</v>
      </c>
      <c r="E976" t="s">
        <v>236</v>
      </c>
      <c r="F976" t="s">
        <v>22</v>
      </c>
      <c r="G976" t="s">
        <v>1744</v>
      </c>
      <c r="H976" s="15">
        <v>46172</v>
      </c>
      <c r="I976" t="s">
        <v>1745</v>
      </c>
      <c r="J976" t="s">
        <v>16</v>
      </c>
      <c r="K976" t="s">
        <v>185</v>
      </c>
      <c r="N976">
        <v>0</v>
      </c>
      <c r="O976" t="s">
        <v>222</v>
      </c>
      <c r="P976">
        <v>0</v>
      </c>
      <c r="U976" s="15"/>
    </row>
    <row r="977" spans="1:21" x14ac:dyDescent="0.35">
      <c r="A977" t="s">
        <v>14</v>
      </c>
      <c r="B977" t="s">
        <v>15</v>
      </c>
      <c r="C977" t="s">
        <v>234</v>
      </c>
      <c r="D977" t="s">
        <v>235</v>
      </c>
      <c r="E977" t="s">
        <v>236</v>
      </c>
      <c r="F977" t="s">
        <v>22</v>
      </c>
      <c r="G977" t="s">
        <v>1746</v>
      </c>
      <c r="H977" s="15">
        <v>46179</v>
      </c>
      <c r="I977" t="s">
        <v>1747</v>
      </c>
      <c r="J977" t="s">
        <v>16</v>
      </c>
      <c r="K977" t="s">
        <v>185</v>
      </c>
      <c r="N977">
        <v>0</v>
      </c>
      <c r="O977" t="s">
        <v>222</v>
      </c>
      <c r="P977">
        <v>0</v>
      </c>
      <c r="U977" s="15"/>
    </row>
    <row r="978" spans="1:21" x14ac:dyDescent="0.35">
      <c r="A978" t="s">
        <v>14</v>
      </c>
      <c r="B978" t="s">
        <v>15</v>
      </c>
      <c r="C978" t="s">
        <v>234</v>
      </c>
      <c r="D978" t="s">
        <v>235</v>
      </c>
      <c r="E978" t="s">
        <v>236</v>
      </c>
      <c r="F978" t="s">
        <v>22</v>
      </c>
      <c r="G978" t="s">
        <v>1748</v>
      </c>
      <c r="H978" s="15">
        <v>46181</v>
      </c>
      <c r="I978" t="s">
        <v>1749</v>
      </c>
      <c r="J978" t="s">
        <v>16</v>
      </c>
      <c r="K978" t="s">
        <v>185</v>
      </c>
      <c r="N978">
        <v>0</v>
      </c>
      <c r="O978" t="s">
        <v>222</v>
      </c>
      <c r="P978">
        <v>0</v>
      </c>
      <c r="U978" s="15"/>
    </row>
    <row r="979" spans="1:21" x14ac:dyDescent="0.35">
      <c r="A979" t="s">
        <v>14</v>
      </c>
      <c r="B979" t="s">
        <v>15</v>
      </c>
      <c r="C979" t="s">
        <v>277</v>
      </c>
      <c r="D979" t="s">
        <v>278</v>
      </c>
      <c r="E979" t="s">
        <v>279</v>
      </c>
      <c r="F979" t="s">
        <v>22</v>
      </c>
      <c r="G979" t="s">
        <v>1750</v>
      </c>
      <c r="H979" s="15">
        <v>46183</v>
      </c>
      <c r="I979" t="s">
        <v>1751</v>
      </c>
      <c r="J979" t="s">
        <v>16</v>
      </c>
      <c r="K979" t="s">
        <v>185</v>
      </c>
      <c r="N979">
        <v>0</v>
      </c>
      <c r="O979" t="s">
        <v>222</v>
      </c>
      <c r="P979">
        <v>0</v>
      </c>
      <c r="U979" s="15"/>
    </row>
    <row r="980" spans="1:21" x14ac:dyDescent="0.35">
      <c r="A980" t="s">
        <v>14</v>
      </c>
      <c r="B980" t="s">
        <v>15</v>
      </c>
      <c r="C980" t="s">
        <v>277</v>
      </c>
      <c r="D980" t="s">
        <v>278</v>
      </c>
      <c r="E980" t="s">
        <v>279</v>
      </c>
      <c r="F980" t="s">
        <v>22</v>
      </c>
      <c r="G980" t="s">
        <v>1752</v>
      </c>
      <c r="H980" s="15">
        <v>46184</v>
      </c>
      <c r="I980" t="s">
        <v>1753</v>
      </c>
      <c r="J980" t="s">
        <v>16</v>
      </c>
      <c r="K980" t="s">
        <v>185</v>
      </c>
      <c r="N980">
        <v>0</v>
      </c>
      <c r="O980" t="s">
        <v>222</v>
      </c>
      <c r="P980">
        <v>0</v>
      </c>
      <c r="U980" s="15"/>
    </row>
    <row r="981" spans="1:21" x14ac:dyDescent="0.35">
      <c r="A981" t="s">
        <v>14</v>
      </c>
      <c r="B981" t="s">
        <v>15</v>
      </c>
      <c r="C981" t="s">
        <v>277</v>
      </c>
      <c r="D981" t="s">
        <v>278</v>
      </c>
      <c r="E981" t="s">
        <v>279</v>
      </c>
      <c r="F981" t="s">
        <v>22</v>
      </c>
      <c r="G981" t="s">
        <v>1754</v>
      </c>
      <c r="H981" s="15">
        <v>46185</v>
      </c>
      <c r="I981" t="s">
        <v>1755</v>
      </c>
      <c r="J981" t="s">
        <v>16</v>
      </c>
      <c r="K981" t="s">
        <v>185</v>
      </c>
      <c r="N981">
        <v>0</v>
      </c>
      <c r="O981" t="s">
        <v>222</v>
      </c>
      <c r="P981">
        <v>0</v>
      </c>
      <c r="U981" s="15"/>
    </row>
    <row r="982" spans="1:21" x14ac:dyDescent="0.35">
      <c r="A982" t="s">
        <v>14</v>
      </c>
      <c r="B982" t="s">
        <v>15</v>
      </c>
      <c r="C982" t="s">
        <v>228</v>
      </c>
      <c r="D982" t="s">
        <v>229</v>
      </c>
      <c r="E982" t="s">
        <v>230</v>
      </c>
      <c r="F982" t="s">
        <v>22</v>
      </c>
      <c r="G982" t="s">
        <v>1756</v>
      </c>
      <c r="H982" s="15">
        <v>46186</v>
      </c>
      <c r="I982" t="s">
        <v>1757</v>
      </c>
      <c r="J982" t="s">
        <v>16</v>
      </c>
      <c r="K982" t="s">
        <v>185</v>
      </c>
      <c r="N982">
        <v>0</v>
      </c>
      <c r="O982" t="s">
        <v>222</v>
      </c>
      <c r="P982">
        <v>0</v>
      </c>
      <c r="U982" s="15"/>
    </row>
    <row r="983" spans="1:21" x14ac:dyDescent="0.35">
      <c r="A983" t="s">
        <v>14</v>
      </c>
      <c r="B983" t="s">
        <v>15</v>
      </c>
      <c r="C983" t="s">
        <v>228</v>
      </c>
      <c r="D983" t="s">
        <v>229</v>
      </c>
      <c r="E983" t="s">
        <v>230</v>
      </c>
      <c r="F983" t="s">
        <v>22</v>
      </c>
      <c r="G983" t="s">
        <v>1758</v>
      </c>
      <c r="H983" s="15">
        <v>46190</v>
      </c>
      <c r="I983" t="s">
        <v>1759</v>
      </c>
      <c r="J983" t="s">
        <v>16</v>
      </c>
      <c r="K983" t="s">
        <v>185</v>
      </c>
      <c r="N983">
        <v>0</v>
      </c>
      <c r="O983" t="s">
        <v>222</v>
      </c>
      <c r="P983">
        <v>0</v>
      </c>
      <c r="U983" s="15"/>
    </row>
    <row r="984" spans="1:21" x14ac:dyDescent="0.35">
      <c r="A984" t="s">
        <v>14</v>
      </c>
      <c r="B984" t="s">
        <v>15</v>
      </c>
      <c r="C984" t="s">
        <v>228</v>
      </c>
      <c r="D984" t="s">
        <v>229</v>
      </c>
      <c r="E984" t="s">
        <v>230</v>
      </c>
      <c r="F984" t="s">
        <v>22</v>
      </c>
      <c r="G984" t="s">
        <v>1760</v>
      </c>
      <c r="H984" s="15">
        <v>46191</v>
      </c>
      <c r="I984" t="s">
        <v>1761</v>
      </c>
      <c r="J984" t="s">
        <v>16</v>
      </c>
      <c r="K984" t="s">
        <v>185</v>
      </c>
      <c r="N984">
        <v>0</v>
      </c>
      <c r="O984" t="s">
        <v>222</v>
      </c>
      <c r="P984">
        <v>0</v>
      </c>
      <c r="U984" s="15"/>
    </row>
    <row r="985" spans="1:21" x14ac:dyDescent="0.35">
      <c r="A985" t="s">
        <v>14</v>
      </c>
      <c r="B985" t="s">
        <v>15</v>
      </c>
      <c r="C985" t="s">
        <v>1691</v>
      </c>
      <c r="D985" t="s">
        <v>1692</v>
      </c>
      <c r="E985" t="s">
        <v>1693</v>
      </c>
      <c r="F985" t="s">
        <v>22</v>
      </c>
      <c r="G985" t="s">
        <v>1762</v>
      </c>
      <c r="H985" s="15">
        <v>46193</v>
      </c>
      <c r="I985" t="s">
        <v>1763</v>
      </c>
      <c r="J985" t="s">
        <v>16</v>
      </c>
      <c r="K985" t="s">
        <v>185</v>
      </c>
      <c r="N985">
        <v>0</v>
      </c>
      <c r="O985" t="s">
        <v>222</v>
      </c>
      <c r="P985">
        <v>0</v>
      </c>
      <c r="U985" s="15"/>
    </row>
    <row r="986" spans="1:21" x14ac:dyDescent="0.35">
      <c r="A986" t="s">
        <v>14</v>
      </c>
      <c r="B986" t="s">
        <v>15</v>
      </c>
      <c r="C986" t="s">
        <v>1691</v>
      </c>
      <c r="D986" t="s">
        <v>1692</v>
      </c>
      <c r="E986" t="s">
        <v>1693</v>
      </c>
      <c r="F986" t="s">
        <v>22</v>
      </c>
      <c r="G986" t="s">
        <v>1762</v>
      </c>
      <c r="H986" s="15">
        <v>46193</v>
      </c>
      <c r="I986" t="s">
        <v>1763</v>
      </c>
      <c r="J986" t="s">
        <v>16</v>
      </c>
      <c r="K986" t="s">
        <v>185</v>
      </c>
      <c r="N986">
        <v>0</v>
      </c>
      <c r="O986" t="s">
        <v>222</v>
      </c>
      <c r="P986">
        <v>0</v>
      </c>
      <c r="U986" s="15"/>
    </row>
    <row r="987" spans="1:21" x14ac:dyDescent="0.35">
      <c r="A987" t="s">
        <v>14</v>
      </c>
      <c r="B987" t="s">
        <v>15</v>
      </c>
      <c r="C987" t="s">
        <v>1691</v>
      </c>
      <c r="D987" t="s">
        <v>1692</v>
      </c>
      <c r="E987" t="s">
        <v>1693</v>
      </c>
      <c r="F987" t="s">
        <v>22</v>
      </c>
      <c r="G987" t="s">
        <v>1764</v>
      </c>
      <c r="H987" s="15">
        <v>46195</v>
      </c>
      <c r="I987" t="s">
        <v>1765</v>
      </c>
      <c r="J987" t="s">
        <v>16</v>
      </c>
      <c r="K987" t="s">
        <v>185</v>
      </c>
      <c r="N987">
        <v>0</v>
      </c>
      <c r="O987" t="s">
        <v>222</v>
      </c>
      <c r="P987">
        <v>0</v>
      </c>
      <c r="U987" s="15"/>
    </row>
    <row r="988" spans="1:21" x14ac:dyDescent="0.35">
      <c r="A988" t="s">
        <v>14</v>
      </c>
      <c r="B988" t="s">
        <v>15</v>
      </c>
      <c r="C988" t="s">
        <v>217</v>
      </c>
      <c r="D988" t="s">
        <v>218</v>
      </c>
      <c r="E988" t="s">
        <v>219</v>
      </c>
      <c r="F988" t="s">
        <v>22</v>
      </c>
      <c r="G988" t="s">
        <v>4930</v>
      </c>
      <c r="H988" s="15">
        <v>46202</v>
      </c>
      <c r="I988" t="s">
        <v>4931</v>
      </c>
      <c r="J988" t="s">
        <v>16</v>
      </c>
      <c r="K988" t="s">
        <v>185</v>
      </c>
      <c r="N988">
        <v>0</v>
      </c>
      <c r="O988" t="s">
        <v>222</v>
      </c>
      <c r="P988">
        <v>0</v>
      </c>
      <c r="U988" s="15"/>
    </row>
    <row r="989" spans="1:21" x14ac:dyDescent="0.35">
      <c r="A989" t="s">
        <v>14</v>
      </c>
      <c r="B989" t="s">
        <v>15</v>
      </c>
      <c r="C989" t="s">
        <v>217</v>
      </c>
      <c r="D989" t="s">
        <v>218</v>
      </c>
      <c r="E989" t="s">
        <v>219</v>
      </c>
      <c r="F989" t="s">
        <v>22</v>
      </c>
      <c r="G989" t="s">
        <v>4932</v>
      </c>
      <c r="H989" s="15">
        <v>46206</v>
      </c>
      <c r="I989" t="s">
        <v>4933</v>
      </c>
      <c r="J989" t="s">
        <v>16</v>
      </c>
      <c r="K989" t="s">
        <v>185</v>
      </c>
      <c r="N989">
        <v>0</v>
      </c>
      <c r="O989" t="s">
        <v>222</v>
      </c>
      <c r="P989">
        <v>0</v>
      </c>
      <c r="U989" s="15"/>
    </row>
    <row r="990" spans="1:21" x14ac:dyDescent="0.35">
      <c r="A990" t="s">
        <v>14</v>
      </c>
      <c r="B990" t="s">
        <v>15</v>
      </c>
      <c r="C990" t="s">
        <v>228</v>
      </c>
      <c r="D990" t="s">
        <v>229</v>
      </c>
      <c r="E990" t="s">
        <v>230</v>
      </c>
      <c r="F990" t="s">
        <v>22</v>
      </c>
      <c r="G990" t="s">
        <v>4934</v>
      </c>
      <c r="H990" s="15">
        <v>46203</v>
      </c>
      <c r="I990" t="s">
        <v>4935</v>
      </c>
      <c r="J990" t="s">
        <v>16</v>
      </c>
      <c r="K990" t="s">
        <v>185</v>
      </c>
      <c r="N990">
        <v>0</v>
      </c>
      <c r="O990" t="s">
        <v>222</v>
      </c>
      <c r="P990">
        <v>0</v>
      </c>
      <c r="U990" s="15"/>
    </row>
    <row r="991" spans="1:21" x14ac:dyDescent="0.35">
      <c r="A991" t="s">
        <v>14</v>
      </c>
      <c r="B991" t="s">
        <v>15</v>
      </c>
      <c r="C991" t="s">
        <v>277</v>
      </c>
      <c r="D991" t="s">
        <v>278</v>
      </c>
      <c r="E991" t="s">
        <v>279</v>
      </c>
      <c r="F991" t="s">
        <v>22</v>
      </c>
      <c r="G991" t="s">
        <v>4936</v>
      </c>
      <c r="H991" s="15">
        <v>46205</v>
      </c>
      <c r="I991" t="s">
        <v>4937</v>
      </c>
      <c r="J991" t="s">
        <v>16</v>
      </c>
      <c r="K991" t="s">
        <v>185</v>
      </c>
      <c r="N991">
        <v>0</v>
      </c>
      <c r="O991" t="s">
        <v>222</v>
      </c>
      <c r="P991">
        <v>0</v>
      </c>
      <c r="U991" s="15"/>
    </row>
    <row r="992" spans="1:21" x14ac:dyDescent="0.35">
      <c r="A992" t="s">
        <v>14</v>
      </c>
      <c r="B992" t="s">
        <v>497</v>
      </c>
      <c r="C992" t="s">
        <v>561</v>
      </c>
      <c r="D992" t="s">
        <v>562</v>
      </c>
      <c r="E992" t="s">
        <v>562</v>
      </c>
      <c r="F992" t="s">
        <v>501</v>
      </c>
      <c r="G992" t="s">
        <v>1978</v>
      </c>
      <c r="H992" s="15">
        <v>46199</v>
      </c>
      <c r="I992" t="s">
        <v>1979</v>
      </c>
      <c r="J992" t="s">
        <v>16</v>
      </c>
      <c r="K992" t="s">
        <v>185</v>
      </c>
      <c r="N992">
        <v>0</v>
      </c>
      <c r="O992" t="s">
        <v>222</v>
      </c>
      <c r="P992">
        <v>0</v>
      </c>
      <c r="U992" s="15"/>
    </row>
    <row r="993" spans="1:21" x14ac:dyDescent="0.35">
      <c r="A993" t="s">
        <v>14</v>
      </c>
      <c r="B993" t="s">
        <v>497</v>
      </c>
      <c r="C993" t="s">
        <v>504</v>
      </c>
      <c r="D993" t="s">
        <v>505</v>
      </c>
      <c r="E993" t="s">
        <v>506</v>
      </c>
      <c r="F993" t="s">
        <v>501</v>
      </c>
      <c r="G993" t="s">
        <v>1978</v>
      </c>
      <c r="H993" s="15">
        <v>46199</v>
      </c>
      <c r="I993" t="s">
        <v>1980</v>
      </c>
      <c r="J993" t="s">
        <v>16</v>
      </c>
      <c r="K993" t="s">
        <v>185</v>
      </c>
      <c r="N993">
        <v>0</v>
      </c>
      <c r="O993" t="s">
        <v>222</v>
      </c>
      <c r="P993">
        <v>0</v>
      </c>
      <c r="U993" s="15"/>
    </row>
    <row r="994" spans="1:21" x14ac:dyDescent="0.35">
      <c r="A994" t="s">
        <v>14</v>
      </c>
      <c r="B994" t="s">
        <v>497</v>
      </c>
      <c r="C994" t="s">
        <v>498</v>
      </c>
      <c r="D994" t="s">
        <v>499</v>
      </c>
      <c r="E994" t="s">
        <v>500</v>
      </c>
      <c r="F994" t="s">
        <v>501</v>
      </c>
      <c r="G994" t="s">
        <v>1985</v>
      </c>
      <c r="H994" s="15">
        <v>46199</v>
      </c>
      <c r="I994" t="s">
        <v>1986</v>
      </c>
      <c r="J994" t="s">
        <v>233</v>
      </c>
      <c r="K994" t="s">
        <v>185</v>
      </c>
      <c r="N994">
        <v>0</v>
      </c>
      <c r="O994" t="s">
        <v>222</v>
      </c>
      <c r="P994">
        <v>0</v>
      </c>
      <c r="U994" s="15"/>
    </row>
    <row r="995" spans="1:21" x14ac:dyDescent="0.35">
      <c r="A995" t="s">
        <v>14</v>
      </c>
      <c r="B995" t="s">
        <v>497</v>
      </c>
      <c r="C995" t="s">
        <v>498</v>
      </c>
      <c r="D995" t="s">
        <v>499</v>
      </c>
      <c r="E995" t="s">
        <v>500</v>
      </c>
      <c r="F995" t="s">
        <v>501</v>
      </c>
      <c r="G995" t="s">
        <v>1987</v>
      </c>
      <c r="H995" s="15">
        <v>46200</v>
      </c>
      <c r="I995" t="s">
        <v>1988</v>
      </c>
      <c r="J995" t="s">
        <v>16</v>
      </c>
      <c r="K995" t="s">
        <v>185</v>
      </c>
      <c r="N995">
        <v>0</v>
      </c>
      <c r="O995" t="s">
        <v>222</v>
      </c>
      <c r="P995">
        <v>0</v>
      </c>
      <c r="U995" s="15"/>
    </row>
    <row r="996" spans="1:21" x14ac:dyDescent="0.35">
      <c r="A996" t="s">
        <v>14</v>
      </c>
      <c r="B996" t="s">
        <v>497</v>
      </c>
      <c r="C996" t="s">
        <v>504</v>
      </c>
      <c r="D996" t="s">
        <v>505</v>
      </c>
      <c r="E996" t="s">
        <v>506</v>
      </c>
      <c r="F996" t="s">
        <v>501</v>
      </c>
      <c r="G996" t="s">
        <v>1987</v>
      </c>
      <c r="H996" s="15">
        <v>46200</v>
      </c>
      <c r="I996" t="s">
        <v>1991</v>
      </c>
      <c r="J996" t="s">
        <v>16</v>
      </c>
      <c r="K996" t="s">
        <v>185</v>
      </c>
      <c r="N996">
        <v>0</v>
      </c>
      <c r="O996" t="s">
        <v>222</v>
      </c>
      <c r="P996">
        <v>0</v>
      </c>
      <c r="U996" s="15"/>
    </row>
    <row r="997" spans="1:21" x14ac:dyDescent="0.35">
      <c r="A997" t="s">
        <v>14</v>
      </c>
      <c r="B997" t="s">
        <v>497</v>
      </c>
      <c r="C997" t="s">
        <v>498</v>
      </c>
      <c r="D997" t="s">
        <v>499</v>
      </c>
      <c r="E997" t="s">
        <v>500</v>
      </c>
      <c r="F997" t="s">
        <v>501</v>
      </c>
      <c r="G997" t="s">
        <v>1995</v>
      </c>
      <c r="H997" s="15">
        <v>46200</v>
      </c>
      <c r="I997" t="s">
        <v>1996</v>
      </c>
      <c r="J997" t="s">
        <v>233</v>
      </c>
      <c r="K997" t="s">
        <v>185</v>
      </c>
      <c r="N997">
        <v>0</v>
      </c>
      <c r="O997" t="s">
        <v>222</v>
      </c>
      <c r="P997">
        <v>0</v>
      </c>
      <c r="U997" s="15"/>
    </row>
    <row r="998" spans="1:21" x14ac:dyDescent="0.35">
      <c r="A998" t="s">
        <v>14</v>
      </c>
      <c r="B998" t="s">
        <v>497</v>
      </c>
      <c r="C998" t="s">
        <v>977</v>
      </c>
      <c r="D998" t="s">
        <v>978</v>
      </c>
      <c r="E998" t="s">
        <v>979</v>
      </c>
      <c r="F998" t="s">
        <v>501</v>
      </c>
      <c r="G998" t="s">
        <v>1997</v>
      </c>
      <c r="H998" s="15">
        <v>46202</v>
      </c>
      <c r="I998" t="s">
        <v>1998</v>
      </c>
      <c r="J998" t="s">
        <v>233</v>
      </c>
      <c r="K998" t="s">
        <v>185</v>
      </c>
      <c r="N998">
        <v>0</v>
      </c>
      <c r="O998" t="s">
        <v>222</v>
      </c>
      <c r="P998">
        <v>0</v>
      </c>
      <c r="U998" s="15"/>
    </row>
    <row r="999" spans="1:21" x14ac:dyDescent="0.35">
      <c r="A999" t="s">
        <v>14</v>
      </c>
      <c r="B999" t="s">
        <v>497</v>
      </c>
      <c r="C999" t="s">
        <v>515</v>
      </c>
      <c r="D999" t="s">
        <v>516</v>
      </c>
      <c r="E999" t="s">
        <v>517</v>
      </c>
      <c r="F999" t="s">
        <v>501</v>
      </c>
      <c r="G999" t="s">
        <v>2002</v>
      </c>
      <c r="H999" s="15">
        <v>46203</v>
      </c>
      <c r="I999" t="s">
        <v>2003</v>
      </c>
      <c r="J999" t="s">
        <v>16</v>
      </c>
      <c r="K999" t="s">
        <v>185</v>
      </c>
      <c r="N999">
        <v>0</v>
      </c>
      <c r="O999" t="s">
        <v>222</v>
      </c>
      <c r="P999">
        <v>0</v>
      </c>
      <c r="U999" s="15"/>
    </row>
    <row r="1000" spans="1:21" x14ac:dyDescent="0.35">
      <c r="A1000" t="s">
        <v>14</v>
      </c>
      <c r="B1000" t="s">
        <v>497</v>
      </c>
      <c r="C1000" t="s">
        <v>504</v>
      </c>
      <c r="D1000" t="s">
        <v>505</v>
      </c>
      <c r="E1000" t="s">
        <v>506</v>
      </c>
      <c r="F1000" t="s">
        <v>501</v>
      </c>
      <c r="G1000" t="s">
        <v>2002</v>
      </c>
      <c r="H1000" s="15">
        <v>46203</v>
      </c>
      <c r="I1000" t="s">
        <v>2012</v>
      </c>
      <c r="J1000" t="s">
        <v>16</v>
      </c>
      <c r="K1000" t="s">
        <v>185</v>
      </c>
      <c r="N1000">
        <v>0</v>
      </c>
      <c r="O1000" t="s">
        <v>222</v>
      </c>
      <c r="P1000">
        <v>0</v>
      </c>
      <c r="U1000" s="15"/>
    </row>
    <row r="1001" spans="1:21" x14ac:dyDescent="0.35">
      <c r="A1001" t="s">
        <v>14</v>
      </c>
      <c r="B1001" t="s">
        <v>497</v>
      </c>
      <c r="C1001" t="s">
        <v>498</v>
      </c>
      <c r="D1001" t="s">
        <v>499</v>
      </c>
      <c r="E1001" t="s">
        <v>500</v>
      </c>
      <c r="F1001" t="s">
        <v>501</v>
      </c>
      <c r="G1001" t="s">
        <v>2013</v>
      </c>
      <c r="H1001" s="15">
        <v>46203</v>
      </c>
      <c r="I1001" t="s">
        <v>2014</v>
      </c>
      <c r="J1001" t="s">
        <v>233</v>
      </c>
      <c r="K1001" t="s">
        <v>185</v>
      </c>
      <c r="N1001">
        <v>0</v>
      </c>
      <c r="O1001" t="s">
        <v>222</v>
      </c>
      <c r="P1001">
        <v>0</v>
      </c>
      <c r="U1001" s="15"/>
    </row>
    <row r="1002" spans="1:21" x14ac:dyDescent="0.35">
      <c r="A1002" t="s">
        <v>14</v>
      </c>
      <c r="B1002" t="s">
        <v>497</v>
      </c>
      <c r="C1002" t="s">
        <v>498</v>
      </c>
      <c r="D1002" t="s">
        <v>499</v>
      </c>
      <c r="E1002" t="s">
        <v>500</v>
      </c>
      <c r="F1002" t="s">
        <v>501</v>
      </c>
      <c r="G1002" t="s">
        <v>2013</v>
      </c>
      <c r="H1002" s="15">
        <v>46203</v>
      </c>
      <c r="I1002" t="s">
        <v>2014</v>
      </c>
      <c r="J1002" t="s">
        <v>233</v>
      </c>
      <c r="K1002" t="s">
        <v>185</v>
      </c>
      <c r="N1002">
        <v>0</v>
      </c>
      <c r="O1002" t="s">
        <v>222</v>
      </c>
      <c r="P1002">
        <v>0</v>
      </c>
      <c r="U1002" s="15"/>
    </row>
    <row r="1003" spans="1:21" x14ac:dyDescent="0.35">
      <c r="A1003" t="s">
        <v>14</v>
      </c>
      <c r="B1003" t="s">
        <v>497</v>
      </c>
      <c r="C1003" t="s">
        <v>531</v>
      </c>
      <c r="D1003" t="s">
        <v>532</v>
      </c>
      <c r="E1003" t="s">
        <v>533</v>
      </c>
      <c r="F1003" t="s">
        <v>501</v>
      </c>
      <c r="G1003" t="s">
        <v>2018</v>
      </c>
      <c r="H1003" s="15">
        <v>46204</v>
      </c>
      <c r="I1003" t="s">
        <v>2019</v>
      </c>
      <c r="J1003" t="s">
        <v>16</v>
      </c>
      <c r="K1003" t="s">
        <v>185</v>
      </c>
      <c r="N1003">
        <v>0</v>
      </c>
      <c r="O1003" t="s">
        <v>222</v>
      </c>
      <c r="P1003">
        <v>0</v>
      </c>
      <c r="U1003" s="15"/>
    </row>
    <row r="1004" spans="1:21" x14ac:dyDescent="0.35">
      <c r="A1004" t="s">
        <v>14</v>
      </c>
      <c r="B1004" t="s">
        <v>497</v>
      </c>
      <c r="C1004" t="s">
        <v>504</v>
      </c>
      <c r="D1004" t="s">
        <v>505</v>
      </c>
      <c r="E1004" t="s">
        <v>506</v>
      </c>
      <c r="F1004" t="s">
        <v>501</v>
      </c>
      <c r="G1004" t="s">
        <v>2018</v>
      </c>
      <c r="H1004" s="15">
        <v>46204</v>
      </c>
      <c r="I1004" t="s">
        <v>2022</v>
      </c>
      <c r="J1004" t="s">
        <v>16</v>
      </c>
      <c r="K1004" t="s">
        <v>185</v>
      </c>
      <c r="N1004">
        <v>0</v>
      </c>
      <c r="O1004" t="s">
        <v>222</v>
      </c>
      <c r="P1004">
        <v>0</v>
      </c>
      <c r="U1004" s="15"/>
    </row>
    <row r="1005" spans="1:21" x14ac:dyDescent="0.35">
      <c r="A1005" t="s">
        <v>14</v>
      </c>
      <c r="B1005" t="s">
        <v>497</v>
      </c>
      <c r="C1005" t="s">
        <v>515</v>
      </c>
      <c r="D1005" t="s">
        <v>516</v>
      </c>
      <c r="E1005" t="s">
        <v>517</v>
      </c>
      <c r="F1005" t="s">
        <v>501</v>
      </c>
      <c r="G1005" t="s">
        <v>2023</v>
      </c>
      <c r="H1005" s="15">
        <v>46204</v>
      </c>
      <c r="I1005" t="s">
        <v>2024</v>
      </c>
      <c r="J1005" t="s">
        <v>233</v>
      </c>
      <c r="K1005" t="s">
        <v>185</v>
      </c>
      <c r="N1005">
        <v>0</v>
      </c>
      <c r="O1005" t="s">
        <v>222</v>
      </c>
      <c r="P1005">
        <v>0</v>
      </c>
      <c r="U1005" s="15"/>
    </row>
    <row r="1006" spans="1:21" x14ac:dyDescent="0.35">
      <c r="A1006" t="s">
        <v>14</v>
      </c>
      <c r="B1006" t="s">
        <v>497</v>
      </c>
      <c r="C1006" t="s">
        <v>531</v>
      </c>
      <c r="D1006" t="s">
        <v>532</v>
      </c>
      <c r="E1006" t="s">
        <v>533</v>
      </c>
      <c r="F1006" t="s">
        <v>501</v>
      </c>
      <c r="G1006" t="s">
        <v>2028</v>
      </c>
      <c r="H1006" s="15">
        <v>46205</v>
      </c>
      <c r="I1006" t="s">
        <v>2029</v>
      </c>
      <c r="J1006" t="s">
        <v>16</v>
      </c>
      <c r="K1006" t="s">
        <v>185</v>
      </c>
      <c r="N1006">
        <v>0</v>
      </c>
      <c r="O1006" t="s">
        <v>222</v>
      </c>
      <c r="P1006">
        <v>0</v>
      </c>
      <c r="U1006" s="15"/>
    </row>
    <row r="1007" spans="1:21" x14ac:dyDescent="0.35">
      <c r="A1007" t="s">
        <v>14</v>
      </c>
      <c r="B1007" t="s">
        <v>497</v>
      </c>
      <c r="C1007" t="s">
        <v>536</v>
      </c>
      <c r="D1007" t="s">
        <v>537</v>
      </c>
      <c r="E1007" t="s">
        <v>538</v>
      </c>
      <c r="F1007" t="s">
        <v>501</v>
      </c>
      <c r="G1007" t="s">
        <v>2028</v>
      </c>
      <c r="H1007" s="15">
        <v>46205</v>
      </c>
      <c r="I1007" t="s">
        <v>2034</v>
      </c>
      <c r="J1007" t="s">
        <v>16</v>
      </c>
      <c r="K1007" t="s">
        <v>185</v>
      </c>
      <c r="N1007">
        <v>0</v>
      </c>
      <c r="O1007" t="s">
        <v>222</v>
      </c>
      <c r="P1007">
        <v>0</v>
      </c>
      <c r="U1007" s="15"/>
    </row>
    <row r="1008" spans="1:21" x14ac:dyDescent="0.35">
      <c r="A1008" t="s">
        <v>14</v>
      </c>
      <c r="B1008" t="s">
        <v>497</v>
      </c>
      <c r="C1008" t="s">
        <v>515</v>
      </c>
      <c r="D1008" t="s">
        <v>516</v>
      </c>
      <c r="E1008" t="s">
        <v>517</v>
      </c>
      <c r="F1008" t="s">
        <v>501</v>
      </c>
      <c r="G1008" t="s">
        <v>2035</v>
      </c>
      <c r="H1008" s="15">
        <v>46205</v>
      </c>
      <c r="I1008" t="s">
        <v>2036</v>
      </c>
      <c r="J1008" t="s">
        <v>233</v>
      </c>
      <c r="K1008" t="s">
        <v>185</v>
      </c>
      <c r="N1008">
        <v>0</v>
      </c>
      <c r="O1008" t="s">
        <v>222</v>
      </c>
      <c r="P1008">
        <v>0</v>
      </c>
      <c r="U1008" s="15"/>
    </row>
    <row r="1009" spans="1:21" x14ac:dyDescent="0.35">
      <c r="A1009" t="s">
        <v>14</v>
      </c>
      <c r="B1009" t="s">
        <v>497</v>
      </c>
      <c r="C1009" t="s">
        <v>615</v>
      </c>
      <c r="D1009" t="s">
        <v>616</v>
      </c>
      <c r="E1009" t="s">
        <v>617</v>
      </c>
      <c r="F1009" t="s">
        <v>501</v>
      </c>
      <c r="G1009" t="s">
        <v>2045</v>
      </c>
      <c r="H1009" s="15">
        <v>46206</v>
      </c>
      <c r="I1009" t="s">
        <v>2046</v>
      </c>
      <c r="J1009" t="s">
        <v>16</v>
      </c>
      <c r="K1009" t="s">
        <v>185</v>
      </c>
      <c r="N1009">
        <v>0</v>
      </c>
      <c r="O1009" t="s">
        <v>222</v>
      </c>
      <c r="P1009">
        <v>0</v>
      </c>
      <c r="U1009" s="15"/>
    </row>
    <row r="1010" spans="1:21" x14ac:dyDescent="0.35">
      <c r="A1010" t="s">
        <v>14</v>
      </c>
      <c r="B1010" t="s">
        <v>497</v>
      </c>
      <c r="C1010" t="s">
        <v>899</v>
      </c>
      <c r="D1010" t="s">
        <v>900</v>
      </c>
      <c r="E1010" t="s">
        <v>901</v>
      </c>
      <c r="F1010" t="s">
        <v>501</v>
      </c>
      <c r="G1010" t="s">
        <v>2045</v>
      </c>
      <c r="H1010" s="15">
        <v>46206</v>
      </c>
      <c r="I1010" t="s">
        <v>2047</v>
      </c>
      <c r="J1010" t="s">
        <v>16</v>
      </c>
      <c r="K1010" t="s">
        <v>185</v>
      </c>
      <c r="N1010">
        <v>0</v>
      </c>
      <c r="O1010" t="s">
        <v>222</v>
      </c>
      <c r="P1010">
        <v>0</v>
      </c>
      <c r="U1010" s="15"/>
    </row>
    <row r="1011" spans="1:21" x14ac:dyDescent="0.35">
      <c r="A1011" t="s">
        <v>14</v>
      </c>
      <c r="B1011" t="s">
        <v>497</v>
      </c>
      <c r="C1011" t="s">
        <v>521</v>
      </c>
      <c r="D1011" t="s">
        <v>522</v>
      </c>
      <c r="E1011" t="s">
        <v>523</v>
      </c>
      <c r="F1011" t="s">
        <v>501</v>
      </c>
      <c r="G1011" t="s">
        <v>2052</v>
      </c>
      <c r="H1011" s="15">
        <v>46206</v>
      </c>
      <c r="I1011" t="s">
        <v>2053</v>
      </c>
      <c r="J1011" t="s">
        <v>233</v>
      </c>
      <c r="K1011" t="s">
        <v>185</v>
      </c>
      <c r="N1011">
        <v>0</v>
      </c>
      <c r="O1011" t="s">
        <v>222</v>
      </c>
      <c r="P1011">
        <v>0</v>
      </c>
      <c r="U1011" s="15"/>
    </row>
    <row r="1012" spans="1:21" x14ac:dyDescent="0.35">
      <c r="A1012" t="s">
        <v>14</v>
      </c>
      <c r="B1012" t="s">
        <v>497</v>
      </c>
      <c r="C1012" t="s">
        <v>515</v>
      </c>
      <c r="D1012" t="s">
        <v>516</v>
      </c>
      <c r="E1012" t="s">
        <v>517</v>
      </c>
      <c r="F1012" t="s">
        <v>501</v>
      </c>
      <c r="G1012" t="s">
        <v>2052</v>
      </c>
      <c r="H1012" s="15">
        <v>46206</v>
      </c>
      <c r="I1012" t="s">
        <v>2054</v>
      </c>
      <c r="J1012" t="s">
        <v>233</v>
      </c>
      <c r="K1012" t="s">
        <v>185</v>
      </c>
      <c r="N1012">
        <v>0</v>
      </c>
      <c r="O1012" t="s">
        <v>222</v>
      </c>
      <c r="P1012">
        <v>0</v>
      </c>
      <c r="U1012" s="15"/>
    </row>
    <row r="1013" spans="1:21" x14ac:dyDescent="0.35">
      <c r="A1013" t="s">
        <v>14</v>
      </c>
      <c r="B1013" t="s">
        <v>497</v>
      </c>
      <c r="C1013" t="s">
        <v>552</v>
      </c>
      <c r="D1013" t="s">
        <v>553</v>
      </c>
      <c r="E1013" t="s">
        <v>554</v>
      </c>
      <c r="F1013" t="s">
        <v>501</v>
      </c>
      <c r="G1013" t="s">
        <v>2057</v>
      </c>
      <c r="H1013" s="15">
        <v>46207</v>
      </c>
      <c r="I1013" t="s">
        <v>2058</v>
      </c>
      <c r="J1013" t="s">
        <v>16</v>
      </c>
      <c r="K1013" t="s">
        <v>185</v>
      </c>
      <c r="N1013">
        <v>0</v>
      </c>
      <c r="O1013" t="s">
        <v>222</v>
      </c>
      <c r="P1013">
        <v>0</v>
      </c>
      <c r="U1013" s="15"/>
    </row>
    <row r="1014" spans="1:21" x14ac:dyDescent="0.35">
      <c r="A1014" t="s">
        <v>14</v>
      </c>
      <c r="B1014" t="s">
        <v>497</v>
      </c>
      <c r="C1014" t="s">
        <v>557</v>
      </c>
      <c r="D1014" t="s">
        <v>558</v>
      </c>
      <c r="E1014" t="s">
        <v>559</v>
      </c>
      <c r="F1014" t="s">
        <v>501</v>
      </c>
      <c r="G1014" t="s">
        <v>2057</v>
      </c>
      <c r="H1014" s="15">
        <v>46207</v>
      </c>
      <c r="I1014" t="s">
        <v>2059</v>
      </c>
      <c r="J1014" t="s">
        <v>16</v>
      </c>
      <c r="K1014" t="s">
        <v>185</v>
      </c>
      <c r="N1014">
        <v>0</v>
      </c>
      <c r="O1014" t="s">
        <v>222</v>
      </c>
      <c r="P1014">
        <v>0</v>
      </c>
      <c r="U1014" s="15"/>
    </row>
    <row r="1015" spans="1:21" x14ac:dyDescent="0.35">
      <c r="A1015" t="s">
        <v>14</v>
      </c>
      <c r="B1015" t="s">
        <v>497</v>
      </c>
      <c r="C1015" t="s">
        <v>552</v>
      </c>
      <c r="D1015" t="s">
        <v>553</v>
      </c>
      <c r="E1015" t="s">
        <v>554</v>
      </c>
      <c r="F1015" t="s">
        <v>501</v>
      </c>
      <c r="G1015" t="s">
        <v>2060</v>
      </c>
      <c r="H1015" s="15">
        <v>46207</v>
      </c>
      <c r="I1015" t="s">
        <v>2061</v>
      </c>
      <c r="J1015" t="s">
        <v>233</v>
      </c>
      <c r="K1015" t="s">
        <v>185</v>
      </c>
      <c r="N1015">
        <v>0</v>
      </c>
      <c r="O1015" t="s">
        <v>222</v>
      </c>
      <c r="P1015">
        <v>0</v>
      </c>
      <c r="U1015" s="15"/>
    </row>
    <row r="1016" spans="1:21" x14ac:dyDescent="0.35">
      <c r="A1016" t="s">
        <v>14</v>
      </c>
      <c r="B1016" t="s">
        <v>497</v>
      </c>
      <c r="C1016" t="s">
        <v>552</v>
      </c>
      <c r="D1016" t="s">
        <v>553</v>
      </c>
      <c r="E1016" t="s">
        <v>554</v>
      </c>
      <c r="F1016" t="s">
        <v>501</v>
      </c>
      <c r="G1016" t="s">
        <v>2060</v>
      </c>
      <c r="H1016" s="15">
        <v>46207</v>
      </c>
      <c r="I1016" t="s">
        <v>2061</v>
      </c>
      <c r="J1016" t="s">
        <v>233</v>
      </c>
      <c r="K1016" t="s">
        <v>185</v>
      </c>
      <c r="N1016">
        <v>0</v>
      </c>
      <c r="O1016" t="s">
        <v>222</v>
      </c>
      <c r="P1016">
        <v>0</v>
      </c>
      <c r="U1016" s="15"/>
    </row>
    <row r="1017" spans="1:21" x14ac:dyDescent="0.35">
      <c r="A1017" t="s">
        <v>14</v>
      </c>
      <c r="B1017" t="s">
        <v>497</v>
      </c>
      <c r="C1017" t="s">
        <v>531</v>
      </c>
      <c r="D1017" t="s">
        <v>532</v>
      </c>
      <c r="E1017" t="s">
        <v>533</v>
      </c>
      <c r="F1017" t="s">
        <v>501</v>
      </c>
      <c r="G1017" t="s">
        <v>4948</v>
      </c>
      <c r="H1017" s="15">
        <v>46209</v>
      </c>
      <c r="I1017" t="s">
        <v>4949</v>
      </c>
      <c r="J1017" t="s">
        <v>16</v>
      </c>
      <c r="K1017" t="s">
        <v>185</v>
      </c>
      <c r="N1017">
        <v>0</v>
      </c>
      <c r="O1017" t="s">
        <v>222</v>
      </c>
      <c r="P1017">
        <v>0</v>
      </c>
      <c r="U1017" s="15"/>
    </row>
    <row r="1018" spans="1:21" x14ac:dyDescent="0.35">
      <c r="A1018" t="s">
        <v>14</v>
      </c>
      <c r="B1018" t="s">
        <v>497</v>
      </c>
      <c r="C1018" t="s">
        <v>504</v>
      </c>
      <c r="D1018" t="s">
        <v>505</v>
      </c>
      <c r="E1018" t="s">
        <v>506</v>
      </c>
      <c r="F1018" t="s">
        <v>501</v>
      </c>
      <c r="G1018" t="s">
        <v>4948</v>
      </c>
      <c r="H1018" s="15">
        <v>46209</v>
      </c>
      <c r="I1018" t="s">
        <v>4950</v>
      </c>
      <c r="J1018" t="s">
        <v>16</v>
      </c>
      <c r="K1018" t="s">
        <v>185</v>
      </c>
      <c r="N1018">
        <v>0</v>
      </c>
      <c r="O1018" t="s">
        <v>222</v>
      </c>
      <c r="P1018">
        <v>0</v>
      </c>
      <c r="U1018" s="15"/>
    </row>
    <row r="1019" spans="1:21" x14ac:dyDescent="0.35">
      <c r="A1019" t="s">
        <v>14</v>
      </c>
      <c r="B1019" t="s">
        <v>497</v>
      </c>
      <c r="C1019" t="s">
        <v>880</v>
      </c>
      <c r="D1019" t="s">
        <v>881</v>
      </c>
      <c r="E1019" t="s">
        <v>882</v>
      </c>
      <c r="F1019" t="s">
        <v>501</v>
      </c>
      <c r="G1019" t="s">
        <v>4951</v>
      </c>
      <c r="H1019" s="15">
        <v>46209</v>
      </c>
      <c r="I1019" t="s">
        <v>4952</v>
      </c>
      <c r="J1019" t="s">
        <v>233</v>
      </c>
      <c r="K1019" t="s">
        <v>185</v>
      </c>
      <c r="N1019">
        <v>0</v>
      </c>
      <c r="O1019" t="s">
        <v>222</v>
      </c>
      <c r="P1019">
        <v>0</v>
      </c>
      <c r="U1019" s="15"/>
    </row>
    <row r="1020" spans="1:21" x14ac:dyDescent="0.35">
      <c r="A1020" t="s">
        <v>14</v>
      </c>
      <c r="B1020" t="s">
        <v>497</v>
      </c>
      <c r="C1020" t="s">
        <v>531</v>
      </c>
      <c r="D1020" t="s">
        <v>532</v>
      </c>
      <c r="E1020" t="s">
        <v>533</v>
      </c>
      <c r="F1020" t="s">
        <v>501</v>
      </c>
      <c r="G1020" t="s">
        <v>4951</v>
      </c>
      <c r="H1020" s="15">
        <v>46209</v>
      </c>
      <c r="I1020" t="s">
        <v>4953</v>
      </c>
      <c r="J1020" t="s">
        <v>233</v>
      </c>
      <c r="K1020" t="s">
        <v>185</v>
      </c>
      <c r="N1020">
        <v>0</v>
      </c>
      <c r="O1020" t="s">
        <v>222</v>
      </c>
      <c r="P1020">
        <v>0</v>
      </c>
      <c r="U1020" s="15"/>
    </row>
    <row r="1021" spans="1:21" x14ac:dyDescent="0.35">
      <c r="A1021" t="s">
        <v>14</v>
      </c>
      <c r="B1021" t="s">
        <v>497</v>
      </c>
      <c r="C1021" t="s">
        <v>531</v>
      </c>
      <c r="D1021" t="s">
        <v>532</v>
      </c>
      <c r="E1021" t="s">
        <v>533</v>
      </c>
      <c r="F1021" t="s">
        <v>501</v>
      </c>
      <c r="G1021" t="s">
        <v>4954</v>
      </c>
      <c r="H1021" s="15">
        <v>46210</v>
      </c>
      <c r="I1021" t="s">
        <v>4955</v>
      </c>
      <c r="J1021" t="s">
        <v>16</v>
      </c>
      <c r="K1021" t="s">
        <v>185</v>
      </c>
      <c r="N1021">
        <v>0</v>
      </c>
      <c r="O1021" t="s">
        <v>222</v>
      </c>
      <c r="P1021">
        <v>0</v>
      </c>
      <c r="U1021" s="15"/>
    </row>
    <row r="1022" spans="1:21" x14ac:dyDescent="0.35">
      <c r="A1022" t="s">
        <v>14</v>
      </c>
      <c r="B1022" t="s">
        <v>497</v>
      </c>
      <c r="C1022" t="s">
        <v>531</v>
      </c>
      <c r="D1022" t="s">
        <v>532</v>
      </c>
      <c r="E1022" t="s">
        <v>533</v>
      </c>
      <c r="F1022" t="s">
        <v>501</v>
      </c>
      <c r="G1022" t="s">
        <v>4954</v>
      </c>
      <c r="H1022" s="15">
        <v>46210</v>
      </c>
      <c r="I1022" t="s">
        <v>4955</v>
      </c>
      <c r="J1022" t="s">
        <v>16</v>
      </c>
      <c r="K1022" t="s">
        <v>185</v>
      </c>
      <c r="N1022">
        <v>0</v>
      </c>
      <c r="O1022" t="s">
        <v>222</v>
      </c>
      <c r="P1022">
        <v>0</v>
      </c>
      <c r="U1022" s="15"/>
    </row>
    <row r="1023" spans="1:21" x14ac:dyDescent="0.35">
      <c r="A1023" t="s">
        <v>14</v>
      </c>
      <c r="B1023" t="s">
        <v>497</v>
      </c>
      <c r="C1023" t="s">
        <v>504</v>
      </c>
      <c r="D1023" t="s">
        <v>505</v>
      </c>
      <c r="E1023" t="s">
        <v>506</v>
      </c>
      <c r="F1023" t="s">
        <v>501</v>
      </c>
      <c r="G1023" t="s">
        <v>4954</v>
      </c>
      <c r="H1023" s="15">
        <v>46210</v>
      </c>
      <c r="I1023" t="s">
        <v>4956</v>
      </c>
      <c r="J1023" t="s">
        <v>16</v>
      </c>
      <c r="K1023" t="s">
        <v>185</v>
      </c>
      <c r="N1023">
        <v>0</v>
      </c>
      <c r="O1023" t="s">
        <v>222</v>
      </c>
      <c r="P1023">
        <v>0</v>
      </c>
      <c r="U1023" s="15"/>
    </row>
    <row r="1024" spans="1:21" x14ac:dyDescent="0.35">
      <c r="A1024" t="s">
        <v>14</v>
      </c>
      <c r="B1024" t="s">
        <v>497</v>
      </c>
      <c r="C1024" t="s">
        <v>515</v>
      </c>
      <c r="D1024" t="s">
        <v>516</v>
      </c>
      <c r="E1024" t="s">
        <v>517</v>
      </c>
      <c r="F1024" t="s">
        <v>501</v>
      </c>
      <c r="G1024" t="s">
        <v>4957</v>
      </c>
      <c r="H1024" s="15">
        <v>46210</v>
      </c>
      <c r="I1024" t="s">
        <v>4958</v>
      </c>
      <c r="J1024" t="s">
        <v>233</v>
      </c>
      <c r="K1024" t="s">
        <v>185</v>
      </c>
      <c r="N1024">
        <v>0</v>
      </c>
      <c r="O1024" t="s">
        <v>222</v>
      </c>
      <c r="P1024">
        <v>0</v>
      </c>
      <c r="U1024" s="15"/>
    </row>
    <row r="1025" spans="1:21" x14ac:dyDescent="0.35">
      <c r="A1025" t="s">
        <v>14</v>
      </c>
      <c r="B1025" t="s">
        <v>497</v>
      </c>
      <c r="C1025" t="s">
        <v>531</v>
      </c>
      <c r="D1025" t="s">
        <v>532</v>
      </c>
      <c r="E1025" t="s">
        <v>533</v>
      </c>
      <c r="F1025" t="s">
        <v>501</v>
      </c>
      <c r="G1025" t="s">
        <v>4959</v>
      </c>
      <c r="H1025" s="15">
        <v>46211</v>
      </c>
      <c r="I1025" t="s">
        <v>4960</v>
      </c>
      <c r="J1025" t="s">
        <v>16</v>
      </c>
      <c r="K1025" t="s">
        <v>185</v>
      </c>
      <c r="N1025">
        <v>0</v>
      </c>
      <c r="O1025" t="s">
        <v>222</v>
      </c>
      <c r="P1025">
        <v>0</v>
      </c>
      <c r="U1025" s="15"/>
    </row>
    <row r="1026" spans="1:21" x14ac:dyDescent="0.35">
      <c r="A1026" t="s">
        <v>14</v>
      </c>
      <c r="B1026" t="s">
        <v>497</v>
      </c>
      <c r="C1026" t="s">
        <v>504</v>
      </c>
      <c r="D1026" t="s">
        <v>505</v>
      </c>
      <c r="E1026" t="s">
        <v>506</v>
      </c>
      <c r="F1026" t="s">
        <v>501</v>
      </c>
      <c r="G1026" t="s">
        <v>4959</v>
      </c>
      <c r="H1026" s="15">
        <v>46211</v>
      </c>
      <c r="I1026" t="s">
        <v>4961</v>
      </c>
      <c r="J1026" t="s">
        <v>16</v>
      </c>
      <c r="K1026" t="s">
        <v>185</v>
      </c>
      <c r="N1026">
        <v>0</v>
      </c>
      <c r="O1026" t="s">
        <v>222</v>
      </c>
      <c r="P1026">
        <v>0</v>
      </c>
      <c r="U1026" s="15"/>
    </row>
    <row r="1027" spans="1:21" x14ac:dyDescent="0.35">
      <c r="A1027" t="s">
        <v>14</v>
      </c>
      <c r="B1027" t="s">
        <v>497</v>
      </c>
      <c r="C1027" t="s">
        <v>531</v>
      </c>
      <c r="D1027" t="s">
        <v>532</v>
      </c>
      <c r="E1027" t="s">
        <v>533</v>
      </c>
      <c r="F1027" t="s">
        <v>501</v>
      </c>
      <c r="G1027" t="s">
        <v>4962</v>
      </c>
      <c r="H1027" s="15">
        <v>46211</v>
      </c>
      <c r="I1027" t="s">
        <v>4963</v>
      </c>
      <c r="J1027" t="s">
        <v>233</v>
      </c>
      <c r="K1027" t="s">
        <v>185</v>
      </c>
      <c r="N1027">
        <v>0</v>
      </c>
      <c r="O1027" t="s">
        <v>222</v>
      </c>
      <c r="P1027">
        <v>0</v>
      </c>
      <c r="U1027" s="15"/>
    </row>
    <row r="1028" spans="1:21" x14ac:dyDescent="0.35">
      <c r="A1028" t="s">
        <v>14</v>
      </c>
      <c r="B1028" t="s">
        <v>497</v>
      </c>
      <c r="C1028" t="s">
        <v>515</v>
      </c>
      <c r="D1028" t="s">
        <v>516</v>
      </c>
      <c r="E1028" t="s">
        <v>517</v>
      </c>
      <c r="F1028" t="s">
        <v>501</v>
      </c>
      <c r="G1028" t="s">
        <v>4964</v>
      </c>
      <c r="H1028" s="15">
        <v>46212</v>
      </c>
      <c r="I1028" t="s">
        <v>4965</v>
      </c>
      <c r="J1028" t="s">
        <v>16</v>
      </c>
      <c r="K1028" t="s">
        <v>185</v>
      </c>
      <c r="N1028">
        <v>0</v>
      </c>
      <c r="O1028" t="s">
        <v>222</v>
      </c>
      <c r="P1028">
        <v>0</v>
      </c>
      <c r="U1028" s="15"/>
    </row>
    <row r="1029" spans="1:21" x14ac:dyDescent="0.35">
      <c r="A1029" t="s">
        <v>14</v>
      </c>
      <c r="B1029" t="s">
        <v>497</v>
      </c>
      <c r="C1029" t="s">
        <v>504</v>
      </c>
      <c r="D1029" t="s">
        <v>505</v>
      </c>
      <c r="E1029" t="s">
        <v>506</v>
      </c>
      <c r="F1029" t="s">
        <v>501</v>
      </c>
      <c r="G1029" t="s">
        <v>4964</v>
      </c>
      <c r="H1029" s="15">
        <v>46212</v>
      </c>
      <c r="I1029" t="s">
        <v>4966</v>
      </c>
      <c r="J1029" t="s">
        <v>16</v>
      </c>
      <c r="K1029" t="s">
        <v>185</v>
      </c>
      <c r="N1029">
        <v>0</v>
      </c>
      <c r="O1029" t="s">
        <v>222</v>
      </c>
      <c r="P1029">
        <v>0</v>
      </c>
      <c r="U1029" s="15"/>
    </row>
    <row r="1030" spans="1:21" x14ac:dyDescent="0.35">
      <c r="A1030" t="s">
        <v>14</v>
      </c>
      <c r="B1030" t="s">
        <v>497</v>
      </c>
      <c r="C1030" t="s">
        <v>515</v>
      </c>
      <c r="D1030" t="s">
        <v>516</v>
      </c>
      <c r="E1030" t="s">
        <v>517</v>
      </c>
      <c r="F1030" t="s">
        <v>501</v>
      </c>
      <c r="G1030" t="s">
        <v>4967</v>
      </c>
      <c r="H1030" s="15">
        <v>46212</v>
      </c>
      <c r="I1030" t="s">
        <v>4968</v>
      </c>
      <c r="J1030" t="s">
        <v>233</v>
      </c>
      <c r="K1030" t="s">
        <v>185</v>
      </c>
      <c r="N1030">
        <v>0</v>
      </c>
      <c r="O1030" t="s">
        <v>222</v>
      </c>
      <c r="P1030">
        <v>0</v>
      </c>
      <c r="U1030" s="15"/>
    </row>
    <row r="1031" spans="1:21" x14ac:dyDescent="0.35">
      <c r="A1031" t="s">
        <v>14</v>
      </c>
      <c r="B1031" t="s">
        <v>497</v>
      </c>
      <c r="C1031" t="s">
        <v>515</v>
      </c>
      <c r="D1031" t="s">
        <v>516</v>
      </c>
      <c r="E1031" t="s">
        <v>517</v>
      </c>
      <c r="F1031" t="s">
        <v>501</v>
      </c>
      <c r="G1031" t="s">
        <v>4969</v>
      </c>
      <c r="H1031" s="15">
        <v>46213</v>
      </c>
      <c r="I1031" t="s">
        <v>4970</v>
      </c>
      <c r="J1031" t="s">
        <v>16</v>
      </c>
      <c r="K1031" t="s">
        <v>185</v>
      </c>
      <c r="N1031">
        <v>0</v>
      </c>
      <c r="O1031" t="s">
        <v>222</v>
      </c>
      <c r="P1031">
        <v>0</v>
      </c>
      <c r="U1031" s="15"/>
    </row>
    <row r="1032" spans="1:21" x14ac:dyDescent="0.35">
      <c r="A1032" t="s">
        <v>14</v>
      </c>
      <c r="B1032" t="s">
        <v>497</v>
      </c>
      <c r="C1032" t="s">
        <v>557</v>
      </c>
      <c r="D1032" t="s">
        <v>558</v>
      </c>
      <c r="E1032" t="s">
        <v>559</v>
      </c>
      <c r="F1032" t="s">
        <v>501</v>
      </c>
      <c r="G1032" t="s">
        <v>4969</v>
      </c>
      <c r="H1032" s="15">
        <v>46213</v>
      </c>
      <c r="I1032" t="s">
        <v>4971</v>
      </c>
      <c r="J1032" t="s">
        <v>16</v>
      </c>
      <c r="K1032" t="s">
        <v>185</v>
      </c>
      <c r="N1032">
        <v>0</v>
      </c>
      <c r="O1032" t="s">
        <v>222</v>
      </c>
      <c r="P1032">
        <v>0</v>
      </c>
      <c r="U1032" s="15"/>
    </row>
    <row r="1033" spans="1:21" x14ac:dyDescent="0.35">
      <c r="A1033" t="s">
        <v>14</v>
      </c>
      <c r="B1033" t="s">
        <v>497</v>
      </c>
      <c r="C1033" t="s">
        <v>552</v>
      </c>
      <c r="D1033" t="s">
        <v>553</v>
      </c>
      <c r="E1033" t="s">
        <v>554</v>
      </c>
      <c r="F1033" t="s">
        <v>501</v>
      </c>
      <c r="G1033" t="s">
        <v>4972</v>
      </c>
      <c r="H1033" s="15">
        <v>46213</v>
      </c>
      <c r="I1033" t="s">
        <v>4973</v>
      </c>
      <c r="J1033" t="s">
        <v>233</v>
      </c>
      <c r="K1033" t="s">
        <v>185</v>
      </c>
      <c r="N1033">
        <v>0</v>
      </c>
      <c r="O1033" t="s">
        <v>222</v>
      </c>
      <c r="P1033">
        <v>0</v>
      </c>
      <c r="U1033" s="15"/>
    </row>
    <row r="1034" spans="1:21" x14ac:dyDescent="0.35">
      <c r="A1034" t="s">
        <v>14</v>
      </c>
      <c r="B1034" t="s">
        <v>497</v>
      </c>
      <c r="C1034" t="s">
        <v>542</v>
      </c>
      <c r="D1034" t="s">
        <v>543</v>
      </c>
      <c r="E1034" t="s">
        <v>544</v>
      </c>
      <c r="F1034" t="s">
        <v>501</v>
      </c>
      <c r="G1034" t="s">
        <v>4974</v>
      </c>
      <c r="H1034" s="15">
        <v>46214</v>
      </c>
      <c r="I1034" t="s">
        <v>4975</v>
      </c>
      <c r="J1034" t="s">
        <v>16</v>
      </c>
      <c r="K1034" t="s">
        <v>185</v>
      </c>
      <c r="N1034">
        <v>0</v>
      </c>
      <c r="O1034" t="s">
        <v>222</v>
      </c>
      <c r="P1034">
        <v>0</v>
      </c>
      <c r="U1034" s="15"/>
    </row>
    <row r="1035" spans="1:21" x14ac:dyDescent="0.35">
      <c r="A1035" t="s">
        <v>14</v>
      </c>
      <c r="B1035" t="s">
        <v>3247</v>
      </c>
      <c r="C1035" t="s">
        <v>320</v>
      </c>
      <c r="D1035" t="s">
        <v>321</v>
      </c>
      <c r="E1035" t="s">
        <v>322</v>
      </c>
      <c r="F1035" t="s">
        <v>3248</v>
      </c>
      <c r="G1035" t="s">
        <v>3249</v>
      </c>
      <c r="H1035" s="15">
        <v>46027</v>
      </c>
      <c r="I1035" t="s">
        <v>3250</v>
      </c>
      <c r="J1035" t="s">
        <v>16</v>
      </c>
      <c r="K1035" t="s">
        <v>185</v>
      </c>
      <c r="N1035">
        <v>0</v>
      </c>
      <c r="O1035" t="s">
        <v>222</v>
      </c>
      <c r="P1035">
        <v>0</v>
      </c>
      <c r="U1035" s="15"/>
    </row>
    <row r="1036" spans="1:21" x14ac:dyDescent="0.35">
      <c r="A1036" t="s">
        <v>14</v>
      </c>
      <c r="B1036" t="s">
        <v>3247</v>
      </c>
      <c r="C1036" t="s">
        <v>234</v>
      </c>
      <c r="D1036" t="s">
        <v>235</v>
      </c>
      <c r="E1036" t="s">
        <v>236</v>
      </c>
      <c r="F1036" t="s">
        <v>3248</v>
      </c>
      <c r="G1036" t="s">
        <v>3249</v>
      </c>
      <c r="H1036" s="15">
        <v>46027</v>
      </c>
      <c r="I1036" t="s">
        <v>3251</v>
      </c>
      <c r="J1036" t="s">
        <v>16</v>
      </c>
      <c r="K1036" t="s">
        <v>185</v>
      </c>
      <c r="N1036">
        <v>0</v>
      </c>
      <c r="O1036" t="s">
        <v>222</v>
      </c>
      <c r="P1036">
        <v>0</v>
      </c>
      <c r="U1036" s="15"/>
    </row>
    <row r="1037" spans="1:21" x14ac:dyDescent="0.35">
      <c r="A1037" t="s">
        <v>14</v>
      </c>
      <c r="B1037" t="s">
        <v>3247</v>
      </c>
      <c r="C1037" t="s">
        <v>320</v>
      </c>
      <c r="D1037" t="s">
        <v>321</v>
      </c>
      <c r="E1037" t="s">
        <v>322</v>
      </c>
      <c r="F1037" t="s">
        <v>3248</v>
      </c>
      <c r="G1037" t="s">
        <v>3252</v>
      </c>
      <c r="H1037" s="15">
        <v>46028</v>
      </c>
      <c r="I1037" t="s">
        <v>3253</v>
      </c>
      <c r="J1037" t="s">
        <v>16</v>
      </c>
      <c r="K1037" t="s">
        <v>185</v>
      </c>
      <c r="N1037">
        <v>0</v>
      </c>
      <c r="O1037" t="s">
        <v>222</v>
      </c>
      <c r="P1037">
        <v>0</v>
      </c>
      <c r="U1037" s="15"/>
    </row>
    <row r="1038" spans="1:21" x14ac:dyDescent="0.35">
      <c r="A1038" t="s">
        <v>14</v>
      </c>
      <c r="B1038" t="s">
        <v>3247</v>
      </c>
      <c r="C1038" t="s">
        <v>234</v>
      </c>
      <c r="D1038" t="s">
        <v>235</v>
      </c>
      <c r="E1038" t="s">
        <v>236</v>
      </c>
      <c r="F1038" t="s">
        <v>3248</v>
      </c>
      <c r="G1038" t="s">
        <v>3252</v>
      </c>
      <c r="H1038" s="15">
        <v>46028</v>
      </c>
      <c r="I1038" t="s">
        <v>3254</v>
      </c>
      <c r="J1038" t="s">
        <v>16</v>
      </c>
      <c r="K1038" t="s">
        <v>185</v>
      </c>
      <c r="N1038">
        <v>0</v>
      </c>
      <c r="O1038" t="s">
        <v>222</v>
      </c>
      <c r="P1038">
        <v>0</v>
      </c>
      <c r="U1038" s="15"/>
    </row>
    <row r="1039" spans="1:21" x14ac:dyDescent="0.35">
      <c r="A1039" t="s">
        <v>14</v>
      </c>
      <c r="B1039" t="s">
        <v>497</v>
      </c>
      <c r="C1039" t="s">
        <v>504</v>
      </c>
      <c r="D1039" t="s">
        <v>505</v>
      </c>
      <c r="E1039" t="s">
        <v>506</v>
      </c>
      <c r="F1039" t="s">
        <v>501</v>
      </c>
      <c r="G1039" t="s">
        <v>4974</v>
      </c>
      <c r="H1039" s="15">
        <v>46214</v>
      </c>
      <c r="I1039" t="s">
        <v>4976</v>
      </c>
      <c r="J1039" t="s">
        <v>16</v>
      </c>
      <c r="K1039" t="s">
        <v>185</v>
      </c>
      <c r="N1039">
        <v>0</v>
      </c>
      <c r="O1039" t="s">
        <v>222</v>
      </c>
      <c r="P1039">
        <v>0</v>
      </c>
      <c r="U1039" s="15"/>
    </row>
    <row r="1040" spans="1:21" x14ac:dyDescent="0.35">
      <c r="A1040" t="s">
        <v>14</v>
      </c>
      <c r="B1040" t="s">
        <v>497</v>
      </c>
      <c r="C1040" t="s">
        <v>498</v>
      </c>
      <c r="D1040" t="s">
        <v>499</v>
      </c>
      <c r="E1040" t="s">
        <v>500</v>
      </c>
      <c r="F1040" t="s">
        <v>501</v>
      </c>
      <c r="G1040" t="s">
        <v>4977</v>
      </c>
      <c r="H1040" s="15">
        <v>46214</v>
      </c>
      <c r="I1040" t="s">
        <v>4978</v>
      </c>
      <c r="J1040" t="s">
        <v>233</v>
      </c>
      <c r="K1040" t="s">
        <v>185</v>
      </c>
      <c r="N1040">
        <v>0</v>
      </c>
      <c r="O1040" t="s">
        <v>222</v>
      </c>
      <c r="P1040">
        <v>0</v>
      </c>
      <c r="U1040" s="15"/>
    </row>
    <row r="1041" spans="1:21" x14ac:dyDescent="0.35">
      <c r="A1041" t="s">
        <v>14</v>
      </c>
      <c r="B1041" t="s">
        <v>3247</v>
      </c>
      <c r="C1041" t="s">
        <v>320</v>
      </c>
      <c r="D1041" t="s">
        <v>321</v>
      </c>
      <c r="E1041" t="s">
        <v>322</v>
      </c>
      <c r="F1041" t="s">
        <v>3248</v>
      </c>
      <c r="G1041" t="s">
        <v>3255</v>
      </c>
      <c r="H1041" s="15">
        <v>46029</v>
      </c>
      <c r="I1041" t="s">
        <v>3256</v>
      </c>
      <c r="J1041" t="s">
        <v>16</v>
      </c>
      <c r="K1041" t="s">
        <v>185</v>
      </c>
      <c r="N1041">
        <v>0</v>
      </c>
      <c r="O1041" t="s">
        <v>222</v>
      </c>
      <c r="P1041">
        <v>0</v>
      </c>
      <c r="U1041" s="15"/>
    </row>
    <row r="1042" spans="1:21" x14ac:dyDescent="0.35">
      <c r="A1042" t="s">
        <v>14</v>
      </c>
      <c r="B1042" t="s">
        <v>3247</v>
      </c>
      <c r="C1042" t="s">
        <v>234</v>
      </c>
      <c r="D1042" t="s">
        <v>235</v>
      </c>
      <c r="E1042" t="s">
        <v>236</v>
      </c>
      <c r="F1042" t="s">
        <v>3248</v>
      </c>
      <c r="G1042" t="s">
        <v>3255</v>
      </c>
      <c r="H1042" s="15">
        <v>46029</v>
      </c>
      <c r="I1042" t="s">
        <v>3257</v>
      </c>
      <c r="J1042" t="s">
        <v>16</v>
      </c>
      <c r="K1042" t="s">
        <v>185</v>
      </c>
      <c r="N1042">
        <v>0</v>
      </c>
      <c r="O1042" t="s">
        <v>222</v>
      </c>
      <c r="P1042">
        <v>0</v>
      </c>
      <c r="U1042" s="15"/>
    </row>
    <row r="1043" spans="1:21" x14ac:dyDescent="0.35">
      <c r="A1043" t="s">
        <v>14</v>
      </c>
      <c r="B1043" t="s">
        <v>497</v>
      </c>
      <c r="C1043" t="s">
        <v>561</v>
      </c>
      <c r="D1043" t="s">
        <v>562</v>
      </c>
      <c r="E1043" t="s">
        <v>562</v>
      </c>
      <c r="F1043" t="s">
        <v>501</v>
      </c>
      <c r="G1043" t="s">
        <v>4979</v>
      </c>
      <c r="H1043" s="15">
        <v>46216</v>
      </c>
      <c r="I1043" t="s">
        <v>4980</v>
      </c>
      <c r="J1043" t="s">
        <v>233</v>
      </c>
      <c r="K1043" t="s">
        <v>185</v>
      </c>
      <c r="N1043">
        <v>0</v>
      </c>
      <c r="O1043" t="s">
        <v>222</v>
      </c>
      <c r="P1043">
        <v>0</v>
      </c>
      <c r="U1043" s="15"/>
    </row>
    <row r="1044" spans="1:21" x14ac:dyDescent="0.35">
      <c r="A1044" t="s">
        <v>14</v>
      </c>
      <c r="B1044" t="s">
        <v>497</v>
      </c>
      <c r="C1044" t="s">
        <v>515</v>
      </c>
      <c r="D1044" t="s">
        <v>516</v>
      </c>
      <c r="E1044" t="s">
        <v>517</v>
      </c>
      <c r="F1044" t="s">
        <v>501</v>
      </c>
      <c r="G1044" t="s">
        <v>4981</v>
      </c>
      <c r="H1044" s="15">
        <v>46217</v>
      </c>
      <c r="I1044" t="s">
        <v>4982</v>
      </c>
      <c r="J1044" t="s">
        <v>16</v>
      </c>
      <c r="K1044" t="s">
        <v>185</v>
      </c>
      <c r="N1044">
        <v>6360</v>
      </c>
      <c r="O1044" t="s">
        <v>222</v>
      </c>
      <c r="P1044">
        <v>30.653623</v>
      </c>
      <c r="U1044" s="15"/>
    </row>
    <row r="1045" spans="1:21" x14ac:dyDescent="0.35">
      <c r="A1045" t="s">
        <v>14</v>
      </c>
      <c r="B1045" t="s">
        <v>3247</v>
      </c>
      <c r="C1045" t="s">
        <v>3258</v>
      </c>
      <c r="D1045" t="s">
        <v>3259</v>
      </c>
      <c r="E1045" t="s">
        <v>3260</v>
      </c>
      <c r="F1045" t="s">
        <v>3248</v>
      </c>
      <c r="G1045" t="s">
        <v>3261</v>
      </c>
      <c r="H1045" s="15">
        <v>46030</v>
      </c>
      <c r="I1045" t="s">
        <v>3262</v>
      </c>
      <c r="J1045" t="s">
        <v>16</v>
      </c>
      <c r="K1045" t="s">
        <v>185</v>
      </c>
      <c r="N1045">
        <v>0</v>
      </c>
      <c r="O1045" t="s">
        <v>222</v>
      </c>
      <c r="P1045">
        <v>0</v>
      </c>
      <c r="U1045" s="15"/>
    </row>
    <row r="1046" spans="1:21" x14ac:dyDescent="0.35">
      <c r="A1046" t="s">
        <v>14</v>
      </c>
      <c r="B1046" t="s">
        <v>3247</v>
      </c>
      <c r="C1046" t="s">
        <v>3263</v>
      </c>
      <c r="D1046" t="s">
        <v>3264</v>
      </c>
      <c r="E1046" t="s">
        <v>3265</v>
      </c>
      <c r="F1046" t="s">
        <v>3248</v>
      </c>
      <c r="G1046" t="s">
        <v>3261</v>
      </c>
      <c r="H1046" s="15">
        <v>46030</v>
      </c>
      <c r="I1046" t="s">
        <v>3266</v>
      </c>
      <c r="J1046" t="s">
        <v>16</v>
      </c>
      <c r="K1046" t="s">
        <v>185</v>
      </c>
      <c r="N1046">
        <v>0</v>
      </c>
      <c r="O1046" t="s">
        <v>222</v>
      </c>
      <c r="P1046">
        <v>0</v>
      </c>
      <c r="U1046" s="15"/>
    </row>
    <row r="1047" spans="1:21" x14ac:dyDescent="0.35">
      <c r="A1047" t="s">
        <v>14</v>
      </c>
      <c r="B1047" t="s">
        <v>3247</v>
      </c>
      <c r="C1047" t="s">
        <v>320</v>
      </c>
      <c r="D1047" t="s">
        <v>321</v>
      </c>
      <c r="E1047" t="s">
        <v>322</v>
      </c>
      <c r="F1047" t="s">
        <v>3248</v>
      </c>
      <c r="G1047" t="s">
        <v>3267</v>
      </c>
      <c r="H1047" s="15">
        <v>46034</v>
      </c>
      <c r="I1047" t="s">
        <v>3268</v>
      </c>
      <c r="J1047" t="s">
        <v>16</v>
      </c>
      <c r="K1047" t="s">
        <v>185</v>
      </c>
      <c r="N1047">
        <v>0</v>
      </c>
      <c r="O1047" t="s">
        <v>222</v>
      </c>
      <c r="P1047">
        <v>0</v>
      </c>
      <c r="U1047" s="15"/>
    </row>
    <row r="1048" spans="1:21" x14ac:dyDescent="0.35">
      <c r="A1048" t="s">
        <v>14</v>
      </c>
      <c r="B1048" t="s">
        <v>3247</v>
      </c>
      <c r="C1048" t="s">
        <v>234</v>
      </c>
      <c r="D1048" t="s">
        <v>235</v>
      </c>
      <c r="E1048" t="s">
        <v>236</v>
      </c>
      <c r="F1048" t="s">
        <v>3248</v>
      </c>
      <c r="G1048" t="s">
        <v>3267</v>
      </c>
      <c r="H1048" s="15">
        <v>46034</v>
      </c>
      <c r="I1048" t="s">
        <v>3269</v>
      </c>
      <c r="J1048" t="s">
        <v>16</v>
      </c>
      <c r="K1048" t="s">
        <v>185</v>
      </c>
      <c r="N1048">
        <v>0</v>
      </c>
      <c r="O1048" t="s">
        <v>222</v>
      </c>
      <c r="P1048">
        <v>0</v>
      </c>
      <c r="U1048" s="15"/>
    </row>
    <row r="1049" spans="1:21" x14ac:dyDescent="0.35">
      <c r="A1049" t="s">
        <v>14</v>
      </c>
      <c r="B1049" t="s">
        <v>3247</v>
      </c>
      <c r="C1049" t="s">
        <v>3270</v>
      </c>
      <c r="D1049" t="s">
        <v>3271</v>
      </c>
      <c r="E1049" t="s">
        <v>3272</v>
      </c>
      <c r="F1049" t="s">
        <v>3248</v>
      </c>
      <c r="G1049" t="s">
        <v>3273</v>
      </c>
      <c r="H1049" s="15">
        <v>46035</v>
      </c>
      <c r="I1049" t="s">
        <v>3274</v>
      </c>
      <c r="J1049" t="s">
        <v>16</v>
      </c>
      <c r="K1049" t="s">
        <v>185</v>
      </c>
      <c r="N1049">
        <v>0</v>
      </c>
      <c r="O1049" t="s">
        <v>222</v>
      </c>
      <c r="P1049">
        <v>0</v>
      </c>
      <c r="U1049" s="15"/>
    </row>
    <row r="1050" spans="1:21" x14ac:dyDescent="0.35">
      <c r="A1050" t="s">
        <v>14</v>
      </c>
      <c r="B1050" t="s">
        <v>3247</v>
      </c>
      <c r="C1050" t="s">
        <v>3275</v>
      </c>
      <c r="D1050" t="s">
        <v>3276</v>
      </c>
      <c r="E1050" t="s">
        <v>3277</v>
      </c>
      <c r="F1050" t="s">
        <v>3248</v>
      </c>
      <c r="G1050" t="s">
        <v>3273</v>
      </c>
      <c r="H1050" s="15">
        <v>46035</v>
      </c>
      <c r="I1050" t="s">
        <v>3278</v>
      </c>
      <c r="J1050" t="s">
        <v>16</v>
      </c>
      <c r="K1050" t="s">
        <v>185</v>
      </c>
      <c r="N1050">
        <v>0</v>
      </c>
      <c r="O1050" t="s">
        <v>222</v>
      </c>
      <c r="P1050">
        <v>0</v>
      </c>
      <c r="T1050" t="s">
        <v>3248</v>
      </c>
      <c r="U1050" s="15"/>
    </row>
    <row r="1051" spans="1:21" x14ac:dyDescent="0.35">
      <c r="A1051" t="s">
        <v>14</v>
      </c>
      <c r="B1051" t="s">
        <v>497</v>
      </c>
      <c r="C1051" t="s">
        <v>504</v>
      </c>
      <c r="D1051" t="s">
        <v>505</v>
      </c>
      <c r="E1051" t="s">
        <v>506</v>
      </c>
      <c r="F1051" t="s">
        <v>501</v>
      </c>
      <c r="G1051" t="s">
        <v>4981</v>
      </c>
      <c r="H1051" s="15">
        <v>46217</v>
      </c>
      <c r="I1051" t="s">
        <v>4983</v>
      </c>
      <c r="J1051" t="s">
        <v>16</v>
      </c>
      <c r="K1051" t="s">
        <v>185</v>
      </c>
      <c r="N1051">
        <v>12350</v>
      </c>
      <c r="O1051" t="s">
        <v>222</v>
      </c>
      <c r="P1051">
        <v>54.991895</v>
      </c>
      <c r="U1051" s="15"/>
    </row>
    <row r="1052" spans="1:21" x14ac:dyDescent="0.35">
      <c r="A1052" t="s">
        <v>14</v>
      </c>
      <c r="B1052" t="s">
        <v>497</v>
      </c>
      <c r="C1052" t="s">
        <v>498</v>
      </c>
      <c r="D1052" t="s">
        <v>499</v>
      </c>
      <c r="E1052" t="s">
        <v>500</v>
      </c>
      <c r="F1052" t="s">
        <v>501</v>
      </c>
      <c r="G1052" t="s">
        <v>4984</v>
      </c>
      <c r="H1052" s="15">
        <v>46217</v>
      </c>
      <c r="I1052" t="s">
        <v>4985</v>
      </c>
      <c r="J1052" t="s">
        <v>233</v>
      </c>
      <c r="K1052" t="s">
        <v>185</v>
      </c>
      <c r="N1052">
        <v>35013</v>
      </c>
      <c r="O1052" t="s">
        <v>222</v>
      </c>
      <c r="P1052">
        <v>167.12555699999999</v>
      </c>
      <c r="U1052" s="15"/>
    </row>
    <row r="1053" spans="1:21" x14ac:dyDescent="0.35">
      <c r="A1053" t="s">
        <v>14</v>
      </c>
      <c r="B1053" t="s">
        <v>3247</v>
      </c>
      <c r="C1053" t="s">
        <v>320</v>
      </c>
      <c r="D1053" t="s">
        <v>321</v>
      </c>
      <c r="E1053" t="s">
        <v>322</v>
      </c>
      <c r="F1053" t="s">
        <v>3248</v>
      </c>
      <c r="G1053" t="s">
        <v>3279</v>
      </c>
      <c r="H1053" s="15">
        <v>46036</v>
      </c>
      <c r="I1053" t="s">
        <v>3280</v>
      </c>
      <c r="J1053" t="s">
        <v>16</v>
      </c>
      <c r="K1053" t="s">
        <v>185</v>
      </c>
      <c r="N1053">
        <v>0</v>
      </c>
      <c r="O1053" t="s">
        <v>222</v>
      </c>
      <c r="P1053">
        <v>0</v>
      </c>
      <c r="U1053" s="15"/>
    </row>
    <row r="1054" spans="1:21" x14ac:dyDescent="0.35">
      <c r="A1054" t="s">
        <v>14</v>
      </c>
      <c r="B1054" t="s">
        <v>3247</v>
      </c>
      <c r="C1054" t="s">
        <v>234</v>
      </c>
      <c r="D1054" t="s">
        <v>235</v>
      </c>
      <c r="E1054" t="s">
        <v>236</v>
      </c>
      <c r="F1054" t="s">
        <v>3248</v>
      </c>
      <c r="G1054" t="s">
        <v>3279</v>
      </c>
      <c r="H1054" s="15">
        <v>46036</v>
      </c>
      <c r="I1054" t="s">
        <v>3281</v>
      </c>
      <c r="J1054" t="s">
        <v>16</v>
      </c>
      <c r="K1054" t="s">
        <v>185</v>
      </c>
      <c r="N1054">
        <v>0</v>
      </c>
      <c r="O1054" t="s">
        <v>222</v>
      </c>
      <c r="P1054">
        <v>0</v>
      </c>
      <c r="U1054" s="15"/>
    </row>
    <row r="1055" spans="1:21" x14ac:dyDescent="0.35">
      <c r="A1055" t="s">
        <v>14</v>
      </c>
      <c r="B1055" t="s">
        <v>3247</v>
      </c>
      <c r="C1055" t="s">
        <v>320</v>
      </c>
      <c r="D1055" t="s">
        <v>321</v>
      </c>
      <c r="E1055" t="s">
        <v>322</v>
      </c>
      <c r="F1055" t="s">
        <v>3248</v>
      </c>
      <c r="G1055" t="s">
        <v>3282</v>
      </c>
      <c r="H1055" s="15">
        <v>46037</v>
      </c>
      <c r="I1055" t="s">
        <v>3283</v>
      </c>
      <c r="J1055" t="s">
        <v>16</v>
      </c>
      <c r="K1055" t="s">
        <v>185</v>
      </c>
      <c r="N1055">
        <v>0</v>
      </c>
      <c r="O1055" t="s">
        <v>222</v>
      </c>
      <c r="P1055">
        <v>0</v>
      </c>
      <c r="U1055" s="15"/>
    </row>
    <row r="1056" spans="1:21" x14ac:dyDescent="0.35">
      <c r="A1056" t="s">
        <v>14</v>
      </c>
      <c r="B1056" t="s">
        <v>3247</v>
      </c>
      <c r="C1056" t="s">
        <v>234</v>
      </c>
      <c r="D1056" t="s">
        <v>235</v>
      </c>
      <c r="E1056" t="s">
        <v>236</v>
      </c>
      <c r="F1056" t="s">
        <v>3248</v>
      </c>
      <c r="G1056" t="s">
        <v>3282</v>
      </c>
      <c r="H1056" s="15">
        <v>46037</v>
      </c>
      <c r="I1056" t="s">
        <v>3284</v>
      </c>
      <c r="J1056" t="s">
        <v>16</v>
      </c>
      <c r="K1056" t="s">
        <v>185</v>
      </c>
      <c r="N1056">
        <v>0</v>
      </c>
      <c r="O1056" t="s">
        <v>222</v>
      </c>
      <c r="P1056">
        <v>0</v>
      </c>
      <c r="U1056" s="15"/>
    </row>
    <row r="1057" spans="1:21" x14ac:dyDescent="0.35">
      <c r="A1057" t="s">
        <v>14</v>
      </c>
      <c r="B1057" t="s">
        <v>3247</v>
      </c>
      <c r="C1057" t="s">
        <v>320</v>
      </c>
      <c r="D1057" t="s">
        <v>321</v>
      </c>
      <c r="E1057" t="s">
        <v>322</v>
      </c>
      <c r="F1057" t="s">
        <v>3248</v>
      </c>
      <c r="G1057" t="s">
        <v>3285</v>
      </c>
      <c r="H1057" s="15">
        <v>46041</v>
      </c>
      <c r="I1057" t="s">
        <v>3286</v>
      </c>
      <c r="J1057" t="s">
        <v>16</v>
      </c>
      <c r="K1057" t="s">
        <v>185</v>
      </c>
      <c r="N1057">
        <v>0</v>
      </c>
      <c r="O1057" t="s">
        <v>222</v>
      </c>
      <c r="P1057">
        <v>0</v>
      </c>
      <c r="U1057" s="15"/>
    </row>
    <row r="1058" spans="1:21" x14ac:dyDescent="0.35">
      <c r="A1058" t="s">
        <v>14</v>
      </c>
      <c r="B1058" t="s">
        <v>3247</v>
      </c>
      <c r="C1058" t="s">
        <v>3287</v>
      </c>
      <c r="D1058" t="s">
        <v>3288</v>
      </c>
      <c r="E1058" t="s">
        <v>3289</v>
      </c>
      <c r="F1058" t="s">
        <v>3248</v>
      </c>
      <c r="G1058" t="s">
        <v>3285</v>
      </c>
      <c r="H1058" s="15">
        <v>46041</v>
      </c>
      <c r="I1058" t="s">
        <v>3290</v>
      </c>
      <c r="J1058" t="s">
        <v>16</v>
      </c>
      <c r="K1058" t="s">
        <v>185</v>
      </c>
      <c r="N1058">
        <v>0</v>
      </c>
      <c r="O1058" t="s">
        <v>222</v>
      </c>
      <c r="P1058">
        <v>0</v>
      </c>
      <c r="U1058" s="15"/>
    </row>
    <row r="1059" spans="1:21" x14ac:dyDescent="0.35">
      <c r="A1059" t="s">
        <v>14</v>
      </c>
      <c r="B1059" t="s">
        <v>3247</v>
      </c>
      <c r="C1059" t="s">
        <v>320</v>
      </c>
      <c r="D1059" t="s">
        <v>321</v>
      </c>
      <c r="E1059" t="s">
        <v>322</v>
      </c>
      <c r="F1059" t="s">
        <v>3248</v>
      </c>
      <c r="G1059" t="s">
        <v>3291</v>
      </c>
      <c r="H1059" s="15">
        <v>46042</v>
      </c>
      <c r="I1059" t="s">
        <v>3292</v>
      </c>
      <c r="J1059" t="s">
        <v>16</v>
      </c>
      <c r="K1059" t="s">
        <v>185</v>
      </c>
      <c r="N1059">
        <v>0</v>
      </c>
      <c r="O1059" t="s">
        <v>222</v>
      </c>
      <c r="P1059">
        <v>0</v>
      </c>
      <c r="U1059" s="15"/>
    </row>
    <row r="1060" spans="1:21" x14ac:dyDescent="0.35">
      <c r="A1060" t="s">
        <v>14</v>
      </c>
      <c r="B1060" t="s">
        <v>3247</v>
      </c>
      <c r="C1060" t="s">
        <v>234</v>
      </c>
      <c r="D1060" t="s">
        <v>235</v>
      </c>
      <c r="E1060" t="s">
        <v>236</v>
      </c>
      <c r="F1060" t="s">
        <v>3248</v>
      </c>
      <c r="G1060" t="s">
        <v>3291</v>
      </c>
      <c r="H1060" s="15">
        <v>46042</v>
      </c>
      <c r="I1060" t="s">
        <v>3293</v>
      </c>
      <c r="J1060" t="s">
        <v>16</v>
      </c>
      <c r="K1060" t="s">
        <v>185</v>
      </c>
      <c r="N1060">
        <v>0</v>
      </c>
      <c r="O1060" t="s">
        <v>222</v>
      </c>
      <c r="P1060">
        <v>0</v>
      </c>
      <c r="U1060" s="15"/>
    </row>
    <row r="1061" spans="1:21" x14ac:dyDescent="0.35">
      <c r="A1061" t="s">
        <v>14</v>
      </c>
      <c r="B1061" t="s">
        <v>3247</v>
      </c>
      <c r="C1061" t="s">
        <v>3270</v>
      </c>
      <c r="D1061" t="s">
        <v>3271</v>
      </c>
      <c r="E1061" t="s">
        <v>3272</v>
      </c>
      <c r="F1061" t="s">
        <v>3248</v>
      </c>
      <c r="G1061" t="s">
        <v>3294</v>
      </c>
      <c r="H1061" s="15">
        <v>46043</v>
      </c>
      <c r="I1061" t="s">
        <v>3295</v>
      </c>
      <c r="J1061" t="s">
        <v>16</v>
      </c>
      <c r="K1061" t="s">
        <v>185</v>
      </c>
      <c r="N1061">
        <v>0</v>
      </c>
      <c r="O1061" t="s">
        <v>222</v>
      </c>
      <c r="P1061">
        <v>0</v>
      </c>
      <c r="U1061" s="15"/>
    </row>
    <row r="1062" spans="1:21" x14ac:dyDescent="0.35">
      <c r="A1062" t="s">
        <v>14</v>
      </c>
      <c r="B1062" t="s">
        <v>3247</v>
      </c>
      <c r="C1062" t="s">
        <v>234</v>
      </c>
      <c r="D1062" t="s">
        <v>235</v>
      </c>
      <c r="E1062" t="s">
        <v>236</v>
      </c>
      <c r="F1062" t="s">
        <v>3248</v>
      </c>
      <c r="G1062" t="s">
        <v>3294</v>
      </c>
      <c r="H1062" s="15">
        <v>46043</v>
      </c>
      <c r="I1062" t="s">
        <v>3296</v>
      </c>
      <c r="J1062" t="s">
        <v>16</v>
      </c>
      <c r="K1062" t="s">
        <v>185</v>
      </c>
      <c r="N1062">
        <v>0</v>
      </c>
      <c r="O1062" t="s">
        <v>222</v>
      </c>
      <c r="P1062">
        <v>0</v>
      </c>
      <c r="U1062" s="15"/>
    </row>
    <row r="1063" spans="1:21" x14ac:dyDescent="0.35">
      <c r="A1063" t="s">
        <v>14</v>
      </c>
      <c r="B1063" t="s">
        <v>3247</v>
      </c>
      <c r="C1063" t="s">
        <v>3297</v>
      </c>
      <c r="D1063" t="s">
        <v>3298</v>
      </c>
      <c r="E1063" t="s">
        <v>3299</v>
      </c>
      <c r="F1063" t="s">
        <v>3248</v>
      </c>
      <c r="G1063" t="s">
        <v>3300</v>
      </c>
      <c r="H1063" s="15">
        <v>46044</v>
      </c>
      <c r="I1063" t="s">
        <v>3301</v>
      </c>
      <c r="J1063" t="s">
        <v>16</v>
      </c>
      <c r="K1063" t="s">
        <v>185</v>
      </c>
      <c r="N1063">
        <v>0</v>
      </c>
      <c r="O1063" t="s">
        <v>222</v>
      </c>
      <c r="P1063">
        <v>0</v>
      </c>
      <c r="U1063" s="15"/>
    </row>
    <row r="1064" spans="1:21" x14ac:dyDescent="0.35">
      <c r="A1064" t="s">
        <v>14</v>
      </c>
      <c r="B1064" t="s">
        <v>3247</v>
      </c>
      <c r="C1064" t="s">
        <v>3270</v>
      </c>
      <c r="D1064" t="s">
        <v>3271</v>
      </c>
      <c r="E1064" t="s">
        <v>3272</v>
      </c>
      <c r="F1064" t="s">
        <v>3248</v>
      </c>
      <c r="G1064" t="s">
        <v>3300</v>
      </c>
      <c r="H1064" s="15">
        <v>46044</v>
      </c>
      <c r="I1064" t="s">
        <v>3302</v>
      </c>
      <c r="J1064" t="s">
        <v>16</v>
      </c>
      <c r="K1064" t="s">
        <v>185</v>
      </c>
      <c r="N1064">
        <v>0</v>
      </c>
      <c r="O1064" t="s">
        <v>222</v>
      </c>
      <c r="P1064">
        <v>0</v>
      </c>
      <c r="U1064" s="15"/>
    </row>
    <row r="1065" spans="1:21" x14ac:dyDescent="0.35">
      <c r="A1065" t="s">
        <v>14</v>
      </c>
      <c r="B1065" t="s">
        <v>3247</v>
      </c>
      <c r="C1065" t="s">
        <v>3303</v>
      </c>
      <c r="D1065" t="s">
        <v>3304</v>
      </c>
      <c r="E1065" t="s">
        <v>3305</v>
      </c>
      <c r="F1065" t="s">
        <v>3248</v>
      </c>
      <c r="G1065" t="s">
        <v>3300</v>
      </c>
      <c r="H1065" s="15">
        <v>46044</v>
      </c>
      <c r="I1065" t="s">
        <v>3306</v>
      </c>
      <c r="J1065" t="s">
        <v>16</v>
      </c>
      <c r="K1065" t="s">
        <v>185</v>
      </c>
      <c r="N1065">
        <v>0</v>
      </c>
      <c r="O1065" t="s">
        <v>222</v>
      </c>
      <c r="P1065">
        <v>0</v>
      </c>
      <c r="U1065" s="15"/>
    </row>
    <row r="1066" spans="1:21" x14ac:dyDescent="0.35">
      <c r="A1066" t="s">
        <v>14</v>
      </c>
      <c r="B1066" t="s">
        <v>3247</v>
      </c>
      <c r="C1066" t="s">
        <v>234</v>
      </c>
      <c r="D1066" t="s">
        <v>235</v>
      </c>
      <c r="E1066" t="s">
        <v>236</v>
      </c>
      <c r="F1066" t="s">
        <v>3248</v>
      </c>
      <c r="G1066" t="s">
        <v>3300</v>
      </c>
      <c r="H1066" s="15">
        <v>46044</v>
      </c>
      <c r="I1066" t="s">
        <v>3307</v>
      </c>
      <c r="J1066" t="s">
        <v>16</v>
      </c>
      <c r="K1066" t="s">
        <v>185</v>
      </c>
      <c r="N1066">
        <v>0</v>
      </c>
      <c r="O1066" t="s">
        <v>222</v>
      </c>
      <c r="P1066">
        <v>0</v>
      </c>
      <c r="U1066" s="15"/>
    </row>
    <row r="1067" spans="1:21" x14ac:dyDescent="0.35">
      <c r="A1067" t="s">
        <v>14</v>
      </c>
      <c r="B1067" t="s">
        <v>3247</v>
      </c>
      <c r="C1067" t="s">
        <v>3297</v>
      </c>
      <c r="D1067" t="s">
        <v>3298</v>
      </c>
      <c r="E1067" t="s">
        <v>3299</v>
      </c>
      <c r="F1067" t="s">
        <v>3248</v>
      </c>
      <c r="G1067" t="s">
        <v>3308</v>
      </c>
      <c r="H1067" s="15">
        <v>46045</v>
      </c>
      <c r="I1067" t="s">
        <v>3309</v>
      </c>
      <c r="J1067" t="s">
        <v>16</v>
      </c>
      <c r="K1067" t="s">
        <v>185</v>
      </c>
      <c r="N1067">
        <v>0</v>
      </c>
      <c r="O1067" t="s">
        <v>222</v>
      </c>
      <c r="P1067">
        <v>0</v>
      </c>
      <c r="U1067" s="15"/>
    </row>
    <row r="1068" spans="1:21" x14ac:dyDescent="0.35">
      <c r="A1068" t="s">
        <v>14</v>
      </c>
      <c r="B1068" t="s">
        <v>3247</v>
      </c>
      <c r="C1068" t="s">
        <v>320</v>
      </c>
      <c r="D1068" t="s">
        <v>321</v>
      </c>
      <c r="E1068" t="s">
        <v>322</v>
      </c>
      <c r="F1068" t="s">
        <v>3248</v>
      </c>
      <c r="G1068" t="s">
        <v>3308</v>
      </c>
      <c r="H1068" s="15">
        <v>46045</v>
      </c>
      <c r="I1068" t="s">
        <v>3310</v>
      </c>
      <c r="J1068" t="s">
        <v>16</v>
      </c>
      <c r="K1068" t="s">
        <v>185</v>
      </c>
      <c r="N1068">
        <v>0</v>
      </c>
      <c r="O1068" t="s">
        <v>222</v>
      </c>
      <c r="P1068">
        <v>0</v>
      </c>
      <c r="U1068" s="15"/>
    </row>
    <row r="1069" spans="1:21" x14ac:dyDescent="0.35">
      <c r="A1069" t="s">
        <v>14</v>
      </c>
      <c r="B1069" t="s">
        <v>3247</v>
      </c>
      <c r="C1069" t="s">
        <v>234</v>
      </c>
      <c r="D1069" t="s">
        <v>235</v>
      </c>
      <c r="E1069" t="s">
        <v>236</v>
      </c>
      <c r="F1069" t="s">
        <v>3248</v>
      </c>
      <c r="G1069" t="s">
        <v>3308</v>
      </c>
      <c r="H1069" s="15">
        <v>46045</v>
      </c>
      <c r="I1069" t="s">
        <v>3311</v>
      </c>
      <c r="J1069" t="s">
        <v>16</v>
      </c>
      <c r="K1069" t="s">
        <v>185</v>
      </c>
      <c r="N1069">
        <v>0</v>
      </c>
      <c r="O1069" t="s">
        <v>222</v>
      </c>
      <c r="P1069">
        <v>0</v>
      </c>
      <c r="U1069" s="15"/>
    </row>
    <row r="1070" spans="1:21" x14ac:dyDescent="0.35">
      <c r="A1070" t="s">
        <v>14</v>
      </c>
      <c r="B1070" t="s">
        <v>3247</v>
      </c>
      <c r="C1070" t="s">
        <v>3297</v>
      </c>
      <c r="D1070" t="s">
        <v>3298</v>
      </c>
      <c r="E1070" t="s">
        <v>3299</v>
      </c>
      <c r="F1070" t="s">
        <v>3248</v>
      </c>
      <c r="G1070" t="s">
        <v>3312</v>
      </c>
      <c r="H1070" s="15">
        <v>46048</v>
      </c>
      <c r="I1070" t="s">
        <v>3313</v>
      </c>
      <c r="J1070" t="s">
        <v>16</v>
      </c>
      <c r="K1070" t="s">
        <v>185</v>
      </c>
      <c r="N1070">
        <v>0</v>
      </c>
      <c r="O1070" t="s">
        <v>222</v>
      </c>
      <c r="P1070">
        <v>0</v>
      </c>
      <c r="U1070" s="15"/>
    </row>
    <row r="1071" spans="1:21" x14ac:dyDescent="0.35">
      <c r="A1071" t="s">
        <v>14</v>
      </c>
      <c r="B1071" t="s">
        <v>3247</v>
      </c>
      <c r="C1071" t="s">
        <v>320</v>
      </c>
      <c r="D1071" t="s">
        <v>321</v>
      </c>
      <c r="E1071" t="s">
        <v>322</v>
      </c>
      <c r="F1071" t="s">
        <v>3248</v>
      </c>
      <c r="G1071" t="s">
        <v>3312</v>
      </c>
      <c r="H1071" s="15">
        <v>46048</v>
      </c>
      <c r="I1071" t="s">
        <v>3314</v>
      </c>
      <c r="J1071" t="s">
        <v>16</v>
      </c>
      <c r="K1071" t="s">
        <v>185</v>
      </c>
      <c r="N1071">
        <v>0</v>
      </c>
      <c r="O1071" t="s">
        <v>222</v>
      </c>
      <c r="P1071">
        <v>0</v>
      </c>
      <c r="U1071" s="15"/>
    </row>
    <row r="1072" spans="1:21" x14ac:dyDescent="0.35">
      <c r="A1072" t="s">
        <v>14</v>
      </c>
      <c r="B1072" t="s">
        <v>3247</v>
      </c>
      <c r="C1072" t="s">
        <v>234</v>
      </c>
      <c r="D1072" t="s">
        <v>235</v>
      </c>
      <c r="E1072" t="s">
        <v>236</v>
      </c>
      <c r="F1072" t="s">
        <v>3248</v>
      </c>
      <c r="G1072" t="s">
        <v>3312</v>
      </c>
      <c r="H1072" s="15">
        <v>46048</v>
      </c>
      <c r="I1072" t="s">
        <v>3315</v>
      </c>
      <c r="J1072" t="s">
        <v>16</v>
      </c>
      <c r="K1072" t="s">
        <v>185</v>
      </c>
      <c r="N1072">
        <v>0</v>
      </c>
      <c r="O1072" t="s">
        <v>222</v>
      </c>
      <c r="P1072">
        <v>0</v>
      </c>
      <c r="U1072" s="15"/>
    </row>
    <row r="1073" spans="1:21" x14ac:dyDescent="0.35">
      <c r="A1073" t="s">
        <v>14</v>
      </c>
      <c r="B1073" t="s">
        <v>3247</v>
      </c>
      <c r="C1073" t="s">
        <v>3297</v>
      </c>
      <c r="D1073" t="s">
        <v>3298</v>
      </c>
      <c r="E1073" t="s">
        <v>3299</v>
      </c>
      <c r="F1073" t="s">
        <v>3248</v>
      </c>
      <c r="G1073" t="s">
        <v>3316</v>
      </c>
      <c r="H1073" s="15">
        <v>46049</v>
      </c>
      <c r="I1073" t="s">
        <v>3317</v>
      </c>
      <c r="J1073" t="s">
        <v>16</v>
      </c>
      <c r="K1073" t="s">
        <v>185</v>
      </c>
      <c r="N1073">
        <v>0</v>
      </c>
      <c r="O1073" t="s">
        <v>222</v>
      </c>
      <c r="P1073">
        <v>0</v>
      </c>
      <c r="U1073" s="15"/>
    </row>
    <row r="1074" spans="1:21" x14ac:dyDescent="0.35">
      <c r="A1074" t="s">
        <v>14</v>
      </c>
      <c r="B1074" t="s">
        <v>3247</v>
      </c>
      <c r="C1074" t="s">
        <v>320</v>
      </c>
      <c r="D1074" t="s">
        <v>321</v>
      </c>
      <c r="E1074" t="s">
        <v>322</v>
      </c>
      <c r="F1074" t="s">
        <v>3248</v>
      </c>
      <c r="G1074" t="s">
        <v>3316</v>
      </c>
      <c r="H1074" s="15">
        <v>46049</v>
      </c>
      <c r="I1074" t="s">
        <v>3318</v>
      </c>
      <c r="J1074" t="s">
        <v>16</v>
      </c>
      <c r="K1074" t="s">
        <v>185</v>
      </c>
      <c r="N1074">
        <v>0</v>
      </c>
      <c r="O1074" t="s">
        <v>222</v>
      </c>
      <c r="P1074">
        <v>0</v>
      </c>
      <c r="U1074" s="15"/>
    </row>
    <row r="1075" spans="1:21" x14ac:dyDescent="0.35">
      <c r="A1075" t="s">
        <v>14</v>
      </c>
      <c r="B1075" t="s">
        <v>3247</v>
      </c>
      <c r="C1075" t="s">
        <v>234</v>
      </c>
      <c r="D1075" t="s">
        <v>235</v>
      </c>
      <c r="E1075" t="s">
        <v>236</v>
      </c>
      <c r="F1075" t="s">
        <v>3248</v>
      </c>
      <c r="G1075" t="s">
        <v>3316</v>
      </c>
      <c r="H1075" s="15">
        <v>46049</v>
      </c>
      <c r="I1075" t="s">
        <v>3319</v>
      </c>
      <c r="J1075" t="s">
        <v>16</v>
      </c>
      <c r="K1075" t="s">
        <v>185</v>
      </c>
      <c r="N1075">
        <v>0</v>
      </c>
      <c r="O1075" t="s">
        <v>222</v>
      </c>
      <c r="P1075">
        <v>0</v>
      </c>
      <c r="U1075" s="15"/>
    </row>
    <row r="1076" spans="1:21" x14ac:dyDescent="0.35">
      <c r="A1076" t="s">
        <v>14</v>
      </c>
      <c r="B1076" t="s">
        <v>3247</v>
      </c>
      <c r="C1076" t="s">
        <v>3258</v>
      </c>
      <c r="D1076" t="s">
        <v>3259</v>
      </c>
      <c r="E1076" t="s">
        <v>3260</v>
      </c>
      <c r="F1076" t="s">
        <v>3248</v>
      </c>
      <c r="G1076" t="s">
        <v>3320</v>
      </c>
      <c r="H1076" s="15">
        <v>46050</v>
      </c>
      <c r="I1076" t="s">
        <v>3321</v>
      </c>
      <c r="J1076" t="s">
        <v>16</v>
      </c>
      <c r="K1076" t="s">
        <v>185</v>
      </c>
      <c r="N1076">
        <v>0</v>
      </c>
      <c r="O1076" t="s">
        <v>222</v>
      </c>
      <c r="P1076">
        <v>0</v>
      </c>
      <c r="U1076" s="15"/>
    </row>
    <row r="1077" spans="1:21" x14ac:dyDescent="0.35">
      <c r="A1077" t="s">
        <v>14</v>
      </c>
      <c r="B1077" t="s">
        <v>3247</v>
      </c>
      <c r="C1077" t="s">
        <v>234</v>
      </c>
      <c r="D1077" t="s">
        <v>235</v>
      </c>
      <c r="E1077" t="s">
        <v>236</v>
      </c>
      <c r="F1077" t="s">
        <v>3248</v>
      </c>
      <c r="G1077" t="s">
        <v>3320</v>
      </c>
      <c r="H1077" s="15">
        <v>46050</v>
      </c>
      <c r="I1077" t="s">
        <v>3322</v>
      </c>
      <c r="J1077" t="s">
        <v>16</v>
      </c>
      <c r="K1077" t="s">
        <v>185</v>
      </c>
      <c r="N1077">
        <v>0</v>
      </c>
      <c r="O1077" t="s">
        <v>222</v>
      </c>
      <c r="P1077">
        <v>0</v>
      </c>
      <c r="U1077" s="15"/>
    </row>
    <row r="1078" spans="1:21" x14ac:dyDescent="0.35">
      <c r="A1078" t="s">
        <v>14</v>
      </c>
      <c r="B1078" t="s">
        <v>3247</v>
      </c>
      <c r="C1078" t="s">
        <v>320</v>
      </c>
      <c r="D1078" t="s">
        <v>321</v>
      </c>
      <c r="E1078" t="s">
        <v>322</v>
      </c>
      <c r="F1078" t="s">
        <v>3248</v>
      </c>
      <c r="G1078" t="s">
        <v>3323</v>
      </c>
      <c r="H1078" s="15">
        <v>46051</v>
      </c>
      <c r="I1078" t="s">
        <v>3324</v>
      </c>
      <c r="J1078" t="s">
        <v>16</v>
      </c>
      <c r="K1078" t="s">
        <v>185</v>
      </c>
      <c r="N1078">
        <v>0</v>
      </c>
      <c r="O1078" t="s">
        <v>222</v>
      </c>
      <c r="P1078">
        <v>0</v>
      </c>
      <c r="U1078" s="15"/>
    </row>
    <row r="1079" spans="1:21" x14ac:dyDescent="0.35">
      <c r="A1079" t="s">
        <v>14</v>
      </c>
      <c r="B1079" t="s">
        <v>3247</v>
      </c>
      <c r="C1079" t="s">
        <v>234</v>
      </c>
      <c r="D1079" t="s">
        <v>235</v>
      </c>
      <c r="E1079" t="s">
        <v>236</v>
      </c>
      <c r="F1079" t="s">
        <v>3248</v>
      </c>
      <c r="G1079" t="s">
        <v>3323</v>
      </c>
      <c r="H1079" s="15">
        <v>46051</v>
      </c>
      <c r="I1079" t="s">
        <v>3325</v>
      </c>
      <c r="J1079" t="s">
        <v>16</v>
      </c>
      <c r="K1079" t="s">
        <v>185</v>
      </c>
      <c r="N1079">
        <v>0</v>
      </c>
      <c r="O1079" t="s">
        <v>222</v>
      </c>
      <c r="P1079">
        <v>0</v>
      </c>
      <c r="U1079" s="15"/>
    </row>
    <row r="1080" spans="1:21" x14ac:dyDescent="0.35">
      <c r="A1080" t="s">
        <v>14</v>
      </c>
      <c r="B1080" t="s">
        <v>3247</v>
      </c>
      <c r="C1080" t="s">
        <v>320</v>
      </c>
      <c r="D1080" t="s">
        <v>321</v>
      </c>
      <c r="E1080" t="s">
        <v>322</v>
      </c>
      <c r="F1080" t="s">
        <v>3248</v>
      </c>
      <c r="G1080" t="s">
        <v>3326</v>
      </c>
      <c r="H1080" s="15">
        <v>46052</v>
      </c>
      <c r="I1080" t="s">
        <v>3327</v>
      </c>
      <c r="J1080" t="s">
        <v>16</v>
      </c>
      <c r="K1080" t="s">
        <v>185</v>
      </c>
      <c r="N1080">
        <v>0</v>
      </c>
      <c r="O1080" t="s">
        <v>222</v>
      </c>
      <c r="P1080">
        <v>0</v>
      </c>
      <c r="U1080" s="15"/>
    </row>
    <row r="1081" spans="1:21" x14ac:dyDescent="0.35">
      <c r="A1081" t="s">
        <v>14</v>
      </c>
      <c r="B1081" t="s">
        <v>3247</v>
      </c>
      <c r="C1081" t="s">
        <v>234</v>
      </c>
      <c r="D1081" t="s">
        <v>235</v>
      </c>
      <c r="E1081" t="s">
        <v>236</v>
      </c>
      <c r="F1081" t="s">
        <v>3248</v>
      </c>
      <c r="G1081" t="s">
        <v>3326</v>
      </c>
      <c r="H1081" s="15">
        <v>46052</v>
      </c>
      <c r="I1081" t="s">
        <v>3328</v>
      </c>
      <c r="J1081" t="s">
        <v>16</v>
      </c>
      <c r="K1081" t="s">
        <v>185</v>
      </c>
      <c r="N1081">
        <v>0</v>
      </c>
      <c r="O1081" t="s">
        <v>222</v>
      </c>
      <c r="P1081">
        <v>0</v>
      </c>
      <c r="U1081" s="15"/>
    </row>
    <row r="1082" spans="1:21" x14ac:dyDescent="0.35">
      <c r="A1082" t="s">
        <v>14</v>
      </c>
      <c r="B1082" t="s">
        <v>3247</v>
      </c>
      <c r="C1082" t="s">
        <v>3270</v>
      </c>
      <c r="D1082" t="s">
        <v>3271</v>
      </c>
      <c r="E1082" t="s">
        <v>3272</v>
      </c>
      <c r="F1082" t="s">
        <v>3248</v>
      </c>
      <c r="G1082" t="s">
        <v>3329</v>
      </c>
      <c r="H1082" s="15">
        <v>46055</v>
      </c>
      <c r="I1082" t="s">
        <v>3330</v>
      </c>
      <c r="J1082" t="s">
        <v>16</v>
      </c>
      <c r="K1082" t="s">
        <v>185</v>
      </c>
      <c r="N1082">
        <v>0</v>
      </c>
      <c r="O1082" t="s">
        <v>222</v>
      </c>
      <c r="P1082">
        <v>0</v>
      </c>
      <c r="U1082" s="15"/>
    </row>
    <row r="1083" spans="1:21" x14ac:dyDescent="0.35">
      <c r="A1083" t="s">
        <v>14</v>
      </c>
      <c r="B1083" t="s">
        <v>3247</v>
      </c>
      <c r="C1083" t="s">
        <v>234</v>
      </c>
      <c r="D1083" t="s">
        <v>235</v>
      </c>
      <c r="E1083" t="s">
        <v>236</v>
      </c>
      <c r="F1083" t="s">
        <v>3248</v>
      </c>
      <c r="G1083" t="s">
        <v>3329</v>
      </c>
      <c r="H1083" s="15">
        <v>46055</v>
      </c>
      <c r="I1083" t="s">
        <v>3331</v>
      </c>
      <c r="J1083" t="s">
        <v>16</v>
      </c>
      <c r="K1083" t="s">
        <v>185</v>
      </c>
      <c r="N1083">
        <v>0</v>
      </c>
      <c r="O1083" t="s">
        <v>222</v>
      </c>
      <c r="P1083">
        <v>0</v>
      </c>
      <c r="U1083" s="15"/>
    </row>
    <row r="1084" spans="1:21" x14ac:dyDescent="0.35">
      <c r="A1084" t="s">
        <v>14</v>
      </c>
      <c r="B1084" t="s">
        <v>3247</v>
      </c>
      <c r="C1084" t="s">
        <v>320</v>
      </c>
      <c r="D1084" t="s">
        <v>321</v>
      </c>
      <c r="E1084" t="s">
        <v>322</v>
      </c>
      <c r="F1084" t="s">
        <v>3248</v>
      </c>
      <c r="G1084" t="s">
        <v>3332</v>
      </c>
      <c r="H1084" s="15">
        <v>46056</v>
      </c>
      <c r="I1084" t="s">
        <v>3333</v>
      </c>
      <c r="J1084" t="s">
        <v>16</v>
      </c>
      <c r="K1084" t="s">
        <v>185</v>
      </c>
      <c r="N1084">
        <v>0</v>
      </c>
      <c r="O1084" t="s">
        <v>222</v>
      </c>
      <c r="P1084">
        <v>0</v>
      </c>
      <c r="U1084" s="15"/>
    </row>
    <row r="1085" spans="1:21" x14ac:dyDescent="0.35">
      <c r="A1085" t="s">
        <v>14</v>
      </c>
      <c r="B1085" t="s">
        <v>3247</v>
      </c>
      <c r="C1085" t="s">
        <v>228</v>
      </c>
      <c r="D1085" t="s">
        <v>229</v>
      </c>
      <c r="E1085" t="s">
        <v>230</v>
      </c>
      <c r="F1085" t="s">
        <v>3248</v>
      </c>
      <c r="G1085" t="s">
        <v>3332</v>
      </c>
      <c r="H1085" s="15">
        <v>46056</v>
      </c>
      <c r="I1085" t="s">
        <v>3334</v>
      </c>
      <c r="J1085" t="s">
        <v>16</v>
      </c>
      <c r="K1085" t="s">
        <v>185</v>
      </c>
      <c r="N1085">
        <v>0</v>
      </c>
      <c r="O1085" t="s">
        <v>222</v>
      </c>
      <c r="P1085">
        <v>0</v>
      </c>
      <c r="U1085" s="15"/>
    </row>
    <row r="1086" spans="1:21" x14ac:dyDescent="0.35">
      <c r="A1086" t="s">
        <v>14</v>
      </c>
      <c r="B1086" t="s">
        <v>3247</v>
      </c>
      <c r="C1086" t="s">
        <v>3339</v>
      </c>
      <c r="D1086" t="s">
        <v>3340</v>
      </c>
      <c r="E1086" t="s">
        <v>3341</v>
      </c>
      <c r="F1086" t="s">
        <v>3248</v>
      </c>
      <c r="G1086" t="s">
        <v>3342</v>
      </c>
      <c r="H1086" s="15">
        <v>46057</v>
      </c>
      <c r="I1086" t="s">
        <v>3343</v>
      </c>
      <c r="J1086" t="s">
        <v>16</v>
      </c>
      <c r="K1086" t="s">
        <v>185</v>
      </c>
      <c r="N1086">
        <v>0</v>
      </c>
      <c r="O1086" t="s">
        <v>222</v>
      </c>
      <c r="P1086">
        <v>0</v>
      </c>
      <c r="U1086" s="15"/>
    </row>
    <row r="1087" spans="1:21" x14ac:dyDescent="0.35">
      <c r="A1087" t="s">
        <v>14</v>
      </c>
      <c r="B1087" t="s">
        <v>3247</v>
      </c>
      <c r="C1087" t="s">
        <v>228</v>
      </c>
      <c r="D1087" t="s">
        <v>229</v>
      </c>
      <c r="E1087" t="s">
        <v>230</v>
      </c>
      <c r="F1087" t="s">
        <v>3248</v>
      </c>
      <c r="G1087" t="s">
        <v>3342</v>
      </c>
      <c r="H1087" s="15">
        <v>46057</v>
      </c>
      <c r="I1087" t="s">
        <v>3344</v>
      </c>
      <c r="J1087" t="s">
        <v>16</v>
      </c>
      <c r="K1087" t="s">
        <v>185</v>
      </c>
      <c r="N1087">
        <v>0</v>
      </c>
      <c r="O1087" t="s">
        <v>222</v>
      </c>
      <c r="P1087">
        <v>0</v>
      </c>
      <c r="U1087" s="15"/>
    </row>
    <row r="1088" spans="1:21" x14ac:dyDescent="0.35">
      <c r="A1088" t="s">
        <v>14</v>
      </c>
      <c r="B1088" t="s">
        <v>3247</v>
      </c>
      <c r="C1088" t="s">
        <v>320</v>
      </c>
      <c r="D1088" t="s">
        <v>321</v>
      </c>
      <c r="E1088" t="s">
        <v>322</v>
      </c>
      <c r="F1088" t="s">
        <v>3248</v>
      </c>
      <c r="G1088" t="s">
        <v>3345</v>
      </c>
      <c r="H1088" s="15">
        <v>46058</v>
      </c>
      <c r="I1088" t="s">
        <v>3346</v>
      </c>
      <c r="J1088" t="s">
        <v>16</v>
      </c>
      <c r="K1088" t="s">
        <v>185</v>
      </c>
      <c r="N1088">
        <v>0</v>
      </c>
      <c r="O1088" t="s">
        <v>222</v>
      </c>
      <c r="P1088">
        <v>0</v>
      </c>
      <c r="U1088" s="15"/>
    </row>
    <row r="1089" spans="1:21" x14ac:dyDescent="0.35">
      <c r="A1089" t="s">
        <v>14</v>
      </c>
      <c r="B1089" t="s">
        <v>3247</v>
      </c>
      <c r="C1089" t="s">
        <v>228</v>
      </c>
      <c r="D1089" t="s">
        <v>229</v>
      </c>
      <c r="E1089" t="s">
        <v>230</v>
      </c>
      <c r="F1089" t="s">
        <v>3248</v>
      </c>
      <c r="G1089" t="s">
        <v>3345</v>
      </c>
      <c r="H1089" s="15">
        <v>46058</v>
      </c>
      <c r="I1089" t="s">
        <v>3352</v>
      </c>
      <c r="J1089" t="s">
        <v>16</v>
      </c>
      <c r="K1089" t="s">
        <v>185</v>
      </c>
      <c r="N1089">
        <v>0</v>
      </c>
      <c r="O1089" t="s">
        <v>222</v>
      </c>
      <c r="P1089">
        <v>0</v>
      </c>
      <c r="U1089" s="15"/>
    </row>
    <row r="1090" spans="1:21" x14ac:dyDescent="0.35">
      <c r="A1090" t="s">
        <v>14</v>
      </c>
      <c r="B1090" t="s">
        <v>3247</v>
      </c>
      <c r="C1090" t="s">
        <v>3258</v>
      </c>
      <c r="D1090" t="s">
        <v>3259</v>
      </c>
      <c r="E1090" t="s">
        <v>3260</v>
      </c>
      <c r="F1090" t="s">
        <v>3248</v>
      </c>
      <c r="G1090" t="s">
        <v>3353</v>
      </c>
      <c r="H1090" s="15">
        <v>46059</v>
      </c>
      <c r="I1090" t="s">
        <v>3354</v>
      </c>
      <c r="J1090" t="s">
        <v>16</v>
      </c>
      <c r="K1090" t="s">
        <v>185</v>
      </c>
      <c r="N1090">
        <v>0</v>
      </c>
      <c r="O1090" t="s">
        <v>222</v>
      </c>
      <c r="P1090">
        <v>0</v>
      </c>
      <c r="U1090" s="15"/>
    </row>
    <row r="1091" spans="1:21" x14ac:dyDescent="0.35">
      <c r="A1091" t="s">
        <v>14</v>
      </c>
      <c r="B1091" t="s">
        <v>3247</v>
      </c>
      <c r="C1091" t="s">
        <v>228</v>
      </c>
      <c r="D1091" t="s">
        <v>229</v>
      </c>
      <c r="E1091" t="s">
        <v>230</v>
      </c>
      <c r="F1091" t="s">
        <v>3248</v>
      </c>
      <c r="G1091" t="s">
        <v>3353</v>
      </c>
      <c r="H1091" s="15">
        <v>46059</v>
      </c>
      <c r="I1091" t="s">
        <v>3355</v>
      </c>
      <c r="J1091" t="s">
        <v>16</v>
      </c>
      <c r="K1091" t="s">
        <v>185</v>
      </c>
      <c r="N1091">
        <v>0</v>
      </c>
      <c r="O1091" t="s">
        <v>222</v>
      </c>
      <c r="P1091">
        <v>0</v>
      </c>
      <c r="U1091" s="15"/>
    </row>
    <row r="1092" spans="1:21" x14ac:dyDescent="0.35">
      <c r="A1092" t="s">
        <v>14</v>
      </c>
      <c r="B1092" t="s">
        <v>3247</v>
      </c>
      <c r="C1092" t="s">
        <v>320</v>
      </c>
      <c r="D1092" t="s">
        <v>321</v>
      </c>
      <c r="E1092" t="s">
        <v>322</v>
      </c>
      <c r="F1092" t="s">
        <v>3248</v>
      </c>
      <c r="G1092" t="s">
        <v>3359</v>
      </c>
      <c r="H1092" s="15">
        <v>46063</v>
      </c>
      <c r="I1092" t="s">
        <v>3360</v>
      </c>
      <c r="J1092" t="s">
        <v>16</v>
      </c>
      <c r="K1092" t="s">
        <v>185</v>
      </c>
      <c r="N1092">
        <v>0</v>
      </c>
      <c r="O1092" t="s">
        <v>222</v>
      </c>
      <c r="P1092">
        <v>0</v>
      </c>
      <c r="U1092" s="15"/>
    </row>
    <row r="1093" spans="1:21" x14ac:dyDescent="0.35">
      <c r="A1093" t="s">
        <v>14</v>
      </c>
      <c r="B1093" t="s">
        <v>3247</v>
      </c>
      <c r="C1093" t="s">
        <v>228</v>
      </c>
      <c r="D1093" t="s">
        <v>229</v>
      </c>
      <c r="E1093" t="s">
        <v>230</v>
      </c>
      <c r="F1093" t="s">
        <v>3248</v>
      </c>
      <c r="G1093" t="s">
        <v>3359</v>
      </c>
      <c r="H1093" s="15">
        <v>46063</v>
      </c>
      <c r="I1093" t="s">
        <v>3361</v>
      </c>
      <c r="J1093" t="s">
        <v>16</v>
      </c>
      <c r="K1093" t="s">
        <v>185</v>
      </c>
      <c r="N1093">
        <v>0</v>
      </c>
      <c r="O1093" t="s">
        <v>222</v>
      </c>
      <c r="P1093">
        <v>0</v>
      </c>
      <c r="U1093" s="15"/>
    </row>
    <row r="1094" spans="1:21" x14ac:dyDescent="0.35">
      <c r="A1094" t="s">
        <v>14</v>
      </c>
      <c r="B1094" t="s">
        <v>3247</v>
      </c>
      <c r="C1094" t="s">
        <v>320</v>
      </c>
      <c r="D1094" t="s">
        <v>321</v>
      </c>
      <c r="E1094" t="s">
        <v>322</v>
      </c>
      <c r="F1094" t="s">
        <v>3248</v>
      </c>
      <c r="G1094" t="s">
        <v>3362</v>
      </c>
      <c r="H1094" s="15">
        <v>46064</v>
      </c>
      <c r="I1094" t="s">
        <v>3363</v>
      </c>
      <c r="J1094" t="s">
        <v>16</v>
      </c>
      <c r="K1094" t="s">
        <v>185</v>
      </c>
      <c r="N1094">
        <v>0</v>
      </c>
      <c r="O1094" t="s">
        <v>222</v>
      </c>
      <c r="P1094">
        <v>0</v>
      </c>
      <c r="U1094" s="15"/>
    </row>
    <row r="1095" spans="1:21" x14ac:dyDescent="0.35">
      <c r="A1095" t="s">
        <v>14</v>
      </c>
      <c r="B1095" t="s">
        <v>3247</v>
      </c>
      <c r="C1095" t="s">
        <v>228</v>
      </c>
      <c r="D1095" t="s">
        <v>229</v>
      </c>
      <c r="E1095" t="s">
        <v>230</v>
      </c>
      <c r="F1095" t="s">
        <v>3248</v>
      </c>
      <c r="G1095" t="s">
        <v>3362</v>
      </c>
      <c r="H1095" s="15">
        <v>46064</v>
      </c>
      <c r="I1095" t="s">
        <v>3369</v>
      </c>
      <c r="J1095" t="s">
        <v>16</v>
      </c>
      <c r="K1095" t="s">
        <v>185</v>
      </c>
      <c r="N1095">
        <v>0</v>
      </c>
      <c r="O1095" t="s">
        <v>222</v>
      </c>
      <c r="P1095">
        <v>0</v>
      </c>
      <c r="U1095" s="15"/>
    </row>
    <row r="1096" spans="1:21" x14ac:dyDescent="0.35">
      <c r="A1096" t="s">
        <v>14</v>
      </c>
      <c r="B1096" t="s">
        <v>3247</v>
      </c>
      <c r="C1096" t="s">
        <v>327</v>
      </c>
      <c r="D1096" t="s">
        <v>328</v>
      </c>
      <c r="E1096" t="s">
        <v>329</v>
      </c>
      <c r="F1096" t="s">
        <v>3248</v>
      </c>
      <c r="G1096" t="s">
        <v>3370</v>
      </c>
      <c r="H1096" s="15">
        <v>46065</v>
      </c>
      <c r="I1096" t="s">
        <v>3371</v>
      </c>
      <c r="J1096" t="s">
        <v>16</v>
      </c>
      <c r="K1096" t="s">
        <v>185</v>
      </c>
      <c r="N1096">
        <v>0</v>
      </c>
      <c r="O1096" t="s">
        <v>222</v>
      </c>
      <c r="P1096">
        <v>0</v>
      </c>
      <c r="U1096" s="15"/>
    </row>
    <row r="1097" spans="1:21" x14ac:dyDescent="0.35">
      <c r="A1097" t="s">
        <v>14</v>
      </c>
      <c r="B1097" t="s">
        <v>3247</v>
      </c>
      <c r="C1097" t="s">
        <v>228</v>
      </c>
      <c r="D1097" t="s">
        <v>229</v>
      </c>
      <c r="E1097" t="s">
        <v>230</v>
      </c>
      <c r="F1097" t="s">
        <v>3248</v>
      </c>
      <c r="G1097" t="s">
        <v>3370</v>
      </c>
      <c r="H1097" s="15">
        <v>46065</v>
      </c>
      <c r="I1097" t="s">
        <v>3372</v>
      </c>
      <c r="J1097" t="s">
        <v>16</v>
      </c>
      <c r="K1097" t="s">
        <v>185</v>
      </c>
      <c r="N1097">
        <v>0</v>
      </c>
      <c r="O1097" t="s">
        <v>222</v>
      </c>
      <c r="P1097">
        <v>0</v>
      </c>
      <c r="U1097" s="15"/>
    </row>
    <row r="1098" spans="1:21" x14ac:dyDescent="0.35">
      <c r="A1098" t="s">
        <v>14</v>
      </c>
      <c r="B1098" t="s">
        <v>3247</v>
      </c>
      <c r="C1098" t="s">
        <v>327</v>
      </c>
      <c r="D1098" t="s">
        <v>328</v>
      </c>
      <c r="E1098" t="s">
        <v>329</v>
      </c>
      <c r="F1098" t="s">
        <v>3248</v>
      </c>
      <c r="G1098" t="s">
        <v>3379</v>
      </c>
      <c r="H1098" s="15">
        <v>46066</v>
      </c>
      <c r="I1098" t="s">
        <v>3380</v>
      </c>
      <c r="J1098" t="s">
        <v>16</v>
      </c>
      <c r="K1098" t="s">
        <v>185</v>
      </c>
      <c r="N1098">
        <v>0</v>
      </c>
      <c r="O1098" t="s">
        <v>222</v>
      </c>
      <c r="P1098">
        <v>0</v>
      </c>
      <c r="U1098" s="15"/>
    </row>
    <row r="1099" spans="1:21" x14ac:dyDescent="0.35">
      <c r="A1099" t="s">
        <v>14</v>
      </c>
      <c r="B1099" t="s">
        <v>3247</v>
      </c>
      <c r="C1099" t="s">
        <v>228</v>
      </c>
      <c r="D1099" t="s">
        <v>229</v>
      </c>
      <c r="E1099" t="s">
        <v>230</v>
      </c>
      <c r="F1099" t="s">
        <v>3248</v>
      </c>
      <c r="G1099" t="s">
        <v>3379</v>
      </c>
      <c r="H1099" s="15">
        <v>46066</v>
      </c>
      <c r="I1099" t="s">
        <v>3381</v>
      </c>
      <c r="J1099" t="s">
        <v>16</v>
      </c>
      <c r="K1099" t="s">
        <v>185</v>
      </c>
      <c r="N1099">
        <v>0</v>
      </c>
      <c r="O1099" t="s">
        <v>222</v>
      </c>
      <c r="P1099">
        <v>0</v>
      </c>
      <c r="U1099" s="15"/>
    </row>
    <row r="1100" spans="1:21" x14ac:dyDescent="0.35">
      <c r="A1100" t="s">
        <v>14</v>
      </c>
      <c r="B1100" t="s">
        <v>3247</v>
      </c>
      <c r="C1100" t="s">
        <v>327</v>
      </c>
      <c r="D1100" t="s">
        <v>328</v>
      </c>
      <c r="E1100" t="s">
        <v>329</v>
      </c>
      <c r="F1100" t="s">
        <v>3248</v>
      </c>
      <c r="G1100" t="s">
        <v>3382</v>
      </c>
      <c r="H1100" s="15">
        <v>46069</v>
      </c>
      <c r="I1100" t="s">
        <v>3383</v>
      </c>
      <c r="J1100" t="s">
        <v>16</v>
      </c>
      <c r="K1100" t="s">
        <v>185</v>
      </c>
      <c r="N1100">
        <v>0</v>
      </c>
      <c r="O1100" t="s">
        <v>222</v>
      </c>
      <c r="P1100">
        <v>0</v>
      </c>
      <c r="U1100" s="15"/>
    </row>
    <row r="1101" spans="1:21" x14ac:dyDescent="0.35">
      <c r="A1101" t="s">
        <v>14</v>
      </c>
      <c r="B1101" t="s">
        <v>3247</v>
      </c>
      <c r="C1101" t="s">
        <v>228</v>
      </c>
      <c r="D1101" t="s">
        <v>229</v>
      </c>
      <c r="E1101" t="s">
        <v>230</v>
      </c>
      <c r="F1101" t="s">
        <v>3248</v>
      </c>
      <c r="G1101" t="s">
        <v>3382</v>
      </c>
      <c r="H1101" s="15">
        <v>46069</v>
      </c>
      <c r="I1101" t="s">
        <v>3388</v>
      </c>
      <c r="J1101" t="s">
        <v>16</v>
      </c>
      <c r="K1101" t="s">
        <v>185</v>
      </c>
      <c r="N1101">
        <v>0</v>
      </c>
      <c r="O1101" t="s">
        <v>222</v>
      </c>
      <c r="P1101">
        <v>0</v>
      </c>
      <c r="U1101" s="15"/>
    </row>
    <row r="1102" spans="1:21" x14ac:dyDescent="0.35">
      <c r="A1102" t="s">
        <v>14</v>
      </c>
      <c r="B1102" t="s">
        <v>3247</v>
      </c>
      <c r="C1102" t="s">
        <v>327</v>
      </c>
      <c r="D1102" t="s">
        <v>328</v>
      </c>
      <c r="E1102" t="s">
        <v>329</v>
      </c>
      <c r="F1102" t="s">
        <v>3248</v>
      </c>
      <c r="G1102" t="s">
        <v>3389</v>
      </c>
      <c r="H1102" s="15">
        <v>46070</v>
      </c>
      <c r="I1102" t="s">
        <v>3390</v>
      </c>
      <c r="J1102" t="s">
        <v>16</v>
      </c>
      <c r="K1102" t="s">
        <v>185</v>
      </c>
      <c r="N1102">
        <v>0</v>
      </c>
      <c r="O1102" t="s">
        <v>222</v>
      </c>
      <c r="P1102">
        <v>0</v>
      </c>
      <c r="U1102" s="15"/>
    </row>
    <row r="1103" spans="1:21" x14ac:dyDescent="0.35">
      <c r="A1103" t="s">
        <v>14</v>
      </c>
      <c r="B1103" t="s">
        <v>3247</v>
      </c>
      <c r="C1103" t="s">
        <v>228</v>
      </c>
      <c r="D1103" t="s">
        <v>229</v>
      </c>
      <c r="E1103" t="s">
        <v>230</v>
      </c>
      <c r="F1103" t="s">
        <v>3248</v>
      </c>
      <c r="G1103" t="s">
        <v>3389</v>
      </c>
      <c r="H1103" s="15">
        <v>46070</v>
      </c>
      <c r="I1103" t="s">
        <v>3391</v>
      </c>
      <c r="J1103" t="s">
        <v>16</v>
      </c>
      <c r="K1103" t="s">
        <v>185</v>
      </c>
      <c r="N1103">
        <v>0</v>
      </c>
      <c r="O1103" t="s">
        <v>222</v>
      </c>
      <c r="P1103">
        <v>0</v>
      </c>
      <c r="U1103" s="15"/>
    </row>
    <row r="1104" spans="1:21" x14ac:dyDescent="0.35">
      <c r="A1104" t="s">
        <v>14</v>
      </c>
      <c r="B1104" t="s">
        <v>3247</v>
      </c>
      <c r="C1104" t="s">
        <v>327</v>
      </c>
      <c r="D1104" t="s">
        <v>328</v>
      </c>
      <c r="E1104" t="s">
        <v>329</v>
      </c>
      <c r="F1104" t="s">
        <v>3248</v>
      </c>
      <c r="G1104" t="s">
        <v>3398</v>
      </c>
      <c r="H1104" s="15">
        <v>46071</v>
      </c>
      <c r="I1104" t="s">
        <v>3399</v>
      </c>
      <c r="J1104" t="s">
        <v>16</v>
      </c>
      <c r="K1104" t="s">
        <v>185</v>
      </c>
      <c r="N1104">
        <v>0</v>
      </c>
      <c r="O1104" t="s">
        <v>222</v>
      </c>
      <c r="P1104">
        <v>0</v>
      </c>
      <c r="U1104" s="15"/>
    </row>
    <row r="1105" spans="1:21" x14ac:dyDescent="0.35">
      <c r="A1105" t="s">
        <v>14</v>
      </c>
      <c r="B1105" t="s">
        <v>3247</v>
      </c>
      <c r="C1105" t="s">
        <v>228</v>
      </c>
      <c r="D1105" t="s">
        <v>229</v>
      </c>
      <c r="E1105" t="s">
        <v>230</v>
      </c>
      <c r="F1105" t="s">
        <v>3248</v>
      </c>
      <c r="G1105" t="s">
        <v>3398</v>
      </c>
      <c r="H1105" s="15">
        <v>46071</v>
      </c>
      <c r="I1105" t="s">
        <v>3400</v>
      </c>
      <c r="J1105" t="s">
        <v>16</v>
      </c>
      <c r="K1105" t="s">
        <v>185</v>
      </c>
      <c r="N1105">
        <v>0</v>
      </c>
      <c r="O1105" t="s">
        <v>222</v>
      </c>
      <c r="P1105">
        <v>0</v>
      </c>
      <c r="U1105" s="15"/>
    </row>
    <row r="1106" spans="1:21" x14ac:dyDescent="0.35">
      <c r="A1106" t="s">
        <v>14</v>
      </c>
      <c r="B1106" t="s">
        <v>3247</v>
      </c>
      <c r="C1106" t="s">
        <v>327</v>
      </c>
      <c r="D1106" t="s">
        <v>328</v>
      </c>
      <c r="E1106" t="s">
        <v>329</v>
      </c>
      <c r="F1106" t="s">
        <v>3248</v>
      </c>
      <c r="G1106" t="s">
        <v>3401</v>
      </c>
      <c r="H1106" s="15">
        <v>46072</v>
      </c>
      <c r="I1106" t="s">
        <v>3402</v>
      </c>
      <c r="J1106" t="s">
        <v>16</v>
      </c>
      <c r="K1106" t="s">
        <v>185</v>
      </c>
      <c r="N1106">
        <v>0</v>
      </c>
      <c r="O1106" t="s">
        <v>222</v>
      </c>
      <c r="P1106">
        <v>0</v>
      </c>
      <c r="U1106" s="15"/>
    </row>
    <row r="1107" spans="1:21" x14ac:dyDescent="0.35">
      <c r="A1107" t="s">
        <v>14</v>
      </c>
      <c r="B1107" t="s">
        <v>3247</v>
      </c>
      <c r="C1107" t="s">
        <v>228</v>
      </c>
      <c r="D1107" t="s">
        <v>229</v>
      </c>
      <c r="E1107" t="s">
        <v>230</v>
      </c>
      <c r="F1107" t="s">
        <v>3248</v>
      </c>
      <c r="G1107" t="s">
        <v>3401</v>
      </c>
      <c r="H1107" s="15">
        <v>46072</v>
      </c>
      <c r="I1107" t="s">
        <v>3407</v>
      </c>
      <c r="J1107" t="s">
        <v>16</v>
      </c>
      <c r="K1107" t="s">
        <v>185</v>
      </c>
      <c r="N1107">
        <v>0</v>
      </c>
      <c r="O1107" t="s">
        <v>222</v>
      </c>
      <c r="P1107">
        <v>0</v>
      </c>
      <c r="U1107" s="15"/>
    </row>
    <row r="1108" spans="1:21" x14ac:dyDescent="0.35">
      <c r="A1108" t="s">
        <v>14</v>
      </c>
      <c r="B1108" t="s">
        <v>3247</v>
      </c>
      <c r="C1108" t="s">
        <v>327</v>
      </c>
      <c r="D1108" t="s">
        <v>328</v>
      </c>
      <c r="E1108" t="s">
        <v>329</v>
      </c>
      <c r="F1108" t="s">
        <v>3248</v>
      </c>
      <c r="G1108" t="s">
        <v>3408</v>
      </c>
      <c r="H1108" s="15">
        <v>46073</v>
      </c>
      <c r="I1108" t="s">
        <v>3409</v>
      </c>
      <c r="J1108" t="s">
        <v>16</v>
      </c>
      <c r="K1108" t="s">
        <v>185</v>
      </c>
      <c r="N1108">
        <v>0</v>
      </c>
      <c r="O1108" t="s">
        <v>222</v>
      </c>
      <c r="P1108">
        <v>0</v>
      </c>
      <c r="U1108" s="15"/>
    </row>
    <row r="1109" spans="1:21" x14ac:dyDescent="0.35">
      <c r="A1109" t="s">
        <v>14</v>
      </c>
      <c r="B1109" t="s">
        <v>3247</v>
      </c>
      <c r="C1109" t="s">
        <v>228</v>
      </c>
      <c r="D1109" t="s">
        <v>229</v>
      </c>
      <c r="E1109" t="s">
        <v>230</v>
      </c>
      <c r="F1109" t="s">
        <v>3248</v>
      </c>
      <c r="G1109" t="s">
        <v>3408</v>
      </c>
      <c r="H1109" s="15">
        <v>46073</v>
      </c>
      <c r="I1109" t="s">
        <v>3410</v>
      </c>
      <c r="J1109" t="s">
        <v>16</v>
      </c>
      <c r="K1109" t="s">
        <v>185</v>
      </c>
      <c r="N1109">
        <v>0</v>
      </c>
      <c r="O1109" t="s">
        <v>222</v>
      </c>
      <c r="P1109">
        <v>0</v>
      </c>
      <c r="U1109" s="15"/>
    </row>
    <row r="1110" spans="1:21" x14ac:dyDescent="0.35">
      <c r="A1110" t="s">
        <v>14</v>
      </c>
      <c r="B1110" t="s">
        <v>3247</v>
      </c>
      <c r="C1110" t="s">
        <v>327</v>
      </c>
      <c r="D1110" t="s">
        <v>328</v>
      </c>
      <c r="E1110" t="s">
        <v>329</v>
      </c>
      <c r="F1110" t="s">
        <v>3248</v>
      </c>
      <c r="G1110" t="s">
        <v>3416</v>
      </c>
      <c r="H1110" s="15">
        <v>46076</v>
      </c>
      <c r="I1110" t="s">
        <v>3417</v>
      </c>
      <c r="J1110" t="s">
        <v>16</v>
      </c>
      <c r="K1110" t="s">
        <v>185</v>
      </c>
      <c r="N1110">
        <v>0</v>
      </c>
      <c r="O1110" t="s">
        <v>222</v>
      </c>
      <c r="P1110">
        <v>0</v>
      </c>
      <c r="U1110" s="15"/>
    </row>
    <row r="1111" spans="1:21" x14ac:dyDescent="0.35">
      <c r="A1111" t="s">
        <v>14</v>
      </c>
      <c r="B1111" t="s">
        <v>3247</v>
      </c>
      <c r="C1111" t="s">
        <v>228</v>
      </c>
      <c r="D1111" t="s">
        <v>229</v>
      </c>
      <c r="E1111" t="s">
        <v>230</v>
      </c>
      <c r="F1111" t="s">
        <v>3248</v>
      </c>
      <c r="G1111" t="s">
        <v>3416</v>
      </c>
      <c r="H1111" s="15">
        <v>46076</v>
      </c>
      <c r="I1111" t="s">
        <v>3418</v>
      </c>
      <c r="J1111" t="s">
        <v>16</v>
      </c>
      <c r="K1111" t="s">
        <v>185</v>
      </c>
      <c r="N1111">
        <v>0</v>
      </c>
      <c r="O1111" t="s">
        <v>222</v>
      </c>
      <c r="P1111">
        <v>0</v>
      </c>
      <c r="U1111" s="15"/>
    </row>
    <row r="1112" spans="1:21" x14ac:dyDescent="0.35">
      <c r="A1112" t="s">
        <v>14</v>
      </c>
      <c r="B1112" t="s">
        <v>3247</v>
      </c>
      <c r="C1112" t="s">
        <v>320</v>
      </c>
      <c r="D1112" t="s">
        <v>321</v>
      </c>
      <c r="E1112" t="s">
        <v>322</v>
      </c>
      <c r="F1112" t="s">
        <v>3248</v>
      </c>
      <c r="G1112" t="s">
        <v>3424</v>
      </c>
      <c r="H1112" s="15">
        <v>46077</v>
      </c>
      <c r="I1112" t="s">
        <v>3425</v>
      </c>
      <c r="J1112" t="s">
        <v>16</v>
      </c>
      <c r="K1112" t="s">
        <v>185</v>
      </c>
      <c r="N1112">
        <v>0</v>
      </c>
      <c r="O1112" t="s">
        <v>222</v>
      </c>
      <c r="P1112">
        <v>0</v>
      </c>
      <c r="U1112" s="15"/>
    </row>
    <row r="1113" spans="1:21" x14ac:dyDescent="0.35">
      <c r="A1113" t="s">
        <v>14</v>
      </c>
      <c r="B1113" t="s">
        <v>3247</v>
      </c>
      <c r="C1113" t="s">
        <v>234</v>
      </c>
      <c r="D1113" t="s">
        <v>235</v>
      </c>
      <c r="E1113" t="s">
        <v>236</v>
      </c>
      <c r="F1113" t="s">
        <v>3248</v>
      </c>
      <c r="G1113" t="s">
        <v>3424</v>
      </c>
      <c r="H1113" s="15">
        <v>46077</v>
      </c>
      <c r="I1113" t="s">
        <v>3426</v>
      </c>
      <c r="J1113" t="s">
        <v>16</v>
      </c>
      <c r="K1113" t="s">
        <v>185</v>
      </c>
      <c r="N1113">
        <v>0</v>
      </c>
      <c r="O1113" t="s">
        <v>222</v>
      </c>
      <c r="P1113">
        <v>0</v>
      </c>
      <c r="U1113" s="15"/>
    </row>
    <row r="1114" spans="1:21" x14ac:dyDescent="0.35">
      <c r="A1114" t="s">
        <v>14</v>
      </c>
      <c r="B1114" t="s">
        <v>3247</v>
      </c>
      <c r="C1114" t="s">
        <v>320</v>
      </c>
      <c r="D1114" t="s">
        <v>321</v>
      </c>
      <c r="E1114" t="s">
        <v>322</v>
      </c>
      <c r="F1114" t="s">
        <v>3248</v>
      </c>
      <c r="G1114" t="s">
        <v>3427</v>
      </c>
      <c r="H1114" s="15">
        <v>46078</v>
      </c>
      <c r="I1114" t="s">
        <v>3428</v>
      </c>
      <c r="J1114" t="s">
        <v>16</v>
      </c>
      <c r="K1114" t="s">
        <v>185</v>
      </c>
      <c r="N1114">
        <v>0</v>
      </c>
      <c r="O1114" t="s">
        <v>222</v>
      </c>
      <c r="P1114">
        <v>0</v>
      </c>
      <c r="U1114" s="15"/>
    </row>
    <row r="1115" spans="1:21" x14ac:dyDescent="0.35">
      <c r="A1115" t="s">
        <v>14</v>
      </c>
      <c r="B1115" t="s">
        <v>3247</v>
      </c>
      <c r="C1115" t="s">
        <v>234</v>
      </c>
      <c r="D1115" t="s">
        <v>235</v>
      </c>
      <c r="E1115" t="s">
        <v>236</v>
      </c>
      <c r="F1115" t="s">
        <v>3248</v>
      </c>
      <c r="G1115" t="s">
        <v>3427</v>
      </c>
      <c r="H1115" s="15">
        <v>46078</v>
      </c>
      <c r="I1115" t="s">
        <v>3429</v>
      </c>
      <c r="J1115" t="s">
        <v>16</v>
      </c>
      <c r="K1115" t="s">
        <v>185</v>
      </c>
      <c r="N1115">
        <v>0</v>
      </c>
      <c r="O1115" t="s">
        <v>222</v>
      </c>
      <c r="P1115">
        <v>0</v>
      </c>
      <c r="U1115" s="15"/>
    </row>
    <row r="1116" spans="1:21" x14ac:dyDescent="0.35">
      <c r="A1116" t="s">
        <v>14</v>
      </c>
      <c r="B1116" t="s">
        <v>3247</v>
      </c>
      <c r="C1116" t="s">
        <v>320</v>
      </c>
      <c r="D1116" t="s">
        <v>321</v>
      </c>
      <c r="E1116" t="s">
        <v>322</v>
      </c>
      <c r="F1116" t="s">
        <v>3248</v>
      </c>
      <c r="G1116" t="s">
        <v>3436</v>
      </c>
      <c r="H1116" s="15">
        <v>46079</v>
      </c>
      <c r="I1116" t="s">
        <v>3437</v>
      </c>
      <c r="J1116" t="s">
        <v>16</v>
      </c>
      <c r="K1116" t="s">
        <v>185</v>
      </c>
      <c r="N1116">
        <v>0</v>
      </c>
      <c r="O1116" t="s">
        <v>222</v>
      </c>
      <c r="P1116">
        <v>0</v>
      </c>
      <c r="U1116" s="15"/>
    </row>
    <row r="1117" spans="1:21" x14ac:dyDescent="0.35">
      <c r="A1117" t="s">
        <v>14</v>
      </c>
      <c r="B1117" t="s">
        <v>3247</v>
      </c>
      <c r="C1117" t="s">
        <v>234</v>
      </c>
      <c r="D1117" t="s">
        <v>235</v>
      </c>
      <c r="E1117" t="s">
        <v>236</v>
      </c>
      <c r="F1117" t="s">
        <v>3248</v>
      </c>
      <c r="G1117" t="s">
        <v>3436</v>
      </c>
      <c r="H1117" s="15">
        <v>46079</v>
      </c>
      <c r="I1117" t="s">
        <v>3438</v>
      </c>
      <c r="J1117" t="s">
        <v>16</v>
      </c>
      <c r="K1117" t="s">
        <v>185</v>
      </c>
      <c r="N1117">
        <v>0</v>
      </c>
      <c r="O1117" t="s">
        <v>222</v>
      </c>
      <c r="P1117">
        <v>0</v>
      </c>
      <c r="U1117" s="15"/>
    </row>
    <row r="1118" spans="1:21" x14ac:dyDescent="0.35">
      <c r="A1118" t="s">
        <v>14</v>
      </c>
      <c r="B1118" t="s">
        <v>3247</v>
      </c>
      <c r="C1118" t="s">
        <v>320</v>
      </c>
      <c r="D1118" t="s">
        <v>321</v>
      </c>
      <c r="E1118" t="s">
        <v>322</v>
      </c>
      <c r="F1118" t="s">
        <v>3248</v>
      </c>
      <c r="G1118" t="s">
        <v>3454</v>
      </c>
      <c r="H1118" s="15">
        <v>46080</v>
      </c>
      <c r="I1118" t="s">
        <v>3455</v>
      </c>
      <c r="J1118" t="s">
        <v>16</v>
      </c>
      <c r="K1118" t="s">
        <v>185</v>
      </c>
      <c r="N1118">
        <v>0</v>
      </c>
      <c r="O1118" t="s">
        <v>222</v>
      </c>
      <c r="P1118">
        <v>0</v>
      </c>
      <c r="U1118" s="15"/>
    </row>
    <row r="1119" spans="1:21" x14ac:dyDescent="0.35">
      <c r="A1119" t="s">
        <v>14</v>
      </c>
      <c r="B1119" t="s">
        <v>3247</v>
      </c>
      <c r="C1119" t="s">
        <v>234</v>
      </c>
      <c r="D1119" t="s">
        <v>235</v>
      </c>
      <c r="E1119" t="s">
        <v>236</v>
      </c>
      <c r="F1119" t="s">
        <v>3248</v>
      </c>
      <c r="G1119" t="s">
        <v>3454</v>
      </c>
      <c r="H1119" s="15">
        <v>46080</v>
      </c>
      <c r="I1119" t="s">
        <v>3456</v>
      </c>
      <c r="J1119" t="s">
        <v>16</v>
      </c>
      <c r="K1119" t="s">
        <v>185</v>
      </c>
      <c r="N1119">
        <v>0</v>
      </c>
      <c r="O1119" t="s">
        <v>222</v>
      </c>
      <c r="P1119">
        <v>0</v>
      </c>
      <c r="U1119" s="15"/>
    </row>
    <row r="1120" spans="1:21" x14ac:dyDescent="0.35">
      <c r="A1120" t="s">
        <v>14</v>
      </c>
      <c r="B1120" t="s">
        <v>3247</v>
      </c>
      <c r="C1120" t="s">
        <v>320</v>
      </c>
      <c r="D1120" t="s">
        <v>321</v>
      </c>
      <c r="E1120" t="s">
        <v>322</v>
      </c>
      <c r="F1120" t="s">
        <v>3248</v>
      </c>
      <c r="G1120" t="s">
        <v>3457</v>
      </c>
      <c r="H1120" s="15">
        <v>46083</v>
      </c>
      <c r="I1120" t="s">
        <v>3458</v>
      </c>
      <c r="J1120" t="s">
        <v>16</v>
      </c>
      <c r="K1120" t="s">
        <v>185</v>
      </c>
      <c r="N1120">
        <v>0</v>
      </c>
      <c r="O1120" t="s">
        <v>222</v>
      </c>
      <c r="P1120">
        <v>0</v>
      </c>
      <c r="U1120" s="15"/>
    </row>
    <row r="1121" spans="1:21" x14ac:dyDescent="0.35">
      <c r="A1121" t="s">
        <v>14</v>
      </c>
      <c r="B1121" t="s">
        <v>3247</v>
      </c>
      <c r="C1121" t="s">
        <v>234</v>
      </c>
      <c r="D1121" t="s">
        <v>235</v>
      </c>
      <c r="E1121" t="s">
        <v>236</v>
      </c>
      <c r="F1121" t="s">
        <v>3248</v>
      </c>
      <c r="G1121" t="s">
        <v>3457</v>
      </c>
      <c r="H1121" s="15">
        <v>46083</v>
      </c>
      <c r="I1121" t="s">
        <v>3463</v>
      </c>
      <c r="J1121" t="s">
        <v>16</v>
      </c>
      <c r="K1121" t="s">
        <v>185</v>
      </c>
      <c r="N1121">
        <v>0</v>
      </c>
      <c r="O1121" t="s">
        <v>222</v>
      </c>
      <c r="P1121">
        <v>0</v>
      </c>
      <c r="U1121" s="15"/>
    </row>
    <row r="1122" spans="1:21" x14ac:dyDescent="0.35">
      <c r="A1122" t="s">
        <v>14</v>
      </c>
      <c r="B1122" t="s">
        <v>3247</v>
      </c>
      <c r="C1122" t="s">
        <v>320</v>
      </c>
      <c r="D1122" t="s">
        <v>321</v>
      </c>
      <c r="E1122" t="s">
        <v>322</v>
      </c>
      <c r="F1122" t="s">
        <v>3248</v>
      </c>
      <c r="G1122" t="s">
        <v>3464</v>
      </c>
      <c r="H1122" s="15">
        <v>46085</v>
      </c>
      <c r="I1122" t="s">
        <v>3465</v>
      </c>
      <c r="J1122" t="s">
        <v>16</v>
      </c>
      <c r="K1122" t="s">
        <v>185</v>
      </c>
      <c r="N1122">
        <v>0</v>
      </c>
      <c r="O1122" t="s">
        <v>222</v>
      </c>
      <c r="P1122">
        <v>0</v>
      </c>
      <c r="U1122" s="15"/>
    </row>
    <row r="1123" spans="1:21" x14ac:dyDescent="0.35">
      <c r="A1123" t="s">
        <v>14</v>
      </c>
      <c r="B1123" t="s">
        <v>3247</v>
      </c>
      <c r="C1123" t="s">
        <v>234</v>
      </c>
      <c r="D1123" t="s">
        <v>235</v>
      </c>
      <c r="E1123" t="s">
        <v>236</v>
      </c>
      <c r="F1123" t="s">
        <v>3248</v>
      </c>
      <c r="G1123" t="s">
        <v>3464</v>
      </c>
      <c r="H1123" s="15">
        <v>46085</v>
      </c>
      <c r="I1123" t="s">
        <v>3466</v>
      </c>
      <c r="J1123" t="s">
        <v>16</v>
      </c>
      <c r="K1123" t="s">
        <v>185</v>
      </c>
      <c r="N1123">
        <v>0</v>
      </c>
      <c r="O1123" t="s">
        <v>222</v>
      </c>
      <c r="P1123">
        <v>0</v>
      </c>
      <c r="U1123" s="15"/>
    </row>
    <row r="1124" spans="1:21" x14ac:dyDescent="0.35">
      <c r="A1124" t="s">
        <v>14</v>
      </c>
      <c r="B1124" t="s">
        <v>3247</v>
      </c>
      <c r="C1124" t="s">
        <v>320</v>
      </c>
      <c r="D1124" t="s">
        <v>321</v>
      </c>
      <c r="E1124" t="s">
        <v>322</v>
      </c>
      <c r="F1124" t="s">
        <v>3248</v>
      </c>
      <c r="G1124" t="s">
        <v>3474</v>
      </c>
      <c r="H1124" s="15">
        <v>46086</v>
      </c>
      <c r="I1124" t="s">
        <v>3475</v>
      </c>
      <c r="J1124" t="s">
        <v>16</v>
      </c>
      <c r="K1124" t="s">
        <v>185</v>
      </c>
      <c r="N1124">
        <v>0</v>
      </c>
      <c r="O1124" t="s">
        <v>222</v>
      </c>
      <c r="P1124">
        <v>0</v>
      </c>
      <c r="U1124" s="15"/>
    </row>
    <row r="1125" spans="1:21" x14ac:dyDescent="0.35">
      <c r="A1125" t="s">
        <v>14</v>
      </c>
      <c r="B1125" t="s">
        <v>3247</v>
      </c>
      <c r="C1125" t="s">
        <v>234</v>
      </c>
      <c r="D1125" t="s">
        <v>235</v>
      </c>
      <c r="E1125" t="s">
        <v>236</v>
      </c>
      <c r="F1125" t="s">
        <v>3248</v>
      </c>
      <c r="G1125" t="s">
        <v>3474</v>
      </c>
      <c r="H1125" s="15">
        <v>46086</v>
      </c>
      <c r="I1125" t="s">
        <v>3476</v>
      </c>
      <c r="J1125" t="s">
        <v>16</v>
      </c>
      <c r="K1125" t="s">
        <v>185</v>
      </c>
      <c r="N1125">
        <v>0</v>
      </c>
      <c r="O1125" t="s">
        <v>222</v>
      </c>
      <c r="P1125">
        <v>0</v>
      </c>
      <c r="U1125" s="15"/>
    </row>
    <row r="1126" spans="1:21" x14ac:dyDescent="0.35">
      <c r="A1126" t="s">
        <v>14</v>
      </c>
      <c r="B1126" t="s">
        <v>3247</v>
      </c>
      <c r="C1126" t="s">
        <v>320</v>
      </c>
      <c r="D1126" t="s">
        <v>321</v>
      </c>
      <c r="E1126" t="s">
        <v>322</v>
      </c>
      <c r="F1126" t="s">
        <v>3248</v>
      </c>
      <c r="G1126" t="s">
        <v>3477</v>
      </c>
      <c r="H1126" s="15">
        <v>46087</v>
      </c>
      <c r="I1126" t="s">
        <v>3478</v>
      </c>
      <c r="J1126" t="s">
        <v>16</v>
      </c>
      <c r="K1126" t="s">
        <v>185</v>
      </c>
      <c r="N1126">
        <v>0</v>
      </c>
      <c r="O1126" t="s">
        <v>222</v>
      </c>
      <c r="P1126">
        <v>0</v>
      </c>
      <c r="U1126" s="15"/>
    </row>
    <row r="1127" spans="1:21" x14ac:dyDescent="0.35">
      <c r="A1127" t="s">
        <v>14</v>
      </c>
      <c r="B1127" t="s">
        <v>3247</v>
      </c>
      <c r="C1127" t="s">
        <v>234</v>
      </c>
      <c r="D1127" t="s">
        <v>235</v>
      </c>
      <c r="E1127" t="s">
        <v>236</v>
      </c>
      <c r="F1127" t="s">
        <v>3248</v>
      </c>
      <c r="G1127" t="s">
        <v>3477</v>
      </c>
      <c r="H1127" s="15">
        <v>46087</v>
      </c>
      <c r="I1127" t="s">
        <v>3487</v>
      </c>
      <c r="J1127" t="s">
        <v>16</v>
      </c>
      <c r="K1127" t="s">
        <v>185</v>
      </c>
      <c r="N1127">
        <v>0</v>
      </c>
      <c r="O1127" t="s">
        <v>222</v>
      </c>
      <c r="P1127">
        <v>0</v>
      </c>
      <c r="U1127" s="15"/>
    </row>
    <row r="1128" spans="1:21" x14ac:dyDescent="0.35">
      <c r="A1128" t="s">
        <v>14</v>
      </c>
      <c r="B1128" t="s">
        <v>3247</v>
      </c>
      <c r="C1128" t="s">
        <v>3488</v>
      </c>
      <c r="D1128" t="s">
        <v>3489</v>
      </c>
      <c r="E1128" t="s">
        <v>3490</v>
      </c>
      <c r="F1128" t="s">
        <v>3248</v>
      </c>
      <c r="G1128" t="s">
        <v>3491</v>
      </c>
      <c r="H1128" s="15">
        <v>46091</v>
      </c>
      <c r="I1128" t="s">
        <v>3492</v>
      </c>
      <c r="J1128" t="s">
        <v>16</v>
      </c>
      <c r="K1128" t="s">
        <v>185</v>
      </c>
      <c r="N1128">
        <v>0</v>
      </c>
      <c r="O1128" t="s">
        <v>222</v>
      </c>
      <c r="P1128">
        <v>0</v>
      </c>
      <c r="U1128" s="15"/>
    </row>
    <row r="1129" spans="1:21" x14ac:dyDescent="0.35">
      <c r="A1129" t="s">
        <v>14</v>
      </c>
      <c r="B1129" t="s">
        <v>3247</v>
      </c>
      <c r="C1129" t="s">
        <v>3493</v>
      </c>
      <c r="D1129" t="s">
        <v>3494</v>
      </c>
      <c r="E1129" t="s">
        <v>3495</v>
      </c>
      <c r="F1129" t="s">
        <v>3248</v>
      </c>
      <c r="G1129" t="s">
        <v>3491</v>
      </c>
      <c r="H1129" s="15">
        <v>46091</v>
      </c>
      <c r="I1129" t="s">
        <v>3496</v>
      </c>
      <c r="J1129" t="s">
        <v>16</v>
      </c>
      <c r="K1129" t="s">
        <v>185</v>
      </c>
      <c r="N1129">
        <v>0</v>
      </c>
      <c r="O1129" t="s">
        <v>222</v>
      </c>
      <c r="P1129">
        <v>0</v>
      </c>
      <c r="U1129" s="15"/>
    </row>
    <row r="1130" spans="1:21" x14ac:dyDescent="0.35">
      <c r="A1130" t="s">
        <v>14</v>
      </c>
      <c r="B1130" t="s">
        <v>3247</v>
      </c>
      <c r="C1130" t="s">
        <v>234</v>
      </c>
      <c r="D1130" t="s">
        <v>235</v>
      </c>
      <c r="E1130" t="s">
        <v>236</v>
      </c>
      <c r="F1130" t="s">
        <v>3248</v>
      </c>
      <c r="G1130" t="s">
        <v>3491</v>
      </c>
      <c r="H1130" s="15">
        <v>46091</v>
      </c>
      <c r="I1130" t="s">
        <v>3497</v>
      </c>
      <c r="J1130" t="s">
        <v>16</v>
      </c>
      <c r="K1130" t="s">
        <v>185</v>
      </c>
      <c r="N1130">
        <v>0</v>
      </c>
      <c r="O1130" t="s">
        <v>222</v>
      </c>
      <c r="P1130">
        <v>0</v>
      </c>
      <c r="U1130" s="15"/>
    </row>
    <row r="1131" spans="1:21" x14ac:dyDescent="0.35">
      <c r="A1131" t="s">
        <v>14</v>
      </c>
      <c r="B1131" t="s">
        <v>3247</v>
      </c>
      <c r="C1131" t="s">
        <v>320</v>
      </c>
      <c r="D1131" t="s">
        <v>321</v>
      </c>
      <c r="E1131" t="s">
        <v>322</v>
      </c>
      <c r="F1131" t="s">
        <v>3248</v>
      </c>
      <c r="G1131" t="s">
        <v>3502</v>
      </c>
      <c r="H1131" s="15">
        <v>46092</v>
      </c>
      <c r="I1131" t="s">
        <v>3503</v>
      </c>
      <c r="J1131" t="s">
        <v>16</v>
      </c>
      <c r="K1131" t="s">
        <v>185</v>
      </c>
      <c r="N1131">
        <v>0</v>
      </c>
      <c r="O1131" t="s">
        <v>222</v>
      </c>
      <c r="P1131">
        <v>0</v>
      </c>
      <c r="U1131" s="15"/>
    </row>
    <row r="1132" spans="1:21" x14ac:dyDescent="0.35">
      <c r="A1132" t="s">
        <v>14</v>
      </c>
      <c r="B1132" t="s">
        <v>3247</v>
      </c>
      <c r="C1132" t="s">
        <v>234</v>
      </c>
      <c r="D1132" t="s">
        <v>235</v>
      </c>
      <c r="E1132" t="s">
        <v>236</v>
      </c>
      <c r="F1132" t="s">
        <v>3248</v>
      </c>
      <c r="G1132" t="s">
        <v>3502</v>
      </c>
      <c r="H1132" s="15">
        <v>46092</v>
      </c>
      <c r="I1132" t="s">
        <v>3504</v>
      </c>
      <c r="J1132" t="s">
        <v>16</v>
      </c>
      <c r="K1132" t="s">
        <v>185</v>
      </c>
      <c r="N1132">
        <v>0</v>
      </c>
      <c r="O1132" t="s">
        <v>222</v>
      </c>
      <c r="P1132">
        <v>0</v>
      </c>
      <c r="U1132" s="15"/>
    </row>
    <row r="1133" spans="1:21" x14ac:dyDescent="0.35">
      <c r="A1133" t="s">
        <v>14</v>
      </c>
      <c r="B1133" t="s">
        <v>3247</v>
      </c>
      <c r="C1133" t="s">
        <v>234</v>
      </c>
      <c r="D1133" t="s">
        <v>235</v>
      </c>
      <c r="E1133" t="s">
        <v>236</v>
      </c>
      <c r="F1133" t="s">
        <v>3248</v>
      </c>
      <c r="G1133" t="s">
        <v>3505</v>
      </c>
      <c r="H1133" s="15">
        <v>46093</v>
      </c>
      <c r="I1133" t="s">
        <v>3506</v>
      </c>
      <c r="J1133" t="s">
        <v>16</v>
      </c>
      <c r="K1133" t="s">
        <v>185</v>
      </c>
      <c r="N1133">
        <v>0</v>
      </c>
      <c r="O1133" t="s">
        <v>222</v>
      </c>
      <c r="P1133">
        <v>0</v>
      </c>
      <c r="U1133" s="15"/>
    </row>
    <row r="1134" spans="1:21" x14ac:dyDescent="0.35">
      <c r="A1134" t="s">
        <v>14</v>
      </c>
      <c r="B1134" t="s">
        <v>3247</v>
      </c>
      <c r="C1134" t="s">
        <v>320</v>
      </c>
      <c r="D1134" t="s">
        <v>321</v>
      </c>
      <c r="E1134" t="s">
        <v>322</v>
      </c>
      <c r="F1134" t="s">
        <v>3248</v>
      </c>
      <c r="G1134" t="s">
        <v>3505</v>
      </c>
      <c r="H1134" s="15">
        <v>46093</v>
      </c>
      <c r="I1134" t="s">
        <v>3507</v>
      </c>
      <c r="J1134" t="s">
        <v>16</v>
      </c>
      <c r="K1134" t="s">
        <v>185</v>
      </c>
      <c r="N1134">
        <v>0</v>
      </c>
      <c r="O1134" t="s">
        <v>222</v>
      </c>
      <c r="P1134">
        <v>0</v>
      </c>
      <c r="U1134" s="15"/>
    </row>
    <row r="1135" spans="1:21" x14ac:dyDescent="0.35">
      <c r="A1135" t="s">
        <v>14</v>
      </c>
      <c r="B1135" t="s">
        <v>3247</v>
      </c>
      <c r="C1135" t="s">
        <v>234</v>
      </c>
      <c r="D1135" t="s">
        <v>235</v>
      </c>
      <c r="E1135" t="s">
        <v>236</v>
      </c>
      <c r="F1135" t="s">
        <v>3248</v>
      </c>
      <c r="G1135" t="s">
        <v>3514</v>
      </c>
      <c r="H1135" s="15">
        <v>46094</v>
      </c>
      <c r="I1135" t="s">
        <v>3515</v>
      </c>
      <c r="J1135" t="s">
        <v>16</v>
      </c>
      <c r="K1135" t="s">
        <v>185</v>
      </c>
      <c r="N1135">
        <v>0</v>
      </c>
      <c r="O1135" t="s">
        <v>222</v>
      </c>
      <c r="P1135">
        <v>0</v>
      </c>
      <c r="U1135" s="15"/>
    </row>
    <row r="1136" spans="1:21" x14ac:dyDescent="0.35">
      <c r="A1136" t="s">
        <v>14</v>
      </c>
      <c r="B1136" t="s">
        <v>3247</v>
      </c>
      <c r="C1136" t="s">
        <v>320</v>
      </c>
      <c r="D1136" t="s">
        <v>321</v>
      </c>
      <c r="E1136" t="s">
        <v>322</v>
      </c>
      <c r="F1136" t="s">
        <v>3248</v>
      </c>
      <c r="G1136" t="s">
        <v>3514</v>
      </c>
      <c r="H1136" s="15">
        <v>46094</v>
      </c>
      <c r="I1136" t="s">
        <v>3516</v>
      </c>
      <c r="J1136" t="s">
        <v>16</v>
      </c>
      <c r="K1136" t="s">
        <v>185</v>
      </c>
      <c r="N1136">
        <v>0</v>
      </c>
      <c r="O1136" t="s">
        <v>222</v>
      </c>
      <c r="P1136">
        <v>0</v>
      </c>
      <c r="U1136" s="15"/>
    </row>
    <row r="1137" spans="1:21" x14ac:dyDescent="0.35">
      <c r="A1137" t="s">
        <v>14</v>
      </c>
      <c r="B1137" t="s">
        <v>3247</v>
      </c>
      <c r="C1137" t="s">
        <v>234</v>
      </c>
      <c r="D1137" t="s">
        <v>235</v>
      </c>
      <c r="E1137" t="s">
        <v>236</v>
      </c>
      <c r="F1137" t="s">
        <v>3248</v>
      </c>
      <c r="G1137" t="s">
        <v>3517</v>
      </c>
      <c r="H1137" s="15">
        <v>46094</v>
      </c>
      <c r="I1137" t="s">
        <v>3518</v>
      </c>
      <c r="J1137" t="s">
        <v>233</v>
      </c>
      <c r="K1137" t="s">
        <v>185</v>
      </c>
      <c r="N1137">
        <v>0</v>
      </c>
      <c r="O1137" t="s">
        <v>222</v>
      </c>
      <c r="P1137">
        <v>0</v>
      </c>
      <c r="U1137" s="15"/>
    </row>
    <row r="1138" spans="1:21" x14ac:dyDescent="0.35">
      <c r="A1138" t="s">
        <v>14</v>
      </c>
      <c r="B1138" t="s">
        <v>3247</v>
      </c>
      <c r="C1138" t="s">
        <v>234</v>
      </c>
      <c r="D1138" t="s">
        <v>235</v>
      </c>
      <c r="E1138" t="s">
        <v>236</v>
      </c>
      <c r="F1138" t="s">
        <v>3248</v>
      </c>
      <c r="G1138" t="s">
        <v>3519</v>
      </c>
      <c r="H1138" s="15">
        <v>46095</v>
      </c>
      <c r="I1138" t="s">
        <v>3520</v>
      </c>
      <c r="J1138" t="s">
        <v>16</v>
      </c>
      <c r="K1138" t="s">
        <v>185</v>
      </c>
      <c r="N1138">
        <v>0</v>
      </c>
      <c r="O1138" t="s">
        <v>222</v>
      </c>
      <c r="P1138">
        <v>0</v>
      </c>
      <c r="U1138" s="15"/>
    </row>
    <row r="1139" spans="1:21" x14ac:dyDescent="0.35">
      <c r="A1139" t="s">
        <v>14</v>
      </c>
      <c r="B1139" t="s">
        <v>3247</v>
      </c>
      <c r="C1139" t="s">
        <v>234</v>
      </c>
      <c r="D1139" t="s">
        <v>235</v>
      </c>
      <c r="E1139" t="s">
        <v>236</v>
      </c>
      <c r="F1139" t="s">
        <v>3248</v>
      </c>
      <c r="G1139" t="s">
        <v>3526</v>
      </c>
      <c r="H1139" s="15">
        <v>46097</v>
      </c>
      <c r="I1139" t="s">
        <v>3527</v>
      </c>
      <c r="J1139" t="s">
        <v>16</v>
      </c>
      <c r="K1139" t="s">
        <v>185</v>
      </c>
      <c r="N1139">
        <v>0</v>
      </c>
      <c r="O1139" t="s">
        <v>222</v>
      </c>
      <c r="P1139">
        <v>0</v>
      </c>
      <c r="U1139" s="15"/>
    </row>
    <row r="1140" spans="1:21" x14ac:dyDescent="0.35">
      <c r="A1140" t="s">
        <v>14</v>
      </c>
      <c r="B1140" t="s">
        <v>3247</v>
      </c>
      <c r="C1140" t="s">
        <v>320</v>
      </c>
      <c r="D1140" t="s">
        <v>321</v>
      </c>
      <c r="E1140" t="s">
        <v>322</v>
      </c>
      <c r="F1140" t="s">
        <v>3248</v>
      </c>
      <c r="G1140" t="s">
        <v>3526</v>
      </c>
      <c r="H1140" s="15">
        <v>46097</v>
      </c>
      <c r="I1140" t="s">
        <v>3528</v>
      </c>
      <c r="J1140" t="s">
        <v>16</v>
      </c>
      <c r="K1140" t="s">
        <v>185</v>
      </c>
      <c r="N1140">
        <v>0</v>
      </c>
      <c r="O1140" t="s">
        <v>222</v>
      </c>
      <c r="P1140">
        <v>0</v>
      </c>
      <c r="U1140" s="15"/>
    </row>
    <row r="1141" spans="1:21" x14ac:dyDescent="0.35">
      <c r="A1141" t="s">
        <v>14</v>
      </c>
      <c r="B1141" t="s">
        <v>3247</v>
      </c>
      <c r="C1141" t="s">
        <v>234</v>
      </c>
      <c r="D1141" t="s">
        <v>235</v>
      </c>
      <c r="E1141" t="s">
        <v>236</v>
      </c>
      <c r="F1141" t="s">
        <v>3248</v>
      </c>
      <c r="G1141" t="s">
        <v>3529</v>
      </c>
      <c r="H1141" s="15">
        <v>46097</v>
      </c>
      <c r="I1141" t="s">
        <v>3530</v>
      </c>
      <c r="J1141" t="s">
        <v>233</v>
      </c>
      <c r="K1141" t="s">
        <v>185</v>
      </c>
      <c r="N1141">
        <v>0</v>
      </c>
      <c r="O1141" t="s">
        <v>222</v>
      </c>
      <c r="P1141">
        <v>0</v>
      </c>
      <c r="U1141" s="15"/>
    </row>
    <row r="1142" spans="1:21" x14ac:dyDescent="0.35">
      <c r="A1142" t="s">
        <v>14</v>
      </c>
      <c r="B1142" t="s">
        <v>3247</v>
      </c>
      <c r="C1142" t="s">
        <v>234</v>
      </c>
      <c r="D1142" t="s">
        <v>235</v>
      </c>
      <c r="E1142" t="s">
        <v>236</v>
      </c>
      <c r="F1142" t="s">
        <v>3248</v>
      </c>
      <c r="G1142" t="s">
        <v>3538</v>
      </c>
      <c r="H1142" s="15">
        <v>46098</v>
      </c>
      <c r="I1142" t="s">
        <v>3539</v>
      </c>
      <c r="J1142" t="s">
        <v>16</v>
      </c>
      <c r="K1142" t="s">
        <v>185</v>
      </c>
      <c r="N1142">
        <v>0</v>
      </c>
      <c r="O1142" t="s">
        <v>222</v>
      </c>
      <c r="P1142">
        <v>0</v>
      </c>
      <c r="U1142" s="15"/>
    </row>
    <row r="1143" spans="1:21" x14ac:dyDescent="0.35">
      <c r="A1143" t="s">
        <v>14</v>
      </c>
      <c r="B1143" t="s">
        <v>3247</v>
      </c>
      <c r="C1143" t="s">
        <v>320</v>
      </c>
      <c r="D1143" t="s">
        <v>321</v>
      </c>
      <c r="E1143" t="s">
        <v>322</v>
      </c>
      <c r="F1143" t="s">
        <v>3248</v>
      </c>
      <c r="G1143" t="s">
        <v>3538</v>
      </c>
      <c r="H1143" s="15">
        <v>46098</v>
      </c>
      <c r="I1143" t="s">
        <v>3540</v>
      </c>
      <c r="J1143" t="s">
        <v>16</v>
      </c>
      <c r="K1143" t="s">
        <v>185</v>
      </c>
      <c r="N1143">
        <v>0</v>
      </c>
      <c r="O1143" t="s">
        <v>222</v>
      </c>
      <c r="P1143">
        <v>0</v>
      </c>
      <c r="U1143" s="15"/>
    </row>
    <row r="1144" spans="1:21" x14ac:dyDescent="0.35">
      <c r="A1144" t="s">
        <v>14</v>
      </c>
      <c r="B1144" t="s">
        <v>3247</v>
      </c>
      <c r="C1144" t="s">
        <v>234</v>
      </c>
      <c r="D1144" t="s">
        <v>235</v>
      </c>
      <c r="E1144" t="s">
        <v>236</v>
      </c>
      <c r="F1144" t="s">
        <v>3248</v>
      </c>
      <c r="G1144" t="s">
        <v>3541</v>
      </c>
      <c r="H1144" s="15">
        <v>46098</v>
      </c>
      <c r="I1144" t="s">
        <v>3542</v>
      </c>
      <c r="J1144" t="s">
        <v>233</v>
      </c>
      <c r="K1144" t="s">
        <v>185</v>
      </c>
      <c r="N1144">
        <v>0</v>
      </c>
      <c r="O1144" t="s">
        <v>222</v>
      </c>
      <c r="P1144">
        <v>0</v>
      </c>
      <c r="U1144" s="15"/>
    </row>
    <row r="1145" spans="1:21" x14ac:dyDescent="0.35">
      <c r="A1145" t="s">
        <v>14</v>
      </c>
      <c r="B1145" t="s">
        <v>3247</v>
      </c>
      <c r="C1145" t="s">
        <v>234</v>
      </c>
      <c r="D1145" t="s">
        <v>235</v>
      </c>
      <c r="E1145" t="s">
        <v>236</v>
      </c>
      <c r="F1145" t="s">
        <v>3248</v>
      </c>
      <c r="G1145" t="s">
        <v>3543</v>
      </c>
      <c r="H1145" s="15">
        <v>46099</v>
      </c>
      <c r="I1145" t="s">
        <v>3544</v>
      </c>
      <c r="J1145" t="s">
        <v>16</v>
      </c>
      <c r="K1145" t="s">
        <v>185</v>
      </c>
      <c r="N1145">
        <v>0</v>
      </c>
      <c r="O1145" t="s">
        <v>222</v>
      </c>
      <c r="P1145">
        <v>0</v>
      </c>
      <c r="U1145" s="15"/>
    </row>
    <row r="1146" spans="1:21" x14ac:dyDescent="0.35">
      <c r="A1146" t="s">
        <v>14</v>
      </c>
      <c r="B1146" t="s">
        <v>3247</v>
      </c>
      <c r="C1146" t="s">
        <v>234</v>
      </c>
      <c r="D1146" t="s">
        <v>235</v>
      </c>
      <c r="E1146" t="s">
        <v>236</v>
      </c>
      <c r="F1146" t="s">
        <v>3248</v>
      </c>
      <c r="G1146" t="s">
        <v>3550</v>
      </c>
      <c r="H1146" s="15">
        <v>46099</v>
      </c>
      <c r="I1146" t="s">
        <v>3551</v>
      </c>
      <c r="J1146" t="s">
        <v>233</v>
      </c>
      <c r="K1146" t="s">
        <v>185</v>
      </c>
      <c r="N1146">
        <v>0</v>
      </c>
      <c r="O1146" t="s">
        <v>222</v>
      </c>
      <c r="P1146">
        <v>0</v>
      </c>
      <c r="U1146" s="15"/>
    </row>
    <row r="1147" spans="1:21" x14ac:dyDescent="0.35">
      <c r="A1147" t="s">
        <v>14</v>
      </c>
      <c r="B1147" t="s">
        <v>3247</v>
      </c>
      <c r="C1147" t="s">
        <v>3287</v>
      </c>
      <c r="D1147" t="s">
        <v>3288</v>
      </c>
      <c r="E1147" t="s">
        <v>3289</v>
      </c>
      <c r="F1147" t="s">
        <v>3248</v>
      </c>
      <c r="G1147" t="s">
        <v>3552</v>
      </c>
      <c r="H1147" s="15">
        <v>46100</v>
      </c>
      <c r="I1147" t="s">
        <v>3553</v>
      </c>
      <c r="J1147" t="s">
        <v>16</v>
      </c>
      <c r="K1147" t="s">
        <v>185</v>
      </c>
      <c r="N1147">
        <v>0</v>
      </c>
      <c r="O1147" t="s">
        <v>222</v>
      </c>
      <c r="P1147">
        <v>0</v>
      </c>
      <c r="U1147" s="15"/>
    </row>
    <row r="1148" spans="1:21" x14ac:dyDescent="0.35">
      <c r="A1148" t="s">
        <v>14</v>
      </c>
      <c r="B1148" t="s">
        <v>3247</v>
      </c>
      <c r="C1148" t="s">
        <v>234</v>
      </c>
      <c r="D1148" t="s">
        <v>235</v>
      </c>
      <c r="E1148" t="s">
        <v>236</v>
      </c>
      <c r="F1148" t="s">
        <v>3248</v>
      </c>
      <c r="G1148" t="s">
        <v>3552</v>
      </c>
      <c r="H1148" s="15">
        <v>46100</v>
      </c>
      <c r="I1148" t="s">
        <v>3556</v>
      </c>
      <c r="J1148" t="s">
        <v>16</v>
      </c>
      <c r="K1148" t="s">
        <v>185</v>
      </c>
      <c r="N1148">
        <v>0</v>
      </c>
      <c r="O1148" t="s">
        <v>222</v>
      </c>
      <c r="P1148">
        <v>0</v>
      </c>
      <c r="U1148" s="15"/>
    </row>
    <row r="1149" spans="1:21" x14ac:dyDescent="0.35">
      <c r="A1149" t="s">
        <v>14</v>
      </c>
      <c r="B1149" t="s">
        <v>3247</v>
      </c>
      <c r="C1149" t="s">
        <v>320</v>
      </c>
      <c r="D1149" t="s">
        <v>321</v>
      </c>
      <c r="E1149" t="s">
        <v>322</v>
      </c>
      <c r="F1149" t="s">
        <v>3248</v>
      </c>
      <c r="G1149" t="s">
        <v>3552</v>
      </c>
      <c r="H1149" s="15">
        <v>46100</v>
      </c>
      <c r="I1149" t="s">
        <v>3557</v>
      </c>
      <c r="J1149" t="s">
        <v>16</v>
      </c>
      <c r="K1149" t="s">
        <v>185</v>
      </c>
      <c r="N1149">
        <v>0</v>
      </c>
      <c r="O1149" t="s">
        <v>222</v>
      </c>
      <c r="P1149">
        <v>0</v>
      </c>
      <c r="U1149" s="15"/>
    </row>
    <row r="1150" spans="1:21" x14ac:dyDescent="0.35">
      <c r="A1150" t="s">
        <v>14</v>
      </c>
      <c r="B1150" t="s">
        <v>3247</v>
      </c>
      <c r="C1150" t="s">
        <v>234</v>
      </c>
      <c r="D1150" t="s">
        <v>235</v>
      </c>
      <c r="E1150" t="s">
        <v>236</v>
      </c>
      <c r="F1150" t="s">
        <v>3248</v>
      </c>
      <c r="G1150" t="s">
        <v>3558</v>
      </c>
      <c r="H1150" s="15">
        <v>46100</v>
      </c>
      <c r="I1150" t="s">
        <v>3559</v>
      </c>
      <c r="J1150" t="s">
        <v>233</v>
      </c>
      <c r="K1150" t="s">
        <v>185</v>
      </c>
      <c r="N1150">
        <v>0</v>
      </c>
      <c r="O1150" t="s">
        <v>222</v>
      </c>
      <c r="P1150">
        <v>0</v>
      </c>
      <c r="U1150" s="15"/>
    </row>
    <row r="1151" spans="1:21" x14ac:dyDescent="0.35">
      <c r="A1151" t="s">
        <v>14</v>
      </c>
      <c r="B1151" t="s">
        <v>3247</v>
      </c>
      <c r="C1151" t="s">
        <v>234</v>
      </c>
      <c r="D1151" t="s">
        <v>235</v>
      </c>
      <c r="E1151" t="s">
        <v>236</v>
      </c>
      <c r="F1151" t="s">
        <v>3248</v>
      </c>
      <c r="G1151" t="s">
        <v>3563</v>
      </c>
      <c r="H1151" s="15">
        <v>46101</v>
      </c>
      <c r="I1151" t="s">
        <v>3564</v>
      </c>
      <c r="J1151" t="s">
        <v>16</v>
      </c>
      <c r="K1151" t="s">
        <v>185</v>
      </c>
      <c r="N1151">
        <v>0</v>
      </c>
      <c r="O1151" t="s">
        <v>222</v>
      </c>
      <c r="P1151">
        <v>0</v>
      </c>
      <c r="U1151" s="15"/>
    </row>
    <row r="1152" spans="1:21" x14ac:dyDescent="0.35">
      <c r="A1152" t="s">
        <v>14</v>
      </c>
      <c r="B1152" t="s">
        <v>3247</v>
      </c>
      <c r="C1152" t="s">
        <v>234</v>
      </c>
      <c r="D1152" t="s">
        <v>235</v>
      </c>
      <c r="E1152" t="s">
        <v>236</v>
      </c>
      <c r="F1152" t="s">
        <v>3248</v>
      </c>
      <c r="G1152" t="s">
        <v>3565</v>
      </c>
      <c r="H1152" s="15">
        <v>46104</v>
      </c>
      <c r="I1152" t="s">
        <v>3566</v>
      </c>
      <c r="J1152" t="s">
        <v>16</v>
      </c>
      <c r="K1152" t="s">
        <v>185</v>
      </c>
      <c r="N1152">
        <v>0</v>
      </c>
      <c r="O1152" t="s">
        <v>222</v>
      </c>
      <c r="P1152">
        <v>0</v>
      </c>
      <c r="U1152" s="15"/>
    </row>
    <row r="1153" spans="1:21" x14ac:dyDescent="0.35">
      <c r="A1153" t="s">
        <v>14</v>
      </c>
      <c r="B1153" t="s">
        <v>3247</v>
      </c>
      <c r="C1153" t="s">
        <v>320</v>
      </c>
      <c r="D1153" t="s">
        <v>321</v>
      </c>
      <c r="E1153" t="s">
        <v>322</v>
      </c>
      <c r="F1153" t="s">
        <v>3248</v>
      </c>
      <c r="G1153" t="s">
        <v>3565</v>
      </c>
      <c r="H1153" s="15">
        <v>46104</v>
      </c>
      <c r="I1153" t="s">
        <v>3567</v>
      </c>
      <c r="J1153" t="s">
        <v>16</v>
      </c>
      <c r="K1153" t="s">
        <v>185</v>
      </c>
      <c r="N1153">
        <v>0</v>
      </c>
      <c r="O1153" t="s">
        <v>222</v>
      </c>
      <c r="P1153">
        <v>0</v>
      </c>
      <c r="U1153" s="15"/>
    </row>
    <row r="1154" spans="1:21" x14ac:dyDescent="0.35">
      <c r="A1154" t="s">
        <v>14</v>
      </c>
      <c r="B1154" t="s">
        <v>3247</v>
      </c>
      <c r="C1154" t="s">
        <v>234</v>
      </c>
      <c r="D1154" t="s">
        <v>235</v>
      </c>
      <c r="E1154" t="s">
        <v>236</v>
      </c>
      <c r="F1154" t="s">
        <v>3248</v>
      </c>
      <c r="G1154" t="s">
        <v>3573</v>
      </c>
      <c r="H1154" s="15">
        <v>46104</v>
      </c>
      <c r="I1154" t="s">
        <v>3574</v>
      </c>
      <c r="J1154" t="s">
        <v>233</v>
      </c>
      <c r="K1154" t="s">
        <v>185</v>
      </c>
      <c r="N1154">
        <v>0</v>
      </c>
      <c r="O1154" t="s">
        <v>222</v>
      </c>
      <c r="P1154">
        <v>0</v>
      </c>
      <c r="U1154" s="15"/>
    </row>
    <row r="1155" spans="1:21" x14ac:dyDescent="0.35">
      <c r="A1155" t="s">
        <v>14</v>
      </c>
      <c r="B1155" t="s">
        <v>3247</v>
      </c>
      <c r="C1155" t="s">
        <v>234</v>
      </c>
      <c r="D1155" t="s">
        <v>235</v>
      </c>
      <c r="E1155" t="s">
        <v>236</v>
      </c>
      <c r="F1155" t="s">
        <v>3248</v>
      </c>
      <c r="G1155" t="s">
        <v>3575</v>
      </c>
      <c r="H1155" s="15">
        <v>46105</v>
      </c>
      <c r="I1155" t="s">
        <v>3576</v>
      </c>
      <c r="J1155" t="s">
        <v>16</v>
      </c>
      <c r="K1155" t="s">
        <v>185</v>
      </c>
      <c r="N1155">
        <v>0</v>
      </c>
      <c r="O1155" t="s">
        <v>222</v>
      </c>
      <c r="P1155">
        <v>0</v>
      </c>
      <c r="U1155" s="15"/>
    </row>
    <row r="1156" spans="1:21" x14ac:dyDescent="0.35">
      <c r="A1156" t="s">
        <v>14</v>
      </c>
      <c r="B1156" t="s">
        <v>3247</v>
      </c>
      <c r="C1156" t="s">
        <v>320</v>
      </c>
      <c r="D1156" t="s">
        <v>321</v>
      </c>
      <c r="E1156" t="s">
        <v>322</v>
      </c>
      <c r="F1156" t="s">
        <v>3248</v>
      </c>
      <c r="G1156" t="s">
        <v>3575</v>
      </c>
      <c r="H1156" s="15">
        <v>46105</v>
      </c>
      <c r="I1156" t="s">
        <v>3577</v>
      </c>
      <c r="J1156" t="s">
        <v>16</v>
      </c>
      <c r="K1156" t="s">
        <v>185</v>
      </c>
      <c r="N1156">
        <v>0</v>
      </c>
      <c r="O1156" t="s">
        <v>222</v>
      </c>
      <c r="P1156">
        <v>0</v>
      </c>
      <c r="U1156" s="15"/>
    </row>
    <row r="1157" spans="1:21" x14ac:dyDescent="0.35">
      <c r="A1157" t="s">
        <v>14</v>
      </c>
      <c r="B1157" t="s">
        <v>3247</v>
      </c>
      <c r="C1157" t="s">
        <v>234</v>
      </c>
      <c r="D1157" t="s">
        <v>235</v>
      </c>
      <c r="E1157" t="s">
        <v>236</v>
      </c>
      <c r="F1157" t="s">
        <v>3248</v>
      </c>
      <c r="G1157" t="s">
        <v>3586</v>
      </c>
      <c r="H1157" s="15">
        <v>46105</v>
      </c>
      <c r="I1157" t="s">
        <v>3587</v>
      </c>
      <c r="J1157" t="s">
        <v>233</v>
      </c>
      <c r="K1157" t="s">
        <v>185</v>
      </c>
      <c r="N1157">
        <v>0</v>
      </c>
      <c r="O1157" t="s">
        <v>222</v>
      </c>
      <c r="P1157">
        <v>0</v>
      </c>
      <c r="U1157" s="15"/>
    </row>
    <row r="1158" spans="1:21" x14ac:dyDescent="0.35">
      <c r="A1158" t="s">
        <v>14</v>
      </c>
      <c r="B1158" t="s">
        <v>3247</v>
      </c>
      <c r="C1158" t="s">
        <v>234</v>
      </c>
      <c r="D1158" t="s">
        <v>235</v>
      </c>
      <c r="E1158" t="s">
        <v>236</v>
      </c>
      <c r="F1158" t="s">
        <v>3248</v>
      </c>
      <c r="G1158" t="s">
        <v>3588</v>
      </c>
      <c r="H1158" s="15">
        <v>46106</v>
      </c>
      <c r="I1158" t="s">
        <v>3589</v>
      </c>
      <c r="J1158" t="s">
        <v>16</v>
      </c>
      <c r="K1158" t="s">
        <v>185</v>
      </c>
      <c r="N1158">
        <v>0</v>
      </c>
      <c r="O1158" t="s">
        <v>222</v>
      </c>
      <c r="P1158">
        <v>0</v>
      </c>
      <c r="U1158" s="15"/>
    </row>
    <row r="1159" spans="1:21" x14ac:dyDescent="0.35">
      <c r="A1159" t="s">
        <v>14</v>
      </c>
      <c r="B1159" t="s">
        <v>3247</v>
      </c>
      <c r="C1159" t="s">
        <v>320</v>
      </c>
      <c r="D1159" t="s">
        <v>321</v>
      </c>
      <c r="E1159" t="s">
        <v>322</v>
      </c>
      <c r="F1159" t="s">
        <v>3248</v>
      </c>
      <c r="G1159" t="s">
        <v>3588</v>
      </c>
      <c r="H1159" s="15">
        <v>46106</v>
      </c>
      <c r="I1159" t="s">
        <v>3590</v>
      </c>
      <c r="J1159" t="s">
        <v>16</v>
      </c>
      <c r="K1159" t="s">
        <v>185</v>
      </c>
      <c r="N1159">
        <v>0</v>
      </c>
      <c r="O1159" t="s">
        <v>222</v>
      </c>
      <c r="P1159">
        <v>0</v>
      </c>
      <c r="U1159" s="15"/>
    </row>
    <row r="1160" spans="1:21" x14ac:dyDescent="0.35">
      <c r="A1160" t="s">
        <v>14</v>
      </c>
      <c r="B1160" t="s">
        <v>3247</v>
      </c>
      <c r="C1160" t="s">
        <v>234</v>
      </c>
      <c r="D1160" t="s">
        <v>235</v>
      </c>
      <c r="E1160" t="s">
        <v>236</v>
      </c>
      <c r="F1160" t="s">
        <v>3248</v>
      </c>
      <c r="G1160" t="s">
        <v>3592</v>
      </c>
      <c r="H1160" s="15">
        <v>46106</v>
      </c>
      <c r="I1160" t="s">
        <v>3593</v>
      </c>
      <c r="J1160" t="s">
        <v>233</v>
      </c>
      <c r="K1160" t="s">
        <v>185</v>
      </c>
      <c r="N1160">
        <v>0</v>
      </c>
      <c r="O1160" t="s">
        <v>222</v>
      </c>
      <c r="P1160">
        <v>0</v>
      </c>
      <c r="U1160" s="15"/>
    </row>
    <row r="1161" spans="1:21" x14ac:dyDescent="0.35">
      <c r="A1161" t="s">
        <v>14</v>
      </c>
      <c r="B1161" t="s">
        <v>3247</v>
      </c>
      <c r="C1161" t="s">
        <v>234</v>
      </c>
      <c r="D1161" t="s">
        <v>235</v>
      </c>
      <c r="E1161" t="s">
        <v>236</v>
      </c>
      <c r="F1161" t="s">
        <v>3248</v>
      </c>
      <c r="G1161" t="s">
        <v>3594</v>
      </c>
      <c r="H1161" s="15">
        <v>46107</v>
      </c>
      <c r="I1161" t="s">
        <v>3595</v>
      </c>
      <c r="J1161" t="s">
        <v>16</v>
      </c>
      <c r="K1161" t="s">
        <v>185</v>
      </c>
      <c r="N1161">
        <v>0</v>
      </c>
      <c r="O1161" t="s">
        <v>222</v>
      </c>
      <c r="P1161">
        <v>0</v>
      </c>
      <c r="U1161" s="15"/>
    </row>
    <row r="1162" spans="1:21" x14ac:dyDescent="0.35">
      <c r="A1162" t="s">
        <v>14</v>
      </c>
      <c r="B1162" t="s">
        <v>3247</v>
      </c>
      <c r="C1162" t="s">
        <v>320</v>
      </c>
      <c r="D1162" t="s">
        <v>321</v>
      </c>
      <c r="E1162" t="s">
        <v>322</v>
      </c>
      <c r="F1162" t="s">
        <v>3248</v>
      </c>
      <c r="G1162" t="s">
        <v>3594</v>
      </c>
      <c r="H1162" s="15">
        <v>46107</v>
      </c>
      <c r="I1162" t="s">
        <v>3603</v>
      </c>
      <c r="J1162" t="s">
        <v>16</v>
      </c>
      <c r="K1162" t="s">
        <v>185</v>
      </c>
      <c r="N1162">
        <v>0</v>
      </c>
      <c r="O1162" t="s">
        <v>222</v>
      </c>
      <c r="P1162">
        <v>0</v>
      </c>
      <c r="U1162" s="15"/>
    </row>
    <row r="1163" spans="1:21" x14ac:dyDescent="0.35">
      <c r="A1163" t="s">
        <v>14</v>
      </c>
      <c r="B1163" t="s">
        <v>3247</v>
      </c>
      <c r="C1163" t="s">
        <v>234</v>
      </c>
      <c r="D1163" t="s">
        <v>235</v>
      </c>
      <c r="E1163" t="s">
        <v>236</v>
      </c>
      <c r="F1163" t="s">
        <v>3248</v>
      </c>
      <c r="G1163" t="s">
        <v>3604</v>
      </c>
      <c r="H1163" s="15">
        <v>46107</v>
      </c>
      <c r="I1163" t="s">
        <v>3605</v>
      </c>
      <c r="J1163" t="s">
        <v>233</v>
      </c>
      <c r="K1163" t="s">
        <v>185</v>
      </c>
      <c r="N1163">
        <v>0</v>
      </c>
      <c r="O1163" t="s">
        <v>222</v>
      </c>
      <c r="P1163">
        <v>0</v>
      </c>
      <c r="U1163" s="15"/>
    </row>
    <row r="1164" spans="1:21" x14ac:dyDescent="0.35">
      <c r="A1164" t="s">
        <v>14</v>
      </c>
      <c r="B1164" t="s">
        <v>3247</v>
      </c>
      <c r="C1164" t="s">
        <v>234</v>
      </c>
      <c r="D1164" t="s">
        <v>235</v>
      </c>
      <c r="E1164" t="s">
        <v>236</v>
      </c>
      <c r="F1164" t="s">
        <v>3248</v>
      </c>
      <c r="G1164" t="s">
        <v>3606</v>
      </c>
      <c r="H1164" s="15">
        <v>46108</v>
      </c>
      <c r="I1164" t="s">
        <v>3607</v>
      </c>
      <c r="J1164" t="s">
        <v>16</v>
      </c>
      <c r="K1164" t="s">
        <v>185</v>
      </c>
      <c r="N1164">
        <v>0</v>
      </c>
      <c r="O1164" t="s">
        <v>222</v>
      </c>
      <c r="P1164">
        <v>0</v>
      </c>
      <c r="U1164" s="15"/>
    </row>
    <row r="1165" spans="1:21" x14ac:dyDescent="0.35">
      <c r="A1165" t="s">
        <v>14</v>
      </c>
      <c r="B1165" t="s">
        <v>3247</v>
      </c>
      <c r="C1165" t="s">
        <v>320</v>
      </c>
      <c r="D1165" t="s">
        <v>321</v>
      </c>
      <c r="E1165" t="s">
        <v>322</v>
      </c>
      <c r="F1165" t="s">
        <v>3248</v>
      </c>
      <c r="G1165" t="s">
        <v>3606</v>
      </c>
      <c r="H1165" s="15">
        <v>46108</v>
      </c>
      <c r="I1165" t="s">
        <v>3610</v>
      </c>
      <c r="J1165" t="s">
        <v>16</v>
      </c>
      <c r="K1165" t="s">
        <v>185</v>
      </c>
      <c r="N1165">
        <v>0</v>
      </c>
      <c r="O1165" t="s">
        <v>222</v>
      </c>
      <c r="P1165">
        <v>0</v>
      </c>
      <c r="U1165" s="15"/>
    </row>
    <row r="1166" spans="1:21" x14ac:dyDescent="0.35">
      <c r="A1166" t="s">
        <v>14</v>
      </c>
      <c r="B1166" t="s">
        <v>3247</v>
      </c>
      <c r="C1166" t="s">
        <v>234</v>
      </c>
      <c r="D1166" t="s">
        <v>235</v>
      </c>
      <c r="E1166" t="s">
        <v>236</v>
      </c>
      <c r="F1166" t="s">
        <v>3248</v>
      </c>
      <c r="G1166" t="s">
        <v>3611</v>
      </c>
      <c r="H1166" s="15">
        <v>46108</v>
      </c>
      <c r="I1166" t="s">
        <v>3612</v>
      </c>
      <c r="J1166" t="s">
        <v>233</v>
      </c>
      <c r="K1166" t="s">
        <v>185</v>
      </c>
      <c r="N1166">
        <v>0</v>
      </c>
      <c r="O1166" t="s">
        <v>222</v>
      </c>
      <c r="P1166">
        <v>0</v>
      </c>
      <c r="U1166" s="15"/>
    </row>
    <row r="1167" spans="1:21" x14ac:dyDescent="0.35">
      <c r="A1167" t="s">
        <v>14</v>
      </c>
      <c r="B1167" t="s">
        <v>3247</v>
      </c>
      <c r="C1167" t="s">
        <v>234</v>
      </c>
      <c r="D1167" t="s">
        <v>235</v>
      </c>
      <c r="E1167" t="s">
        <v>236</v>
      </c>
      <c r="F1167" t="s">
        <v>3248</v>
      </c>
      <c r="G1167" t="s">
        <v>3613</v>
      </c>
      <c r="H1167" s="15">
        <v>46109</v>
      </c>
      <c r="I1167" t="s">
        <v>3614</v>
      </c>
      <c r="J1167" t="s">
        <v>16</v>
      </c>
      <c r="K1167" t="s">
        <v>185</v>
      </c>
      <c r="N1167">
        <v>0</v>
      </c>
      <c r="O1167" t="s">
        <v>222</v>
      </c>
      <c r="P1167">
        <v>0</v>
      </c>
      <c r="U1167" s="15"/>
    </row>
    <row r="1168" spans="1:21" x14ac:dyDescent="0.35">
      <c r="A1168" t="s">
        <v>14</v>
      </c>
      <c r="B1168" t="s">
        <v>3247</v>
      </c>
      <c r="C1168" t="s">
        <v>234</v>
      </c>
      <c r="D1168" t="s">
        <v>235</v>
      </c>
      <c r="E1168" t="s">
        <v>236</v>
      </c>
      <c r="F1168" t="s">
        <v>3248</v>
      </c>
      <c r="G1168" t="s">
        <v>3615</v>
      </c>
      <c r="H1168" s="15">
        <v>46111</v>
      </c>
      <c r="I1168" t="s">
        <v>3616</v>
      </c>
      <c r="J1168" t="s">
        <v>16</v>
      </c>
      <c r="K1168" t="s">
        <v>185</v>
      </c>
      <c r="N1168">
        <v>0</v>
      </c>
      <c r="O1168" t="s">
        <v>222</v>
      </c>
      <c r="P1168">
        <v>0</v>
      </c>
      <c r="U1168" s="15"/>
    </row>
    <row r="1169" spans="1:21" x14ac:dyDescent="0.35">
      <c r="A1169" t="s">
        <v>14</v>
      </c>
      <c r="B1169" t="s">
        <v>3247</v>
      </c>
      <c r="C1169" t="s">
        <v>320</v>
      </c>
      <c r="D1169" t="s">
        <v>321</v>
      </c>
      <c r="E1169" t="s">
        <v>322</v>
      </c>
      <c r="F1169" t="s">
        <v>3248</v>
      </c>
      <c r="G1169" t="s">
        <v>3615</v>
      </c>
      <c r="H1169" s="15">
        <v>46111</v>
      </c>
      <c r="I1169" t="s">
        <v>3623</v>
      </c>
      <c r="J1169" t="s">
        <v>16</v>
      </c>
      <c r="K1169" t="s">
        <v>185</v>
      </c>
      <c r="N1169">
        <v>0</v>
      </c>
      <c r="O1169" t="s">
        <v>222</v>
      </c>
      <c r="P1169">
        <v>0</v>
      </c>
      <c r="U1169" s="15"/>
    </row>
    <row r="1170" spans="1:21" x14ac:dyDescent="0.35">
      <c r="A1170" t="s">
        <v>14</v>
      </c>
      <c r="B1170" t="s">
        <v>3247</v>
      </c>
      <c r="C1170" t="s">
        <v>234</v>
      </c>
      <c r="D1170" t="s">
        <v>235</v>
      </c>
      <c r="E1170" t="s">
        <v>236</v>
      </c>
      <c r="F1170" t="s">
        <v>3248</v>
      </c>
      <c r="G1170" t="s">
        <v>3624</v>
      </c>
      <c r="H1170" s="15">
        <v>46111</v>
      </c>
      <c r="I1170" t="s">
        <v>3625</v>
      </c>
      <c r="J1170" t="s">
        <v>233</v>
      </c>
      <c r="K1170" t="s">
        <v>185</v>
      </c>
      <c r="N1170">
        <v>0</v>
      </c>
      <c r="O1170" t="s">
        <v>222</v>
      </c>
      <c r="P1170">
        <v>0</v>
      </c>
      <c r="U1170" s="15"/>
    </row>
    <row r="1171" spans="1:21" x14ac:dyDescent="0.35">
      <c r="A1171" t="s">
        <v>14</v>
      </c>
      <c r="B1171" t="s">
        <v>3247</v>
      </c>
      <c r="C1171" t="s">
        <v>234</v>
      </c>
      <c r="D1171" t="s">
        <v>235</v>
      </c>
      <c r="E1171" t="s">
        <v>236</v>
      </c>
      <c r="F1171" t="s">
        <v>3248</v>
      </c>
      <c r="G1171" t="s">
        <v>3631</v>
      </c>
      <c r="H1171" s="15">
        <v>46112</v>
      </c>
      <c r="I1171" t="s">
        <v>3632</v>
      </c>
      <c r="J1171" t="s">
        <v>16</v>
      </c>
      <c r="K1171" t="s">
        <v>185</v>
      </c>
      <c r="N1171">
        <v>0</v>
      </c>
      <c r="O1171" t="s">
        <v>222</v>
      </c>
      <c r="P1171">
        <v>0</v>
      </c>
      <c r="U1171" s="15"/>
    </row>
    <row r="1172" spans="1:21" x14ac:dyDescent="0.35">
      <c r="A1172" t="s">
        <v>14</v>
      </c>
      <c r="B1172" t="s">
        <v>3247</v>
      </c>
      <c r="C1172" t="s">
        <v>234</v>
      </c>
      <c r="D1172" t="s">
        <v>235</v>
      </c>
      <c r="E1172" t="s">
        <v>236</v>
      </c>
      <c r="F1172" t="s">
        <v>3248</v>
      </c>
      <c r="G1172" t="s">
        <v>3633</v>
      </c>
      <c r="H1172" s="15">
        <v>46112</v>
      </c>
      <c r="I1172" t="s">
        <v>3634</v>
      </c>
      <c r="J1172" t="s">
        <v>233</v>
      </c>
      <c r="K1172" t="s">
        <v>185</v>
      </c>
      <c r="N1172">
        <v>0</v>
      </c>
      <c r="O1172" t="s">
        <v>222</v>
      </c>
      <c r="P1172">
        <v>0</v>
      </c>
      <c r="U1172" s="15"/>
    </row>
    <row r="1173" spans="1:21" x14ac:dyDescent="0.35">
      <c r="A1173" t="s">
        <v>14</v>
      </c>
      <c r="B1173" t="s">
        <v>3247</v>
      </c>
      <c r="C1173" t="s">
        <v>234</v>
      </c>
      <c r="D1173" t="s">
        <v>235</v>
      </c>
      <c r="E1173" t="s">
        <v>236</v>
      </c>
      <c r="F1173" t="s">
        <v>3248</v>
      </c>
      <c r="G1173" t="s">
        <v>3639</v>
      </c>
      <c r="H1173" s="15">
        <v>46113</v>
      </c>
      <c r="I1173" t="s">
        <v>3640</v>
      </c>
      <c r="J1173" t="s">
        <v>16</v>
      </c>
      <c r="K1173" t="s">
        <v>185</v>
      </c>
      <c r="N1173">
        <v>0</v>
      </c>
      <c r="O1173" t="s">
        <v>222</v>
      </c>
      <c r="P1173">
        <v>0</v>
      </c>
      <c r="U1173" s="15"/>
    </row>
    <row r="1174" spans="1:21" x14ac:dyDescent="0.35">
      <c r="A1174" t="s">
        <v>14</v>
      </c>
      <c r="B1174" t="s">
        <v>3247</v>
      </c>
      <c r="C1174" t="s">
        <v>320</v>
      </c>
      <c r="D1174" t="s">
        <v>321</v>
      </c>
      <c r="E1174" t="s">
        <v>322</v>
      </c>
      <c r="F1174" t="s">
        <v>3248</v>
      </c>
      <c r="G1174" t="s">
        <v>3639</v>
      </c>
      <c r="H1174" s="15">
        <v>46113</v>
      </c>
      <c r="I1174" t="s">
        <v>3641</v>
      </c>
      <c r="J1174" t="s">
        <v>16</v>
      </c>
      <c r="K1174" t="s">
        <v>185</v>
      </c>
      <c r="N1174">
        <v>0</v>
      </c>
      <c r="O1174" t="s">
        <v>222</v>
      </c>
      <c r="P1174">
        <v>0</v>
      </c>
      <c r="U1174" s="15"/>
    </row>
    <row r="1175" spans="1:21" x14ac:dyDescent="0.35">
      <c r="A1175" t="s">
        <v>14</v>
      </c>
      <c r="B1175" t="s">
        <v>3247</v>
      </c>
      <c r="C1175" t="s">
        <v>234</v>
      </c>
      <c r="D1175" t="s">
        <v>235</v>
      </c>
      <c r="E1175" t="s">
        <v>236</v>
      </c>
      <c r="F1175" t="s">
        <v>3248</v>
      </c>
      <c r="G1175" t="s">
        <v>3642</v>
      </c>
      <c r="H1175" s="15">
        <v>46113</v>
      </c>
      <c r="I1175" t="s">
        <v>3643</v>
      </c>
      <c r="J1175" t="s">
        <v>233</v>
      </c>
      <c r="K1175" t="s">
        <v>185</v>
      </c>
      <c r="N1175">
        <v>0</v>
      </c>
      <c r="O1175" t="s">
        <v>222</v>
      </c>
      <c r="P1175">
        <v>0</v>
      </c>
      <c r="U1175" s="15"/>
    </row>
    <row r="1176" spans="1:21" x14ac:dyDescent="0.35">
      <c r="A1176" t="s">
        <v>14</v>
      </c>
      <c r="B1176" t="s">
        <v>3247</v>
      </c>
      <c r="C1176" t="s">
        <v>234</v>
      </c>
      <c r="D1176" t="s">
        <v>235</v>
      </c>
      <c r="E1176" t="s">
        <v>236</v>
      </c>
      <c r="F1176" t="s">
        <v>3248</v>
      </c>
      <c r="G1176" t="s">
        <v>3650</v>
      </c>
      <c r="H1176" s="15">
        <v>46114</v>
      </c>
      <c r="I1176" t="s">
        <v>3651</v>
      </c>
      <c r="J1176" t="s">
        <v>16</v>
      </c>
      <c r="K1176" t="s">
        <v>185</v>
      </c>
      <c r="N1176">
        <v>0</v>
      </c>
      <c r="O1176" t="s">
        <v>222</v>
      </c>
      <c r="P1176">
        <v>0</v>
      </c>
      <c r="U1176" s="15"/>
    </row>
    <row r="1177" spans="1:21" x14ac:dyDescent="0.35">
      <c r="A1177" t="s">
        <v>14</v>
      </c>
      <c r="B1177" t="s">
        <v>3247</v>
      </c>
      <c r="C1177" t="s">
        <v>320</v>
      </c>
      <c r="D1177" t="s">
        <v>321</v>
      </c>
      <c r="E1177" t="s">
        <v>322</v>
      </c>
      <c r="F1177" t="s">
        <v>3248</v>
      </c>
      <c r="G1177" t="s">
        <v>3650</v>
      </c>
      <c r="H1177" s="15">
        <v>46114</v>
      </c>
      <c r="I1177" t="s">
        <v>3652</v>
      </c>
      <c r="J1177" t="s">
        <v>16</v>
      </c>
      <c r="K1177" t="s">
        <v>185</v>
      </c>
      <c r="N1177">
        <v>0</v>
      </c>
      <c r="O1177" t="s">
        <v>222</v>
      </c>
      <c r="P1177">
        <v>0</v>
      </c>
      <c r="U1177" s="15"/>
    </row>
    <row r="1178" spans="1:21" x14ac:dyDescent="0.35">
      <c r="A1178" t="s">
        <v>14</v>
      </c>
      <c r="B1178" t="s">
        <v>3247</v>
      </c>
      <c r="C1178" t="s">
        <v>234</v>
      </c>
      <c r="D1178" t="s">
        <v>235</v>
      </c>
      <c r="E1178" t="s">
        <v>236</v>
      </c>
      <c r="F1178" t="s">
        <v>3248</v>
      </c>
      <c r="G1178" t="s">
        <v>3653</v>
      </c>
      <c r="H1178" s="15">
        <v>46114</v>
      </c>
      <c r="I1178" t="s">
        <v>3654</v>
      </c>
      <c r="J1178" t="s">
        <v>233</v>
      </c>
      <c r="K1178" t="s">
        <v>185</v>
      </c>
      <c r="N1178">
        <v>0</v>
      </c>
      <c r="O1178" t="s">
        <v>222</v>
      </c>
      <c r="P1178">
        <v>0</v>
      </c>
      <c r="U1178" s="15"/>
    </row>
    <row r="1179" spans="1:21" x14ac:dyDescent="0.35">
      <c r="A1179" t="s">
        <v>14</v>
      </c>
      <c r="B1179" t="s">
        <v>3247</v>
      </c>
      <c r="C1179" t="s">
        <v>3303</v>
      </c>
      <c r="D1179" t="s">
        <v>3304</v>
      </c>
      <c r="E1179" t="s">
        <v>3305</v>
      </c>
      <c r="F1179" t="s">
        <v>3248</v>
      </c>
      <c r="G1179" t="s">
        <v>3656</v>
      </c>
      <c r="H1179" s="15">
        <v>46115</v>
      </c>
      <c r="I1179" t="s">
        <v>3657</v>
      </c>
      <c r="J1179" t="s">
        <v>16</v>
      </c>
      <c r="K1179" t="s">
        <v>185</v>
      </c>
      <c r="N1179">
        <v>0</v>
      </c>
      <c r="O1179" t="s">
        <v>222</v>
      </c>
      <c r="P1179">
        <v>0</v>
      </c>
      <c r="U1179" s="15"/>
    </row>
    <row r="1180" spans="1:21" x14ac:dyDescent="0.35">
      <c r="A1180" t="s">
        <v>14</v>
      </c>
      <c r="B1180" t="s">
        <v>3247</v>
      </c>
      <c r="C1180" t="s">
        <v>234</v>
      </c>
      <c r="D1180" t="s">
        <v>235</v>
      </c>
      <c r="E1180" t="s">
        <v>236</v>
      </c>
      <c r="F1180" t="s">
        <v>3248</v>
      </c>
      <c r="G1180" t="s">
        <v>3656</v>
      </c>
      <c r="H1180" s="15">
        <v>46115</v>
      </c>
      <c r="I1180" t="s">
        <v>3658</v>
      </c>
      <c r="J1180" t="s">
        <v>16</v>
      </c>
      <c r="K1180" t="s">
        <v>185</v>
      </c>
      <c r="N1180">
        <v>0</v>
      </c>
      <c r="O1180" t="s">
        <v>222</v>
      </c>
      <c r="P1180">
        <v>0</v>
      </c>
      <c r="U1180" s="15"/>
    </row>
    <row r="1181" spans="1:21" x14ac:dyDescent="0.35">
      <c r="A1181" t="s">
        <v>14</v>
      </c>
      <c r="B1181" t="s">
        <v>3247</v>
      </c>
      <c r="C1181" t="s">
        <v>320</v>
      </c>
      <c r="D1181" t="s">
        <v>321</v>
      </c>
      <c r="E1181" t="s">
        <v>322</v>
      </c>
      <c r="F1181" t="s">
        <v>3248</v>
      </c>
      <c r="G1181" t="s">
        <v>3656</v>
      </c>
      <c r="H1181" s="15">
        <v>46115</v>
      </c>
      <c r="I1181" t="s">
        <v>3659</v>
      </c>
      <c r="J1181" t="s">
        <v>16</v>
      </c>
      <c r="K1181" t="s">
        <v>185</v>
      </c>
      <c r="N1181">
        <v>0</v>
      </c>
      <c r="O1181" t="s">
        <v>222</v>
      </c>
      <c r="P1181">
        <v>0</v>
      </c>
      <c r="U1181" s="15"/>
    </row>
    <row r="1182" spans="1:21" x14ac:dyDescent="0.35">
      <c r="A1182" t="s">
        <v>14</v>
      </c>
      <c r="B1182" t="s">
        <v>3247</v>
      </c>
      <c r="C1182" t="s">
        <v>234</v>
      </c>
      <c r="D1182" t="s">
        <v>235</v>
      </c>
      <c r="E1182" t="s">
        <v>236</v>
      </c>
      <c r="F1182" t="s">
        <v>3248</v>
      </c>
      <c r="G1182" t="s">
        <v>3670</v>
      </c>
      <c r="H1182" s="15">
        <v>46115</v>
      </c>
      <c r="I1182" t="s">
        <v>3671</v>
      </c>
      <c r="J1182" t="s">
        <v>233</v>
      </c>
      <c r="K1182" t="s">
        <v>185</v>
      </c>
      <c r="N1182">
        <v>0</v>
      </c>
      <c r="O1182" t="s">
        <v>222</v>
      </c>
      <c r="P1182">
        <v>0</v>
      </c>
      <c r="U1182" s="15"/>
    </row>
    <row r="1183" spans="1:21" x14ac:dyDescent="0.35">
      <c r="A1183" t="s">
        <v>14</v>
      </c>
      <c r="B1183" t="s">
        <v>3247</v>
      </c>
      <c r="C1183" t="s">
        <v>234</v>
      </c>
      <c r="D1183" t="s">
        <v>235</v>
      </c>
      <c r="E1183" t="s">
        <v>236</v>
      </c>
      <c r="F1183" t="s">
        <v>3248</v>
      </c>
      <c r="G1183" t="s">
        <v>3672</v>
      </c>
      <c r="H1183" s="15">
        <v>46116</v>
      </c>
      <c r="I1183" t="s">
        <v>3673</v>
      </c>
      <c r="J1183" t="s">
        <v>16</v>
      </c>
      <c r="K1183" t="s">
        <v>185</v>
      </c>
      <c r="N1183">
        <v>0</v>
      </c>
      <c r="O1183" t="s">
        <v>222</v>
      </c>
      <c r="P1183">
        <v>0</v>
      </c>
      <c r="U1183" s="15"/>
    </row>
    <row r="1184" spans="1:21" x14ac:dyDescent="0.35">
      <c r="A1184" t="s">
        <v>14</v>
      </c>
      <c r="B1184" t="s">
        <v>3247</v>
      </c>
      <c r="C1184" t="s">
        <v>234</v>
      </c>
      <c r="D1184" t="s">
        <v>235</v>
      </c>
      <c r="E1184" t="s">
        <v>236</v>
      </c>
      <c r="F1184" t="s">
        <v>3248</v>
      </c>
      <c r="G1184" t="s">
        <v>3674</v>
      </c>
      <c r="H1184" s="15">
        <v>46118</v>
      </c>
      <c r="I1184" t="s">
        <v>3675</v>
      </c>
      <c r="J1184" t="s">
        <v>16</v>
      </c>
      <c r="K1184" t="s">
        <v>185</v>
      </c>
      <c r="N1184">
        <v>0</v>
      </c>
      <c r="O1184" t="s">
        <v>222</v>
      </c>
      <c r="P1184">
        <v>0</v>
      </c>
      <c r="U1184" s="15"/>
    </row>
    <row r="1185" spans="1:21" x14ac:dyDescent="0.35">
      <c r="A1185" t="s">
        <v>14</v>
      </c>
      <c r="B1185" t="s">
        <v>3247</v>
      </c>
      <c r="C1185" t="s">
        <v>234</v>
      </c>
      <c r="D1185" t="s">
        <v>235</v>
      </c>
      <c r="E1185" t="s">
        <v>236</v>
      </c>
      <c r="F1185" t="s">
        <v>3248</v>
      </c>
      <c r="G1185" t="s">
        <v>3680</v>
      </c>
      <c r="H1185" s="15">
        <v>46119</v>
      </c>
      <c r="I1185" t="s">
        <v>3681</v>
      </c>
      <c r="J1185" t="s">
        <v>16</v>
      </c>
      <c r="K1185" t="s">
        <v>185</v>
      </c>
      <c r="N1185">
        <v>0</v>
      </c>
      <c r="O1185" t="s">
        <v>222</v>
      </c>
      <c r="P1185">
        <v>0</v>
      </c>
      <c r="U1185" s="15"/>
    </row>
    <row r="1186" spans="1:21" x14ac:dyDescent="0.35">
      <c r="A1186" t="s">
        <v>14</v>
      </c>
      <c r="B1186" t="s">
        <v>3247</v>
      </c>
      <c r="C1186" t="s">
        <v>234</v>
      </c>
      <c r="D1186" t="s">
        <v>235</v>
      </c>
      <c r="E1186" t="s">
        <v>236</v>
      </c>
      <c r="F1186" t="s">
        <v>3248</v>
      </c>
      <c r="G1186" t="s">
        <v>3682</v>
      </c>
      <c r="H1186" s="15">
        <v>46119</v>
      </c>
      <c r="I1186" t="s">
        <v>3683</v>
      </c>
      <c r="J1186" t="s">
        <v>233</v>
      </c>
      <c r="K1186" t="s">
        <v>185</v>
      </c>
      <c r="N1186">
        <v>0</v>
      </c>
      <c r="O1186" t="s">
        <v>222</v>
      </c>
      <c r="P1186">
        <v>0</v>
      </c>
      <c r="U1186" s="15"/>
    </row>
    <row r="1187" spans="1:21" x14ac:dyDescent="0.35">
      <c r="A1187" t="s">
        <v>14</v>
      </c>
      <c r="B1187" t="s">
        <v>3247</v>
      </c>
      <c r="C1187" t="s">
        <v>234</v>
      </c>
      <c r="D1187" t="s">
        <v>235</v>
      </c>
      <c r="E1187" t="s">
        <v>236</v>
      </c>
      <c r="F1187" t="s">
        <v>3248</v>
      </c>
      <c r="G1187" t="s">
        <v>3684</v>
      </c>
      <c r="H1187" s="15">
        <v>46120</v>
      </c>
      <c r="I1187" t="s">
        <v>3685</v>
      </c>
      <c r="J1187" t="s">
        <v>16</v>
      </c>
      <c r="K1187" t="s">
        <v>185</v>
      </c>
      <c r="N1187">
        <v>0</v>
      </c>
      <c r="O1187" t="s">
        <v>222</v>
      </c>
      <c r="P1187">
        <v>0</v>
      </c>
      <c r="U1187" s="15"/>
    </row>
    <row r="1188" spans="1:21" x14ac:dyDescent="0.35">
      <c r="A1188" t="s">
        <v>14</v>
      </c>
      <c r="B1188" t="s">
        <v>3247</v>
      </c>
      <c r="C1188" t="s">
        <v>320</v>
      </c>
      <c r="D1188" t="s">
        <v>321</v>
      </c>
      <c r="E1188" t="s">
        <v>322</v>
      </c>
      <c r="F1188" t="s">
        <v>3248</v>
      </c>
      <c r="G1188" t="s">
        <v>3684</v>
      </c>
      <c r="H1188" s="15">
        <v>46120</v>
      </c>
      <c r="I1188" t="s">
        <v>3687</v>
      </c>
      <c r="J1188" t="s">
        <v>16</v>
      </c>
      <c r="K1188" t="s">
        <v>185</v>
      </c>
      <c r="N1188">
        <v>0</v>
      </c>
      <c r="O1188" t="s">
        <v>222</v>
      </c>
      <c r="P1188">
        <v>0</v>
      </c>
      <c r="U1188" s="15"/>
    </row>
    <row r="1189" spans="1:21" x14ac:dyDescent="0.35">
      <c r="A1189" t="s">
        <v>14</v>
      </c>
      <c r="B1189" t="s">
        <v>3247</v>
      </c>
      <c r="C1189" t="s">
        <v>234</v>
      </c>
      <c r="D1189" t="s">
        <v>235</v>
      </c>
      <c r="E1189" t="s">
        <v>236</v>
      </c>
      <c r="F1189" t="s">
        <v>3248</v>
      </c>
      <c r="G1189" t="s">
        <v>3688</v>
      </c>
      <c r="H1189" s="15">
        <v>46120</v>
      </c>
      <c r="I1189" t="s">
        <v>3689</v>
      </c>
      <c r="J1189" t="s">
        <v>233</v>
      </c>
      <c r="K1189" t="s">
        <v>185</v>
      </c>
      <c r="N1189">
        <v>0</v>
      </c>
      <c r="O1189" t="s">
        <v>222</v>
      </c>
      <c r="P1189">
        <v>0</v>
      </c>
      <c r="U1189" s="15"/>
    </row>
    <row r="1190" spans="1:21" x14ac:dyDescent="0.35">
      <c r="A1190" t="s">
        <v>14</v>
      </c>
      <c r="B1190" t="s">
        <v>3247</v>
      </c>
      <c r="C1190" t="s">
        <v>234</v>
      </c>
      <c r="D1190" t="s">
        <v>235</v>
      </c>
      <c r="E1190" t="s">
        <v>236</v>
      </c>
      <c r="F1190" t="s">
        <v>3248</v>
      </c>
      <c r="G1190" t="s">
        <v>3694</v>
      </c>
      <c r="H1190" s="15">
        <v>46121</v>
      </c>
      <c r="I1190" t="s">
        <v>3695</v>
      </c>
      <c r="J1190" t="s">
        <v>233</v>
      </c>
      <c r="K1190" t="s">
        <v>185</v>
      </c>
      <c r="N1190">
        <v>0</v>
      </c>
      <c r="O1190" t="s">
        <v>222</v>
      </c>
      <c r="P1190">
        <v>0</v>
      </c>
      <c r="U1190" s="15"/>
    </row>
    <row r="1191" spans="1:21" x14ac:dyDescent="0.35">
      <c r="A1191" t="s">
        <v>14</v>
      </c>
      <c r="B1191" t="s">
        <v>3247</v>
      </c>
      <c r="C1191" t="s">
        <v>234</v>
      </c>
      <c r="D1191" t="s">
        <v>235</v>
      </c>
      <c r="E1191" t="s">
        <v>236</v>
      </c>
      <c r="F1191" t="s">
        <v>3248</v>
      </c>
      <c r="G1191" t="s">
        <v>3696</v>
      </c>
      <c r="H1191" s="15">
        <v>46121</v>
      </c>
      <c r="I1191" t="s">
        <v>3697</v>
      </c>
      <c r="J1191" t="s">
        <v>16</v>
      </c>
      <c r="K1191" t="s">
        <v>185</v>
      </c>
      <c r="N1191">
        <v>0</v>
      </c>
      <c r="O1191" t="s">
        <v>222</v>
      </c>
      <c r="P1191">
        <v>0</v>
      </c>
      <c r="U1191" s="15"/>
    </row>
    <row r="1192" spans="1:21" x14ac:dyDescent="0.35">
      <c r="A1192" t="s">
        <v>14</v>
      </c>
      <c r="B1192" t="s">
        <v>3247</v>
      </c>
      <c r="C1192" t="s">
        <v>320</v>
      </c>
      <c r="D1192" t="s">
        <v>321</v>
      </c>
      <c r="E1192" t="s">
        <v>322</v>
      </c>
      <c r="F1192" t="s">
        <v>3248</v>
      </c>
      <c r="G1192" t="s">
        <v>3696</v>
      </c>
      <c r="H1192" s="15">
        <v>46121</v>
      </c>
      <c r="I1192" t="s">
        <v>3699</v>
      </c>
      <c r="J1192" t="s">
        <v>16</v>
      </c>
      <c r="K1192" t="s">
        <v>185</v>
      </c>
      <c r="N1192">
        <v>0</v>
      </c>
      <c r="O1192" t="s">
        <v>222</v>
      </c>
      <c r="P1192">
        <v>0</v>
      </c>
      <c r="U1192" s="15"/>
    </row>
    <row r="1193" spans="1:21" x14ac:dyDescent="0.35">
      <c r="A1193" t="s">
        <v>14</v>
      </c>
      <c r="B1193" t="s">
        <v>3247</v>
      </c>
      <c r="C1193" t="s">
        <v>234</v>
      </c>
      <c r="D1193" t="s">
        <v>235</v>
      </c>
      <c r="E1193" t="s">
        <v>236</v>
      </c>
      <c r="F1193" t="s">
        <v>3248</v>
      </c>
      <c r="G1193" t="s">
        <v>3700</v>
      </c>
      <c r="H1193" s="15">
        <v>46123</v>
      </c>
      <c r="I1193" t="s">
        <v>3701</v>
      </c>
      <c r="J1193" t="s">
        <v>16</v>
      </c>
      <c r="K1193" t="s">
        <v>185</v>
      </c>
      <c r="N1193">
        <v>0</v>
      </c>
      <c r="O1193" t="s">
        <v>222</v>
      </c>
      <c r="P1193">
        <v>0</v>
      </c>
      <c r="U1193" s="15"/>
    </row>
    <row r="1194" spans="1:21" x14ac:dyDescent="0.35">
      <c r="A1194" t="s">
        <v>14</v>
      </c>
      <c r="B1194" t="s">
        <v>3247</v>
      </c>
      <c r="C1194" t="s">
        <v>3287</v>
      </c>
      <c r="D1194" t="s">
        <v>3288</v>
      </c>
      <c r="E1194" t="s">
        <v>3289</v>
      </c>
      <c r="F1194" t="s">
        <v>3248</v>
      </c>
      <c r="G1194" t="s">
        <v>3702</v>
      </c>
      <c r="H1194" s="15">
        <v>46128</v>
      </c>
      <c r="I1194" t="s">
        <v>3703</v>
      </c>
      <c r="J1194" t="s">
        <v>16</v>
      </c>
      <c r="K1194" t="s">
        <v>185</v>
      </c>
      <c r="N1194">
        <v>0</v>
      </c>
      <c r="O1194" t="s">
        <v>222</v>
      </c>
      <c r="P1194">
        <v>0</v>
      </c>
      <c r="U1194" s="15"/>
    </row>
    <row r="1195" spans="1:21" x14ac:dyDescent="0.35">
      <c r="A1195" t="s">
        <v>14</v>
      </c>
      <c r="B1195" t="s">
        <v>3247</v>
      </c>
      <c r="C1195" t="s">
        <v>3715</v>
      </c>
      <c r="D1195" t="s">
        <v>3716</v>
      </c>
      <c r="E1195" t="s">
        <v>3717</v>
      </c>
      <c r="F1195" t="s">
        <v>3248</v>
      </c>
      <c r="G1195" t="s">
        <v>3702</v>
      </c>
      <c r="H1195" s="15">
        <v>46128</v>
      </c>
      <c r="I1195" t="s">
        <v>3718</v>
      </c>
      <c r="J1195" t="s">
        <v>16</v>
      </c>
      <c r="K1195" t="s">
        <v>185</v>
      </c>
      <c r="N1195">
        <v>0</v>
      </c>
      <c r="O1195" t="s">
        <v>222</v>
      </c>
      <c r="P1195">
        <v>0</v>
      </c>
      <c r="U1195" s="15"/>
    </row>
    <row r="1196" spans="1:21" x14ac:dyDescent="0.35">
      <c r="A1196" t="s">
        <v>14</v>
      </c>
      <c r="B1196" t="s">
        <v>3247</v>
      </c>
      <c r="C1196" t="s">
        <v>234</v>
      </c>
      <c r="D1196" t="s">
        <v>235</v>
      </c>
      <c r="E1196" t="s">
        <v>236</v>
      </c>
      <c r="F1196" t="s">
        <v>3248</v>
      </c>
      <c r="G1196" t="s">
        <v>3719</v>
      </c>
      <c r="H1196" s="15">
        <v>46128</v>
      </c>
      <c r="I1196" t="s">
        <v>3720</v>
      </c>
      <c r="J1196" t="s">
        <v>233</v>
      </c>
      <c r="K1196" t="s">
        <v>185</v>
      </c>
      <c r="N1196">
        <v>0</v>
      </c>
      <c r="O1196" t="s">
        <v>222</v>
      </c>
      <c r="P1196">
        <v>0</v>
      </c>
      <c r="U1196" s="15"/>
    </row>
    <row r="1197" spans="1:21" x14ac:dyDescent="0.35">
      <c r="A1197" t="s">
        <v>14</v>
      </c>
      <c r="B1197" t="s">
        <v>3247</v>
      </c>
      <c r="C1197" t="s">
        <v>234</v>
      </c>
      <c r="D1197" t="s">
        <v>235</v>
      </c>
      <c r="E1197" t="s">
        <v>236</v>
      </c>
      <c r="F1197" t="s">
        <v>3248</v>
      </c>
      <c r="G1197" t="s">
        <v>3721</v>
      </c>
      <c r="H1197" s="15">
        <v>46129</v>
      </c>
      <c r="I1197" t="s">
        <v>3722</v>
      </c>
      <c r="J1197" t="s">
        <v>16</v>
      </c>
      <c r="K1197" t="s">
        <v>185</v>
      </c>
      <c r="N1197">
        <v>0</v>
      </c>
      <c r="O1197" t="s">
        <v>222</v>
      </c>
      <c r="P1197">
        <v>0</v>
      </c>
      <c r="U1197" s="15"/>
    </row>
    <row r="1198" spans="1:21" x14ac:dyDescent="0.35">
      <c r="A1198" t="s">
        <v>14</v>
      </c>
      <c r="B1198" t="s">
        <v>3247</v>
      </c>
      <c r="C1198" t="s">
        <v>234</v>
      </c>
      <c r="D1198" t="s">
        <v>235</v>
      </c>
      <c r="E1198" t="s">
        <v>236</v>
      </c>
      <c r="F1198" t="s">
        <v>3248</v>
      </c>
      <c r="G1198" t="s">
        <v>3723</v>
      </c>
      <c r="H1198" s="15">
        <v>46130</v>
      </c>
      <c r="I1198" t="s">
        <v>3724</v>
      </c>
      <c r="J1198" t="s">
        <v>16</v>
      </c>
      <c r="K1198" t="s">
        <v>185</v>
      </c>
      <c r="N1198">
        <v>0</v>
      </c>
      <c r="O1198" t="s">
        <v>222</v>
      </c>
      <c r="P1198">
        <v>0</v>
      </c>
      <c r="U1198" s="15"/>
    </row>
    <row r="1199" spans="1:21" x14ac:dyDescent="0.35">
      <c r="A1199" t="s">
        <v>14</v>
      </c>
      <c r="B1199" t="s">
        <v>3247</v>
      </c>
      <c r="C1199" t="s">
        <v>234</v>
      </c>
      <c r="D1199" t="s">
        <v>235</v>
      </c>
      <c r="E1199" t="s">
        <v>236</v>
      </c>
      <c r="F1199" t="s">
        <v>3248</v>
      </c>
      <c r="G1199" t="s">
        <v>3726</v>
      </c>
      <c r="H1199" s="15">
        <v>46132</v>
      </c>
      <c r="I1199" t="s">
        <v>3727</v>
      </c>
      <c r="J1199" t="s">
        <v>16</v>
      </c>
      <c r="K1199" t="s">
        <v>185</v>
      </c>
      <c r="N1199">
        <v>0</v>
      </c>
      <c r="O1199" t="s">
        <v>222</v>
      </c>
      <c r="P1199">
        <v>0</v>
      </c>
      <c r="U1199" s="15"/>
    </row>
    <row r="1200" spans="1:21" x14ac:dyDescent="0.35">
      <c r="A1200" t="s">
        <v>14</v>
      </c>
      <c r="B1200" t="s">
        <v>3247</v>
      </c>
      <c r="C1200" t="s">
        <v>320</v>
      </c>
      <c r="D1200" t="s">
        <v>321</v>
      </c>
      <c r="E1200" t="s">
        <v>322</v>
      </c>
      <c r="F1200" t="s">
        <v>3248</v>
      </c>
      <c r="G1200" t="s">
        <v>3726</v>
      </c>
      <c r="H1200" s="15">
        <v>46132</v>
      </c>
      <c r="I1200" t="s">
        <v>3728</v>
      </c>
      <c r="J1200" t="s">
        <v>16</v>
      </c>
      <c r="K1200" t="s">
        <v>185</v>
      </c>
      <c r="N1200">
        <v>0</v>
      </c>
      <c r="O1200" t="s">
        <v>222</v>
      </c>
      <c r="P1200">
        <v>0</v>
      </c>
      <c r="U1200" s="15"/>
    </row>
    <row r="1201" spans="1:21" x14ac:dyDescent="0.35">
      <c r="A1201" t="s">
        <v>14</v>
      </c>
      <c r="B1201" t="s">
        <v>3247</v>
      </c>
      <c r="C1201" t="s">
        <v>234</v>
      </c>
      <c r="D1201" t="s">
        <v>235</v>
      </c>
      <c r="E1201" t="s">
        <v>236</v>
      </c>
      <c r="F1201" t="s">
        <v>3248</v>
      </c>
      <c r="G1201" t="s">
        <v>3729</v>
      </c>
      <c r="H1201" s="15">
        <v>46133</v>
      </c>
      <c r="I1201" t="s">
        <v>3730</v>
      </c>
      <c r="J1201" t="s">
        <v>16</v>
      </c>
      <c r="K1201" t="s">
        <v>185</v>
      </c>
      <c r="N1201">
        <v>0</v>
      </c>
      <c r="O1201" t="s">
        <v>222</v>
      </c>
      <c r="P1201">
        <v>0</v>
      </c>
      <c r="U1201" s="15"/>
    </row>
    <row r="1202" spans="1:21" x14ac:dyDescent="0.35">
      <c r="A1202" t="s">
        <v>14</v>
      </c>
      <c r="B1202" t="s">
        <v>3247</v>
      </c>
      <c r="C1202" t="s">
        <v>320</v>
      </c>
      <c r="D1202" t="s">
        <v>321</v>
      </c>
      <c r="E1202" t="s">
        <v>322</v>
      </c>
      <c r="F1202" t="s">
        <v>3248</v>
      </c>
      <c r="G1202" t="s">
        <v>3729</v>
      </c>
      <c r="H1202" s="15">
        <v>46133</v>
      </c>
      <c r="I1202" t="s">
        <v>3736</v>
      </c>
      <c r="J1202" t="s">
        <v>16</v>
      </c>
      <c r="K1202" t="s">
        <v>185</v>
      </c>
      <c r="N1202">
        <v>0</v>
      </c>
      <c r="O1202" t="s">
        <v>222</v>
      </c>
      <c r="P1202">
        <v>0</v>
      </c>
      <c r="U1202" s="15"/>
    </row>
    <row r="1203" spans="1:21" x14ac:dyDescent="0.35">
      <c r="A1203" t="s">
        <v>14</v>
      </c>
      <c r="B1203" t="s">
        <v>3247</v>
      </c>
      <c r="C1203" t="s">
        <v>234</v>
      </c>
      <c r="D1203" t="s">
        <v>235</v>
      </c>
      <c r="E1203" t="s">
        <v>236</v>
      </c>
      <c r="F1203" t="s">
        <v>3248</v>
      </c>
      <c r="G1203" t="s">
        <v>3737</v>
      </c>
      <c r="H1203" s="15">
        <v>46133</v>
      </c>
      <c r="I1203" t="s">
        <v>3738</v>
      </c>
      <c r="J1203" t="s">
        <v>233</v>
      </c>
      <c r="K1203" t="s">
        <v>185</v>
      </c>
      <c r="N1203">
        <v>0</v>
      </c>
      <c r="O1203" t="s">
        <v>222</v>
      </c>
      <c r="P1203">
        <v>0</v>
      </c>
      <c r="U1203" s="15"/>
    </row>
    <row r="1204" spans="1:21" x14ac:dyDescent="0.35">
      <c r="A1204" t="s">
        <v>14</v>
      </c>
      <c r="B1204" t="s">
        <v>3247</v>
      </c>
      <c r="C1204" t="s">
        <v>234</v>
      </c>
      <c r="D1204" t="s">
        <v>235</v>
      </c>
      <c r="E1204" t="s">
        <v>236</v>
      </c>
      <c r="F1204" t="s">
        <v>3248</v>
      </c>
      <c r="G1204" t="s">
        <v>3739</v>
      </c>
      <c r="H1204" s="15">
        <v>46134</v>
      </c>
      <c r="I1204" t="s">
        <v>3740</v>
      </c>
      <c r="J1204" t="s">
        <v>16</v>
      </c>
      <c r="K1204" t="s">
        <v>185</v>
      </c>
      <c r="N1204">
        <v>0</v>
      </c>
      <c r="O1204" t="s">
        <v>222</v>
      </c>
      <c r="P1204">
        <v>0</v>
      </c>
      <c r="U1204" s="15"/>
    </row>
    <row r="1205" spans="1:21" x14ac:dyDescent="0.35">
      <c r="A1205" t="s">
        <v>14</v>
      </c>
      <c r="B1205" t="s">
        <v>3247</v>
      </c>
      <c r="C1205" t="s">
        <v>3488</v>
      </c>
      <c r="D1205" t="s">
        <v>3489</v>
      </c>
      <c r="E1205" t="s">
        <v>3490</v>
      </c>
      <c r="F1205" t="s">
        <v>3248</v>
      </c>
      <c r="G1205" t="s">
        <v>3739</v>
      </c>
      <c r="H1205" s="15">
        <v>46134</v>
      </c>
      <c r="I1205" t="s">
        <v>3741</v>
      </c>
      <c r="J1205" t="s">
        <v>16</v>
      </c>
      <c r="K1205" t="s">
        <v>185</v>
      </c>
      <c r="N1205">
        <v>0</v>
      </c>
      <c r="O1205" t="s">
        <v>222</v>
      </c>
      <c r="P1205">
        <v>0</v>
      </c>
      <c r="U1205" s="15"/>
    </row>
    <row r="1206" spans="1:21" x14ac:dyDescent="0.35">
      <c r="A1206" t="s">
        <v>14</v>
      </c>
      <c r="B1206" t="s">
        <v>3247</v>
      </c>
      <c r="C1206" t="s">
        <v>234</v>
      </c>
      <c r="D1206" t="s">
        <v>235</v>
      </c>
      <c r="E1206" t="s">
        <v>236</v>
      </c>
      <c r="F1206" t="s">
        <v>3248</v>
      </c>
      <c r="G1206" t="s">
        <v>3745</v>
      </c>
      <c r="H1206" s="15">
        <v>46134</v>
      </c>
      <c r="I1206" t="s">
        <v>3746</v>
      </c>
      <c r="J1206" t="s">
        <v>233</v>
      </c>
      <c r="K1206" t="s">
        <v>185</v>
      </c>
      <c r="N1206">
        <v>0</v>
      </c>
      <c r="O1206" t="s">
        <v>222</v>
      </c>
      <c r="P1206">
        <v>0</v>
      </c>
      <c r="U1206" s="15"/>
    </row>
    <row r="1207" spans="1:21" x14ac:dyDescent="0.35">
      <c r="A1207" t="s">
        <v>14</v>
      </c>
      <c r="B1207" t="s">
        <v>3247</v>
      </c>
      <c r="C1207" t="s">
        <v>234</v>
      </c>
      <c r="D1207" t="s">
        <v>235</v>
      </c>
      <c r="E1207" t="s">
        <v>236</v>
      </c>
      <c r="F1207" t="s">
        <v>3248</v>
      </c>
      <c r="G1207" t="s">
        <v>3747</v>
      </c>
      <c r="H1207" s="15">
        <v>46135</v>
      </c>
      <c r="I1207" t="s">
        <v>3748</v>
      </c>
      <c r="J1207" t="s">
        <v>16</v>
      </c>
      <c r="K1207" t="s">
        <v>185</v>
      </c>
      <c r="N1207">
        <v>0</v>
      </c>
      <c r="O1207" t="s">
        <v>222</v>
      </c>
      <c r="P1207">
        <v>0</v>
      </c>
      <c r="U1207" s="15"/>
    </row>
    <row r="1208" spans="1:21" x14ac:dyDescent="0.35">
      <c r="A1208" t="s">
        <v>14</v>
      </c>
      <c r="B1208" t="s">
        <v>3247</v>
      </c>
      <c r="C1208" t="s">
        <v>320</v>
      </c>
      <c r="D1208" t="s">
        <v>321</v>
      </c>
      <c r="E1208" t="s">
        <v>322</v>
      </c>
      <c r="F1208" t="s">
        <v>3248</v>
      </c>
      <c r="G1208" t="s">
        <v>3747</v>
      </c>
      <c r="H1208" s="15">
        <v>46135</v>
      </c>
      <c r="I1208" t="s">
        <v>3749</v>
      </c>
      <c r="J1208" t="s">
        <v>16</v>
      </c>
      <c r="K1208" t="s">
        <v>185</v>
      </c>
      <c r="N1208">
        <v>0</v>
      </c>
      <c r="O1208" t="s">
        <v>222</v>
      </c>
      <c r="P1208">
        <v>0</v>
      </c>
      <c r="U1208" s="15"/>
    </row>
    <row r="1209" spans="1:21" x14ac:dyDescent="0.35">
      <c r="A1209" t="s">
        <v>14</v>
      </c>
      <c r="B1209" t="s">
        <v>3247</v>
      </c>
      <c r="C1209" t="s">
        <v>234</v>
      </c>
      <c r="D1209" t="s">
        <v>235</v>
      </c>
      <c r="E1209" t="s">
        <v>236</v>
      </c>
      <c r="F1209" t="s">
        <v>3248</v>
      </c>
      <c r="G1209" t="s">
        <v>3760</v>
      </c>
      <c r="H1209" s="15">
        <v>46135</v>
      </c>
      <c r="I1209" t="s">
        <v>3761</v>
      </c>
      <c r="J1209" t="s">
        <v>233</v>
      </c>
      <c r="K1209" t="s">
        <v>185</v>
      </c>
      <c r="N1209">
        <v>0</v>
      </c>
      <c r="O1209" t="s">
        <v>222</v>
      </c>
      <c r="P1209">
        <v>0</v>
      </c>
      <c r="U1209" s="15"/>
    </row>
    <row r="1210" spans="1:21" x14ac:dyDescent="0.35">
      <c r="A1210" t="s">
        <v>14</v>
      </c>
      <c r="B1210" t="s">
        <v>3247</v>
      </c>
      <c r="C1210" t="s">
        <v>234</v>
      </c>
      <c r="D1210" t="s">
        <v>235</v>
      </c>
      <c r="E1210" t="s">
        <v>236</v>
      </c>
      <c r="F1210" t="s">
        <v>3248</v>
      </c>
      <c r="G1210" t="s">
        <v>3762</v>
      </c>
      <c r="H1210" s="15">
        <v>46136</v>
      </c>
      <c r="I1210" t="s">
        <v>3763</v>
      </c>
      <c r="J1210" t="s">
        <v>16</v>
      </c>
      <c r="K1210" t="s">
        <v>185</v>
      </c>
      <c r="N1210">
        <v>0</v>
      </c>
      <c r="O1210" t="s">
        <v>222</v>
      </c>
      <c r="P1210">
        <v>0</v>
      </c>
      <c r="U1210" s="15"/>
    </row>
    <row r="1211" spans="1:21" x14ac:dyDescent="0.35">
      <c r="A1211" t="s">
        <v>14</v>
      </c>
      <c r="B1211" t="s">
        <v>3247</v>
      </c>
      <c r="C1211" t="s">
        <v>3270</v>
      </c>
      <c r="D1211" t="s">
        <v>3271</v>
      </c>
      <c r="E1211" t="s">
        <v>3272</v>
      </c>
      <c r="F1211" t="s">
        <v>3248</v>
      </c>
      <c r="G1211" t="s">
        <v>3762</v>
      </c>
      <c r="H1211" s="15">
        <v>46136</v>
      </c>
      <c r="I1211" t="s">
        <v>3764</v>
      </c>
      <c r="J1211" t="s">
        <v>16</v>
      </c>
      <c r="K1211" t="s">
        <v>185</v>
      </c>
      <c r="N1211">
        <v>0</v>
      </c>
      <c r="O1211" t="s">
        <v>222</v>
      </c>
      <c r="P1211">
        <v>0</v>
      </c>
      <c r="U1211" s="15"/>
    </row>
    <row r="1212" spans="1:21" x14ac:dyDescent="0.35">
      <c r="A1212" t="s">
        <v>14</v>
      </c>
      <c r="B1212" t="s">
        <v>3247</v>
      </c>
      <c r="C1212" t="s">
        <v>234</v>
      </c>
      <c r="D1212" t="s">
        <v>235</v>
      </c>
      <c r="E1212" t="s">
        <v>236</v>
      </c>
      <c r="F1212" t="s">
        <v>3248</v>
      </c>
      <c r="G1212" t="s">
        <v>3765</v>
      </c>
      <c r="H1212" s="15">
        <v>46136</v>
      </c>
      <c r="I1212" t="s">
        <v>3766</v>
      </c>
      <c r="J1212" t="s">
        <v>233</v>
      </c>
      <c r="K1212" t="s">
        <v>185</v>
      </c>
      <c r="N1212">
        <v>0</v>
      </c>
      <c r="O1212" t="s">
        <v>222</v>
      </c>
      <c r="P1212">
        <v>0</v>
      </c>
      <c r="U1212" s="15"/>
    </row>
    <row r="1213" spans="1:21" x14ac:dyDescent="0.35">
      <c r="A1213" t="s">
        <v>14</v>
      </c>
      <c r="B1213" t="s">
        <v>3247</v>
      </c>
      <c r="C1213" t="s">
        <v>234</v>
      </c>
      <c r="D1213" t="s">
        <v>235</v>
      </c>
      <c r="E1213" t="s">
        <v>236</v>
      </c>
      <c r="F1213" t="s">
        <v>3248</v>
      </c>
      <c r="G1213" t="s">
        <v>3772</v>
      </c>
      <c r="H1213" s="15">
        <v>46137</v>
      </c>
      <c r="I1213" t="s">
        <v>3773</v>
      </c>
      <c r="J1213" t="s">
        <v>16</v>
      </c>
      <c r="K1213" t="s">
        <v>185</v>
      </c>
      <c r="N1213">
        <v>0</v>
      </c>
      <c r="O1213" t="s">
        <v>222</v>
      </c>
      <c r="P1213">
        <v>0</v>
      </c>
      <c r="U1213" s="15"/>
    </row>
    <row r="1214" spans="1:21" x14ac:dyDescent="0.35">
      <c r="A1214" t="s">
        <v>14</v>
      </c>
      <c r="B1214" t="s">
        <v>3247</v>
      </c>
      <c r="C1214" t="s">
        <v>320</v>
      </c>
      <c r="D1214" t="s">
        <v>321</v>
      </c>
      <c r="E1214" t="s">
        <v>322</v>
      </c>
      <c r="F1214" t="s">
        <v>3248</v>
      </c>
      <c r="G1214" t="s">
        <v>3772</v>
      </c>
      <c r="H1214" s="15">
        <v>46137</v>
      </c>
      <c r="I1214" t="s">
        <v>3774</v>
      </c>
      <c r="J1214" t="s">
        <v>16</v>
      </c>
      <c r="K1214" t="s">
        <v>185</v>
      </c>
      <c r="N1214">
        <v>0</v>
      </c>
      <c r="O1214" t="s">
        <v>222</v>
      </c>
      <c r="P1214">
        <v>0</v>
      </c>
      <c r="U1214" s="15"/>
    </row>
    <row r="1215" spans="1:21" x14ac:dyDescent="0.35">
      <c r="A1215" t="s">
        <v>14</v>
      </c>
      <c r="B1215" t="s">
        <v>3247</v>
      </c>
      <c r="C1215" t="s">
        <v>234</v>
      </c>
      <c r="D1215" t="s">
        <v>235</v>
      </c>
      <c r="E1215" t="s">
        <v>236</v>
      </c>
      <c r="F1215" t="s">
        <v>3248</v>
      </c>
      <c r="G1215" t="s">
        <v>3775</v>
      </c>
      <c r="H1215" s="15">
        <v>46137</v>
      </c>
      <c r="I1215" t="s">
        <v>3776</v>
      </c>
      <c r="J1215" t="s">
        <v>233</v>
      </c>
      <c r="K1215" t="s">
        <v>185</v>
      </c>
      <c r="N1215">
        <v>0</v>
      </c>
      <c r="O1215" t="s">
        <v>222</v>
      </c>
      <c r="P1215">
        <v>0</v>
      </c>
      <c r="U1215" s="15"/>
    </row>
    <row r="1216" spans="1:21" x14ac:dyDescent="0.35">
      <c r="A1216" t="s">
        <v>14</v>
      </c>
      <c r="B1216" t="s">
        <v>3247</v>
      </c>
      <c r="C1216" t="s">
        <v>234</v>
      </c>
      <c r="D1216" t="s">
        <v>235</v>
      </c>
      <c r="E1216" t="s">
        <v>236</v>
      </c>
      <c r="F1216" t="s">
        <v>3248</v>
      </c>
      <c r="G1216" t="s">
        <v>3778</v>
      </c>
      <c r="H1216" s="15">
        <v>46139</v>
      </c>
      <c r="I1216" t="s">
        <v>3779</v>
      </c>
      <c r="J1216" t="s">
        <v>16</v>
      </c>
      <c r="K1216" t="s">
        <v>185</v>
      </c>
      <c r="N1216">
        <v>0</v>
      </c>
      <c r="O1216" t="s">
        <v>222</v>
      </c>
      <c r="P1216">
        <v>0</v>
      </c>
      <c r="U1216" s="15"/>
    </row>
    <row r="1217" spans="1:21" x14ac:dyDescent="0.35">
      <c r="A1217" t="s">
        <v>14</v>
      </c>
      <c r="B1217" t="s">
        <v>3247</v>
      </c>
      <c r="C1217" t="s">
        <v>320</v>
      </c>
      <c r="D1217" t="s">
        <v>321</v>
      </c>
      <c r="E1217" t="s">
        <v>322</v>
      </c>
      <c r="F1217" t="s">
        <v>3248</v>
      </c>
      <c r="G1217" t="s">
        <v>3778</v>
      </c>
      <c r="H1217" s="15">
        <v>46139</v>
      </c>
      <c r="I1217" t="s">
        <v>3780</v>
      </c>
      <c r="J1217" t="s">
        <v>16</v>
      </c>
      <c r="K1217" t="s">
        <v>185</v>
      </c>
      <c r="N1217">
        <v>0</v>
      </c>
      <c r="O1217" t="s">
        <v>222</v>
      </c>
      <c r="P1217">
        <v>0</v>
      </c>
      <c r="U1217" s="15"/>
    </row>
    <row r="1218" spans="1:21" x14ac:dyDescent="0.35">
      <c r="A1218" t="s">
        <v>14</v>
      </c>
      <c r="B1218" t="s">
        <v>3247</v>
      </c>
      <c r="C1218" t="s">
        <v>234</v>
      </c>
      <c r="D1218" t="s">
        <v>235</v>
      </c>
      <c r="E1218" t="s">
        <v>236</v>
      </c>
      <c r="F1218" t="s">
        <v>3248</v>
      </c>
      <c r="G1218" t="s">
        <v>3781</v>
      </c>
      <c r="H1218" s="15">
        <v>46139</v>
      </c>
      <c r="I1218" t="s">
        <v>3782</v>
      </c>
      <c r="J1218" t="s">
        <v>233</v>
      </c>
      <c r="K1218" t="s">
        <v>185</v>
      </c>
      <c r="N1218">
        <v>0</v>
      </c>
      <c r="O1218" t="s">
        <v>222</v>
      </c>
      <c r="P1218">
        <v>0</v>
      </c>
      <c r="U1218" s="15"/>
    </row>
    <row r="1219" spans="1:21" x14ac:dyDescent="0.35">
      <c r="A1219" t="s">
        <v>14</v>
      </c>
      <c r="B1219" t="s">
        <v>3247</v>
      </c>
      <c r="C1219" t="s">
        <v>234</v>
      </c>
      <c r="D1219" t="s">
        <v>235</v>
      </c>
      <c r="E1219" t="s">
        <v>236</v>
      </c>
      <c r="F1219" t="s">
        <v>3248</v>
      </c>
      <c r="G1219" t="s">
        <v>3790</v>
      </c>
      <c r="H1219" s="15">
        <v>46140</v>
      </c>
      <c r="I1219" t="s">
        <v>3791</v>
      </c>
      <c r="J1219" t="s">
        <v>16</v>
      </c>
      <c r="K1219" t="s">
        <v>185</v>
      </c>
      <c r="N1219">
        <v>0</v>
      </c>
      <c r="O1219" t="s">
        <v>222</v>
      </c>
      <c r="P1219">
        <v>0</v>
      </c>
      <c r="U1219" s="15"/>
    </row>
    <row r="1220" spans="1:21" x14ac:dyDescent="0.35">
      <c r="A1220" t="s">
        <v>14</v>
      </c>
      <c r="B1220" t="s">
        <v>3247</v>
      </c>
      <c r="C1220" t="s">
        <v>320</v>
      </c>
      <c r="D1220" t="s">
        <v>321</v>
      </c>
      <c r="E1220" t="s">
        <v>322</v>
      </c>
      <c r="F1220" t="s">
        <v>3248</v>
      </c>
      <c r="G1220" t="s">
        <v>3792</v>
      </c>
      <c r="H1220" s="15">
        <v>46140</v>
      </c>
      <c r="I1220" t="s">
        <v>3793</v>
      </c>
      <c r="J1220" t="s">
        <v>233</v>
      </c>
      <c r="K1220" t="s">
        <v>185</v>
      </c>
      <c r="N1220">
        <v>0</v>
      </c>
      <c r="O1220" t="s">
        <v>222</v>
      </c>
      <c r="P1220">
        <v>0</v>
      </c>
      <c r="U1220" s="15"/>
    </row>
    <row r="1221" spans="1:21" x14ac:dyDescent="0.35">
      <c r="A1221" t="s">
        <v>14</v>
      </c>
      <c r="B1221" t="s">
        <v>3247</v>
      </c>
      <c r="C1221" t="s">
        <v>234</v>
      </c>
      <c r="D1221" t="s">
        <v>235</v>
      </c>
      <c r="E1221" t="s">
        <v>236</v>
      </c>
      <c r="F1221" t="s">
        <v>3248</v>
      </c>
      <c r="G1221" t="s">
        <v>3792</v>
      </c>
      <c r="H1221" s="15">
        <v>46140</v>
      </c>
      <c r="I1221" t="s">
        <v>3794</v>
      </c>
      <c r="J1221" t="s">
        <v>233</v>
      </c>
      <c r="K1221" t="s">
        <v>185</v>
      </c>
      <c r="N1221">
        <v>0</v>
      </c>
      <c r="O1221" t="s">
        <v>222</v>
      </c>
      <c r="P1221">
        <v>0</v>
      </c>
      <c r="U1221" s="15"/>
    </row>
    <row r="1222" spans="1:21" x14ac:dyDescent="0.35">
      <c r="A1222" t="s">
        <v>14</v>
      </c>
      <c r="B1222" t="s">
        <v>3247</v>
      </c>
      <c r="C1222" t="s">
        <v>234</v>
      </c>
      <c r="D1222" t="s">
        <v>235</v>
      </c>
      <c r="E1222" t="s">
        <v>236</v>
      </c>
      <c r="F1222" t="s">
        <v>3248</v>
      </c>
      <c r="G1222" t="s">
        <v>3798</v>
      </c>
      <c r="H1222" s="15">
        <v>46141</v>
      </c>
      <c r="I1222" t="s">
        <v>3799</v>
      </c>
      <c r="J1222" t="s">
        <v>16</v>
      </c>
      <c r="K1222" t="s">
        <v>185</v>
      </c>
      <c r="N1222">
        <v>0</v>
      </c>
      <c r="O1222" t="s">
        <v>222</v>
      </c>
      <c r="P1222">
        <v>0</v>
      </c>
      <c r="U1222" s="15"/>
    </row>
    <row r="1223" spans="1:21" x14ac:dyDescent="0.35">
      <c r="A1223" t="s">
        <v>14</v>
      </c>
      <c r="B1223" t="s">
        <v>3247</v>
      </c>
      <c r="C1223" t="s">
        <v>320</v>
      </c>
      <c r="D1223" t="s">
        <v>321</v>
      </c>
      <c r="E1223" t="s">
        <v>322</v>
      </c>
      <c r="F1223" t="s">
        <v>3248</v>
      </c>
      <c r="G1223" t="s">
        <v>3800</v>
      </c>
      <c r="H1223" s="15">
        <v>46141</v>
      </c>
      <c r="I1223" t="s">
        <v>3801</v>
      </c>
      <c r="J1223" t="s">
        <v>233</v>
      </c>
      <c r="K1223" t="s">
        <v>185</v>
      </c>
      <c r="N1223">
        <v>0</v>
      </c>
      <c r="O1223" t="s">
        <v>222</v>
      </c>
      <c r="P1223">
        <v>0</v>
      </c>
      <c r="U1223" s="15"/>
    </row>
    <row r="1224" spans="1:21" x14ac:dyDescent="0.35">
      <c r="A1224" t="s">
        <v>14</v>
      </c>
      <c r="B1224" t="s">
        <v>3247</v>
      </c>
      <c r="C1224" t="s">
        <v>234</v>
      </c>
      <c r="D1224" t="s">
        <v>235</v>
      </c>
      <c r="E1224" t="s">
        <v>236</v>
      </c>
      <c r="F1224" t="s">
        <v>3248</v>
      </c>
      <c r="G1224" t="s">
        <v>3800</v>
      </c>
      <c r="H1224" s="15">
        <v>46141</v>
      </c>
      <c r="I1224" t="s">
        <v>3802</v>
      </c>
      <c r="J1224" t="s">
        <v>233</v>
      </c>
      <c r="K1224" t="s">
        <v>185</v>
      </c>
      <c r="N1224">
        <v>0</v>
      </c>
      <c r="O1224" t="s">
        <v>222</v>
      </c>
      <c r="P1224">
        <v>0</v>
      </c>
      <c r="U1224" s="15"/>
    </row>
    <row r="1225" spans="1:21" x14ac:dyDescent="0.35">
      <c r="A1225" t="s">
        <v>14</v>
      </c>
      <c r="B1225" t="s">
        <v>3247</v>
      </c>
      <c r="C1225" t="s">
        <v>234</v>
      </c>
      <c r="D1225" t="s">
        <v>235</v>
      </c>
      <c r="E1225" t="s">
        <v>236</v>
      </c>
      <c r="F1225" t="s">
        <v>3248</v>
      </c>
      <c r="G1225" t="s">
        <v>3803</v>
      </c>
      <c r="H1225" s="15">
        <v>46142</v>
      </c>
      <c r="I1225" t="s">
        <v>3804</v>
      </c>
      <c r="J1225" t="s">
        <v>16</v>
      </c>
      <c r="K1225" t="s">
        <v>185</v>
      </c>
      <c r="N1225">
        <v>0</v>
      </c>
      <c r="O1225" t="s">
        <v>222</v>
      </c>
      <c r="P1225">
        <v>0</v>
      </c>
      <c r="U1225" s="15"/>
    </row>
    <row r="1226" spans="1:21" x14ac:dyDescent="0.35">
      <c r="A1226" t="s">
        <v>14</v>
      </c>
      <c r="B1226" t="s">
        <v>3247</v>
      </c>
      <c r="C1226" t="s">
        <v>320</v>
      </c>
      <c r="D1226" t="s">
        <v>321</v>
      </c>
      <c r="E1226" t="s">
        <v>322</v>
      </c>
      <c r="F1226" t="s">
        <v>3248</v>
      </c>
      <c r="G1226" t="s">
        <v>3812</v>
      </c>
      <c r="H1226" s="15">
        <v>46142</v>
      </c>
      <c r="I1226" t="s">
        <v>3813</v>
      </c>
      <c r="J1226" t="s">
        <v>233</v>
      </c>
      <c r="K1226" t="s">
        <v>185</v>
      </c>
      <c r="N1226">
        <v>0</v>
      </c>
      <c r="O1226" t="s">
        <v>222</v>
      </c>
      <c r="P1226">
        <v>0</v>
      </c>
      <c r="U1226" s="15"/>
    </row>
    <row r="1227" spans="1:21" x14ac:dyDescent="0.35">
      <c r="A1227" t="s">
        <v>14</v>
      </c>
      <c r="B1227" t="s">
        <v>3247</v>
      </c>
      <c r="C1227" t="s">
        <v>234</v>
      </c>
      <c r="D1227" t="s">
        <v>235</v>
      </c>
      <c r="E1227" t="s">
        <v>236</v>
      </c>
      <c r="F1227" t="s">
        <v>3248</v>
      </c>
      <c r="G1227" t="s">
        <v>3814</v>
      </c>
      <c r="H1227" s="15">
        <v>46144</v>
      </c>
      <c r="I1227" t="s">
        <v>3815</v>
      </c>
      <c r="J1227" t="s">
        <v>16</v>
      </c>
      <c r="K1227" t="s">
        <v>185</v>
      </c>
      <c r="N1227">
        <v>0</v>
      </c>
      <c r="O1227" t="s">
        <v>222</v>
      </c>
      <c r="P1227">
        <v>0</v>
      </c>
      <c r="U1227" s="15"/>
    </row>
    <row r="1228" spans="1:21" x14ac:dyDescent="0.35">
      <c r="A1228" t="s">
        <v>14</v>
      </c>
      <c r="B1228" t="s">
        <v>3247</v>
      </c>
      <c r="C1228" t="s">
        <v>320</v>
      </c>
      <c r="D1228" t="s">
        <v>321</v>
      </c>
      <c r="E1228" t="s">
        <v>322</v>
      </c>
      <c r="F1228" t="s">
        <v>3248</v>
      </c>
      <c r="G1228" t="s">
        <v>3816</v>
      </c>
      <c r="H1228" s="15">
        <v>46144</v>
      </c>
      <c r="I1228" t="s">
        <v>3817</v>
      </c>
      <c r="J1228" t="s">
        <v>233</v>
      </c>
      <c r="K1228" t="s">
        <v>185</v>
      </c>
      <c r="N1228">
        <v>0</v>
      </c>
      <c r="O1228" t="s">
        <v>222</v>
      </c>
      <c r="P1228">
        <v>0</v>
      </c>
      <c r="U1228" s="15"/>
    </row>
    <row r="1229" spans="1:21" x14ac:dyDescent="0.35">
      <c r="A1229" t="s">
        <v>14</v>
      </c>
      <c r="B1229" t="s">
        <v>3247</v>
      </c>
      <c r="C1229" t="s">
        <v>234</v>
      </c>
      <c r="D1229" t="s">
        <v>235</v>
      </c>
      <c r="E1229" t="s">
        <v>236</v>
      </c>
      <c r="F1229" t="s">
        <v>3248</v>
      </c>
      <c r="G1229" t="s">
        <v>3816</v>
      </c>
      <c r="H1229" s="15">
        <v>46144</v>
      </c>
      <c r="I1229" t="s">
        <v>3821</v>
      </c>
      <c r="J1229" t="s">
        <v>233</v>
      </c>
      <c r="K1229" t="s">
        <v>185</v>
      </c>
      <c r="N1229">
        <v>0</v>
      </c>
      <c r="O1229" t="s">
        <v>222</v>
      </c>
      <c r="P1229">
        <v>0</v>
      </c>
      <c r="U1229" s="15"/>
    </row>
    <row r="1230" spans="1:21" x14ac:dyDescent="0.35">
      <c r="A1230" t="s">
        <v>14</v>
      </c>
      <c r="B1230" t="s">
        <v>3247</v>
      </c>
      <c r="C1230" t="s">
        <v>234</v>
      </c>
      <c r="D1230" t="s">
        <v>235</v>
      </c>
      <c r="E1230" t="s">
        <v>236</v>
      </c>
      <c r="F1230" t="s">
        <v>3248</v>
      </c>
      <c r="G1230" t="s">
        <v>3822</v>
      </c>
      <c r="H1230" s="15">
        <v>46147</v>
      </c>
      <c r="I1230" t="s">
        <v>3823</v>
      </c>
      <c r="J1230" t="s">
        <v>16</v>
      </c>
      <c r="K1230" t="s">
        <v>185</v>
      </c>
      <c r="N1230">
        <v>0</v>
      </c>
      <c r="O1230" t="s">
        <v>222</v>
      </c>
      <c r="P1230">
        <v>0</v>
      </c>
      <c r="U1230" s="15"/>
    </row>
    <row r="1231" spans="1:21" x14ac:dyDescent="0.35">
      <c r="A1231" t="s">
        <v>14</v>
      </c>
      <c r="B1231" t="s">
        <v>3247</v>
      </c>
      <c r="C1231" t="s">
        <v>320</v>
      </c>
      <c r="D1231" t="s">
        <v>321</v>
      </c>
      <c r="E1231" t="s">
        <v>322</v>
      </c>
      <c r="F1231" t="s">
        <v>3248</v>
      </c>
      <c r="G1231" t="s">
        <v>3824</v>
      </c>
      <c r="H1231" s="15">
        <v>46147</v>
      </c>
      <c r="I1231" t="s">
        <v>3825</v>
      </c>
      <c r="J1231" t="s">
        <v>233</v>
      </c>
      <c r="K1231" t="s">
        <v>185</v>
      </c>
      <c r="N1231">
        <v>0</v>
      </c>
      <c r="O1231" t="s">
        <v>222</v>
      </c>
      <c r="P1231">
        <v>0</v>
      </c>
      <c r="U1231" s="15"/>
    </row>
    <row r="1232" spans="1:21" x14ac:dyDescent="0.35">
      <c r="A1232" t="s">
        <v>14</v>
      </c>
      <c r="B1232" t="s">
        <v>3247</v>
      </c>
      <c r="C1232" t="s">
        <v>234</v>
      </c>
      <c r="D1232" t="s">
        <v>235</v>
      </c>
      <c r="E1232" t="s">
        <v>236</v>
      </c>
      <c r="F1232" t="s">
        <v>3248</v>
      </c>
      <c r="G1232" t="s">
        <v>3824</v>
      </c>
      <c r="H1232" s="15">
        <v>46147</v>
      </c>
      <c r="I1232" t="s">
        <v>3830</v>
      </c>
      <c r="J1232" t="s">
        <v>233</v>
      </c>
      <c r="K1232" t="s">
        <v>185</v>
      </c>
      <c r="N1232">
        <v>0</v>
      </c>
      <c r="O1232" t="s">
        <v>222</v>
      </c>
      <c r="P1232">
        <v>0</v>
      </c>
      <c r="U1232" s="15"/>
    </row>
    <row r="1233" spans="1:21" x14ac:dyDescent="0.35">
      <c r="A1233" t="s">
        <v>14</v>
      </c>
      <c r="B1233" t="s">
        <v>3247</v>
      </c>
      <c r="C1233" t="s">
        <v>234</v>
      </c>
      <c r="D1233" t="s">
        <v>235</v>
      </c>
      <c r="E1233" t="s">
        <v>236</v>
      </c>
      <c r="F1233" t="s">
        <v>3248</v>
      </c>
      <c r="G1233" t="s">
        <v>3831</v>
      </c>
      <c r="H1233" s="15">
        <v>46148</v>
      </c>
      <c r="I1233" t="s">
        <v>3832</v>
      </c>
      <c r="J1233" t="s">
        <v>16</v>
      </c>
      <c r="K1233" t="s">
        <v>185</v>
      </c>
      <c r="N1233">
        <v>0</v>
      </c>
      <c r="O1233" t="s">
        <v>222</v>
      </c>
      <c r="P1233">
        <v>0</v>
      </c>
      <c r="U1233" s="15"/>
    </row>
    <row r="1234" spans="1:21" x14ac:dyDescent="0.35">
      <c r="A1234" t="s">
        <v>14</v>
      </c>
      <c r="B1234" t="s">
        <v>3247</v>
      </c>
      <c r="C1234" t="s">
        <v>320</v>
      </c>
      <c r="D1234" t="s">
        <v>321</v>
      </c>
      <c r="E1234" t="s">
        <v>322</v>
      </c>
      <c r="F1234" t="s">
        <v>3248</v>
      </c>
      <c r="G1234" t="s">
        <v>3833</v>
      </c>
      <c r="H1234" s="15">
        <v>46148</v>
      </c>
      <c r="I1234" t="s">
        <v>3834</v>
      </c>
      <c r="J1234" t="s">
        <v>233</v>
      </c>
      <c r="K1234" t="s">
        <v>185</v>
      </c>
      <c r="N1234">
        <v>0</v>
      </c>
      <c r="O1234" t="s">
        <v>222</v>
      </c>
      <c r="P1234">
        <v>0</v>
      </c>
      <c r="U1234" s="15"/>
    </row>
    <row r="1235" spans="1:21" x14ac:dyDescent="0.35">
      <c r="A1235" t="s">
        <v>14</v>
      </c>
      <c r="B1235" t="s">
        <v>3247</v>
      </c>
      <c r="C1235" t="s">
        <v>234</v>
      </c>
      <c r="D1235" t="s">
        <v>235</v>
      </c>
      <c r="E1235" t="s">
        <v>236</v>
      </c>
      <c r="F1235" t="s">
        <v>3248</v>
      </c>
      <c r="G1235" t="s">
        <v>3833</v>
      </c>
      <c r="H1235" s="15">
        <v>46148</v>
      </c>
      <c r="I1235" t="s">
        <v>3835</v>
      </c>
      <c r="J1235" t="s">
        <v>233</v>
      </c>
      <c r="K1235" t="s">
        <v>185</v>
      </c>
      <c r="N1235">
        <v>0</v>
      </c>
      <c r="O1235" t="s">
        <v>222</v>
      </c>
      <c r="P1235">
        <v>0</v>
      </c>
      <c r="U1235" s="15"/>
    </row>
    <row r="1236" spans="1:21" x14ac:dyDescent="0.35">
      <c r="A1236" t="s">
        <v>14</v>
      </c>
      <c r="B1236" t="s">
        <v>3247</v>
      </c>
      <c r="C1236" t="s">
        <v>234</v>
      </c>
      <c r="D1236" t="s">
        <v>235</v>
      </c>
      <c r="E1236" t="s">
        <v>236</v>
      </c>
      <c r="F1236" t="s">
        <v>3248</v>
      </c>
      <c r="G1236" t="s">
        <v>3836</v>
      </c>
      <c r="H1236" s="15">
        <v>46149</v>
      </c>
      <c r="I1236" t="s">
        <v>3837</v>
      </c>
      <c r="J1236" t="s">
        <v>16</v>
      </c>
      <c r="K1236" t="s">
        <v>185</v>
      </c>
      <c r="N1236">
        <v>0</v>
      </c>
      <c r="O1236" t="s">
        <v>222</v>
      </c>
      <c r="P1236">
        <v>0</v>
      </c>
      <c r="U1236" s="15"/>
    </row>
    <row r="1237" spans="1:21" x14ac:dyDescent="0.35">
      <c r="A1237" t="s">
        <v>14</v>
      </c>
      <c r="B1237" t="s">
        <v>3247</v>
      </c>
      <c r="C1237" t="s">
        <v>320</v>
      </c>
      <c r="D1237" t="s">
        <v>321</v>
      </c>
      <c r="E1237" t="s">
        <v>322</v>
      </c>
      <c r="F1237" t="s">
        <v>3248</v>
      </c>
      <c r="G1237" t="s">
        <v>3836</v>
      </c>
      <c r="H1237" s="15">
        <v>46149</v>
      </c>
      <c r="I1237" t="s">
        <v>3838</v>
      </c>
      <c r="J1237" t="s">
        <v>16</v>
      </c>
      <c r="K1237" t="s">
        <v>185</v>
      </c>
      <c r="N1237">
        <v>0</v>
      </c>
      <c r="O1237" t="s">
        <v>222</v>
      </c>
      <c r="P1237">
        <v>0</v>
      </c>
      <c r="U1237" s="15"/>
    </row>
    <row r="1238" spans="1:21" x14ac:dyDescent="0.35">
      <c r="A1238" t="s">
        <v>14</v>
      </c>
      <c r="B1238" t="s">
        <v>3247</v>
      </c>
      <c r="C1238" t="s">
        <v>234</v>
      </c>
      <c r="D1238" t="s">
        <v>235</v>
      </c>
      <c r="E1238" t="s">
        <v>236</v>
      </c>
      <c r="F1238" t="s">
        <v>3248</v>
      </c>
      <c r="G1238" t="s">
        <v>3839</v>
      </c>
      <c r="H1238" s="15">
        <v>46149</v>
      </c>
      <c r="I1238" t="s">
        <v>3840</v>
      </c>
      <c r="J1238" t="s">
        <v>233</v>
      </c>
      <c r="K1238" t="s">
        <v>185</v>
      </c>
      <c r="N1238">
        <v>0</v>
      </c>
      <c r="O1238" t="s">
        <v>222</v>
      </c>
      <c r="P1238">
        <v>0</v>
      </c>
      <c r="U1238" s="15"/>
    </row>
    <row r="1239" spans="1:21" x14ac:dyDescent="0.35">
      <c r="A1239" t="s">
        <v>14</v>
      </c>
      <c r="B1239" t="s">
        <v>3247</v>
      </c>
      <c r="C1239" t="s">
        <v>234</v>
      </c>
      <c r="D1239" t="s">
        <v>235</v>
      </c>
      <c r="E1239" t="s">
        <v>236</v>
      </c>
      <c r="F1239" t="s">
        <v>3248</v>
      </c>
      <c r="G1239" t="s">
        <v>3841</v>
      </c>
      <c r="H1239" s="15">
        <v>46150</v>
      </c>
      <c r="I1239" t="s">
        <v>3842</v>
      </c>
      <c r="J1239" t="s">
        <v>16</v>
      </c>
      <c r="K1239" t="s">
        <v>185</v>
      </c>
      <c r="N1239">
        <v>0</v>
      </c>
      <c r="O1239" t="s">
        <v>222</v>
      </c>
      <c r="P1239">
        <v>0</v>
      </c>
      <c r="U1239" s="15"/>
    </row>
    <row r="1240" spans="1:21" x14ac:dyDescent="0.35">
      <c r="A1240" t="s">
        <v>14</v>
      </c>
      <c r="B1240" t="s">
        <v>3247</v>
      </c>
      <c r="C1240" t="s">
        <v>320</v>
      </c>
      <c r="D1240" t="s">
        <v>321</v>
      </c>
      <c r="E1240" t="s">
        <v>322</v>
      </c>
      <c r="F1240" t="s">
        <v>3248</v>
      </c>
      <c r="G1240" t="s">
        <v>3841</v>
      </c>
      <c r="H1240" s="15">
        <v>46150</v>
      </c>
      <c r="I1240" t="s">
        <v>3843</v>
      </c>
      <c r="J1240" t="s">
        <v>16</v>
      </c>
      <c r="K1240" t="s">
        <v>185</v>
      </c>
      <c r="N1240">
        <v>0</v>
      </c>
      <c r="O1240" t="s">
        <v>222</v>
      </c>
      <c r="P1240">
        <v>0</v>
      </c>
      <c r="U1240" s="15"/>
    </row>
    <row r="1241" spans="1:21" x14ac:dyDescent="0.35">
      <c r="A1241" t="s">
        <v>14</v>
      </c>
      <c r="B1241" t="s">
        <v>3247</v>
      </c>
      <c r="C1241" t="s">
        <v>234</v>
      </c>
      <c r="D1241" t="s">
        <v>235</v>
      </c>
      <c r="E1241" t="s">
        <v>236</v>
      </c>
      <c r="F1241" t="s">
        <v>3248</v>
      </c>
      <c r="G1241" t="s">
        <v>3844</v>
      </c>
      <c r="H1241" s="15">
        <v>46150</v>
      </c>
      <c r="I1241" t="s">
        <v>3845</v>
      </c>
      <c r="J1241" t="s">
        <v>233</v>
      </c>
      <c r="K1241" t="s">
        <v>185</v>
      </c>
      <c r="N1241">
        <v>0</v>
      </c>
      <c r="O1241" t="s">
        <v>222</v>
      </c>
      <c r="P1241">
        <v>0</v>
      </c>
      <c r="U1241" s="15"/>
    </row>
    <row r="1242" spans="1:21" x14ac:dyDescent="0.35">
      <c r="A1242" t="s">
        <v>14</v>
      </c>
      <c r="B1242" t="s">
        <v>3247</v>
      </c>
      <c r="C1242" t="s">
        <v>234</v>
      </c>
      <c r="D1242" t="s">
        <v>235</v>
      </c>
      <c r="E1242" t="s">
        <v>236</v>
      </c>
      <c r="F1242" t="s">
        <v>3248</v>
      </c>
      <c r="G1242" t="s">
        <v>3846</v>
      </c>
      <c r="H1242" s="15">
        <v>46151</v>
      </c>
      <c r="I1242" t="s">
        <v>3847</v>
      </c>
      <c r="J1242" t="s">
        <v>16</v>
      </c>
      <c r="K1242" t="s">
        <v>185</v>
      </c>
      <c r="N1242">
        <v>0</v>
      </c>
      <c r="O1242" t="s">
        <v>222</v>
      </c>
      <c r="P1242">
        <v>0</v>
      </c>
      <c r="U1242" s="15"/>
    </row>
    <row r="1243" spans="1:21" x14ac:dyDescent="0.35">
      <c r="A1243" t="s">
        <v>14</v>
      </c>
      <c r="B1243" t="s">
        <v>3247</v>
      </c>
      <c r="C1243" t="s">
        <v>320</v>
      </c>
      <c r="D1243" t="s">
        <v>321</v>
      </c>
      <c r="E1243" t="s">
        <v>322</v>
      </c>
      <c r="F1243" t="s">
        <v>3248</v>
      </c>
      <c r="G1243" t="s">
        <v>3846</v>
      </c>
      <c r="H1243" s="15">
        <v>46151</v>
      </c>
      <c r="I1243" t="s">
        <v>3848</v>
      </c>
      <c r="J1243" t="s">
        <v>16</v>
      </c>
      <c r="K1243" t="s">
        <v>185</v>
      </c>
      <c r="N1243">
        <v>0</v>
      </c>
      <c r="O1243" t="s">
        <v>222</v>
      </c>
      <c r="P1243">
        <v>0</v>
      </c>
      <c r="U1243" s="15"/>
    </row>
    <row r="1244" spans="1:21" x14ac:dyDescent="0.35">
      <c r="A1244" t="s">
        <v>14</v>
      </c>
      <c r="B1244" t="s">
        <v>3247</v>
      </c>
      <c r="C1244" t="s">
        <v>234</v>
      </c>
      <c r="D1244" t="s">
        <v>235</v>
      </c>
      <c r="E1244" t="s">
        <v>236</v>
      </c>
      <c r="F1244" t="s">
        <v>3248</v>
      </c>
      <c r="G1244" t="s">
        <v>3849</v>
      </c>
      <c r="H1244" s="15">
        <v>46151</v>
      </c>
      <c r="I1244" t="s">
        <v>3850</v>
      </c>
      <c r="J1244" t="s">
        <v>233</v>
      </c>
      <c r="K1244" t="s">
        <v>185</v>
      </c>
      <c r="N1244">
        <v>0</v>
      </c>
      <c r="O1244" t="s">
        <v>222</v>
      </c>
      <c r="P1244">
        <v>0</v>
      </c>
      <c r="U1244" s="15"/>
    </row>
    <row r="1245" spans="1:21" x14ac:dyDescent="0.35">
      <c r="A1245" t="s">
        <v>14</v>
      </c>
      <c r="B1245" t="s">
        <v>3247</v>
      </c>
      <c r="C1245" t="s">
        <v>3287</v>
      </c>
      <c r="D1245" t="s">
        <v>3288</v>
      </c>
      <c r="E1245" t="s">
        <v>3289</v>
      </c>
      <c r="F1245" t="s">
        <v>3248</v>
      </c>
      <c r="G1245" t="s">
        <v>3851</v>
      </c>
      <c r="H1245" s="15">
        <v>46153</v>
      </c>
      <c r="I1245" t="s">
        <v>3852</v>
      </c>
      <c r="J1245" t="s">
        <v>16</v>
      </c>
      <c r="K1245" t="s">
        <v>185</v>
      </c>
      <c r="N1245">
        <v>0</v>
      </c>
      <c r="O1245" t="s">
        <v>222</v>
      </c>
      <c r="P1245">
        <v>0</v>
      </c>
      <c r="U1245" s="15"/>
    </row>
    <row r="1246" spans="1:21" x14ac:dyDescent="0.35">
      <c r="A1246" t="s">
        <v>14</v>
      </c>
      <c r="B1246" t="s">
        <v>3247</v>
      </c>
      <c r="C1246" t="s">
        <v>320</v>
      </c>
      <c r="D1246" t="s">
        <v>321</v>
      </c>
      <c r="E1246" t="s">
        <v>322</v>
      </c>
      <c r="F1246" t="s">
        <v>3248</v>
      </c>
      <c r="G1246" t="s">
        <v>3851</v>
      </c>
      <c r="H1246" s="15">
        <v>46153</v>
      </c>
      <c r="I1246" t="s">
        <v>3853</v>
      </c>
      <c r="J1246" t="s">
        <v>16</v>
      </c>
      <c r="K1246" t="s">
        <v>185</v>
      </c>
      <c r="N1246">
        <v>0</v>
      </c>
      <c r="O1246" t="s">
        <v>222</v>
      </c>
      <c r="P1246">
        <v>0</v>
      </c>
      <c r="U1246" s="15"/>
    </row>
    <row r="1247" spans="1:21" x14ac:dyDescent="0.35">
      <c r="A1247" t="s">
        <v>14</v>
      </c>
      <c r="B1247" t="s">
        <v>3247</v>
      </c>
      <c r="C1247" t="s">
        <v>234</v>
      </c>
      <c r="D1247" t="s">
        <v>235</v>
      </c>
      <c r="E1247" t="s">
        <v>236</v>
      </c>
      <c r="F1247" t="s">
        <v>3248</v>
      </c>
      <c r="G1247" t="s">
        <v>3854</v>
      </c>
      <c r="H1247" s="15">
        <v>46153</v>
      </c>
      <c r="I1247" t="s">
        <v>3855</v>
      </c>
      <c r="J1247" t="s">
        <v>233</v>
      </c>
      <c r="K1247" t="s">
        <v>185</v>
      </c>
      <c r="N1247">
        <v>0</v>
      </c>
      <c r="O1247" t="s">
        <v>222</v>
      </c>
      <c r="P1247">
        <v>0</v>
      </c>
      <c r="U1247" s="15"/>
    </row>
    <row r="1248" spans="1:21" x14ac:dyDescent="0.35">
      <c r="A1248" t="s">
        <v>14</v>
      </c>
      <c r="B1248" t="s">
        <v>3247</v>
      </c>
      <c r="C1248" t="s">
        <v>234</v>
      </c>
      <c r="D1248" t="s">
        <v>235</v>
      </c>
      <c r="E1248" t="s">
        <v>236</v>
      </c>
      <c r="F1248" t="s">
        <v>3248</v>
      </c>
      <c r="G1248" t="s">
        <v>3856</v>
      </c>
      <c r="H1248" s="15">
        <v>46154</v>
      </c>
      <c r="I1248" t="s">
        <v>3857</v>
      </c>
      <c r="J1248" t="s">
        <v>16</v>
      </c>
      <c r="K1248" t="s">
        <v>185</v>
      </c>
      <c r="N1248">
        <v>0</v>
      </c>
      <c r="O1248" t="s">
        <v>222</v>
      </c>
      <c r="P1248">
        <v>0</v>
      </c>
      <c r="R1248" t="s">
        <v>3858</v>
      </c>
      <c r="U1248" s="15"/>
    </row>
    <row r="1249" spans="1:21" x14ac:dyDescent="0.35">
      <c r="A1249" t="s">
        <v>14</v>
      </c>
      <c r="B1249" t="s">
        <v>3247</v>
      </c>
      <c r="C1249" t="s">
        <v>320</v>
      </c>
      <c r="D1249" t="s">
        <v>321</v>
      </c>
      <c r="E1249" t="s">
        <v>322</v>
      </c>
      <c r="F1249" t="s">
        <v>3248</v>
      </c>
      <c r="G1249" t="s">
        <v>3856</v>
      </c>
      <c r="H1249" s="15">
        <v>46154</v>
      </c>
      <c r="I1249" t="s">
        <v>3859</v>
      </c>
      <c r="J1249" t="s">
        <v>16</v>
      </c>
      <c r="K1249" t="s">
        <v>185</v>
      </c>
      <c r="N1249">
        <v>0</v>
      </c>
      <c r="O1249" t="s">
        <v>222</v>
      </c>
      <c r="P1249">
        <v>0</v>
      </c>
      <c r="U1249" s="15"/>
    </row>
    <row r="1250" spans="1:21" x14ac:dyDescent="0.35">
      <c r="A1250" t="s">
        <v>14</v>
      </c>
      <c r="B1250" t="s">
        <v>3247</v>
      </c>
      <c r="C1250" t="s">
        <v>234</v>
      </c>
      <c r="D1250" t="s">
        <v>235</v>
      </c>
      <c r="E1250" t="s">
        <v>236</v>
      </c>
      <c r="F1250" t="s">
        <v>3248</v>
      </c>
      <c r="G1250" t="s">
        <v>3860</v>
      </c>
      <c r="H1250" s="15">
        <v>46154</v>
      </c>
      <c r="I1250" t="s">
        <v>3861</v>
      </c>
      <c r="J1250" t="s">
        <v>233</v>
      </c>
      <c r="K1250" t="s">
        <v>185</v>
      </c>
      <c r="N1250">
        <v>0</v>
      </c>
      <c r="O1250" t="s">
        <v>222</v>
      </c>
      <c r="P1250">
        <v>0</v>
      </c>
      <c r="U1250" s="15"/>
    </row>
    <row r="1251" spans="1:21" x14ac:dyDescent="0.35">
      <c r="A1251" t="s">
        <v>14</v>
      </c>
      <c r="B1251" t="s">
        <v>3247</v>
      </c>
      <c r="C1251" t="s">
        <v>234</v>
      </c>
      <c r="D1251" t="s">
        <v>235</v>
      </c>
      <c r="E1251" t="s">
        <v>236</v>
      </c>
      <c r="F1251" t="s">
        <v>3248</v>
      </c>
      <c r="G1251" t="s">
        <v>3862</v>
      </c>
      <c r="H1251" s="15">
        <v>46155</v>
      </c>
      <c r="I1251" t="s">
        <v>3863</v>
      </c>
      <c r="J1251" t="s">
        <v>16</v>
      </c>
      <c r="K1251" t="s">
        <v>185</v>
      </c>
      <c r="N1251">
        <v>0</v>
      </c>
      <c r="O1251" t="s">
        <v>222</v>
      </c>
      <c r="P1251">
        <v>0</v>
      </c>
      <c r="U1251" s="15"/>
    </row>
    <row r="1252" spans="1:21" x14ac:dyDescent="0.35">
      <c r="A1252" t="s">
        <v>14</v>
      </c>
      <c r="B1252" t="s">
        <v>3247</v>
      </c>
      <c r="C1252" t="s">
        <v>320</v>
      </c>
      <c r="D1252" t="s">
        <v>321</v>
      </c>
      <c r="E1252" t="s">
        <v>322</v>
      </c>
      <c r="F1252" t="s">
        <v>3248</v>
      </c>
      <c r="G1252" t="s">
        <v>3862</v>
      </c>
      <c r="H1252" s="15">
        <v>46155</v>
      </c>
      <c r="I1252" t="s">
        <v>3864</v>
      </c>
      <c r="J1252" t="s">
        <v>16</v>
      </c>
      <c r="K1252" t="s">
        <v>185</v>
      </c>
      <c r="N1252">
        <v>0</v>
      </c>
      <c r="O1252" t="s">
        <v>222</v>
      </c>
      <c r="P1252">
        <v>0</v>
      </c>
      <c r="U1252" s="15"/>
    </row>
    <row r="1253" spans="1:21" x14ac:dyDescent="0.35">
      <c r="A1253" t="s">
        <v>14</v>
      </c>
      <c r="B1253" t="s">
        <v>3247</v>
      </c>
      <c r="C1253" t="s">
        <v>234</v>
      </c>
      <c r="D1253" t="s">
        <v>235</v>
      </c>
      <c r="E1253" t="s">
        <v>236</v>
      </c>
      <c r="F1253" t="s">
        <v>3248</v>
      </c>
      <c r="G1253" t="s">
        <v>3865</v>
      </c>
      <c r="H1253" s="15">
        <v>46155</v>
      </c>
      <c r="I1253" t="s">
        <v>3866</v>
      </c>
      <c r="J1253" t="s">
        <v>233</v>
      </c>
      <c r="K1253" t="s">
        <v>185</v>
      </c>
      <c r="N1253">
        <v>0</v>
      </c>
      <c r="O1253" t="s">
        <v>222</v>
      </c>
      <c r="P1253">
        <v>0</v>
      </c>
      <c r="U1253" s="15"/>
    </row>
    <row r="1254" spans="1:21" x14ac:dyDescent="0.35">
      <c r="A1254" t="s">
        <v>14</v>
      </c>
      <c r="B1254" t="s">
        <v>3247</v>
      </c>
      <c r="C1254" t="s">
        <v>234</v>
      </c>
      <c r="D1254" t="s">
        <v>235</v>
      </c>
      <c r="E1254" t="s">
        <v>236</v>
      </c>
      <c r="F1254" t="s">
        <v>3248</v>
      </c>
      <c r="G1254" t="s">
        <v>3867</v>
      </c>
      <c r="H1254" s="15">
        <v>46156</v>
      </c>
      <c r="I1254" t="s">
        <v>3868</v>
      </c>
      <c r="J1254" t="s">
        <v>16</v>
      </c>
      <c r="K1254" t="s">
        <v>185</v>
      </c>
      <c r="N1254">
        <v>0</v>
      </c>
      <c r="O1254" t="s">
        <v>222</v>
      </c>
      <c r="P1254">
        <v>0</v>
      </c>
      <c r="U1254" s="15"/>
    </row>
    <row r="1255" spans="1:21" x14ac:dyDescent="0.35">
      <c r="A1255" t="s">
        <v>14</v>
      </c>
      <c r="B1255" t="s">
        <v>3247</v>
      </c>
      <c r="C1255" t="s">
        <v>320</v>
      </c>
      <c r="D1255" t="s">
        <v>321</v>
      </c>
      <c r="E1255" t="s">
        <v>322</v>
      </c>
      <c r="F1255" t="s">
        <v>3248</v>
      </c>
      <c r="G1255" t="s">
        <v>3867</v>
      </c>
      <c r="H1255" s="15">
        <v>46156</v>
      </c>
      <c r="I1255" t="s">
        <v>3869</v>
      </c>
      <c r="J1255" t="s">
        <v>16</v>
      </c>
      <c r="K1255" t="s">
        <v>185</v>
      </c>
      <c r="N1255">
        <v>0</v>
      </c>
      <c r="O1255" t="s">
        <v>222</v>
      </c>
      <c r="P1255">
        <v>0</v>
      </c>
      <c r="U1255" s="15"/>
    </row>
    <row r="1256" spans="1:21" x14ac:dyDescent="0.35">
      <c r="A1256" t="s">
        <v>14</v>
      </c>
      <c r="B1256" t="s">
        <v>3247</v>
      </c>
      <c r="C1256" t="s">
        <v>234</v>
      </c>
      <c r="D1256" t="s">
        <v>235</v>
      </c>
      <c r="E1256" t="s">
        <v>236</v>
      </c>
      <c r="F1256" t="s">
        <v>3248</v>
      </c>
      <c r="G1256" t="s">
        <v>3870</v>
      </c>
      <c r="H1256" s="15">
        <v>46156</v>
      </c>
      <c r="I1256" t="s">
        <v>3871</v>
      </c>
      <c r="J1256" t="s">
        <v>233</v>
      </c>
      <c r="K1256" t="s">
        <v>185</v>
      </c>
      <c r="N1256">
        <v>0</v>
      </c>
      <c r="O1256" t="s">
        <v>222</v>
      </c>
      <c r="P1256">
        <v>0</v>
      </c>
      <c r="U1256" s="15"/>
    </row>
    <row r="1257" spans="1:21" x14ac:dyDescent="0.35">
      <c r="A1257" t="s">
        <v>14</v>
      </c>
      <c r="B1257" t="s">
        <v>3247</v>
      </c>
      <c r="C1257" t="s">
        <v>234</v>
      </c>
      <c r="D1257" t="s">
        <v>235</v>
      </c>
      <c r="E1257" t="s">
        <v>236</v>
      </c>
      <c r="F1257" t="s">
        <v>3248</v>
      </c>
      <c r="G1257" t="s">
        <v>3872</v>
      </c>
      <c r="H1257" s="15">
        <v>46157</v>
      </c>
      <c r="I1257" t="s">
        <v>3873</v>
      </c>
      <c r="J1257" t="s">
        <v>16</v>
      </c>
      <c r="K1257" t="s">
        <v>185</v>
      </c>
      <c r="N1257">
        <v>0</v>
      </c>
      <c r="O1257" t="s">
        <v>222</v>
      </c>
      <c r="P1257">
        <v>0</v>
      </c>
      <c r="U1257" s="15"/>
    </row>
    <row r="1258" spans="1:21" x14ac:dyDescent="0.35">
      <c r="A1258" t="s">
        <v>14</v>
      </c>
      <c r="B1258" t="s">
        <v>3247</v>
      </c>
      <c r="C1258" t="s">
        <v>320</v>
      </c>
      <c r="D1258" t="s">
        <v>321</v>
      </c>
      <c r="E1258" t="s">
        <v>322</v>
      </c>
      <c r="F1258" t="s">
        <v>3248</v>
      </c>
      <c r="G1258" t="s">
        <v>3872</v>
      </c>
      <c r="H1258" s="15">
        <v>46157</v>
      </c>
      <c r="I1258" t="s">
        <v>3874</v>
      </c>
      <c r="J1258" t="s">
        <v>16</v>
      </c>
      <c r="K1258" t="s">
        <v>185</v>
      </c>
      <c r="N1258">
        <v>0</v>
      </c>
      <c r="O1258" t="s">
        <v>222</v>
      </c>
      <c r="P1258">
        <v>0</v>
      </c>
      <c r="U1258" s="15"/>
    </row>
    <row r="1259" spans="1:21" x14ac:dyDescent="0.35">
      <c r="A1259" t="s">
        <v>14</v>
      </c>
      <c r="B1259" t="s">
        <v>3247</v>
      </c>
      <c r="C1259" t="s">
        <v>234</v>
      </c>
      <c r="D1259" t="s">
        <v>235</v>
      </c>
      <c r="E1259" t="s">
        <v>236</v>
      </c>
      <c r="F1259" t="s">
        <v>3248</v>
      </c>
      <c r="G1259" t="s">
        <v>3875</v>
      </c>
      <c r="H1259" s="15">
        <v>46157</v>
      </c>
      <c r="I1259" t="s">
        <v>3876</v>
      </c>
      <c r="J1259" t="s">
        <v>233</v>
      </c>
      <c r="K1259" t="s">
        <v>185</v>
      </c>
      <c r="N1259">
        <v>0</v>
      </c>
      <c r="O1259" t="s">
        <v>222</v>
      </c>
      <c r="P1259">
        <v>0</v>
      </c>
      <c r="U1259" s="15"/>
    </row>
    <row r="1260" spans="1:21" x14ac:dyDescent="0.35">
      <c r="A1260" t="s">
        <v>14</v>
      </c>
      <c r="B1260" t="s">
        <v>3247</v>
      </c>
      <c r="C1260" t="s">
        <v>3263</v>
      </c>
      <c r="D1260" t="s">
        <v>3264</v>
      </c>
      <c r="E1260" t="s">
        <v>3265</v>
      </c>
      <c r="F1260" t="s">
        <v>3248</v>
      </c>
      <c r="G1260" t="s">
        <v>3877</v>
      </c>
      <c r="H1260" s="15">
        <v>46158</v>
      </c>
      <c r="I1260" t="s">
        <v>3878</v>
      </c>
      <c r="J1260" t="s">
        <v>16</v>
      </c>
      <c r="K1260" t="s">
        <v>185</v>
      </c>
      <c r="N1260">
        <v>0</v>
      </c>
      <c r="O1260" t="s">
        <v>222</v>
      </c>
      <c r="P1260">
        <v>0</v>
      </c>
      <c r="U1260" s="15"/>
    </row>
    <row r="1261" spans="1:21" x14ac:dyDescent="0.35">
      <c r="A1261" t="s">
        <v>14</v>
      </c>
      <c r="B1261" t="s">
        <v>3247</v>
      </c>
      <c r="C1261" t="s">
        <v>3258</v>
      </c>
      <c r="D1261" t="s">
        <v>3259</v>
      </c>
      <c r="E1261" t="s">
        <v>3260</v>
      </c>
      <c r="F1261" t="s">
        <v>3248</v>
      </c>
      <c r="G1261" t="s">
        <v>3877</v>
      </c>
      <c r="H1261" s="15">
        <v>46158</v>
      </c>
      <c r="I1261" t="s">
        <v>3879</v>
      </c>
      <c r="J1261" t="s">
        <v>16</v>
      </c>
      <c r="K1261" t="s">
        <v>185</v>
      </c>
      <c r="N1261">
        <v>0</v>
      </c>
      <c r="O1261" t="s">
        <v>222</v>
      </c>
      <c r="P1261">
        <v>0</v>
      </c>
      <c r="U1261" s="15"/>
    </row>
    <row r="1262" spans="1:21" x14ac:dyDescent="0.35">
      <c r="A1262" t="s">
        <v>14</v>
      </c>
      <c r="B1262" t="s">
        <v>3247</v>
      </c>
      <c r="C1262" t="s">
        <v>3263</v>
      </c>
      <c r="D1262" t="s">
        <v>3264</v>
      </c>
      <c r="E1262" t="s">
        <v>3265</v>
      </c>
      <c r="F1262" t="s">
        <v>3248</v>
      </c>
      <c r="G1262" t="s">
        <v>3880</v>
      </c>
      <c r="H1262" s="15">
        <v>46158</v>
      </c>
      <c r="I1262" t="s">
        <v>3881</v>
      </c>
      <c r="J1262" t="s">
        <v>233</v>
      </c>
      <c r="K1262" t="s">
        <v>185</v>
      </c>
      <c r="N1262">
        <v>0</v>
      </c>
      <c r="O1262" t="s">
        <v>222</v>
      </c>
      <c r="P1262">
        <v>0</v>
      </c>
      <c r="U1262" s="15"/>
    </row>
    <row r="1263" spans="1:21" x14ac:dyDescent="0.35">
      <c r="A1263" t="s">
        <v>14</v>
      </c>
      <c r="B1263" t="s">
        <v>3247</v>
      </c>
      <c r="C1263" t="s">
        <v>234</v>
      </c>
      <c r="D1263" t="s">
        <v>235</v>
      </c>
      <c r="E1263" t="s">
        <v>236</v>
      </c>
      <c r="F1263" t="s">
        <v>3248</v>
      </c>
      <c r="G1263" t="s">
        <v>3882</v>
      </c>
      <c r="H1263" s="15">
        <v>46160</v>
      </c>
      <c r="I1263" t="s">
        <v>3883</v>
      </c>
      <c r="J1263" t="s">
        <v>16</v>
      </c>
      <c r="K1263" t="s">
        <v>185</v>
      </c>
      <c r="N1263">
        <v>0</v>
      </c>
      <c r="O1263" t="s">
        <v>222</v>
      </c>
      <c r="P1263">
        <v>0</v>
      </c>
      <c r="U1263" s="15"/>
    </row>
    <row r="1264" spans="1:21" x14ac:dyDescent="0.35">
      <c r="A1264" t="s">
        <v>14</v>
      </c>
      <c r="B1264" t="s">
        <v>3247</v>
      </c>
      <c r="C1264" t="s">
        <v>3339</v>
      </c>
      <c r="D1264" t="s">
        <v>3340</v>
      </c>
      <c r="E1264" t="s">
        <v>3341</v>
      </c>
      <c r="F1264" t="s">
        <v>3248</v>
      </c>
      <c r="G1264" t="s">
        <v>3884</v>
      </c>
      <c r="H1264" s="15">
        <v>46160</v>
      </c>
      <c r="I1264" t="s">
        <v>3885</v>
      </c>
      <c r="J1264" t="s">
        <v>233</v>
      </c>
      <c r="K1264" t="s">
        <v>185</v>
      </c>
      <c r="N1264">
        <v>0</v>
      </c>
      <c r="O1264" t="s">
        <v>222</v>
      </c>
      <c r="P1264">
        <v>0</v>
      </c>
      <c r="U1264" s="15"/>
    </row>
    <row r="1265" spans="1:21" x14ac:dyDescent="0.35">
      <c r="A1265" t="s">
        <v>14</v>
      </c>
      <c r="B1265" t="s">
        <v>3247</v>
      </c>
      <c r="C1265" t="s">
        <v>234</v>
      </c>
      <c r="D1265" t="s">
        <v>235</v>
      </c>
      <c r="E1265" t="s">
        <v>236</v>
      </c>
      <c r="F1265" t="s">
        <v>3248</v>
      </c>
      <c r="G1265" t="s">
        <v>3884</v>
      </c>
      <c r="H1265" s="15">
        <v>46160</v>
      </c>
      <c r="I1265" t="s">
        <v>3886</v>
      </c>
      <c r="J1265" t="s">
        <v>233</v>
      </c>
      <c r="K1265" t="s">
        <v>185</v>
      </c>
      <c r="N1265">
        <v>0</v>
      </c>
      <c r="O1265" t="s">
        <v>222</v>
      </c>
      <c r="P1265">
        <v>0</v>
      </c>
      <c r="U1265" s="15"/>
    </row>
    <row r="1266" spans="1:21" x14ac:dyDescent="0.35">
      <c r="A1266" t="s">
        <v>14</v>
      </c>
      <c r="B1266" t="s">
        <v>3247</v>
      </c>
      <c r="C1266" t="s">
        <v>234</v>
      </c>
      <c r="D1266" t="s">
        <v>235</v>
      </c>
      <c r="E1266" t="s">
        <v>236</v>
      </c>
      <c r="F1266" t="s">
        <v>3248</v>
      </c>
      <c r="G1266" t="s">
        <v>3887</v>
      </c>
      <c r="H1266" s="15">
        <v>46161</v>
      </c>
      <c r="I1266" t="s">
        <v>3888</v>
      </c>
      <c r="J1266" t="s">
        <v>16</v>
      </c>
      <c r="K1266" t="s">
        <v>185</v>
      </c>
      <c r="N1266">
        <v>0</v>
      </c>
      <c r="O1266" t="s">
        <v>222</v>
      </c>
      <c r="P1266">
        <v>0</v>
      </c>
      <c r="U1266" s="15"/>
    </row>
    <row r="1267" spans="1:21" x14ac:dyDescent="0.35">
      <c r="A1267" t="s">
        <v>14</v>
      </c>
      <c r="B1267" t="s">
        <v>3247</v>
      </c>
      <c r="C1267" t="s">
        <v>320</v>
      </c>
      <c r="D1267" t="s">
        <v>321</v>
      </c>
      <c r="E1267" t="s">
        <v>322</v>
      </c>
      <c r="F1267" t="s">
        <v>3248</v>
      </c>
      <c r="G1267" t="s">
        <v>3889</v>
      </c>
      <c r="H1267" s="15">
        <v>46161</v>
      </c>
      <c r="I1267" t="s">
        <v>3890</v>
      </c>
      <c r="J1267" t="s">
        <v>233</v>
      </c>
      <c r="K1267" t="s">
        <v>185</v>
      </c>
      <c r="N1267">
        <v>0</v>
      </c>
      <c r="O1267" t="s">
        <v>222</v>
      </c>
      <c r="P1267">
        <v>0</v>
      </c>
      <c r="U1267" s="15"/>
    </row>
    <row r="1268" spans="1:21" x14ac:dyDescent="0.35">
      <c r="A1268" t="s">
        <v>14</v>
      </c>
      <c r="B1268" t="s">
        <v>3247</v>
      </c>
      <c r="C1268" t="s">
        <v>234</v>
      </c>
      <c r="D1268" t="s">
        <v>235</v>
      </c>
      <c r="E1268" t="s">
        <v>236</v>
      </c>
      <c r="F1268" t="s">
        <v>3248</v>
      </c>
      <c r="G1268" t="s">
        <v>3889</v>
      </c>
      <c r="H1268" s="15">
        <v>46161</v>
      </c>
      <c r="I1268" t="s">
        <v>3891</v>
      </c>
      <c r="J1268" t="s">
        <v>233</v>
      </c>
      <c r="K1268" t="s">
        <v>185</v>
      </c>
      <c r="N1268">
        <v>0</v>
      </c>
      <c r="O1268" t="s">
        <v>222</v>
      </c>
      <c r="P1268">
        <v>0</v>
      </c>
      <c r="U1268" s="15"/>
    </row>
    <row r="1269" spans="1:21" x14ac:dyDescent="0.35">
      <c r="A1269" t="s">
        <v>14</v>
      </c>
      <c r="B1269" t="s">
        <v>3247</v>
      </c>
      <c r="C1269" t="s">
        <v>234</v>
      </c>
      <c r="D1269" t="s">
        <v>235</v>
      </c>
      <c r="E1269" t="s">
        <v>236</v>
      </c>
      <c r="F1269" t="s">
        <v>3248</v>
      </c>
      <c r="G1269" t="s">
        <v>3892</v>
      </c>
      <c r="H1269" s="15">
        <v>46162</v>
      </c>
      <c r="I1269" t="s">
        <v>3893</v>
      </c>
      <c r="J1269" t="s">
        <v>16</v>
      </c>
      <c r="K1269" t="s">
        <v>185</v>
      </c>
      <c r="N1269">
        <v>0</v>
      </c>
      <c r="O1269" t="s">
        <v>222</v>
      </c>
      <c r="P1269">
        <v>0</v>
      </c>
      <c r="U1269" s="15"/>
    </row>
    <row r="1270" spans="1:21" x14ac:dyDescent="0.35">
      <c r="A1270" t="s">
        <v>14</v>
      </c>
      <c r="B1270" t="s">
        <v>3247</v>
      </c>
      <c r="C1270" t="s">
        <v>3270</v>
      </c>
      <c r="D1270" t="s">
        <v>3271</v>
      </c>
      <c r="E1270" t="s">
        <v>3272</v>
      </c>
      <c r="F1270" t="s">
        <v>3248</v>
      </c>
      <c r="G1270" t="s">
        <v>3894</v>
      </c>
      <c r="H1270" s="15">
        <v>46162</v>
      </c>
      <c r="I1270" t="s">
        <v>3895</v>
      </c>
      <c r="J1270" t="s">
        <v>233</v>
      </c>
      <c r="K1270" t="s">
        <v>185</v>
      </c>
      <c r="N1270">
        <v>0</v>
      </c>
      <c r="O1270" t="s">
        <v>222</v>
      </c>
      <c r="P1270">
        <v>0</v>
      </c>
      <c r="U1270" s="15"/>
    </row>
    <row r="1271" spans="1:21" x14ac:dyDescent="0.35">
      <c r="A1271" t="s">
        <v>14</v>
      </c>
      <c r="B1271" t="s">
        <v>3247</v>
      </c>
      <c r="C1271" t="s">
        <v>234</v>
      </c>
      <c r="D1271" t="s">
        <v>235</v>
      </c>
      <c r="E1271" t="s">
        <v>236</v>
      </c>
      <c r="F1271" t="s">
        <v>3248</v>
      </c>
      <c r="G1271" t="s">
        <v>3894</v>
      </c>
      <c r="H1271" s="15">
        <v>46162</v>
      </c>
      <c r="I1271" t="s">
        <v>3896</v>
      </c>
      <c r="J1271" t="s">
        <v>233</v>
      </c>
      <c r="K1271" t="s">
        <v>185</v>
      </c>
      <c r="N1271">
        <v>0</v>
      </c>
      <c r="O1271" t="s">
        <v>222</v>
      </c>
      <c r="P1271">
        <v>0</v>
      </c>
      <c r="U1271" s="15"/>
    </row>
    <row r="1272" spans="1:21" x14ac:dyDescent="0.35">
      <c r="A1272" t="s">
        <v>14</v>
      </c>
      <c r="B1272" t="s">
        <v>3247</v>
      </c>
      <c r="C1272" t="s">
        <v>234</v>
      </c>
      <c r="D1272" t="s">
        <v>235</v>
      </c>
      <c r="E1272" t="s">
        <v>236</v>
      </c>
      <c r="F1272" t="s">
        <v>3248</v>
      </c>
      <c r="G1272" t="s">
        <v>3897</v>
      </c>
      <c r="H1272" s="15">
        <v>46163</v>
      </c>
      <c r="I1272" t="s">
        <v>3898</v>
      </c>
      <c r="J1272" t="s">
        <v>16</v>
      </c>
      <c r="K1272" t="s">
        <v>185</v>
      </c>
      <c r="N1272">
        <v>0</v>
      </c>
      <c r="O1272" t="s">
        <v>222</v>
      </c>
      <c r="P1272">
        <v>0</v>
      </c>
      <c r="U1272" s="15"/>
    </row>
    <row r="1273" spans="1:21" x14ac:dyDescent="0.35">
      <c r="A1273" t="s">
        <v>14</v>
      </c>
      <c r="B1273" t="s">
        <v>3247</v>
      </c>
      <c r="C1273" t="s">
        <v>320</v>
      </c>
      <c r="D1273" t="s">
        <v>321</v>
      </c>
      <c r="E1273" t="s">
        <v>322</v>
      </c>
      <c r="F1273" t="s">
        <v>3248</v>
      </c>
      <c r="G1273" t="s">
        <v>3899</v>
      </c>
      <c r="H1273" s="15">
        <v>46163</v>
      </c>
      <c r="I1273" t="s">
        <v>3900</v>
      </c>
      <c r="J1273" t="s">
        <v>233</v>
      </c>
      <c r="K1273" t="s">
        <v>185</v>
      </c>
      <c r="N1273">
        <v>0</v>
      </c>
      <c r="O1273" t="s">
        <v>222</v>
      </c>
      <c r="P1273">
        <v>0</v>
      </c>
      <c r="U1273" s="15"/>
    </row>
    <row r="1274" spans="1:21" x14ac:dyDescent="0.35">
      <c r="A1274" t="s">
        <v>14</v>
      </c>
      <c r="B1274" t="s">
        <v>3247</v>
      </c>
      <c r="C1274" t="s">
        <v>234</v>
      </c>
      <c r="D1274" t="s">
        <v>235</v>
      </c>
      <c r="E1274" t="s">
        <v>236</v>
      </c>
      <c r="F1274" t="s">
        <v>3248</v>
      </c>
      <c r="G1274" t="s">
        <v>3899</v>
      </c>
      <c r="H1274" s="15">
        <v>46163</v>
      </c>
      <c r="I1274" t="s">
        <v>3901</v>
      </c>
      <c r="J1274" t="s">
        <v>233</v>
      </c>
      <c r="K1274" t="s">
        <v>185</v>
      </c>
      <c r="N1274">
        <v>0</v>
      </c>
      <c r="O1274" t="s">
        <v>222</v>
      </c>
      <c r="P1274">
        <v>0</v>
      </c>
      <c r="U1274" s="15"/>
    </row>
    <row r="1275" spans="1:21" x14ac:dyDescent="0.35">
      <c r="A1275" t="s">
        <v>14</v>
      </c>
      <c r="B1275" t="s">
        <v>3247</v>
      </c>
      <c r="C1275" t="s">
        <v>234</v>
      </c>
      <c r="D1275" t="s">
        <v>235</v>
      </c>
      <c r="E1275" t="s">
        <v>236</v>
      </c>
      <c r="F1275" t="s">
        <v>3248</v>
      </c>
      <c r="G1275" t="s">
        <v>3902</v>
      </c>
      <c r="H1275" s="15">
        <v>46164</v>
      </c>
      <c r="I1275" t="s">
        <v>3903</v>
      </c>
      <c r="J1275" t="s">
        <v>16</v>
      </c>
      <c r="K1275" t="s">
        <v>185</v>
      </c>
      <c r="N1275">
        <v>0</v>
      </c>
      <c r="O1275" t="s">
        <v>222</v>
      </c>
      <c r="P1275">
        <v>0</v>
      </c>
      <c r="U1275" s="15"/>
    </row>
    <row r="1276" spans="1:21" x14ac:dyDescent="0.35">
      <c r="A1276" t="s">
        <v>14</v>
      </c>
      <c r="B1276" t="s">
        <v>3247</v>
      </c>
      <c r="C1276" t="s">
        <v>320</v>
      </c>
      <c r="D1276" t="s">
        <v>321</v>
      </c>
      <c r="E1276" t="s">
        <v>322</v>
      </c>
      <c r="F1276" t="s">
        <v>3248</v>
      </c>
      <c r="G1276" t="s">
        <v>3902</v>
      </c>
      <c r="H1276" s="15">
        <v>46164</v>
      </c>
      <c r="I1276" t="s">
        <v>3904</v>
      </c>
      <c r="J1276" t="s">
        <v>16</v>
      </c>
      <c r="K1276" t="s">
        <v>185</v>
      </c>
      <c r="N1276">
        <v>0</v>
      </c>
      <c r="O1276" t="s">
        <v>222</v>
      </c>
      <c r="P1276">
        <v>0</v>
      </c>
      <c r="U1276" s="15"/>
    </row>
    <row r="1277" spans="1:21" x14ac:dyDescent="0.35">
      <c r="A1277" t="s">
        <v>14</v>
      </c>
      <c r="B1277" t="s">
        <v>3247</v>
      </c>
      <c r="C1277" t="s">
        <v>234</v>
      </c>
      <c r="D1277" t="s">
        <v>235</v>
      </c>
      <c r="E1277" t="s">
        <v>236</v>
      </c>
      <c r="F1277" t="s">
        <v>3248</v>
      </c>
      <c r="G1277" t="s">
        <v>3905</v>
      </c>
      <c r="H1277" s="15">
        <v>46164</v>
      </c>
      <c r="I1277" t="s">
        <v>3906</v>
      </c>
      <c r="J1277" t="s">
        <v>233</v>
      </c>
      <c r="K1277" t="s">
        <v>185</v>
      </c>
      <c r="N1277">
        <v>0</v>
      </c>
      <c r="O1277" t="s">
        <v>222</v>
      </c>
      <c r="P1277">
        <v>0</v>
      </c>
      <c r="U1277" s="15"/>
    </row>
    <row r="1278" spans="1:21" x14ac:dyDescent="0.35">
      <c r="A1278" t="s">
        <v>14</v>
      </c>
      <c r="B1278" t="s">
        <v>3247</v>
      </c>
      <c r="C1278" t="s">
        <v>234</v>
      </c>
      <c r="D1278" t="s">
        <v>235</v>
      </c>
      <c r="E1278" t="s">
        <v>236</v>
      </c>
      <c r="F1278" t="s">
        <v>3248</v>
      </c>
      <c r="G1278" t="s">
        <v>3907</v>
      </c>
      <c r="H1278" s="15">
        <v>46165</v>
      </c>
      <c r="I1278" t="s">
        <v>3908</v>
      </c>
      <c r="J1278" t="s">
        <v>16</v>
      </c>
      <c r="K1278" t="s">
        <v>185</v>
      </c>
      <c r="N1278">
        <v>0</v>
      </c>
      <c r="O1278" t="s">
        <v>222</v>
      </c>
      <c r="P1278">
        <v>0</v>
      </c>
      <c r="U1278" s="15"/>
    </row>
    <row r="1279" spans="1:21" x14ac:dyDescent="0.35">
      <c r="A1279" t="s">
        <v>14</v>
      </c>
      <c r="B1279" t="s">
        <v>3247</v>
      </c>
      <c r="C1279" t="s">
        <v>320</v>
      </c>
      <c r="D1279" t="s">
        <v>321</v>
      </c>
      <c r="E1279" t="s">
        <v>322</v>
      </c>
      <c r="F1279" t="s">
        <v>3248</v>
      </c>
      <c r="G1279" t="s">
        <v>3909</v>
      </c>
      <c r="H1279" s="15">
        <v>46165</v>
      </c>
      <c r="I1279" t="s">
        <v>3910</v>
      </c>
      <c r="J1279" t="s">
        <v>233</v>
      </c>
      <c r="K1279" t="s">
        <v>185</v>
      </c>
      <c r="N1279">
        <v>0</v>
      </c>
      <c r="O1279" t="s">
        <v>222</v>
      </c>
      <c r="P1279">
        <v>0</v>
      </c>
      <c r="U1279" s="15"/>
    </row>
    <row r="1280" spans="1:21" x14ac:dyDescent="0.35">
      <c r="A1280" t="s">
        <v>14</v>
      </c>
      <c r="B1280" t="s">
        <v>3247</v>
      </c>
      <c r="C1280" t="s">
        <v>234</v>
      </c>
      <c r="D1280" t="s">
        <v>235</v>
      </c>
      <c r="E1280" t="s">
        <v>236</v>
      </c>
      <c r="F1280" t="s">
        <v>3248</v>
      </c>
      <c r="G1280" t="s">
        <v>3909</v>
      </c>
      <c r="H1280" s="15">
        <v>46165</v>
      </c>
      <c r="I1280" t="s">
        <v>3911</v>
      </c>
      <c r="J1280" t="s">
        <v>233</v>
      </c>
      <c r="K1280" t="s">
        <v>185</v>
      </c>
      <c r="N1280">
        <v>0</v>
      </c>
      <c r="O1280" t="s">
        <v>222</v>
      </c>
      <c r="P1280">
        <v>0</v>
      </c>
      <c r="U1280" s="15"/>
    </row>
    <row r="1281" spans="1:21" x14ac:dyDescent="0.35">
      <c r="A1281" t="s">
        <v>14</v>
      </c>
      <c r="B1281" t="s">
        <v>3247</v>
      </c>
      <c r="C1281" t="s">
        <v>234</v>
      </c>
      <c r="D1281" t="s">
        <v>235</v>
      </c>
      <c r="E1281" t="s">
        <v>236</v>
      </c>
      <c r="F1281" t="s">
        <v>3248</v>
      </c>
      <c r="G1281" t="s">
        <v>3912</v>
      </c>
      <c r="H1281" s="15">
        <v>46167</v>
      </c>
      <c r="I1281" t="s">
        <v>3913</v>
      </c>
      <c r="J1281" t="s">
        <v>16</v>
      </c>
      <c r="K1281" t="s">
        <v>185</v>
      </c>
      <c r="N1281">
        <v>0</v>
      </c>
      <c r="O1281" t="s">
        <v>222</v>
      </c>
      <c r="P1281">
        <v>0</v>
      </c>
      <c r="U1281" s="15"/>
    </row>
    <row r="1282" spans="1:21" x14ac:dyDescent="0.35">
      <c r="A1282" t="s">
        <v>14</v>
      </c>
      <c r="B1282" t="s">
        <v>3247</v>
      </c>
      <c r="C1282" t="s">
        <v>320</v>
      </c>
      <c r="D1282" t="s">
        <v>321</v>
      </c>
      <c r="E1282" t="s">
        <v>322</v>
      </c>
      <c r="F1282" t="s">
        <v>3248</v>
      </c>
      <c r="G1282" t="s">
        <v>3914</v>
      </c>
      <c r="H1282" s="15">
        <v>46167</v>
      </c>
      <c r="I1282" t="s">
        <v>3915</v>
      </c>
      <c r="J1282" t="s">
        <v>233</v>
      </c>
      <c r="K1282" t="s">
        <v>185</v>
      </c>
      <c r="N1282">
        <v>0</v>
      </c>
      <c r="O1282" t="s">
        <v>222</v>
      </c>
      <c r="P1282">
        <v>0</v>
      </c>
      <c r="U1282" s="15"/>
    </row>
    <row r="1283" spans="1:21" x14ac:dyDescent="0.35">
      <c r="A1283" t="s">
        <v>14</v>
      </c>
      <c r="B1283" t="s">
        <v>3247</v>
      </c>
      <c r="C1283" t="s">
        <v>234</v>
      </c>
      <c r="D1283" t="s">
        <v>235</v>
      </c>
      <c r="E1283" t="s">
        <v>236</v>
      </c>
      <c r="F1283" t="s">
        <v>3248</v>
      </c>
      <c r="G1283" t="s">
        <v>3914</v>
      </c>
      <c r="H1283" s="15">
        <v>46167</v>
      </c>
      <c r="I1283" t="s">
        <v>3916</v>
      </c>
      <c r="J1283" t="s">
        <v>233</v>
      </c>
      <c r="K1283" t="s">
        <v>185</v>
      </c>
      <c r="N1283">
        <v>0</v>
      </c>
      <c r="O1283" t="s">
        <v>222</v>
      </c>
      <c r="P1283">
        <v>0</v>
      </c>
      <c r="U1283" s="15"/>
    </row>
    <row r="1284" spans="1:21" x14ac:dyDescent="0.35">
      <c r="A1284" t="s">
        <v>14</v>
      </c>
      <c r="B1284" t="s">
        <v>3247</v>
      </c>
      <c r="C1284" t="s">
        <v>234</v>
      </c>
      <c r="D1284" t="s">
        <v>235</v>
      </c>
      <c r="E1284" t="s">
        <v>236</v>
      </c>
      <c r="F1284" t="s">
        <v>3248</v>
      </c>
      <c r="G1284" t="s">
        <v>3917</v>
      </c>
      <c r="H1284" s="15">
        <v>46168</v>
      </c>
      <c r="I1284" t="s">
        <v>3918</v>
      </c>
      <c r="J1284" t="s">
        <v>16</v>
      </c>
      <c r="K1284" t="s">
        <v>185</v>
      </c>
      <c r="N1284">
        <v>0</v>
      </c>
      <c r="O1284" t="s">
        <v>222</v>
      </c>
      <c r="P1284">
        <v>0</v>
      </c>
      <c r="U1284" s="15"/>
    </row>
    <row r="1285" spans="1:21" x14ac:dyDescent="0.35">
      <c r="A1285" t="s">
        <v>14</v>
      </c>
      <c r="B1285" t="s">
        <v>3247</v>
      </c>
      <c r="C1285" t="s">
        <v>320</v>
      </c>
      <c r="D1285" t="s">
        <v>321</v>
      </c>
      <c r="E1285" t="s">
        <v>322</v>
      </c>
      <c r="F1285" t="s">
        <v>3248</v>
      </c>
      <c r="G1285" t="s">
        <v>3919</v>
      </c>
      <c r="H1285" s="15">
        <v>46168</v>
      </c>
      <c r="I1285" t="s">
        <v>3920</v>
      </c>
      <c r="J1285" t="s">
        <v>233</v>
      </c>
      <c r="K1285" t="s">
        <v>185</v>
      </c>
      <c r="N1285">
        <v>0</v>
      </c>
      <c r="O1285" t="s">
        <v>222</v>
      </c>
      <c r="P1285">
        <v>0</v>
      </c>
      <c r="U1285" s="15"/>
    </row>
    <row r="1286" spans="1:21" x14ac:dyDescent="0.35">
      <c r="A1286" t="s">
        <v>14</v>
      </c>
      <c r="B1286" t="s">
        <v>3247</v>
      </c>
      <c r="C1286" t="s">
        <v>234</v>
      </c>
      <c r="D1286" t="s">
        <v>235</v>
      </c>
      <c r="E1286" t="s">
        <v>236</v>
      </c>
      <c r="F1286" t="s">
        <v>3248</v>
      </c>
      <c r="G1286" t="s">
        <v>3919</v>
      </c>
      <c r="H1286" s="15">
        <v>46168</v>
      </c>
      <c r="I1286" t="s">
        <v>3921</v>
      </c>
      <c r="J1286" t="s">
        <v>233</v>
      </c>
      <c r="K1286" t="s">
        <v>185</v>
      </c>
      <c r="N1286">
        <v>0</v>
      </c>
      <c r="O1286" t="s">
        <v>222</v>
      </c>
      <c r="P1286">
        <v>0</v>
      </c>
      <c r="U1286" s="15"/>
    </row>
    <row r="1287" spans="1:21" x14ac:dyDescent="0.35">
      <c r="A1287" t="s">
        <v>14</v>
      </c>
      <c r="B1287" t="s">
        <v>3247</v>
      </c>
      <c r="C1287" t="s">
        <v>234</v>
      </c>
      <c r="D1287" t="s">
        <v>235</v>
      </c>
      <c r="E1287" t="s">
        <v>236</v>
      </c>
      <c r="F1287" t="s">
        <v>3248</v>
      </c>
      <c r="G1287" t="s">
        <v>3922</v>
      </c>
      <c r="H1287" s="15">
        <v>46169</v>
      </c>
      <c r="I1287" t="s">
        <v>3923</v>
      </c>
      <c r="J1287" t="s">
        <v>16</v>
      </c>
      <c r="K1287" t="s">
        <v>185</v>
      </c>
      <c r="N1287">
        <v>0</v>
      </c>
      <c r="O1287" t="s">
        <v>222</v>
      </c>
      <c r="P1287">
        <v>0</v>
      </c>
      <c r="U1287" s="15"/>
    </row>
    <row r="1288" spans="1:21" x14ac:dyDescent="0.35">
      <c r="A1288" t="s">
        <v>14</v>
      </c>
      <c r="B1288" t="s">
        <v>3247</v>
      </c>
      <c r="C1288" t="s">
        <v>320</v>
      </c>
      <c r="D1288" t="s">
        <v>321</v>
      </c>
      <c r="E1288" t="s">
        <v>322</v>
      </c>
      <c r="F1288" t="s">
        <v>3248</v>
      </c>
      <c r="G1288" t="s">
        <v>3924</v>
      </c>
      <c r="H1288" s="15">
        <v>46169</v>
      </c>
      <c r="I1288" t="s">
        <v>3925</v>
      </c>
      <c r="J1288" t="s">
        <v>233</v>
      </c>
      <c r="K1288" t="s">
        <v>185</v>
      </c>
      <c r="N1288">
        <v>0</v>
      </c>
      <c r="O1288" t="s">
        <v>222</v>
      </c>
      <c r="P1288">
        <v>0</v>
      </c>
      <c r="U1288" s="15"/>
    </row>
    <row r="1289" spans="1:21" x14ac:dyDescent="0.35">
      <c r="A1289" t="s">
        <v>14</v>
      </c>
      <c r="B1289" t="s">
        <v>3247</v>
      </c>
      <c r="C1289" t="s">
        <v>234</v>
      </c>
      <c r="D1289" t="s">
        <v>235</v>
      </c>
      <c r="E1289" t="s">
        <v>236</v>
      </c>
      <c r="F1289" t="s">
        <v>3248</v>
      </c>
      <c r="G1289" t="s">
        <v>3924</v>
      </c>
      <c r="H1289" s="15">
        <v>46169</v>
      </c>
      <c r="I1289" t="s">
        <v>3926</v>
      </c>
      <c r="J1289" t="s">
        <v>233</v>
      </c>
      <c r="K1289" t="s">
        <v>185</v>
      </c>
      <c r="N1289">
        <v>0</v>
      </c>
      <c r="O1289" t="s">
        <v>222</v>
      </c>
      <c r="P1289">
        <v>0</v>
      </c>
      <c r="U1289" s="15"/>
    </row>
    <row r="1290" spans="1:21" x14ac:dyDescent="0.35">
      <c r="A1290" t="s">
        <v>14</v>
      </c>
      <c r="B1290" t="s">
        <v>3247</v>
      </c>
      <c r="C1290" t="s">
        <v>234</v>
      </c>
      <c r="D1290" t="s">
        <v>235</v>
      </c>
      <c r="E1290" t="s">
        <v>236</v>
      </c>
      <c r="F1290" t="s">
        <v>3248</v>
      </c>
      <c r="G1290" t="s">
        <v>3927</v>
      </c>
      <c r="H1290" s="15">
        <v>46170</v>
      </c>
      <c r="I1290" t="s">
        <v>3928</v>
      </c>
      <c r="J1290" t="s">
        <v>16</v>
      </c>
      <c r="K1290" t="s">
        <v>185</v>
      </c>
      <c r="N1290">
        <v>0</v>
      </c>
      <c r="O1290" t="s">
        <v>222</v>
      </c>
      <c r="P1290">
        <v>0</v>
      </c>
      <c r="U1290" s="15"/>
    </row>
    <row r="1291" spans="1:21" x14ac:dyDescent="0.35">
      <c r="A1291" t="s">
        <v>14</v>
      </c>
      <c r="B1291" t="s">
        <v>3247</v>
      </c>
      <c r="C1291" t="s">
        <v>320</v>
      </c>
      <c r="D1291" t="s">
        <v>321</v>
      </c>
      <c r="E1291" t="s">
        <v>322</v>
      </c>
      <c r="F1291" t="s">
        <v>3248</v>
      </c>
      <c r="G1291" t="s">
        <v>3929</v>
      </c>
      <c r="H1291" s="15">
        <v>46170</v>
      </c>
      <c r="I1291" t="s">
        <v>3930</v>
      </c>
      <c r="J1291" t="s">
        <v>233</v>
      </c>
      <c r="K1291" t="s">
        <v>185</v>
      </c>
      <c r="N1291">
        <v>0</v>
      </c>
      <c r="O1291" t="s">
        <v>222</v>
      </c>
      <c r="P1291">
        <v>0</v>
      </c>
      <c r="U1291" s="15"/>
    </row>
    <row r="1292" spans="1:21" x14ac:dyDescent="0.35">
      <c r="A1292" t="s">
        <v>14</v>
      </c>
      <c r="B1292" t="s">
        <v>3247</v>
      </c>
      <c r="C1292" t="s">
        <v>234</v>
      </c>
      <c r="D1292" t="s">
        <v>235</v>
      </c>
      <c r="E1292" t="s">
        <v>236</v>
      </c>
      <c r="F1292" t="s">
        <v>3248</v>
      </c>
      <c r="G1292" t="s">
        <v>3929</v>
      </c>
      <c r="H1292" s="15">
        <v>46170</v>
      </c>
      <c r="I1292" t="s">
        <v>3931</v>
      </c>
      <c r="J1292" t="s">
        <v>233</v>
      </c>
      <c r="K1292" t="s">
        <v>185</v>
      </c>
      <c r="N1292">
        <v>0</v>
      </c>
      <c r="O1292" t="s">
        <v>222</v>
      </c>
      <c r="P1292">
        <v>0</v>
      </c>
      <c r="U1292" s="15"/>
    </row>
    <row r="1293" spans="1:21" x14ac:dyDescent="0.35">
      <c r="A1293" t="s">
        <v>14</v>
      </c>
      <c r="B1293" t="s">
        <v>3247</v>
      </c>
      <c r="C1293" t="s">
        <v>234</v>
      </c>
      <c r="D1293" t="s">
        <v>235</v>
      </c>
      <c r="E1293" t="s">
        <v>236</v>
      </c>
      <c r="F1293" t="s">
        <v>3248</v>
      </c>
      <c r="G1293" t="s">
        <v>3935</v>
      </c>
      <c r="H1293" s="15">
        <v>46171</v>
      </c>
      <c r="I1293" t="s">
        <v>3936</v>
      </c>
      <c r="J1293" t="s">
        <v>16</v>
      </c>
      <c r="K1293" t="s">
        <v>185</v>
      </c>
      <c r="N1293">
        <v>0</v>
      </c>
      <c r="O1293" t="s">
        <v>222</v>
      </c>
      <c r="P1293">
        <v>0</v>
      </c>
      <c r="U1293" s="15"/>
    </row>
    <row r="1294" spans="1:21" x14ac:dyDescent="0.35">
      <c r="A1294" t="s">
        <v>14</v>
      </c>
      <c r="B1294" t="s">
        <v>3247</v>
      </c>
      <c r="C1294" t="s">
        <v>320</v>
      </c>
      <c r="D1294" t="s">
        <v>321</v>
      </c>
      <c r="E1294" t="s">
        <v>322</v>
      </c>
      <c r="F1294" t="s">
        <v>3248</v>
      </c>
      <c r="G1294" t="s">
        <v>3937</v>
      </c>
      <c r="H1294" s="15">
        <v>46171</v>
      </c>
      <c r="I1294" t="s">
        <v>3938</v>
      </c>
      <c r="J1294" t="s">
        <v>233</v>
      </c>
      <c r="K1294" t="s">
        <v>185</v>
      </c>
      <c r="N1294">
        <v>0</v>
      </c>
      <c r="O1294" t="s">
        <v>222</v>
      </c>
      <c r="P1294">
        <v>0</v>
      </c>
      <c r="U1294" s="15"/>
    </row>
    <row r="1295" spans="1:21" x14ac:dyDescent="0.35">
      <c r="A1295" t="s">
        <v>14</v>
      </c>
      <c r="B1295" t="s">
        <v>3247</v>
      </c>
      <c r="C1295" t="s">
        <v>234</v>
      </c>
      <c r="D1295" t="s">
        <v>235</v>
      </c>
      <c r="E1295" t="s">
        <v>236</v>
      </c>
      <c r="F1295" t="s">
        <v>3248</v>
      </c>
      <c r="G1295" t="s">
        <v>3937</v>
      </c>
      <c r="H1295" s="15">
        <v>46171</v>
      </c>
      <c r="I1295" t="s">
        <v>3939</v>
      </c>
      <c r="J1295" t="s">
        <v>233</v>
      </c>
      <c r="K1295" t="s">
        <v>185</v>
      </c>
      <c r="N1295">
        <v>0</v>
      </c>
      <c r="O1295" t="s">
        <v>222</v>
      </c>
      <c r="P1295">
        <v>0</v>
      </c>
      <c r="U1295" s="15"/>
    </row>
    <row r="1296" spans="1:21" x14ac:dyDescent="0.35">
      <c r="A1296" t="s">
        <v>14</v>
      </c>
      <c r="B1296" t="s">
        <v>3247</v>
      </c>
      <c r="C1296" t="s">
        <v>234</v>
      </c>
      <c r="D1296" t="s">
        <v>235</v>
      </c>
      <c r="E1296" t="s">
        <v>236</v>
      </c>
      <c r="F1296" t="s">
        <v>3248</v>
      </c>
      <c r="G1296" t="s">
        <v>3940</v>
      </c>
      <c r="H1296" s="15">
        <v>46172</v>
      </c>
      <c r="I1296" t="s">
        <v>3941</v>
      </c>
      <c r="J1296" t="s">
        <v>16</v>
      </c>
      <c r="K1296" t="s">
        <v>185</v>
      </c>
      <c r="N1296">
        <v>0</v>
      </c>
      <c r="O1296" t="s">
        <v>222</v>
      </c>
      <c r="P1296">
        <v>0</v>
      </c>
      <c r="U1296" s="15"/>
    </row>
    <row r="1297" spans="1:21" x14ac:dyDescent="0.35">
      <c r="A1297" t="s">
        <v>14</v>
      </c>
      <c r="B1297" t="s">
        <v>3247</v>
      </c>
      <c r="C1297" t="s">
        <v>320</v>
      </c>
      <c r="D1297" t="s">
        <v>321</v>
      </c>
      <c r="E1297" t="s">
        <v>322</v>
      </c>
      <c r="F1297" t="s">
        <v>3248</v>
      </c>
      <c r="G1297" t="s">
        <v>3946</v>
      </c>
      <c r="H1297" s="15">
        <v>46172</v>
      </c>
      <c r="I1297" t="s">
        <v>3947</v>
      </c>
      <c r="J1297" t="s">
        <v>233</v>
      </c>
      <c r="K1297" t="s">
        <v>185</v>
      </c>
      <c r="N1297">
        <v>1680</v>
      </c>
      <c r="O1297" t="s">
        <v>222</v>
      </c>
      <c r="P1297">
        <v>4.4671370000000001</v>
      </c>
      <c r="U1297" s="15"/>
    </row>
    <row r="1298" spans="1:21" x14ac:dyDescent="0.35">
      <c r="A1298" t="s">
        <v>14</v>
      </c>
      <c r="B1298" t="s">
        <v>3247</v>
      </c>
      <c r="C1298" t="s">
        <v>234</v>
      </c>
      <c r="D1298" t="s">
        <v>235</v>
      </c>
      <c r="E1298" t="s">
        <v>236</v>
      </c>
      <c r="F1298" t="s">
        <v>3248</v>
      </c>
      <c r="G1298" t="s">
        <v>3946</v>
      </c>
      <c r="H1298" s="15">
        <v>46172</v>
      </c>
      <c r="I1298" t="s">
        <v>3948</v>
      </c>
      <c r="J1298" t="s">
        <v>233</v>
      </c>
      <c r="K1298" t="s">
        <v>185</v>
      </c>
      <c r="N1298">
        <v>0</v>
      </c>
      <c r="O1298" t="s">
        <v>222</v>
      </c>
      <c r="P1298">
        <v>0</v>
      </c>
      <c r="U1298" s="15"/>
    </row>
    <row r="1299" spans="1:21" x14ac:dyDescent="0.35">
      <c r="A1299" t="s">
        <v>14</v>
      </c>
      <c r="B1299" t="s">
        <v>3247</v>
      </c>
      <c r="C1299" t="s">
        <v>234</v>
      </c>
      <c r="D1299" t="s">
        <v>235</v>
      </c>
      <c r="E1299" t="s">
        <v>236</v>
      </c>
      <c r="F1299" t="s">
        <v>3248</v>
      </c>
      <c r="G1299" t="s">
        <v>3949</v>
      </c>
      <c r="H1299" s="15">
        <v>46174</v>
      </c>
      <c r="I1299" t="s">
        <v>3950</v>
      </c>
      <c r="J1299" t="s">
        <v>233</v>
      </c>
      <c r="K1299" t="s">
        <v>185</v>
      </c>
      <c r="N1299">
        <v>0</v>
      </c>
      <c r="O1299" t="s">
        <v>222</v>
      </c>
      <c r="P1299">
        <v>0</v>
      </c>
      <c r="U1299" s="15"/>
    </row>
    <row r="1300" spans="1:21" x14ac:dyDescent="0.35">
      <c r="A1300" t="s">
        <v>14</v>
      </c>
      <c r="B1300" t="s">
        <v>3247</v>
      </c>
      <c r="C1300" t="s">
        <v>234</v>
      </c>
      <c r="D1300" t="s">
        <v>235</v>
      </c>
      <c r="E1300" t="s">
        <v>236</v>
      </c>
      <c r="F1300" t="s">
        <v>3248</v>
      </c>
      <c r="G1300" t="s">
        <v>3952</v>
      </c>
      <c r="H1300" s="15">
        <v>46175</v>
      </c>
      <c r="I1300" t="s">
        <v>3953</v>
      </c>
      <c r="J1300" t="s">
        <v>16</v>
      </c>
      <c r="K1300" t="s">
        <v>185</v>
      </c>
      <c r="N1300">
        <v>0</v>
      </c>
      <c r="O1300" t="s">
        <v>222</v>
      </c>
      <c r="P1300">
        <v>0</v>
      </c>
      <c r="U1300" s="15"/>
    </row>
    <row r="1301" spans="1:21" x14ac:dyDescent="0.35">
      <c r="A1301" t="s">
        <v>14</v>
      </c>
      <c r="B1301" t="s">
        <v>3247</v>
      </c>
      <c r="C1301" t="s">
        <v>3488</v>
      </c>
      <c r="D1301" t="s">
        <v>3489</v>
      </c>
      <c r="E1301" t="s">
        <v>3490</v>
      </c>
      <c r="F1301" t="s">
        <v>3248</v>
      </c>
      <c r="G1301" t="s">
        <v>3954</v>
      </c>
      <c r="H1301" s="15">
        <v>46175</v>
      </c>
      <c r="I1301" t="s">
        <v>3955</v>
      </c>
      <c r="J1301" t="s">
        <v>233</v>
      </c>
      <c r="K1301" t="s">
        <v>185</v>
      </c>
      <c r="N1301">
        <v>0</v>
      </c>
      <c r="O1301" t="s">
        <v>222</v>
      </c>
      <c r="P1301">
        <v>0</v>
      </c>
      <c r="U1301" s="15"/>
    </row>
    <row r="1302" spans="1:21" x14ac:dyDescent="0.35">
      <c r="A1302" t="s">
        <v>14</v>
      </c>
      <c r="B1302" t="s">
        <v>3247</v>
      </c>
      <c r="C1302" t="s">
        <v>234</v>
      </c>
      <c r="D1302" t="s">
        <v>235</v>
      </c>
      <c r="E1302" t="s">
        <v>236</v>
      </c>
      <c r="F1302" t="s">
        <v>3248</v>
      </c>
      <c r="G1302" t="s">
        <v>3954</v>
      </c>
      <c r="H1302" s="15">
        <v>46175</v>
      </c>
      <c r="I1302" t="s">
        <v>3956</v>
      </c>
      <c r="J1302" t="s">
        <v>233</v>
      </c>
      <c r="K1302" t="s">
        <v>185</v>
      </c>
      <c r="N1302">
        <v>0</v>
      </c>
      <c r="O1302" t="s">
        <v>222</v>
      </c>
      <c r="P1302">
        <v>0</v>
      </c>
      <c r="U1302" s="15"/>
    </row>
    <row r="1303" spans="1:21" x14ac:dyDescent="0.35">
      <c r="A1303" t="s">
        <v>14</v>
      </c>
      <c r="B1303" t="s">
        <v>3247</v>
      </c>
      <c r="C1303" t="s">
        <v>234</v>
      </c>
      <c r="D1303" t="s">
        <v>235</v>
      </c>
      <c r="E1303" t="s">
        <v>236</v>
      </c>
      <c r="F1303" t="s">
        <v>3248</v>
      </c>
      <c r="G1303" t="s">
        <v>3957</v>
      </c>
      <c r="H1303" s="15">
        <v>46176</v>
      </c>
      <c r="I1303" t="s">
        <v>3958</v>
      </c>
      <c r="J1303" t="s">
        <v>16</v>
      </c>
      <c r="K1303" t="s">
        <v>185</v>
      </c>
      <c r="N1303">
        <v>0</v>
      </c>
      <c r="O1303" t="s">
        <v>222</v>
      </c>
      <c r="P1303">
        <v>0</v>
      </c>
      <c r="U1303" s="15"/>
    </row>
    <row r="1304" spans="1:21" x14ac:dyDescent="0.35">
      <c r="A1304" t="s">
        <v>14</v>
      </c>
      <c r="B1304" t="s">
        <v>3247</v>
      </c>
      <c r="C1304" t="s">
        <v>320</v>
      </c>
      <c r="D1304" t="s">
        <v>321</v>
      </c>
      <c r="E1304" t="s">
        <v>322</v>
      </c>
      <c r="F1304" t="s">
        <v>3248</v>
      </c>
      <c r="G1304" t="s">
        <v>3967</v>
      </c>
      <c r="H1304" s="15">
        <v>46176</v>
      </c>
      <c r="I1304" t="s">
        <v>3968</v>
      </c>
      <c r="J1304" t="s">
        <v>233</v>
      </c>
      <c r="K1304" t="s">
        <v>185</v>
      </c>
      <c r="N1304">
        <v>0</v>
      </c>
      <c r="O1304" t="s">
        <v>222</v>
      </c>
      <c r="P1304">
        <v>0</v>
      </c>
      <c r="U1304" s="15"/>
    </row>
    <row r="1305" spans="1:21" x14ac:dyDescent="0.35">
      <c r="A1305" t="s">
        <v>14</v>
      </c>
      <c r="B1305" t="s">
        <v>3247</v>
      </c>
      <c r="C1305" t="s">
        <v>234</v>
      </c>
      <c r="D1305" t="s">
        <v>235</v>
      </c>
      <c r="E1305" t="s">
        <v>236</v>
      </c>
      <c r="F1305" t="s">
        <v>3248</v>
      </c>
      <c r="G1305" t="s">
        <v>3969</v>
      </c>
      <c r="H1305" s="15">
        <v>46177</v>
      </c>
      <c r="I1305" t="s">
        <v>3970</v>
      </c>
      <c r="J1305" t="s">
        <v>16</v>
      </c>
      <c r="K1305" t="s">
        <v>185</v>
      </c>
      <c r="N1305">
        <v>0</v>
      </c>
      <c r="O1305" t="s">
        <v>222</v>
      </c>
      <c r="P1305">
        <v>0</v>
      </c>
      <c r="U1305" s="15"/>
    </row>
    <row r="1306" spans="1:21" x14ac:dyDescent="0.35">
      <c r="A1306" t="s">
        <v>14</v>
      </c>
      <c r="B1306" t="s">
        <v>3247</v>
      </c>
      <c r="C1306" t="s">
        <v>3270</v>
      </c>
      <c r="D1306" t="s">
        <v>3271</v>
      </c>
      <c r="E1306" t="s">
        <v>3272</v>
      </c>
      <c r="F1306" t="s">
        <v>3248</v>
      </c>
      <c r="G1306" t="s">
        <v>3971</v>
      </c>
      <c r="H1306" s="15">
        <v>46177</v>
      </c>
      <c r="I1306" t="s">
        <v>3972</v>
      </c>
      <c r="J1306" t="s">
        <v>233</v>
      </c>
      <c r="K1306" t="s">
        <v>185</v>
      </c>
      <c r="N1306">
        <v>0</v>
      </c>
      <c r="O1306" t="s">
        <v>222</v>
      </c>
      <c r="P1306">
        <v>0</v>
      </c>
      <c r="U1306" s="15"/>
    </row>
    <row r="1307" spans="1:21" x14ac:dyDescent="0.35">
      <c r="A1307" t="s">
        <v>14</v>
      </c>
      <c r="B1307" t="s">
        <v>3247</v>
      </c>
      <c r="C1307" t="s">
        <v>234</v>
      </c>
      <c r="D1307" t="s">
        <v>235</v>
      </c>
      <c r="E1307" t="s">
        <v>236</v>
      </c>
      <c r="F1307" t="s">
        <v>3248</v>
      </c>
      <c r="G1307" t="s">
        <v>3971</v>
      </c>
      <c r="H1307" s="15">
        <v>46177</v>
      </c>
      <c r="I1307" t="s">
        <v>3973</v>
      </c>
      <c r="J1307" t="s">
        <v>233</v>
      </c>
      <c r="K1307" t="s">
        <v>185</v>
      </c>
      <c r="N1307">
        <v>0</v>
      </c>
      <c r="O1307" t="s">
        <v>222</v>
      </c>
      <c r="P1307">
        <v>0</v>
      </c>
      <c r="U1307" s="15"/>
    </row>
    <row r="1308" spans="1:21" x14ac:dyDescent="0.35">
      <c r="A1308" t="s">
        <v>14</v>
      </c>
      <c r="B1308" t="s">
        <v>3247</v>
      </c>
      <c r="C1308" t="s">
        <v>234</v>
      </c>
      <c r="D1308" t="s">
        <v>235</v>
      </c>
      <c r="E1308" t="s">
        <v>236</v>
      </c>
      <c r="F1308" t="s">
        <v>3248</v>
      </c>
      <c r="G1308" t="s">
        <v>3979</v>
      </c>
      <c r="H1308" s="15">
        <v>46178</v>
      </c>
      <c r="I1308" t="s">
        <v>3980</v>
      </c>
      <c r="J1308" t="s">
        <v>16</v>
      </c>
      <c r="K1308" t="s">
        <v>185</v>
      </c>
      <c r="N1308">
        <v>0</v>
      </c>
      <c r="O1308" t="s">
        <v>222</v>
      </c>
      <c r="P1308">
        <v>0</v>
      </c>
      <c r="U1308" s="15"/>
    </row>
    <row r="1309" spans="1:21" x14ac:dyDescent="0.35">
      <c r="A1309" t="s">
        <v>14</v>
      </c>
      <c r="B1309" t="s">
        <v>3247</v>
      </c>
      <c r="C1309" t="s">
        <v>320</v>
      </c>
      <c r="D1309" t="s">
        <v>321</v>
      </c>
      <c r="E1309" t="s">
        <v>322</v>
      </c>
      <c r="F1309" t="s">
        <v>3248</v>
      </c>
      <c r="G1309" t="s">
        <v>3981</v>
      </c>
      <c r="H1309" s="15">
        <v>46178</v>
      </c>
      <c r="I1309" t="s">
        <v>3982</v>
      </c>
      <c r="J1309" t="s">
        <v>233</v>
      </c>
      <c r="K1309" t="s">
        <v>185</v>
      </c>
      <c r="N1309">
        <v>0</v>
      </c>
      <c r="O1309" t="s">
        <v>222</v>
      </c>
      <c r="P1309">
        <v>0</v>
      </c>
      <c r="U1309" s="15"/>
    </row>
    <row r="1310" spans="1:21" x14ac:dyDescent="0.35">
      <c r="A1310" t="s">
        <v>14</v>
      </c>
      <c r="B1310" t="s">
        <v>3247</v>
      </c>
      <c r="C1310" t="s">
        <v>234</v>
      </c>
      <c r="D1310" t="s">
        <v>235</v>
      </c>
      <c r="E1310" t="s">
        <v>236</v>
      </c>
      <c r="F1310" t="s">
        <v>3248</v>
      </c>
      <c r="G1310" t="s">
        <v>3981</v>
      </c>
      <c r="H1310" s="15">
        <v>46178</v>
      </c>
      <c r="I1310" t="s">
        <v>3983</v>
      </c>
      <c r="J1310" t="s">
        <v>233</v>
      </c>
      <c r="K1310" t="s">
        <v>185</v>
      </c>
      <c r="N1310">
        <v>0</v>
      </c>
      <c r="O1310" t="s">
        <v>222</v>
      </c>
      <c r="P1310">
        <v>0</v>
      </c>
      <c r="U1310" s="15"/>
    </row>
    <row r="1311" spans="1:21" x14ac:dyDescent="0.35">
      <c r="A1311" t="s">
        <v>14</v>
      </c>
      <c r="B1311" t="s">
        <v>3247</v>
      </c>
      <c r="C1311" t="s">
        <v>234</v>
      </c>
      <c r="D1311" t="s">
        <v>235</v>
      </c>
      <c r="E1311" t="s">
        <v>236</v>
      </c>
      <c r="F1311" t="s">
        <v>3248</v>
      </c>
      <c r="G1311" t="s">
        <v>3989</v>
      </c>
      <c r="H1311" s="15">
        <v>46179</v>
      </c>
      <c r="I1311" t="s">
        <v>3990</v>
      </c>
      <c r="J1311" t="s">
        <v>16</v>
      </c>
      <c r="K1311" t="s">
        <v>185</v>
      </c>
      <c r="N1311">
        <v>0</v>
      </c>
      <c r="O1311" t="s">
        <v>222</v>
      </c>
      <c r="P1311">
        <v>0</v>
      </c>
      <c r="U1311" s="15"/>
    </row>
    <row r="1312" spans="1:21" x14ac:dyDescent="0.35">
      <c r="A1312" t="s">
        <v>14</v>
      </c>
      <c r="B1312" t="s">
        <v>3247</v>
      </c>
      <c r="C1312" t="s">
        <v>320</v>
      </c>
      <c r="D1312" t="s">
        <v>321</v>
      </c>
      <c r="E1312" t="s">
        <v>322</v>
      </c>
      <c r="F1312" t="s">
        <v>3248</v>
      </c>
      <c r="G1312" t="s">
        <v>3991</v>
      </c>
      <c r="H1312" s="15">
        <v>46179</v>
      </c>
      <c r="I1312" t="s">
        <v>3992</v>
      </c>
      <c r="J1312" t="s">
        <v>233</v>
      </c>
      <c r="K1312" t="s">
        <v>185</v>
      </c>
      <c r="N1312">
        <v>0</v>
      </c>
      <c r="O1312" t="s">
        <v>222</v>
      </c>
      <c r="P1312">
        <v>0</v>
      </c>
      <c r="U1312" s="15"/>
    </row>
    <row r="1313" spans="1:21" x14ac:dyDescent="0.35">
      <c r="A1313" t="s">
        <v>14</v>
      </c>
      <c r="B1313" t="s">
        <v>3247</v>
      </c>
      <c r="C1313" t="s">
        <v>234</v>
      </c>
      <c r="D1313" t="s">
        <v>235</v>
      </c>
      <c r="E1313" t="s">
        <v>236</v>
      </c>
      <c r="F1313" t="s">
        <v>3248</v>
      </c>
      <c r="G1313" t="s">
        <v>3991</v>
      </c>
      <c r="H1313" s="15">
        <v>46179</v>
      </c>
      <c r="I1313" t="s">
        <v>3993</v>
      </c>
      <c r="J1313" t="s">
        <v>233</v>
      </c>
      <c r="K1313" t="s">
        <v>185</v>
      </c>
      <c r="N1313">
        <v>0</v>
      </c>
      <c r="O1313" t="s">
        <v>222</v>
      </c>
      <c r="P1313">
        <v>0</v>
      </c>
      <c r="U1313" s="15"/>
    </row>
    <row r="1314" spans="1:21" x14ac:dyDescent="0.35">
      <c r="A1314" t="s">
        <v>14</v>
      </c>
      <c r="B1314" t="s">
        <v>3247</v>
      </c>
      <c r="C1314" t="s">
        <v>234</v>
      </c>
      <c r="D1314" t="s">
        <v>235</v>
      </c>
      <c r="E1314" t="s">
        <v>236</v>
      </c>
      <c r="F1314" t="s">
        <v>3248</v>
      </c>
      <c r="G1314" t="s">
        <v>3996</v>
      </c>
      <c r="H1314" s="15">
        <v>46181</v>
      </c>
      <c r="I1314" t="s">
        <v>3997</v>
      </c>
      <c r="J1314" t="s">
        <v>16</v>
      </c>
      <c r="K1314" t="s">
        <v>185</v>
      </c>
      <c r="N1314">
        <v>0</v>
      </c>
      <c r="O1314" t="s">
        <v>222</v>
      </c>
      <c r="P1314">
        <v>0</v>
      </c>
      <c r="U1314" s="15"/>
    </row>
    <row r="1315" spans="1:21" x14ac:dyDescent="0.35">
      <c r="A1315" t="s">
        <v>14</v>
      </c>
      <c r="B1315" t="s">
        <v>3247</v>
      </c>
      <c r="C1315" t="s">
        <v>320</v>
      </c>
      <c r="D1315" t="s">
        <v>321</v>
      </c>
      <c r="E1315" t="s">
        <v>322</v>
      </c>
      <c r="F1315" t="s">
        <v>3248</v>
      </c>
      <c r="G1315" t="s">
        <v>3996</v>
      </c>
      <c r="H1315" s="15">
        <v>46181</v>
      </c>
      <c r="I1315" t="s">
        <v>3998</v>
      </c>
      <c r="J1315" t="s">
        <v>16</v>
      </c>
      <c r="K1315" t="s">
        <v>185</v>
      </c>
      <c r="N1315">
        <v>0</v>
      </c>
      <c r="O1315" t="s">
        <v>222</v>
      </c>
      <c r="P1315">
        <v>0</v>
      </c>
      <c r="U1315" s="15"/>
    </row>
    <row r="1316" spans="1:21" x14ac:dyDescent="0.35">
      <c r="A1316" t="s">
        <v>14</v>
      </c>
      <c r="B1316" t="s">
        <v>3247</v>
      </c>
      <c r="C1316" t="s">
        <v>234</v>
      </c>
      <c r="D1316" t="s">
        <v>235</v>
      </c>
      <c r="E1316" t="s">
        <v>236</v>
      </c>
      <c r="F1316" t="s">
        <v>3248</v>
      </c>
      <c r="G1316" t="s">
        <v>3999</v>
      </c>
      <c r="H1316" s="15">
        <v>46181</v>
      </c>
      <c r="I1316" t="s">
        <v>4000</v>
      </c>
      <c r="J1316" t="s">
        <v>233</v>
      </c>
      <c r="K1316" t="s">
        <v>185</v>
      </c>
      <c r="N1316">
        <v>0</v>
      </c>
      <c r="O1316" t="s">
        <v>222</v>
      </c>
      <c r="P1316">
        <v>0</v>
      </c>
      <c r="U1316" s="15"/>
    </row>
    <row r="1317" spans="1:21" x14ac:dyDescent="0.35">
      <c r="A1317" t="s">
        <v>14</v>
      </c>
      <c r="B1317" t="s">
        <v>3247</v>
      </c>
      <c r="C1317" t="s">
        <v>320</v>
      </c>
      <c r="D1317" t="s">
        <v>321</v>
      </c>
      <c r="E1317" t="s">
        <v>322</v>
      </c>
      <c r="F1317" t="s">
        <v>3248</v>
      </c>
      <c r="G1317" t="s">
        <v>3999</v>
      </c>
      <c r="H1317" s="15">
        <v>46181</v>
      </c>
      <c r="I1317" t="s">
        <v>4008</v>
      </c>
      <c r="J1317" t="s">
        <v>233</v>
      </c>
      <c r="K1317" t="s">
        <v>185</v>
      </c>
      <c r="N1317">
        <v>0</v>
      </c>
      <c r="O1317" t="s">
        <v>222</v>
      </c>
      <c r="P1317">
        <v>0</v>
      </c>
      <c r="U1317" s="15"/>
    </row>
    <row r="1318" spans="1:21" x14ac:dyDescent="0.35">
      <c r="A1318" t="s">
        <v>14</v>
      </c>
      <c r="B1318" t="s">
        <v>3247</v>
      </c>
      <c r="C1318" t="s">
        <v>234</v>
      </c>
      <c r="D1318" t="s">
        <v>235</v>
      </c>
      <c r="E1318" t="s">
        <v>236</v>
      </c>
      <c r="F1318" t="s">
        <v>3248</v>
      </c>
      <c r="G1318" t="s">
        <v>4009</v>
      </c>
      <c r="H1318" s="15">
        <v>46182</v>
      </c>
      <c r="I1318" t="s">
        <v>4010</v>
      </c>
      <c r="J1318" t="s">
        <v>16</v>
      </c>
      <c r="K1318" t="s">
        <v>185</v>
      </c>
      <c r="N1318">
        <v>0</v>
      </c>
      <c r="O1318" t="s">
        <v>222</v>
      </c>
      <c r="P1318">
        <v>0</v>
      </c>
      <c r="U1318" s="15"/>
    </row>
    <row r="1319" spans="1:21" x14ac:dyDescent="0.35">
      <c r="A1319" t="s">
        <v>14</v>
      </c>
      <c r="B1319" t="s">
        <v>3247</v>
      </c>
      <c r="C1319" t="s">
        <v>320</v>
      </c>
      <c r="D1319" t="s">
        <v>321</v>
      </c>
      <c r="E1319" t="s">
        <v>322</v>
      </c>
      <c r="F1319" t="s">
        <v>3248</v>
      </c>
      <c r="G1319" t="s">
        <v>4009</v>
      </c>
      <c r="H1319" s="15">
        <v>46182</v>
      </c>
      <c r="I1319" t="s">
        <v>4011</v>
      </c>
      <c r="J1319" t="s">
        <v>16</v>
      </c>
      <c r="K1319" t="s">
        <v>185</v>
      </c>
      <c r="N1319">
        <v>0</v>
      </c>
      <c r="O1319" t="s">
        <v>222</v>
      </c>
      <c r="P1319">
        <v>0</v>
      </c>
      <c r="U1319" s="15"/>
    </row>
    <row r="1320" spans="1:21" x14ac:dyDescent="0.35">
      <c r="A1320" t="s">
        <v>14</v>
      </c>
      <c r="B1320" t="s">
        <v>3247</v>
      </c>
      <c r="C1320" t="s">
        <v>234</v>
      </c>
      <c r="D1320" t="s">
        <v>235</v>
      </c>
      <c r="E1320" t="s">
        <v>236</v>
      </c>
      <c r="F1320" t="s">
        <v>3248</v>
      </c>
      <c r="G1320" t="s">
        <v>4012</v>
      </c>
      <c r="H1320" s="15">
        <v>46182</v>
      </c>
      <c r="I1320" t="s">
        <v>4013</v>
      </c>
      <c r="J1320" t="s">
        <v>233</v>
      </c>
      <c r="K1320" t="s">
        <v>185</v>
      </c>
      <c r="N1320">
        <v>0</v>
      </c>
      <c r="O1320" t="s">
        <v>222</v>
      </c>
      <c r="P1320">
        <v>0</v>
      </c>
      <c r="U1320" s="15"/>
    </row>
    <row r="1321" spans="1:21" x14ac:dyDescent="0.35">
      <c r="A1321" t="s">
        <v>14</v>
      </c>
      <c r="B1321" t="s">
        <v>3247</v>
      </c>
      <c r="C1321" t="s">
        <v>320</v>
      </c>
      <c r="D1321" t="s">
        <v>321</v>
      </c>
      <c r="E1321" t="s">
        <v>322</v>
      </c>
      <c r="F1321" t="s">
        <v>3248</v>
      </c>
      <c r="G1321" t="s">
        <v>4012</v>
      </c>
      <c r="H1321" s="15">
        <v>46182</v>
      </c>
      <c r="I1321" t="s">
        <v>4022</v>
      </c>
      <c r="J1321" t="s">
        <v>233</v>
      </c>
      <c r="K1321" t="s">
        <v>185</v>
      </c>
      <c r="N1321">
        <v>0</v>
      </c>
      <c r="O1321" t="s">
        <v>222</v>
      </c>
      <c r="P1321">
        <v>0</v>
      </c>
      <c r="U1321" s="15"/>
    </row>
    <row r="1322" spans="1:21" x14ac:dyDescent="0.35">
      <c r="A1322" t="s">
        <v>14</v>
      </c>
      <c r="B1322" t="s">
        <v>3247</v>
      </c>
      <c r="C1322" t="s">
        <v>234</v>
      </c>
      <c r="D1322" t="s">
        <v>235</v>
      </c>
      <c r="E1322" t="s">
        <v>236</v>
      </c>
      <c r="F1322" t="s">
        <v>3248</v>
      </c>
      <c r="G1322" t="s">
        <v>4012</v>
      </c>
      <c r="H1322" s="15">
        <v>46182</v>
      </c>
      <c r="I1322" t="s">
        <v>4023</v>
      </c>
      <c r="J1322" t="s">
        <v>233</v>
      </c>
      <c r="K1322" t="s">
        <v>185</v>
      </c>
      <c r="N1322">
        <v>0</v>
      </c>
      <c r="O1322" t="s">
        <v>222</v>
      </c>
      <c r="P1322">
        <v>0</v>
      </c>
      <c r="U1322" s="15"/>
    </row>
    <row r="1323" spans="1:21" x14ac:dyDescent="0.35">
      <c r="A1323" t="s">
        <v>14</v>
      </c>
      <c r="B1323" t="s">
        <v>3247</v>
      </c>
      <c r="C1323" t="s">
        <v>234</v>
      </c>
      <c r="D1323" t="s">
        <v>235</v>
      </c>
      <c r="E1323" t="s">
        <v>236</v>
      </c>
      <c r="F1323" t="s">
        <v>3248</v>
      </c>
      <c r="G1323" t="s">
        <v>4024</v>
      </c>
      <c r="H1323" s="15">
        <v>46183</v>
      </c>
      <c r="I1323" t="s">
        <v>4025</v>
      </c>
      <c r="J1323" t="s">
        <v>16</v>
      </c>
      <c r="K1323" t="s">
        <v>185</v>
      </c>
      <c r="N1323">
        <v>0</v>
      </c>
      <c r="O1323" t="s">
        <v>222</v>
      </c>
      <c r="P1323">
        <v>0</v>
      </c>
      <c r="U1323" s="15"/>
    </row>
    <row r="1324" spans="1:21" x14ac:dyDescent="0.35">
      <c r="A1324" t="s">
        <v>14</v>
      </c>
      <c r="B1324" t="s">
        <v>3247</v>
      </c>
      <c r="C1324" t="s">
        <v>320</v>
      </c>
      <c r="D1324" t="s">
        <v>321</v>
      </c>
      <c r="E1324" t="s">
        <v>322</v>
      </c>
      <c r="F1324" t="s">
        <v>3248</v>
      </c>
      <c r="G1324" t="s">
        <v>4024</v>
      </c>
      <c r="H1324" s="15">
        <v>46183</v>
      </c>
      <c r="I1324" t="s">
        <v>4028</v>
      </c>
      <c r="J1324" t="s">
        <v>16</v>
      </c>
      <c r="K1324" t="s">
        <v>185</v>
      </c>
      <c r="N1324">
        <v>0</v>
      </c>
      <c r="O1324" t="s">
        <v>222</v>
      </c>
      <c r="P1324">
        <v>0</v>
      </c>
      <c r="U1324" s="15"/>
    </row>
    <row r="1325" spans="1:21" x14ac:dyDescent="0.35">
      <c r="A1325" t="s">
        <v>14</v>
      </c>
      <c r="B1325" t="s">
        <v>3247</v>
      </c>
      <c r="C1325" t="s">
        <v>234</v>
      </c>
      <c r="D1325" t="s">
        <v>235</v>
      </c>
      <c r="E1325" t="s">
        <v>236</v>
      </c>
      <c r="F1325" t="s">
        <v>3248</v>
      </c>
      <c r="G1325" t="s">
        <v>4029</v>
      </c>
      <c r="H1325" s="15">
        <v>46183</v>
      </c>
      <c r="I1325" t="s">
        <v>4030</v>
      </c>
      <c r="J1325" t="s">
        <v>233</v>
      </c>
      <c r="K1325" t="s">
        <v>185</v>
      </c>
      <c r="N1325">
        <v>0</v>
      </c>
      <c r="O1325" t="s">
        <v>222</v>
      </c>
      <c r="P1325">
        <v>0</v>
      </c>
      <c r="U1325" s="15"/>
    </row>
    <row r="1326" spans="1:21" x14ac:dyDescent="0.35">
      <c r="A1326" t="s">
        <v>14</v>
      </c>
      <c r="B1326" t="s">
        <v>3247</v>
      </c>
      <c r="C1326" t="s">
        <v>320</v>
      </c>
      <c r="D1326" t="s">
        <v>321</v>
      </c>
      <c r="E1326" t="s">
        <v>322</v>
      </c>
      <c r="F1326" t="s">
        <v>3248</v>
      </c>
      <c r="G1326" t="s">
        <v>4029</v>
      </c>
      <c r="H1326" s="15">
        <v>46183</v>
      </c>
      <c r="I1326" t="s">
        <v>4031</v>
      </c>
      <c r="J1326" t="s">
        <v>233</v>
      </c>
      <c r="K1326" t="s">
        <v>185</v>
      </c>
      <c r="N1326">
        <v>0</v>
      </c>
      <c r="O1326" t="s">
        <v>222</v>
      </c>
      <c r="P1326">
        <v>0</v>
      </c>
      <c r="U1326" s="15"/>
    </row>
    <row r="1327" spans="1:21" x14ac:dyDescent="0.35">
      <c r="A1327" t="s">
        <v>14</v>
      </c>
      <c r="B1327" t="s">
        <v>3247</v>
      </c>
      <c r="C1327" t="s">
        <v>234</v>
      </c>
      <c r="D1327" t="s">
        <v>235</v>
      </c>
      <c r="E1327" t="s">
        <v>236</v>
      </c>
      <c r="F1327" t="s">
        <v>3248</v>
      </c>
      <c r="G1327" t="s">
        <v>4032</v>
      </c>
      <c r="H1327" s="15">
        <v>46184</v>
      </c>
      <c r="I1327" t="s">
        <v>4033</v>
      </c>
      <c r="J1327" t="s">
        <v>16</v>
      </c>
      <c r="K1327" t="s">
        <v>185</v>
      </c>
      <c r="N1327">
        <v>0</v>
      </c>
      <c r="O1327" t="s">
        <v>222</v>
      </c>
      <c r="P1327">
        <v>0</v>
      </c>
      <c r="U1327" s="15"/>
    </row>
    <row r="1328" spans="1:21" x14ac:dyDescent="0.35">
      <c r="A1328" t="s">
        <v>14</v>
      </c>
      <c r="B1328" t="s">
        <v>3247</v>
      </c>
      <c r="C1328" t="s">
        <v>320</v>
      </c>
      <c r="D1328" t="s">
        <v>321</v>
      </c>
      <c r="E1328" t="s">
        <v>322</v>
      </c>
      <c r="F1328" t="s">
        <v>3248</v>
      </c>
      <c r="G1328" t="s">
        <v>4032</v>
      </c>
      <c r="H1328" s="15">
        <v>46184</v>
      </c>
      <c r="I1328" t="s">
        <v>4037</v>
      </c>
      <c r="J1328" t="s">
        <v>16</v>
      </c>
      <c r="K1328" t="s">
        <v>185</v>
      </c>
      <c r="N1328">
        <v>0</v>
      </c>
      <c r="O1328" t="s">
        <v>222</v>
      </c>
      <c r="P1328">
        <v>0</v>
      </c>
      <c r="U1328" s="15"/>
    </row>
    <row r="1329" spans="1:21" x14ac:dyDescent="0.35">
      <c r="A1329" t="s">
        <v>14</v>
      </c>
      <c r="B1329" t="s">
        <v>3247</v>
      </c>
      <c r="C1329" t="s">
        <v>234</v>
      </c>
      <c r="D1329" t="s">
        <v>235</v>
      </c>
      <c r="E1329" t="s">
        <v>236</v>
      </c>
      <c r="F1329" t="s">
        <v>3248</v>
      </c>
      <c r="G1329" t="s">
        <v>4038</v>
      </c>
      <c r="H1329" s="15">
        <v>46184</v>
      </c>
      <c r="I1329" t="s">
        <v>4039</v>
      </c>
      <c r="J1329" t="s">
        <v>233</v>
      </c>
      <c r="K1329" t="s">
        <v>185</v>
      </c>
      <c r="N1329">
        <v>0</v>
      </c>
      <c r="O1329" t="s">
        <v>222</v>
      </c>
      <c r="P1329">
        <v>0</v>
      </c>
      <c r="U1329" s="15"/>
    </row>
    <row r="1330" spans="1:21" x14ac:dyDescent="0.35">
      <c r="A1330" t="s">
        <v>14</v>
      </c>
      <c r="B1330" t="s">
        <v>3247</v>
      </c>
      <c r="C1330" t="s">
        <v>320</v>
      </c>
      <c r="D1330" t="s">
        <v>321</v>
      </c>
      <c r="E1330" t="s">
        <v>322</v>
      </c>
      <c r="F1330" t="s">
        <v>3248</v>
      </c>
      <c r="G1330" t="s">
        <v>4038</v>
      </c>
      <c r="H1330" s="15">
        <v>46184</v>
      </c>
      <c r="I1330" t="s">
        <v>4040</v>
      </c>
      <c r="J1330" t="s">
        <v>233</v>
      </c>
      <c r="K1330" t="s">
        <v>185</v>
      </c>
      <c r="N1330">
        <v>0</v>
      </c>
      <c r="O1330" t="s">
        <v>222</v>
      </c>
      <c r="P1330">
        <v>0</v>
      </c>
      <c r="U1330" s="15"/>
    </row>
    <row r="1331" spans="1:21" x14ac:dyDescent="0.35">
      <c r="A1331" t="s">
        <v>14</v>
      </c>
      <c r="B1331" t="s">
        <v>3247</v>
      </c>
      <c r="C1331" t="s">
        <v>234</v>
      </c>
      <c r="D1331" t="s">
        <v>235</v>
      </c>
      <c r="E1331" t="s">
        <v>236</v>
      </c>
      <c r="F1331" t="s">
        <v>3248</v>
      </c>
      <c r="G1331" t="s">
        <v>4038</v>
      </c>
      <c r="H1331" s="15">
        <v>46184</v>
      </c>
      <c r="I1331" t="s">
        <v>4041</v>
      </c>
      <c r="J1331" t="s">
        <v>233</v>
      </c>
      <c r="K1331" t="s">
        <v>185</v>
      </c>
      <c r="N1331">
        <v>0</v>
      </c>
      <c r="O1331" t="s">
        <v>222</v>
      </c>
      <c r="P1331">
        <v>0</v>
      </c>
      <c r="U1331" s="15"/>
    </row>
    <row r="1332" spans="1:21" x14ac:dyDescent="0.35">
      <c r="A1332" t="s">
        <v>14</v>
      </c>
      <c r="B1332" t="s">
        <v>3247</v>
      </c>
      <c r="C1332" t="s">
        <v>234</v>
      </c>
      <c r="D1332" t="s">
        <v>235</v>
      </c>
      <c r="E1332" t="s">
        <v>236</v>
      </c>
      <c r="F1332" t="s">
        <v>3248</v>
      </c>
      <c r="G1332" t="s">
        <v>4047</v>
      </c>
      <c r="H1332" s="15">
        <v>46185</v>
      </c>
      <c r="I1332" t="s">
        <v>4048</v>
      </c>
      <c r="J1332" t="s">
        <v>16</v>
      </c>
      <c r="K1332" t="s">
        <v>185</v>
      </c>
      <c r="N1332">
        <v>0</v>
      </c>
      <c r="O1332" t="s">
        <v>222</v>
      </c>
      <c r="P1332">
        <v>0</v>
      </c>
      <c r="U1332" s="15"/>
    </row>
    <row r="1333" spans="1:21" x14ac:dyDescent="0.35">
      <c r="A1333" t="s">
        <v>14</v>
      </c>
      <c r="B1333" t="s">
        <v>3247</v>
      </c>
      <c r="C1333" t="s">
        <v>320</v>
      </c>
      <c r="D1333" t="s">
        <v>321</v>
      </c>
      <c r="E1333" t="s">
        <v>322</v>
      </c>
      <c r="F1333" t="s">
        <v>3248</v>
      </c>
      <c r="G1333" t="s">
        <v>4047</v>
      </c>
      <c r="H1333" s="15">
        <v>46185</v>
      </c>
      <c r="I1333" t="s">
        <v>4049</v>
      </c>
      <c r="J1333" t="s">
        <v>16</v>
      </c>
      <c r="K1333" t="s">
        <v>185</v>
      </c>
      <c r="N1333">
        <v>0</v>
      </c>
      <c r="O1333" t="s">
        <v>222</v>
      </c>
      <c r="P1333">
        <v>0</v>
      </c>
      <c r="U1333" s="15"/>
    </row>
    <row r="1334" spans="1:21" x14ac:dyDescent="0.35">
      <c r="A1334" t="s">
        <v>14</v>
      </c>
      <c r="B1334" t="s">
        <v>3247</v>
      </c>
      <c r="C1334" t="s">
        <v>234</v>
      </c>
      <c r="D1334" t="s">
        <v>235</v>
      </c>
      <c r="E1334" t="s">
        <v>236</v>
      </c>
      <c r="F1334" t="s">
        <v>3248</v>
      </c>
      <c r="G1334" t="s">
        <v>4050</v>
      </c>
      <c r="H1334" s="15">
        <v>46185</v>
      </c>
      <c r="I1334" t="s">
        <v>4051</v>
      </c>
      <c r="J1334" t="s">
        <v>233</v>
      </c>
      <c r="K1334" t="s">
        <v>185</v>
      </c>
      <c r="N1334">
        <v>0</v>
      </c>
      <c r="O1334" t="s">
        <v>222</v>
      </c>
      <c r="P1334">
        <v>0</v>
      </c>
      <c r="U1334" s="15"/>
    </row>
    <row r="1335" spans="1:21" x14ac:dyDescent="0.35">
      <c r="A1335" t="s">
        <v>14</v>
      </c>
      <c r="B1335" t="s">
        <v>3247</v>
      </c>
      <c r="C1335" t="s">
        <v>320</v>
      </c>
      <c r="D1335" t="s">
        <v>321</v>
      </c>
      <c r="E1335" t="s">
        <v>322</v>
      </c>
      <c r="F1335" t="s">
        <v>3248</v>
      </c>
      <c r="G1335" t="s">
        <v>4050</v>
      </c>
      <c r="H1335" s="15">
        <v>46185</v>
      </c>
      <c r="I1335" t="s">
        <v>4059</v>
      </c>
      <c r="J1335" t="s">
        <v>233</v>
      </c>
      <c r="K1335" t="s">
        <v>185</v>
      </c>
      <c r="N1335">
        <v>0</v>
      </c>
      <c r="O1335" t="s">
        <v>222</v>
      </c>
      <c r="P1335">
        <v>0</v>
      </c>
      <c r="U1335" s="15"/>
    </row>
    <row r="1336" spans="1:21" x14ac:dyDescent="0.35">
      <c r="A1336" t="s">
        <v>14</v>
      </c>
      <c r="B1336" t="s">
        <v>3247</v>
      </c>
      <c r="C1336" t="s">
        <v>234</v>
      </c>
      <c r="D1336" t="s">
        <v>235</v>
      </c>
      <c r="E1336" t="s">
        <v>236</v>
      </c>
      <c r="F1336" t="s">
        <v>3248</v>
      </c>
      <c r="G1336" t="s">
        <v>4050</v>
      </c>
      <c r="H1336" s="15">
        <v>46185</v>
      </c>
      <c r="I1336" t="s">
        <v>4060</v>
      </c>
      <c r="J1336" t="s">
        <v>233</v>
      </c>
      <c r="K1336" t="s">
        <v>185</v>
      </c>
      <c r="N1336">
        <v>0</v>
      </c>
      <c r="O1336" t="s">
        <v>222</v>
      </c>
      <c r="P1336">
        <v>0</v>
      </c>
      <c r="U1336" s="15"/>
    </row>
    <row r="1337" spans="1:21" x14ac:dyDescent="0.35">
      <c r="A1337" t="s">
        <v>14</v>
      </c>
      <c r="B1337" t="s">
        <v>3247</v>
      </c>
      <c r="C1337" t="s">
        <v>234</v>
      </c>
      <c r="D1337" t="s">
        <v>235</v>
      </c>
      <c r="E1337" t="s">
        <v>236</v>
      </c>
      <c r="F1337" t="s">
        <v>3248</v>
      </c>
      <c r="G1337" t="s">
        <v>4061</v>
      </c>
      <c r="H1337" s="15">
        <v>46186</v>
      </c>
      <c r="I1337" t="s">
        <v>4062</v>
      </c>
      <c r="J1337" t="s">
        <v>16</v>
      </c>
      <c r="K1337" t="s">
        <v>185</v>
      </c>
      <c r="N1337">
        <v>0</v>
      </c>
      <c r="O1337" t="s">
        <v>222</v>
      </c>
      <c r="P1337">
        <v>0</v>
      </c>
      <c r="U1337" s="15"/>
    </row>
    <row r="1338" spans="1:21" x14ac:dyDescent="0.35">
      <c r="A1338" t="s">
        <v>14</v>
      </c>
      <c r="B1338" t="s">
        <v>3247</v>
      </c>
      <c r="C1338" t="s">
        <v>320</v>
      </c>
      <c r="D1338" t="s">
        <v>321</v>
      </c>
      <c r="E1338" t="s">
        <v>322</v>
      </c>
      <c r="F1338" t="s">
        <v>3248</v>
      </c>
      <c r="G1338" t="s">
        <v>4065</v>
      </c>
      <c r="H1338" s="15">
        <v>46186</v>
      </c>
      <c r="I1338" t="s">
        <v>4066</v>
      </c>
      <c r="J1338" t="s">
        <v>233</v>
      </c>
      <c r="K1338" t="s">
        <v>185</v>
      </c>
      <c r="N1338">
        <v>0</v>
      </c>
      <c r="O1338" t="s">
        <v>222</v>
      </c>
      <c r="P1338">
        <v>0</v>
      </c>
      <c r="U1338" s="15"/>
    </row>
    <row r="1339" spans="1:21" x14ac:dyDescent="0.35">
      <c r="A1339" t="s">
        <v>14</v>
      </c>
      <c r="B1339" t="s">
        <v>3247</v>
      </c>
      <c r="C1339" t="s">
        <v>234</v>
      </c>
      <c r="D1339" t="s">
        <v>235</v>
      </c>
      <c r="E1339" t="s">
        <v>236</v>
      </c>
      <c r="F1339" t="s">
        <v>3248</v>
      </c>
      <c r="G1339" t="s">
        <v>4065</v>
      </c>
      <c r="H1339" s="15">
        <v>46186</v>
      </c>
      <c r="I1339" t="s">
        <v>4067</v>
      </c>
      <c r="J1339" t="s">
        <v>233</v>
      </c>
      <c r="K1339" t="s">
        <v>185</v>
      </c>
      <c r="N1339">
        <v>0</v>
      </c>
      <c r="O1339" t="s">
        <v>222</v>
      </c>
      <c r="P1339">
        <v>0</v>
      </c>
      <c r="U1339" s="15"/>
    </row>
    <row r="1340" spans="1:21" x14ac:dyDescent="0.35">
      <c r="A1340" t="s">
        <v>14</v>
      </c>
      <c r="B1340" t="s">
        <v>3247</v>
      </c>
      <c r="C1340" t="s">
        <v>3287</v>
      </c>
      <c r="D1340" t="s">
        <v>3288</v>
      </c>
      <c r="E1340" t="s">
        <v>3289</v>
      </c>
      <c r="F1340" t="s">
        <v>3248</v>
      </c>
      <c r="G1340" t="s">
        <v>4068</v>
      </c>
      <c r="H1340" s="15">
        <v>46188</v>
      </c>
      <c r="I1340" t="s">
        <v>4069</v>
      </c>
      <c r="J1340" t="s">
        <v>16</v>
      </c>
      <c r="K1340" t="s">
        <v>185</v>
      </c>
      <c r="N1340">
        <v>0</v>
      </c>
      <c r="O1340" t="s">
        <v>222</v>
      </c>
      <c r="P1340">
        <v>0</v>
      </c>
      <c r="U1340" s="15"/>
    </row>
    <row r="1341" spans="1:21" x14ac:dyDescent="0.35">
      <c r="A1341" t="s">
        <v>14</v>
      </c>
      <c r="B1341" t="s">
        <v>3247</v>
      </c>
      <c r="C1341" t="s">
        <v>3339</v>
      </c>
      <c r="D1341" t="s">
        <v>3340</v>
      </c>
      <c r="E1341" t="s">
        <v>3341</v>
      </c>
      <c r="F1341" t="s">
        <v>3248</v>
      </c>
      <c r="G1341" t="s">
        <v>4070</v>
      </c>
      <c r="H1341" s="15">
        <v>46188</v>
      </c>
      <c r="I1341" t="s">
        <v>4071</v>
      </c>
      <c r="J1341" t="s">
        <v>233</v>
      </c>
      <c r="K1341" t="s">
        <v>185</v>
      </c>
      <c r="N1341">
        <v>0</v>
      </c>
      <c r="O1341" t="s">
        <v>222</v>
      </c>
      <c r="P1341">
        <v>0</v>
      </c>
      <c r="U1341" s="15"/>
    </row>
    <row r="1342" spans="1:21" x14ac:dyDescent="0.35">
      <c r="A1342" t="s">
        <v>14</v>
      </c>
      <c r="B1342" t="s">
        <v>3247</v>
      </c>
      <c r="C1342" t="s">
        <v>3287</v>
      </c>
      <c r="D1342" t="s">
        <v>3288</v>
      </c>
      <c r="E1342" t="s">
        <v>3289</v>
      </c>
      <c r="F1342" t="s">
        <v>3248</v>
      </c>
      <c r="G1342" t="s">
        <v>4070</v>
      </c>
      <c r="H1342" s="15">
        <v>46188</v>
      </c>
      <c r="I1342" t="s">
        <v>4077</v>
      </c>
      <c r="J1342" t="s">
        <v>233</v>
      </c>
      <c r="K1342" t="s">
        <v>185</v>
      </c>
      <c r="N1342">
        <v>0</v>
      </c>
      <c r="O1342" t="s">
        <v>222</v>
      </c>
      <c r="P1342">
        <v>0</v>
      </c>
      <c r="U1342" s="15"/>
    </row>
    <row r="1343" spans="1:21" x14ac:dyDescent="0.35">
      <c r="A1343" t="s">
        <v>14</v>
      </c>
      <c r="B1343" t="s">
        <v>3247</v>
      </c>
      <c r="C1343" t="s">
        <v>3263</v>
      </c>
      <c r="D1343" t="s">
        <v>3264</v>
      </c>
      <c r="E1343" t="s">
        <v>3265</v>
      </c>
      <c r="F1343" t="s">
        <v>3248</v>
      </c>
      <c r="G1343" t="s">
        <v>4078</v>
      </c>
      <c r="H1343" s="15">
        <v>46189</v>
      </c>
      <c r="I1343" t="s">
        <v>4079</v>
      </c>
      <c r="J1343" t="s">
        <v>16</v>
      </c>
      <c r="K1343" t="s">
        <v>185</v>
      </c>
      <c r="N1343">
        <v>0</v>
      </c>
      <c r="O1343" t="s">
        <v>222</v>
      </c>
      <c r="P1343">
        <v>0</v>
      </c>
      <c r="U1343" s="15"/>
    </row>
    <row r="1344" spans="1:21" x14ac:dyDescent="0.35">
      <c r="A1344" t="s">
        <v>14</v>
      </c>
      <c r="B1344" t="s">
        <v>3247</v>
      </c>
      <c r="C1344" t="s">
        <v>3297</v>
      </c>
      <c r="D1344" t="s">
        <v>3298</v>
      </c>
      <c r="E1344" t="s">
        <v>3299</v>
      </c>
      <c r="F1344" t="s">
        <v>3248</v>
      </c>
      <c r="G1344" t="s">
        <v>4080</v>
      </c>
      <c r="H1344" s="15">
        <v>46189</v>
      </c>
      <c r="I1344" t="s">
        <v>4081</v>
      </c>
      <c r="J1344" t="s">
        <v>233</v>
      </c>
      <c r="K1344" t="s">
        <v>185</v>
      </c>
      <c r="N1344">
        <v>0</v>
      </c>
      <c r="O1344" t="s">
        <v>222</v>
      </c>
      <c r="P1344">
        <v>0</v>
      </c>
      <c r="U1344" s="15"/>
    </row>
    <row r="1345" spans="1:21" x14ac:dyDescent="0.35">
      <c r="A1345" t="s">
        <v>14</v>
      </c>
      <c r="B1345" t="s">
        <v>3247</v>
      </c>
      <c r="C1345" t="s">
        <v>3275</v>
      </c>
      <c r="D1345" t="s">
        <v>3276</v>
      </c>
      <c r="E1345" t="s">
        <v>3277</v>
      </c>
      <c r="F1345" t="s">
        <v>3248</v>
      </c>
      <c r="G1345" t="s">
        <v>4080</v>
      </c>
      <c r="H1345" s="15">
        <v>46189</v>
      </c>
      <c r="I1345" t="s">
        <v>4082</v>
      </c>
      <c r="J1345" t="s">
        <v>233</v>
      </c>
      <c r="K1345" t="s">
        <v>185</v>
      </c>
      <c r="N1345">
        <v>0</v>
      </c>
      <c r="O1345" t="s">
        <v>222</v>
      </c>
      <c r="P1345">
        <v>0</v>
      </c>
      <c r="U1345" s="15"/>
    </row>
    <row r="1346" spans="1:21" x14ac:dyDescent="0.35">
      <c r="A1346" t="s">
        <v>14</v>
      </c>
      <c r="B1346" t="s">
        <v>3247</v>
      </c>
      <c r="C1346" t="s">
        <v>3287</v>
      </c>
      <c r="D1346" t="s">
        <v>3288</v>
      </c>
      <c r="E1346" t="s">
        <v>3289</v>
      </c>
      <c r="F1346" t="s">
        <v>3248</v>
      </c>
      <c r="G1346" t="s">
        <v>4094</v>
      </c>
      <c r="H1346" s="15">
        <v>46190</v>
      </c>
      <c r="I1346" t="s">
        <v>4095</v>
      </c>
      <c r="J1346" t="s">
        <v>16</v>
      </c>
      <c r="K1346" t="s">
        <v>185</v>
      </c>
      <c r="N1346">
        <v>0</v>
      </c>
      <c r="O1346" t="s">
        <v>222</v>
      </c>
      <c r="P1346">
        <v>0</v>
      </c>
      <c r="U1346" s="15"/>
    </row>
    <row r="1347" spans="1:21" x14ac:dyDescent="0.35">
      <c r="A1347" t="s">
        <v>14</v>
      </c>
      <c r="B1347" t="s">
        <v>3247</v>
      </c>
      <c r="C1347" t="s">
        <v>3270</v>
      </c>
      <c r="D1347" t="s">
        <v>3271</v>
      </c>
      <c r="E1347" t="s">
        <v>3272</v>
      </c>
      <c r="F1347" t="s">
        <v>3248</v>
      </c>
      <c r="G1347" t="s">
        <v>4094</v>
      </c>
      <c r="H1347" s="15">
        <v>46190</v>
      </c>
      <c r="I1347" t="s">
        <v>4096</v>
      </c>
      <c r="J1347" t="s">
        <v>16</v>
      </c>
      <c r="K1347" t="s">
        <v>185</v>
      </c>
      <c r="N1347">
        <v>0</v>
      </c>
      <c r="O1347" t="s">
        <v>222</v>
      </c>
      <c r="P1347">
        <v>0</v>
      </c>
      <c r="U1347" s="15"/>
    </row>
    <row r="1348" spans="1:21" x14ac:dyDescent="0.35">
      <c r="A1348" t="s">
        <v>14</v>
      </c>
      <c r="B1348" t="s">
        <v>3247</v>
      </c>
      <c r="C1348" t="s">
        <v>3287</v>
      </c>
      <c r="D1348" t="s">
        <v>3288</v>
      </c>
      <c r="E1348" t="s">
        <v>3289</v>
      </c>
      <c r="F1348" t="s">
        <v>3248</v>
      </c>
      <c r="G1348" t="s">
        <v>4097</v>
      </c>
      <c r="H1348" s="15">
        <v>46190</v>
      </c>
      <c r="I1348" t="s">
        <v>4098</v>
      </c>
      <c r="J1348" t="s">
        <v>233</v>
      </c>
      <c r="K1348" t="s">
        <v>185</v>
      </c>
      <c r="N1348">
        <v>0</v>
      </c>
      <c r="O1348" t="s">
        <v>222</v>
      </c>
      <c r="P1348">
        <v>0</v>
      </c>
      <c r="U1348" s="15"/>
    </row>
    <row r="1349" spans="1:21" x14ac:dyDescent="0.35">
      <c r="A1349" t="s">
        <v>14</v>
      </c>
      <c r="B1349" t="s">
        <v>3247</v>
      </c>
      <c r="C1349" t="s">
        <v>3270</v>
      </c>
      <c r="D1349" t="s">
        <v>3271</v>
      </c>
      <c r="E1349" t="s">
        <v>3272</v>
      </c>
      <c r="F1349" t="s">
        <v>3248</v>
      </c>
      <c r="G1349" t="s">
        <v>4097</v>
      </c>
      <c r="H1349" s="15">
        <v>46190</v>
      </c>
      <c r="I1349" t="s">
        <v>4099</v>
      </c>
      <c r="J1349" t="s">
        <v>233</v>
      </c>
      <c r="K1349" t="s">
        <v>185</v>
      </c>
      <c r="N1349">
        <v>0</v>
      </c>
      <c r="O1349" t="s">
        <v>222</v>
      </c>
      <c r="P1349">
        <v>0</v>
      </c>
      <c r="U1349" s="15"/>
    </row>
    <row r="1350" spans="1:21" x14ac:dyDescent="0.35">
      <c r="A1350" t="s">
        <v>14</v>
      </c>
      <c r="B1350" t="s">
        <v>3247</v>
      </c>
      <c r="C1350" t="s">
        <v>3287</v>
      </c>
      <c r="D1350" t="s">
        <v>3288</v>
      </c>
      <c r="E1350" t="s">
        <v>3289</v>
      </c>
      <c r="F1350" t="s">
        <v>3248</v>
      </c>
      <c r="G1350" t="s">
        <v>4105</v>
      </c>
      <c r="H1350" s="15">
        <v>46191</v>
      </c>
      <c r="I1350" t="s">
        <v>4106</v>
      </c>
      <c r="J1350" t="s">
        <v>16</v>
      </c>
      <c r="K1350" t="s">
        <v>185</v>
      </c>
      <c r="N1350">
        <v>0</v>
      </c>
      <c r="O1350" t="s">
        <v>222</v>
      </c>
      <c r="P1350">
        <v>0</v>
      </c>
      <c r="U1350" s="15"/>
    </row>
    <row r="1351" spans="1:21" x14ac:dyDescent="0.35">
      <c r="A1351" t="s">
        <v>14</v>
      </c>
      <c r="B1351" t="s">
        <v>3247</v>
      </c>
      <c r="C1351" t="s">
        <v>3270</v>
      </c>
      <c r="D1351" t="s">
        <v>3271</v>
      </c>
      <c r="E1351" t="s">
        <v>3272</v>
      </c>
      <c r="F1351" t="s">
        <v>3248</v>
      </c>
      <c r="G1351" t="s">
        <v>4107</v>
      </c>
      <c r="H1351" s="15">
        <v>46191</v>
      </c>
      <c r="I1351" t="s">
        <v>4108</v>
      </c>
      <c r="J1351" t="s">
        <v>233</v>
      </c>
      <c r="K1351" t="s">
        <v>185</v>
      </c>
      <c r="N1351">
        <v>0</v>
      </c>
      <c r="O1351" t="s">
        <v>222</v>
      </c>
      <c r="P1351">
        <v>0</v>
      </c>
      <c r="U1351" s="15"/>
    </row>
    <row r="1352" spans="1:21" x14ac:dyDescent="0.35">
      <c r="A1352" t="s">
        <v>14</v>
      </c>
      <c r="B1352" t="s">
        <v>3247</v>
      </c>
      <c r="C1352" t="s">
        <v>3287</v>
      </c>
      <c r="D1352" t="s">
        <v>3288</v>
      </c>
      <c r="E1352" t="s">
        <v>3289</v>
      </c>
      <c r="F1352" t="s">
        <v>3248</v>
      </c>
      <c r="G1352" t="s">
        <v>4107</v>
      </c>
      <c r="H1352" s="15">
        <v>46191</v>
      </c>
      <c r="I1352" t="s">
        <v>4111</v>
      </c>
      <c r="J1352" t="s">
        <v>233</v>
      </c>
      <c r="K1352" t="s">
        <v>185</v>
      </c>
      <c r="N1352">
        <v>0</v>
      </c>
      <c r="O1352" t="s">
        <v>222</v>
      </c>
      <c r="P1352">
        <v>0</v>
      </c>
      <c r="U1352" s="15"/>
    </row>
    <row r="1353" spans="1:21" x14ac:dyDescent="0.35">
      <c r="A1353" t="s">
        <v>14</v>
      </c>
      <c r="B1353" t="s">
        <v>3247</v>
      </c>
      <c r="C1353" t="s">
        <v>3287</v>
      </c>
      <c r="D1353" t="s">
        <v>3288</v>
      </c>
      <c r="E1353" t="s">
        <v>3289</v>
      </c>
      <c r="F1353" t="s">
        <v>3248</v>
      </c>
      <c r="G1353" t="s">
        <v>4112</v>
      </c>
      <c r="H1353" s="15">
        <v>46192</v>
      </c>
      <c r="I1353" t="s">
        <v>4113</v>
      </c>
      <c r="J1353" t="s">
        <v>16</v>
      </c>
      <c r="K1353" t="s">
        <v>185</v>
      </c>
      <c r="N1353">
        <v>0</v>
      </c>
      <c r="O1353" t="s">
        <v>222</v>
      </c>
      <c r="P1353">
        <v>0</v>
      </c>
      <c r="U1353" s="15"/>
    </row>
    <row r="1354" spans="1:21" x14ac:dyDescent="0.35">
      <c r="A1354" t="s">
        <v>14</v>
      </c>
      <c r="B1354" t="s">
        <v>3247</v>
      </c>
      <c r="C1354" t="s">
        <v>3270</v>
      </c>
      <c r="D1354" t="s">
        <v>3271</v>
      </c>
      <c r="E1354" t="s">
        <v>3272</v>
      </c>
      <c r="F1354" t="s">
        <v>3248</v>
      </c>
      <c r="G1354" t="s">
        <v>4112</v>
      </c>
      <c r="H1354" s="15">
        <v>46192</v>
      </c>
      <c r="I1354" t="s">
        <v>4114</v>
      </c>
      <c r="J1354" t="s">
        <v>16</v>
      </c>
      <c r="K1354" t="s">
        <v>185</v>
      </c>
      <c r="N1354">
        <v>0</v>
      </c>
      <c r="O1354" t="s">
        <v>222</v>
      </c>
      <c r="P1354">
        <v>0</v>
      </c>
      <c r="U1354" s="15"/>
    </row>
    <row r="1355" spans="1:21" x14ac:dyDescent="0.35">
      <c r="A1355" t="s">
        <v>14</v>
      </c>
      <c r="B1355" t="s">
        <v>3247</v>
      </c>
      <c r="C1355" t="s">
        <v>234</v>
      </c>
      <c r="D1355" t="s">
        <v>235</v>
      </c>
      <c r="E1355" t="s">
        <v>236</v>
      </c>
      <c r="F1355" t="s">
        <v>3248</v>
      </c>
      <c r="G1355" t="s">
        <v>4120</v>
      </c>
      <c r="H1355" s="15">
        <v>46192</v>
      </c>
      <c r="I1355" t="s">
        <v>4121</v>
      </c>
      <c r="J1355" t="s">
        <v>233</v>
      </c>
      <c r="K1355" t="s">
        <v>185</v>
      </c>
      <c r="N1355">
        <v>0</v>
      </c>
      <c r="O1355" t="s">
        <v>222</v>
      </c>
      <c r="P1355">
        <v>0</v>
      </c>
      <c r="U1355" s="15"/>
    </row>
    <row r="1356" spans="1:21" x14ac:dyDescent="0.35">
      <c r="A1356" t="s">
        <v>14</v>
      </c>
      <c r="B1356" t="s">
        <v>3247</v>
      </c>
      <c r="C1356" t="s">
        <v>320</v>
      </c>
      <c r="D1356" t="s">
        <v>321</v>
      </c>
      <c r="E1356" t="s">
        <v>322</v>
      </c>
      <c r="F1356" t="s">
        <v>3248</v>
      </c>
      <c r="G1356" t="s">
        <v>4120</v>
      </c>
      <c r="H1356" s="15">
        <v>46192</v>
      </c>
      <c r="I1356" t="s">
        <v>4122</v>
      </c>
      <c r="J1356" t="s">
        <v>233</v>
      </c>
      <c r="K1356" t="s">
        <v>185</v>
      </c>
      <c r="N1356">
        <v>0</v>
      </c>
      <c r="O1356" t="s">
        <v>222</v>
      </c>
      <c r="P1356">
        <v>0</v>
      </c>
      <c r="U1356" s="15"/>
    </row>
    <row r="1357" spans="1:21" x14ac:dyDescent="0.35">
      <c r="A1357" t="s">
        <v>14</v>
      </c>
      <c r="B1357" t="s">
        <v>3247</v>
      </c>
      <c r="C1357" t="s">
        <v>234</v>
      </c>
      <c r="D1357" t="s">
        <v>235</v>
      </c>
      <c r="E1357" t="s">
        <v>236</v>
      </c>
      <c r="F1357" t="s">
        <v>3248</v>
      </c>
      <c r="G1357" t="s">
        <v>4123</v>
      </c>
      <c r="H1357" s="15">
        <v>46193</v>
      </c>
      <c r="I1357" t="s">
        <v>4124</v>
      </c>
      <c r="J1357" t="s">
        <v>16</v>
      </c>
      <c r="K1357" t="s">
        <v>185</v>
      </c>
      <c r="N1357">
        <v>0</v>
      </c>
      <c r="O1357" t="s">
        <v>222</v>
      </c>
      <c r="P1357">
        <v>0</v>
      </c>
      <c r="U1357" s="15"/>
    </row>
    <row r="1358" spans="1:21" x14ac:dyDescent="0.35">
      <c r="A1358" t="s">
        <v>14</v>
      </c>
      <c r="B1358" t="s">
        <v>3247</v>
      </c>
      <c r="C1358" t="s">
        <v>320</v>
      </c>
      <c r="D1358" t="s">
        <v>321</v>
      </c>
      <c r="E1358" t="s">
        <v>322</v>
      </c>
      <c r="F1358" t="s">
        <v>3248</v>
      </c>
      <c r="G1358" t="s">
        <v>4125</v>
      </c>
      <c r="H1358" s="15">
        <v>46193</v>
      </c>
      <c r="I1358" t="s">
        <v>4126</v>
      </c>
      <c r="J1358" t="s">
        <v>233</v>
      </c>
      <c r="K1358" t="s">
        <v>185</v>
      </c>
      <c r="N1358">
        <v>1860</v>
      </c>
      <c r="O1358" t="s">
        <v>222</v>
      </c>
      <c r="P1358">
        <v>4.9445639999999997</v>
      </c>
      <c r="U1358" s="15"/>
    </row>
    <row r="1359" spans="1:21" x14ac:dyDescent="0.35">
      <c r="A1359" t="s">
        <v>14</v>
      </c>
      <c r="B1359" t="s">
        <v>3247</v>
      </c>
      <c r="C1359" t="s">
        <v>234</v>
      </c>
      <c r="D1359" t="s">
        <v>235</v>
      </c>
      <c r="E1359" t="s">
        <v>236</v>
      </c>
      <c r="F1359" t="s">
        <v>3248</v>
      </c>
      <c r="G1359" t="s">
        <v>4127</v>
      </c>
      <c r="H1359" s="15">
        <v>46195</v>
      </c>
      <c r="I1359" t="s">
        <v>4128</v>
      </c>
      <c r="J1359" t="s">
        <v>16</v>
      </c>
      <c r="K1359" t="s">
        <v>185</v>
      </c>
      <c r="N1359">
        <v>0</v>
      </c>
      <c r="O1359" t="s">
        <v>222</v>
      </c>
      <c r="P1359">
        <v>0</v>
      </c>
      <c r="U1359" s="15"/>
    </row>
    <row r="1360" spans="1:21" x14ac:dyDescent="0.35">
      <c r="A1360" t="s">
        <v>14</v>
      </c>
      <c r="B1360" t="s">
        <v>3247</v>
      </c>
      <c r="C1360" t="s">
        <v>234</v>
      </c>
      <c r="D1360" t="s">
        <v>235</v>
      </c>
      <c r="E1360" t="s">
        <v>236</v>
      </c>
      <c r="F1360" t="s">
        <v>3248</v>
      </c>
      <c r="G1360" t="s">
        <v>4132</v>
      </c>
      <c r="H1360" s="15">
        <v>46195</v>
      </c>
      <c r="I1360" t="s">
        <v>4133</v>
      </c>
      <c r="J1360" t="s">
        <v>233</v>
      </c>
      <c r="K1360" t="s">
        <v>185</v>
      </c>
      <c r="N1360">
        <v>0</v>
      </c>
      <c r="O1360" t="s">
        <v>222</v>
      </c>
      <c r="P1360">
        <v>0</v>
      </c>
      <c r="U1360" s="15"/>
    </row>
    <row r="1361" spans="1:21" x14ac:dyDescent="0.35">
      <c r="A1361" t="s">
        <v>14</v>
      </c>
      <c r="B1361" t="s">
        <v>3247</v>
      </c>
      <c r="C1361" t="s">
        <v>234</v>
      </c>
      <c r="D1361" t="s">
        <v>235</v>
      </c>
      <c r="E1361" t="s">
        <v>236</v>
      </c>
      <c r="F1361" t="s">
        <v>3248</v>
      </c>
      <c r="G1361" t="s">
        <v>4134</v>
      </c>
      <c r="H1361" s="15">
        <v>46196</v>
      </c>
      <c r="I1361" t="s">
        <v>4135</v>
      </c>
      <c r="J1361" t="s">
        <v>16</v>
      </c>
      <c r="K1361" t="s">
        <v>185</v>
      </c>
      <c r="N1361">
        <v>0</v>
      </c>
      <c r="O1361" t="s">
        <v>222</v>
      </c>
      <c r="P1361">
        <v>0</v>
      </c>
      <c r="U1361" s="15"/>
    </row>
    <row r="1362" spans="1:21" x14ac:dyDescent="0.35">
      <c r="A1362" t="s">
        <v>14</v>
      </c>
      <c r="B1362" t="s">
        <v>3247</v>
      </c>
      <c r="C1362" t="s">
        <v>234</v>
      </c>
      <c r="D1362" t="s">
        <v>235</v>
      </c>
      <c r="E1362" t="s">
        <v>236</v>
      </c>
      <c r="F1362" t="s">
        <v>3248</v>
      </c>
      <c r="G1362" t="s">
        <v>4144</v>
      </c>
      <c r="H1362" s="15">
        <v>46197</v>
      </c>
      <c r="I1362" t="s">
        <v>4145</v>
      </c>
      <c r="J1362" t="s">
        <v>16</v>
      </c>
      <c r="K1362" t="s">
        <v>185</v>
      </c>
      <c r="N1362">
        <v>0</v>
      </c>
      <c r="O1362" t="s">
        <v>222</v>
      </c>
      <c r="P1362">
        <v>0</v>
      </c>
      <c r="U1362" s="15"/>
    </row>
    <row r="1363" spans="1:21" x14ac:dyDescent="0.35">
      <c r="A1363" t="s">
        <v>14</v>
      </c>
      <c r="B1363" t="s">
        <v>3247</v>
      </c>
      <c r="C1363" t="s">
        <v>234</v>
      </c>
      <c r="D1363" t="s">
        <v>235</v>
      </c>
      <c r="E1363" t="s">
        <v>236</v>
      </c>
      <c r="F1363" t="s">
        <v>3248</v>
      </c>
      <c r="G1363" t="s">
        <v>4146</v>
      </c>
      <c r="H1363" s="15">
        <v>46198</v>
      </c>
      <c r="I1363" t="s">
        <v>4147</v>
      </c>
      <c r="J1363" t="s">
        <v>16</v>
      </c>
      <c r="K1363" t="s">
        <v>185</v>
      </c>
      <c r="N1363">
        <v>0</v>
      </c>
      <c r="O1363" t="s">
        <v>222</v>
      </c>
      <c r="P1363">
        <v>0</v>
      </c>
      <c r="U1363" s="15"/>
    </row>
    <row r="1364" spans="1:21" x14ac:dyDescent="0.35">
      <c r="A1364" t="s">
        <v>14</v>
      </c>
      <c r="B1364" t="s">
        <v>3247</v>
      </c>
      <c r="C1364" t="s">
        <v>234</v>
      </c>
      <c r="D1364" t="s">
        <v>235</v>
      </c>
      <c r="E1364" t="s">
        <v>236</v>
      </c>
      <c r="F1364" t="s">
        <v>3248</v>
      </c>
      <c r="G1364" t="s">
        <v>4150</v>
      </c>
      <c r="H1364" s="15">
        <v>46199</v>
      </c>
      <c r="I1364" t="s">
        <v>4151</v>
      </c>
      <c r="J1364" t="s">
        <v>16</v>
      </c>
      <c r="K1364" t="s">
        <v>185</v>
      </c>
      <c r="N1364">
        <v>0</v>
      </c>
      <c r="O1364" t="s">
        <v>222</v>
      </c>
      <c r="P1364">
        <v>0</v>
      </c>
      <c r="U1364" s="15"/>
    </row>
    <row r="1365" spans="1:21" x14ac:dyDescent="0.35">
      <c r="A1365" t="s">
        <v>14</v>
      </c>
      <c r="B1365" t="s">
        <v>3247</v>
      </c>
      <c r="C1365" t="s">
        <v>234</v>
      </c>
      <c r="D1365" t="s">
        <v>235</v>
      </c>
      <c r="E1365" t="s">
        <v>236</v>
      </c>
      <c r="F1365" t="s">
        <v>3248</v>
      </c>
      <c r="G1365" t="s">
        <v>4157</v>
      </c>
      <c r="H1365" s="15">
        <v>46200</v>
      </c>
      <c r="I1365" t="s">
        <v>4158</v>
      </c>
      <c r="J1365" t="s">
        <v>16</v>
      </c>
      <c r="K1365" t="s">
        <v>185</v>
      </c>
      <c r="N1365">
        <v>0</v>
      </c>
      <c r="O1365" t="s">
        <v>222</v>
      </c>
      <c r="P1365">
        <v>0</v>
      </c>
      <c r="U1365" s="15"/>
    </row>
    <row r="1366" spans="1:21" x14ac:dyDescent="0.35">
      <c r="A1366" t="s">
        <v>14</v>
      </c>
      <c r="B1366" t="s">
        <v>3247</v>
      </c>
      <c r="C1366" t="s">
        <v>234</v>
      </c>
      <c r="D1366" t="s">
        <v>235</v>
      </c>
      <c r="E1366" t="s">
        <v>236</v>
      </c>
      <c r="F1366" t="s">
        <v>3248</v>
      </c>
      <c r="G1366" t="s">
        <v>4159</v>
      </c>
      <c r="H1366" s="15">
        <v>46202</v>
      </c>
      <c r="I1366" t="s">
        <v>4160</v>
      </c>
      <c r="J1366" t="s">
        <v>233</v>
      </c>
      <c r="K1366" t="s">
        <v>185</v>
      </c>
      <c r="N1366">
        <v>0</v>
      </c>
      <c r="O1366" t="s">
        <v>222</v>
      </c>
      <c r="P1366">
        <v>0</v>
      </c>
      <c r="U1366" s="15"/>
    </row>
    <row r="1367" spans="1:21" x14ac:dyDescent="0.35">
      <c r="A1367" t="s">
        <v>14</v>
      </c>
      <c r="B1367" t="s">
        <v>3247</v>
      </c>
      <c r="C1367" t="s">
        <v>234</v>
      </c>
      <c r="D1367" t="s">
        <v>235</v>
      </c>
      <c r="E1367" t="s">
        <v>236</v>
      </c>
      <c r="F1367" t="s">
        <v>3248</v>
      </c>
      <c r="G1367" t="s">
        <v>4161</v>
      </c>
      <c r="H1367" s="15">
        <v>46203</v>
      </c>
      <c r="I1367" t="s">
        <v>4162</v>
      </c>
      <c r="J1367" t="s">
        <v>16</v>
      </c>
      <c r="K1367" t="s">
        <v>185</v>
      </c>
      <c r="N1367">
        <v>0</v>
      </c>
      <c r="O1367" t="s">
        <v>222</v>
      </c>
      <c r="P1367">
        <v>0</v>
      </c>
      <c r="U1367" s="15"/>
    </row>
    <row r="1368" spans="1:21" x14ac:dyDescent="0.35">
      <c r="A1368" t="s">
        <v>14</v>
      </c>
      <c r="B1368" t="s">
        <v>3247</v>
      </c>
      <c r="C1368" t="s">
        <v>234</v>
      </c>
      <c r="D1368" t="s">
        <v>235</v>
      </c>
      <c r="E1368" t="s">
        <v>236</v>
      </c>
      <c r="F1368" t="s">
        <v>3248</v>
      </c>
      <c r="G1368" t="s">
        <v>4163</v>
      </c>
      <c r="H1368" s="15">
        <v>46204</v>
      </c>
      <c r="I1368" t="s">
        <v>4164</v>
      </c>
      <c r="J1368" t="s">
        <v>16</v>
      </c>
      <c r="K1368" t="s">
        <v>185</v>
      </c>
      <c r="N1368">
        <v>0</v>
      </c>
      <c r="O1368" t="s">
        <v>222</v>
      </c>
      <c r="P1368">
        <v>0</v>
      </c>
      <c r="U1368" s="15"/>
    </row>
    <row r="1369" spans="1:21" x14ac:dyDescent="0.35">
      <c r="A1369" t="s">
        <v>14</v>
      </c>
      <c r="B1369" t="s">
        <v>3247</v>
      </c>
      <c r="C1369" t="s">
        <v>234</v>
      </c>
      <c r="D1369" t="s">
        <v>235</v>
      </c>
      <c r="E1369" t="s">
        <v>236</v>
      </c>
      <c r="F1369" t="s">
        <v>3248</v>
      </c>
      <c r="G1369" t="s">
        <v>4168</v>
      </c>
      <c r="H1369" s="15">
        <v>46205</v>
      </c>
      <c r="I1369" t="s">
        <v>4169</v>
      </c>
      <c r="J1369" t="s">
        <v>16</v>
      </c>
      <c r="K1369" t="s">
        <v>185</v>
      </c>
      <c r="N1369">
        <v>0</v>
      </c>
      <c r="O1369" t="s">
        <v>222</v>
      </c>
      <c r="P1369">
        <v>0</v>
      </c>
      <c r="U1369" s="15"/>
    </row>
    <row r="1370" spans="1:21" x14ac:dyDescent="0.35">
      <c r="A1370" t="s">
        <v>14</v>
      </c>
      <c r="B1370" t="s">
        <v>3247</v>
      </c>
      <c r="C1370" t="s">
        <v>234</v>
      </c>
      <c r="D1370" t="s">
        <v>235</v>
      </c>
      <c r="E1370" t="s">
        <v>236</v>
      </c>
      <c r="F1370" t="s">
        <v>3248</v>
      </c>
      <c r="G1370" t="s">
        <v>4170</v>
      </c>
      <c r="H1370" s="15">
        <v>46206</v>
      </c>
      <c r="I1370" t="s">
        <v>4171</v>
      </c>
      <c r="J1370" t="s">
        <v>233</v>
      </c>
      <c r="K1370" t="s">
        <v>185</v>
      </c>
      <c r="N1370">
        <v>0</v>
      </c>
      <c r="O1370" t="s">
        <v>222</v>
      </c>
      <c r="P1370">
        <v>0</v>
      </c>
      <c r="U1370" s="15"/>
    </row>
    <row r="1371" spans="1:21" x14ac:dyDescent="0.35">
      <c r="A1371" t="s">
        <v>14</v>
      </c>
      <c r="B1371" t="s">
        <v>3247</v>
      </c>
      <c r="C1371" t="s">
        <v>234</v>
      </c>
      <c r="D1371" t="s">
        <v>235</v>
      </c>
      <c r="E1371" t="s">
        <v>236</v>
      </c>
      <c r="F1371" t="s">
        <v>3248</v>
      </c>
      <c r="G1371" t="s">
        <v>4182</v>
      </c>
      <c r="H1371" s="15">
        <v>46207</v>
      </c>
      <c r="I1371" t="s">
        <v>4183</v>
      </c>
      <c r="J1371" t="s">
        <v>16</v>
      </c>
      <c r="K1371" t="s">
        <v>185</v>
      </c>
      <c r="N1371">
        <v>0</v>
      </c>
      <c r="O1371" t="s">
        <v>222</v>
      </c>
      <c r="P1371">
        <v>0</v>
      </c>
      <c r="U1371" s="15"/>
    </row>
    <row r="1372" spans="1:21" x14ac:dyDescent="0.35">
      <c r="A1372" t="s">
        <v>14</v>
      </c>
      <c r="B1372" t="s">
        <v>3247</v>
      </c>
      <c r="C1372" t="s">
        <v>234</v>
      </c>
      <c r="D1372" t="s">
        <v>235</v>
      </c>
      <c r="E1372" t="s">
        <v>236</v>
      </c>
      <c r="F1372" t="s">
        <v>3248</v>
      </c>
      <c r="G1372" t="s">
        <v>5068</v>
      </c>
      <c r="H1372" s="15">
        <v>46209</v>
      </c>
      <c r="I1372" t="s">
        <v>5069</v>
      </c>
      <c r="J1372" t="s">
        <v>16</v>
      </c>
      <c r="K1372" t="s">
        <v>185</v>
      </c>
      <c r="N1372">
        <v>0</v>
      </c>
      <c r="O1372" t="s">
        <v>222</v>
      </c>
      <c r="P1372">
        <v>0</v>
      </c>
      <c r="U1372" s="15"/>
    </row>
    <row r="1373" spans="1:21" x14ac:dyDescent="0.35">
      <c r="A1373" t="s">
        <v>14</v>
      </c>
      <c r="B1373" t="s">
        <v>3247</v>
      </c>
      <c r="C1373" t="s">
        <v>234</v>
      </c>
      <c r="D1373" t="s">
        <v>235</v>
      </c>
      <c r="E1373" t="s">
        <v>236</v>
      </c>
      <c r="F1373" t="s">
        <v>3248</v>
      </c>
      <c r="G1373" t="s">
        <v>5070</v>
      </c>
      <c r="H1373" s="15">
        <v>46210</v>
      </c>
      <c r="I1373" t="s">
        <v>5071</v>
      </c>
      <c r="J1373" t="s">
        <v>16</v>
      </c>
      <c r="K1373" t="s">
        <v>185</v>
      </c>
      <c r="N1373">
        <v>0</v>
      </c>
      <c r="O1373" t="s">
        <v>222</v>
      </c>
      <c r="P1373">
        <v>0</v>
      </c>
      <c r="U1373" s="15"/>
    </row>
    <row r="1374" spans="1:21" x14ac:dyDescent="0.35">
      <c r="A1374" t="s">
        <v>14</v>
      </c>
      <c r="B1374" t="s">
        <v>3247</v>
      </c>
      <c r="C1374" t="s">
        <v>234</v>
      </c>
      <c r="D1374" t="s">
        <v>235</v>
      </c>
      <c r="E1374" t="s">
        <v>236</v>
      </c>
      <c r="F1374" t="s">
        <v>3248</v>
      </c>
      <c r="G1374" t="s">
        <v>5072</v>
      </c>
      <c r="H1374" s="15">
        <v>46211</v>
      </c>
      <c r="I1374" t="s">
        <v>5073</v>
      </c>
      <c r="J1374" t="s">
        <v>16</v>
      </c>
      <c r="K1374" t="s">
        <v>185</v>
      </c>
      <c r="N1374">
        <v>0</v>
      </c>
      <c r="O1374" t="s">
        <v>222</v>
      </c>
      <c r="P1374">
        <v>0</v>
      </c>
      <c r="U1374" s="15"/>
    </row>
    <row r="1375" spans="1:21" x14ac:dyDescent="0.35">
      <c r="A1375" t="s">
        <v>14</v>
      </c>
      <c r="B1375" t="s">
        <v>3247</v>
      </c>
      <c r="C1375" t="s">
        <v>234</v>
      </c>
      <c r="D1375" t="s">
        <v>235</v>
      </c>
      <c r="E1375" t="s">
        <v>236</v>
      </c>
      <c r="F1375" t="s">
        <v>3248</v>
      </c>
      <c r="G1375" t="s">
        <v>5074</v>
      </c>
      <c r="H1375" s="15">
        <v>46212</v>
      </c>
      <c r="I1375" t="s">
        <v>5075</v>
      </c>
      <c r="J1375" t="s">
        <v>16</v>
      </c>
      <c r="K1375" t="s">
        <v>185</v>
      </c>
      <c r="N1375">
        <v>0</v>
      </c>
      <c r="O1375" t="s">
        <v>222</v>
      </c>
      <c r="P1375">
        <v>0</v>
      </c>
      <c r="U1375" s="15"/>
    </row>
    <row r="1376" spans="1:21" x14ac:dyDescent="0.35">
      <c r="A1376" t="s">
        <v>14</v>
      </c>
      <c r="B1376" t="s">
        <v>3247</v>
      </c>
      <c r="C1376" t="s">
        <v>228</v>
      </c>
      <c r="D1376" t="s">
        <v>229</v>
      </c>
      <c r="E1376" t="s">
        <v>230</v>
      </c>
      <c r="F1376" t="s">
        <v>3248</v>
      </c>
      <c r="G1376" t="s">
        <v>5076</v>
      </c>
      <c r="H1376" s="15">
        <v>46213</v>
      </c>
      <c r="I1376" t="s">
        <v>5077</v>
      </c>
      <c r="J1376" t="s">
        <v>16</v>
      </c>
      <c r="K1376" t="s">
        <v>185</v>
      </c>
      <c r="N1376">
        <v>0</v>
      </c>
      <c r="O1376" t="s">
        <v>222</v>
      </c>
      <c r="P1376">
        <v>0</v>
      </c>
      <c r="U1376" s="15"/>
    </row>
    <row r="1377" spans="1:21" x14ac:dyDescent="0.35">
      <c r="A1377" t="s">
        <v>14</v>
      </c>
      <c r="B1377" t="s">
        <v>3247</v>
      </c>
      <c r="C1377" t="s">
        <v>228</v>
      </c>
      <c r="D1377" t="s">
        <v>229</v>
      </c>
      <c r="E1377" t="s">
        <v>230</v>
      </c>
      <c r="F1377" t="s">
        <v>3248</v>
      </c>
      <c r="G1377" t="s">
        <v>5078</v>
      </c>
      <c r="H1377" s="15">
        <v>46214</v>
      </c>
      <c r="I1377" t="s">
        <v>5079</v>
      </c>
      <c r="J1377" t="s">
        <v>16</v>
      </c>
      <c r="K1377" t="s">
        <v>185</v>
      </c>
      <c r="N1377">
        <v>0</v>
      </c>
      <c r="O1377" t="s">
        <v>222</v>
      </c>
      <c r="P1377">
        <v>0</v>
      </c>
      <c r="U1377" s="15"/>
    </row>
    <row r="1378" spans="1:21" x14ac:dyDescent="0.35">
      <c r="A1378" t="s">
        <v>14</v>
      </c>
      <c r="B1378" t="s">
        <v>3247</v>
      </c>
      <c r="C1378" t="s">
        <v>234</v>
      </c>
      <c r="D1378" t="s">
        <v>235</v>
      </c>
      <c r="E1378" t="s">
        <v>236</v>
      </c>
      <c r="F1378" t="s">
        <v>3248</v>
      </c>
      <c r="G1378" t="s">
        <v>5080</v>
      </c>
      <c r="H1378" s="15">
        <v>46216</v>
      </c>
      <c r="I1378" t="s">
        <v>5081</v>
      </c>
      <c r="J1378" t="s">
        <v>16</v>
      </c>
      <c r="K1378" t="s">
        <v>185</v>
      </c>
      <c r="N1378">
        <v>0</v>
      </c>
      <c r="O1378" t="s">
        <v>222</v>
      </c>
      <c r="P1378">
        <v>0</v>
      </c>
      <c r="U1378" s="15"/>
    </row>
    <row r="1379" spans="1:21" x14ac:dyDescent="0.35">
      <c r="A1379" t="s">
        <v>14</v>
      </c>
      <c r="B1379" t="s">
        <v>3247</v>
      </c>
      <c r="C1379" t="s">
        <v>234</v>
      </c>
      <c r="D1379" t="s">
        <v>235</v>
      </c>
      <c r="E1379" t="s">
        <v>236</v>
      </c>
      <c r="F1379" t="s">
        <v>3248</v>
      </c>
      <c r="G1379" t="s">
        <v>5082</v>
      </c>
      <c r="H1379" s="15">
        <v>46217</v>
      </c>
      <c r="I1379" t="s">
        <v>5083</v>
      </c>
      <c r="J1379" t="s">
        <v>16</v>
      </c>
      <c r="K1379" t="s">
        <v>185</v>
      </c>
      <c r="N1379">
        <v>6820</v>
      </c>
      <c r="O1379" t="s">
        <v>222</v>
      </c>
      <c r="P1379">
        <v>18.287147999999998</v>
      </c>
      <c r="U1379" s="15"/>
    </row>
    <row r="1380" spans="1:21" x14ac:dyDescent="0.35">
      <c r="A1380" t="s">
        <v>14</v>
      </c>
      <c r="B1380" t="s">
        <v>3158</v>
      </c>
      <c r="C1380" t="s">
        <v>1255</v>
      </c>
      <c r="D1380" t="s">
        <v>1256</v>
      </c>
      <c r="E1380" t="s">
        <v>1257</v>
      </c>
      <c r="F1380" t="s">
        <v>3159</v>
      </c>
      <c r="G1380" t="s">
        <v>3160</v>
      </c>
      <c r="H1380" s="15">
        <v>46027</v>
      </c>
      <c r="I1380" t="s">
        <v>3161</v>
      </c>
      <c r="J1380" t="s">
        <v>16</v>
      </c>
      <c r="K1380" t="s">
        <v>185</v>
      </c>
      <c r="N1380">
        <v>0</v>
      </c>
      <c r="O1380" t="s">
        <v>222</v>
      </c>
      <c r="P1380">
        <v>0</v>
      </c>
      <c r="U1380" s="15"/>
    </row>
    <row r="1381" spans="1:21" x14ac:dyDescent="0.35">
      <c r="A1381" t="s">
        <v>14</v>
      </c>
      <c r="B1381" t="s">
        <v>3158</v>
      </c>
      <c r="C1381" t="s">
        <v>531</v>
      </c>
      <c r="D1381" t="s">
        <v>532</v>
      </c>
      <c r="E1381" t="s">
        <v>533</v>
      </c>
      <c r="F1381" t="s">
        <v>3159</v>
      </c>
      <c r="G1381" t="s">
        <v>3160</v>
      </c>
      <c r="H1381" s="15">
        <v>46027</v>
      </c>
      <c r="I1381" t="s">
        <v>3162</v>
      </c>
      <c r="J1381" t="s">
        <v>16</v>
      </c>
      <c r="K1381" t="s">
        <v>185</v>
      </c>
      <c r="N1381">
        <v>0</v>
      </c>
      <c r="O1381" t="s">
        <v>222</v>
      </c>
      <c r="P1381">
        <v>0</v>
      </c>
      <c r="U1381" s="15"/>
    </row>
    <row r="1382" spans="1:21" x14ac:dyDescent="0.35">
      <c r="A1382" t="s">
        <v>14</v>
      </c>
      <c r="B1382" t="s">
        <v>3158</v>
      </c>
      <c r="C1382" t="s">
        <v>1255</v>
      </c>
      <c r="D1382" t="s">
        <v>1256</v>
      </c>
      <c r="E1382" t="s">
        <v>1257</v>
      </c>
      <c r="F1382" t="s">
        <v>3159</v>
      </c>
      <c r="G1382" t="s">
        <v>3163</v>
      </c>
      <c r="H1382" s="15">
        <v>46028</v>
      </c>
      <c r="I1382" t="s">
        <v>3164</v>
      </c>
      <c r="J1382" t="s">
        <v>16</v>
      </c>
      <c r="K1382" t="s">
        <v>185</v>
      </c>
      <c r="N1382">
        <v>0</v>
      </c>
      <c r="O1382" t="s">
        <v>222</v>
      </c>
      <c r="P1382">
        <v>0</v>
      </c>
      <c r="U1382" s="15"/>
    </row>
    <row r="1383" spans="1:21" x14ac:dyDescent="0.35">
      <c r="A1383" t="s">
        <v>14</v>
      </c>
      <c r="B1383" t="s">
        <v>3158</v>
      </c>
      <c r="C1383" t="s">
        <v>515</v>
      </c>
      <c r="D1383" t="s">
        <v>516</v>
      </c>
      <c r="E1383" t="s">
        <v>517</v>
      </c>
      <c r="F1383" t="s">
        <v>3159</v>
      </c>
      <c r="G1383" t="s">
        <v>3163</v>
      </c>
      <c r="H1383" s="15">
        <v>46028</v>
      </c>
      <c r="I1383" t="s">
        <v>3165</v>
      </c>
      <c r="J1383" t="s">
        <v>16</v>
      </c>
      <c r="K1383" t="s">
        <v>185</v>
      </c>
      <c r="N1383">
        <v>0</v>
      </c>
      <c r="O1383" t="s">
        <v>222</v>
      </c>
      <c r="P1383">
        <v>0</v>
      </c>
      <c r="U1383" s="15"/>
    </row>
    <row r="1384" spans="1:21" x14ac:dyDescent="0.35">
      <c r="A1384" t="s">
        <v>14</v>
      </c>
      <c r="B1384" t="s">
        <v>3158</v>
      </c>
      <c r="C1384" t="s">
        <v>1255</v>
      </c>
      <c r="D1384" t="s">
        <v>1256</v>
      </c>
      <c r="E1384" t="s">
        <v>1257</v>
      </c>
      <c r="F1384" t="s">
        <v>3159</v>
      </c>
      <c r="G1384" t="s">
        <v>3166</v>
      </c>
      <c r="H1384" s="15">
        <v>46028</v>
      </c>
      <c r="I1384" t="s">
        <v>3167</v>
      </c>
      <c r="J1384" t="s">
        <v>233</v>
      </c>
      <c r="K1384" t="s">
        <v>185</v>
      </c>
      <c r="N1384">
        <v>0</v>
      </c>
      <c r="O1384" t="s">
        <v>222</v>
      </c>
      <c r="P1384">
        <v>0</v>
      </c>
      <c r="U1384" s="15"/>
    </row>
    <row r="1385" spans="1:21" x14ac:dyDescent="0.35">
      <c r="A1385" t="s">
        <v>14</v>
      </c>
      <c r="B1385" t="s">
        <v>3158</v>
      </c>
      <c r="C1385" t="s">
        <v>1255</v>
      </c>
      <c r="D1385" t="s">
        <v>1256</v>
      </c>
      <c r="E1385" t="s">
        <v>1257</v>
      </c>
      <c r="F1385" t="s">
        <v>3159</v>
      </c>
      <c r="G1385" t="s">
        <v>3168</v>
      </c>
      <c r="H1385" s="15">
        <v>46029</v>
      </c>
      <c r="I1385" t="s">
        <v>3169</v>
      </c>
      <c r="J1385" t="s">
        <v>16</v>
      </c>
      <c r="K1385" t="s">
        <v>185</v>
      </c>
      <c r="N1385">
        <v>0</v>
      </c>
      <c r="O1385" t="s">
        <v>222</v>
      </c>
      <c r="P1385">
        <v>0</v>
      </c>
      <c r="U1385" s="15"/>
    </row>
    <row r="1386" spans="1:21" x14ac:dyDescent="0.35">
      <c r="A1386" t="s">
        <v>14</v>
      </c>
      <c r="B1386" t="s">
        <v>3158</v>
      </c>
      <c r="C1386" t="s">
        <v>515</v>
      </c>
      <c r="D1386" t="s">
        <v>516</v>
      </c>
      <c r="E1386" t="s">
        <v>517</v>
      </c>
      <c r="F1386" t="s">
        <v>3159</v>
      </c>
      <c r="G1386" t="s">
        <v>3168</v>
      </c>
      <c r="H1386" s="15">
        <v>46029</v>
      </c>
      <c r="I1386" t="s">
        <v>3170</v>
      </c>
      <c r="J1386" t="s">
        <v>16</v>
      </c>
      <c r="K1386" t="s">
        <v>185</v>
      </c>
      <c r="N1386">
        <v>0</v>
      </c>
      <c r="O1386" t="s">
        <v>222</v>
      </c>
      <c r="P1386">
        <v>0</v>
      </c>
      <c r="U1386" s="15"/>
    </row>
    <row r="1387" spans="1:21" x14ac:dyDescent="0.35">
      <c r="A1387" t="s">
        <v>14</v>
      </c>
      <c r="B1387" t="s">
        <v>3158</v>
      </c>
      <c r="C1387" t="s">
        <v>1255</v>
      </c>
      <c r="D1387" t="s">
        <v>1256</v>
      </c>
      <c r="E1387" t="s">
        <v>1257</v>
      </c>
      <c r="F1387" t="s">
        <v>3159</v>
      </c>
      <c r="G1387" t="s">
        <v>3171</v>
      </c>
      <c r="H1387" s="15">
        <v>46029</v>
      </c>
      <c r="I1387" t="s">
        <v>3172</v>
      </c>
      <c r="J1387" t="s">
        <v>233</v>
      </c>
      <c r="K1387" t="s">
        <v>185</v>
      </c>
      <c r="N1387">
        <v>0</v>
      </c>
      <c r="O1387" t="s">
        <v>222</v>
      </c>
      <c r="P1387">
        <v>0</v>
      </c>
      <c r="U1387" s="15"/>
    </row>
    <row r="1388" spans="1:21" x14ac:dyDescent="0.35">
      <c r="A1388" t="s">
        <v>14</v>
      </c>
      <c r="B1388" t="s">
        <v>3158</v>
      </c>
      <c r="C1388" t="s">
        <v>777</v>
      </c>
      <c r="D1388" t="s">
        <v>778</v>
      </c>
      <c r="E1388" t="s">
        <v>779</v>
      </c>
      <c r="F1388" t="s">
        <v>3159</v>
      </c>
      <c r="G1388" t="s">
        <v>3173</v>
      </c>
      <c r="H1388" s="15">
        <v>46030</v>
      </c>
      <c r="I1388" t="s">
        <v>3174</v>
      </c>
      <c r="J1388" t="s">
        <v>16</v>
      </c>
      <c r="K1388" t="s">
        <v>185</v>
      </c>
      <c r="N1388">
        <v>0</v>
      </c>
      <c r="O1388" t="s">
        <v>222</v>
      </c>
      <c r="P1388">
        <v>0</v>
      </c>
      <c r="U1388" s="15"/>
    </row>
    <row r="1389" spans="1:21" x14ac:dyDescent="0.35">
      <c r="A1389" t="s">
        <v>14</v>
      </c>
      <c r="B1389" t="s">
        <v>3158</v>
      </c>
      <c r="C1389" t="s">
        <v>498</v>
      </c>
      <c r="D1389" t="s">
        <v>499</v>
      </c>
      <c r="E1389" t="s">
        <v>500</v>
      </c>
      <c r="F1389" t="s">
        <v>3159</v>
      </c>
      <c r="G1389" t="s">
        <v>3173</v>
      </c>
      <c r="H1389" s="15">
        <v>46030</v>
      </c>
      <c r="I1389" t="s">
        <v>3175</v>
      </c>
      <c r="J1389" t="s">
        <v>16</v>
      </c>
      <c r="K1389" t="s">
        <v>185</v>
      </c>
      <c r="N1389">
        <v>0</v>
      </c>
      <c r="O1389" t="s">
        <v>222</v>
      </c>
      <c r="P1389">
        <v>0</v>
      </c>
      <c r="U1389" s="15"/>
    </row>
    <row r="1390" spans="1:21" x14ac:dyDescent="0.35">
      <c r="A1390" t="s">
        <v>14</v>
      </c>
      <c r="B1390" t="s">
        <v>3158</v>
      </c>
      <c r="C1390" t="s">
        <v>647</v>
      </c>
      <c r="D1390" t="s">
        <v>648</v>
      </c>
      <c r="E1390" t="s">
        <v>649</v>
      </c>
      <c r="F1390" t="s">
        <v>3159</v>
      </c>
      <c r="G1390" t="s">
        <v>3176</v>
      </c>
      <c r="H1390" s="15">
        <v>46030</v>
      </c>
      <c r="I1390" t="s">
        <v>3177</v>
      </c>
      <c r="J1390" t="s">
        <v>233</v>
      </c>
      <c r="K1390" t="s">
        <v>185</v>
      </c>
      <c r="N1390">
        <v>0</v>
      </c>
      <c r="O1390" t="s">
        <v>222</v>
      </c>
      <c r="P1390">
        <v>0</v>
      </c>
      <c r="U1390" s="15"/>
    </row>
    <row r="1391" spans="1:21" x14ac:dyDescent="0.35">
      <c r="A1391" t="s">
        <v>14</v>
      </c>
      <c r="B1391" t="s">
        <v>3158</v>
      </c>
      <c r="C1391" t="s">
        <v>1255</v>
      </c>
      <c r="D1391" t="s">
        <v>1256</v>
      </c>
      <c r="E1391" t="s">
        <v>1257</v>
      </c>
      <c r="F1391" t="s">
        <v>3159</v>
      </c>
      <c r="G1391" t="s">
        <v>3178</v>
      </c>
      <c r="H1391" s="15">
        <v>46031</v>
      </c>
      <c r="I1391" t="s">
        <v>3179</v>
      </c>
      <c r="J1391" t="s">
        <v>16</v>
      </c>
      <c r="K1391" t="s">
        <v>185</v>
      </c>
      <c r="N1391">
        <v>0</v>
      </c>
      <c r="O1391" t="s">
        <v>222</v>
      </c>
      <c r="P1391">
        <v>0</v>
      </c>
      <c r="U1391" s="15"/>
    </row>
    <row r="1392" spans="1:21" x14ac:dyDescent="0.35">
      <c r="A1392" t="s">
        <v>14</v>
      </c>
      <c r="B1392" t="s">
        <v>3158</v>
      </c>
      <c r="C1392" t="s">
        <v>498</v>
      </c>
      <c r="D1392" t="s">
        <v>499</v>
      </c>
      <c r="E1392" t="s">
        <v>500</v>
      </c>
      <c r="F1392" t="s">
        <v>3159</v>
      </c>
      <c r="G1392" t="s">
        <v>3178</v>
      </c>
      <c r="H1392" s="15">
        <v>46031</v>
      </c>
      <c r="I1392" t="s">
        <v>3180</v>
      </c>
      <c r="J1392" t="s">
        <v>16</v>
      </c>
      <c r="K1392" t="s">
        <v>185</v>
      </c>
      <c r="N1392">
        <v>0</v>
      </c>
      <c r="O1392" t="s">
        <v>222</v>
      </c>
      <c r="P1392">
        <v>0</v>
      </c>
      <c r="U1392" s="15"/>
    </row>
    <row r="1393" spans="1:21" x14ac:dyDescent="0.35">
      <c r="A1393" t="s">
        <v>14</v>
      </c>
      <c r="B1393" t="s">
        <v>3158</v>
      </c>
      <c r="C1393" t="s">
        <v>1255</v>
      </c>
      <c r="D1393" t="s">
        <v>1256</v>
      </c>
      <c r="E1393" t="s">
        <v>1257</v>
      </c>
      <c r="F1393" t="s">
        <v>3159</v>
      </c>
      <c r="G1393" t="s">
        <v>3181</v>
      </c>
      <c r="H1393" s="15">
        <v>46031</v>
      </c>
      <c r="I1393" t="s">
        <v>3182</v>
      </c>
      <c r="J1393" t="s">
        <v>233</v>
      </c>
      <c r="K1393" t="s">
        <v>185</v>
      </c>
      <c r="N1393">
        <v>0</v>
      </c>
      <c r="O1393" t="s">
        <v>222</v>
      </c>
      <c r="P1393">
        <v>0</v>
      </c>
      <c r="U1393" s="15"/>
    </row>
    <row r="1394" spans="1:21" x14ac:dyDescent="0.35">
      <c r="A1394" t="s">
        <v>14</v>
      </c>
      <c r="B1394" t="s">
        <v>3158</v>
      </c>
      <c r="C1394" t="s">
        <v>498</v>
      </c>
      <c r="D1394" t="s">
        <v>499</v>
      </c>
      <c r="E1394" t="s">
        <v>500</v>
      </c>
      <c r="F1394" t="s">
        <v>3159</v>
      </c>
      <c r="G1394" t="s">
        <v>3183</v>
      </c>
      <c r="H1394" s="15">
        <v>46032</v>
      </c>
      <c r="I1394" t="s">
        <v>3184</v>
      </c>
      <c r="J1394" t="s">
        <v>16</v>
      </c>
      <c r="K1394" t="s">
        <v>185</v>
      </c>
      <c r="N1394">
        <v>0</v>
      </c>
      <c r="O1394" t="s">
        <v>222</v>
      </c>
      <c r="P1394">
        <v>0</v>
      </c>
      <c r="U1394" s="15"/>
    </row>
    <row r="1395" spans="1:21" x14ac:dyDescent="0.35">
      <c r="A1395" t="s">
        <v>14</v>
      </c>
      <c r="B1395" t="s">
        <v>3158</v>
      </c>
      <c r="C1395" t="s">
        <v>682</v>
      </c>
      <c r="D1395" t="s">
        <v>683</v>
      </c>
      <c r="E1395" t="s">
        <v>683</v>
      </c>
      <c r="F1395" t="s">
        <v>3159</v>
      </c>
      <c r="G1395" t="s">
        <v>3183</v>
      </c>
      <c r="H1395" s="15">
        <v>46032</v>
      </c>
      <c r="I1395" t="s">
        <v>3185</v>
      </c>
      <c r="J1395" t="s">
        <v>16</v>
      </c>
      <c r="K1395" t="s">
        <v>185</v>
      </c>
      <c r="N1395">
        <v>0</v>
      </c>
      <c r="O1395" t="s">
        <v>222</v>
      </c>
      <c r="P1395">
        <v>0</v>
      </c>
      <c r="U1395" s="15"/>
    </row>
    <row r="1396" spans="1:21" x14ac:dyDescent="0.35">
      <c r="A1396" t="s">
        <v>14</v>
      </c>
      <c r="B1396" t="s">
        <v>3158</v>
      </c>
      <c r="C1396" t="s">
        <v>667</v>
      </c>
      <c r="D1396" t="s">
        <v>668</v>
      </c>
      <c r="E1396" t="s">
        <v>669</v>
      </c>
      <c r="F1396" t="s">
        <v>3159</v>
      </c>
      <c r="G1396" t="s">
        <v>3186</v>
      </c>
      <c r="H1396" s="15">
        <v>46034</v>
      </c>
      <c r="I1396" t="s">
        <v>3187</v>
      </c>
      <c r="J1396" t="s">
        <v>233</v>
      </c>
      <c r="K1396" t="s">
        <v>185</v>
      </c>
      <c r="N1396">
        <v>0</v>
      </c>
      <c r="O1396" t="s">
        <v>222</v>
      </c>
      <c r="P1396">
        <v>0</v>
      </c>
      <c r="U1396" s="15"/>
    </row>
    <row r="1397" spans="1:21" x14ac:dyDescent="0.35">
      <c r="A1397" t="s">
        <v>14</v>
      </c>
      <c r="B1397" t="s">
        <v>3158</v>
      </c>
      <c r="C1397" t="s">
        <v>1255</v>
      </c>
      <c r="D1397" t="s">
        <v>1256</v>
      </c>
      <c r="E1397" t="s">
        <v>1257</v>
      </c>
      <c r="F1397" t="s">
        <v>3159</v>
      </c>
      <c r="G1397" t="s">
        <v>3188</v>
      </c>
      <c r="H1397" s="15">
        <v>46035</v>
      </c>
      <c r="I1397" t="s">
        <v>3189</v>
      </c>
      <c r="J1397" t="s">
        <v>16</v>
      </c>
      <c r="K1397" t="s">
        <v>185</v>
      </c>
      <c r="N1397">
        <v>0</v>
      </c>
      <c r="O1397" t="s">
        <v>222</v>
      </c>
      <c r="P1397">
        <v>0</v>
      </c>
      <c r="U1397" s="15"/>
    </row>
    <row r="1398" spans="1:21" x14ac:dyDescent="0.35">
      <c r="A1398" t="s">
        <v>14</v>
      </c>
      <c r="B1398" t="s">
        <v>3158</v>
      </c>
      <c r="C1398" t="s">
        <v>515</v>
      </c>
      <c r="D1398" t="s">
        <v>516</v>
      </c>
      <c r="E1398" t="s">
        <v>517</v>
      </c>
      <c r="F1398" t="s">
        <v>3159</v>
      </c>
      <c r="G1398" t="s">
        <v>3188</v>
      </c>
      <c r="H1398" s="15">
        <v>46035</v>
      </c>
      <c r="I1398" t="s">
        <v>3190</v>
      </c>
      <c r="J1398" t="s">
        <v>16</v>
      </c>
      <c r="K1398" t="s">
        <v>185</v>
      </c>
      <c r="N1398">
        <v>0</v>
      </c>
      <c r="O1398" t="s">
        <v>222</v>
      </c>
      <c r="P1398">
        <v>0</v>
      </c>
      <c r="U1398" s="15"/>
    </row>
    <row r="1399" spans="1:21" x14ac:dyDescent="0.35">
      <c r="A1399" t="s">
        <v>14</v>
      </c>
      <c r="B1399" t="s">
        <v>3158</v>
      </c>
      <c r="C1399" t="s">
        <v>1255</v>
      </c>
      <c r="D1399" t="s">
        <v>1256</v>
      </c>
      <c r="E1399" t="s">
        <v>1257</v>
      </c>
      <c r="F1399" t="s">
        <v>3159</v>
      </c>
      <c r="G1399" t="s">
        <v>3191</v>
      </c>
      <c r="H1399" s="15">
        <v>46035</v>
      </c>
      <c r="I1399" t="s">
        <v>3192</v>
      </c>
      <c r="J1399" t="s">
        <v>233</v>
      </c>
      <c r="K1399" t="s">
        <v>185</v>
      </c>
      <c r="N1399">
        <v>0</v>
      </c>
      <c r="O1399" t="s">
        <v>222</v>
      </c>
      <c r="P1399">
        <v>0</v>
      </c>
      <c r="U1399" s="15"/>
    </row>
    <row r="1400" spans="1:21" x14ac:dyDescent="0.35">
      <c r="A1400" t="s">
        <v>14</v>
      </c>
      <c r="B1400" t="s">
        <v>3158</v>
      </c>
      <c r="C1400" t="s">
        <v>1255</v>
      </c>
      <c r="D1400" t="s">
        <v>1256</v>
      </c>
      <c r="E1400" t="s">
        <v>1257</v>
      </c>
      <c r="F1400" t="s">
        <v>3159</v>
      </c>
      <c r="G1400" t="s">
        <v>3193</v>
      </c>
      <c r="H1400" s="15">
        <v>46036</v>
      </c>
      <c r="I1400" t="s">
        <v>3194</v>
      </c>
      <c r="J1400" t="s">
        <v>16</v>
      </c>
      <c r="K1400" t="s">
        <v>185</v>
      </c>
      <c r="N1400">
        <v>0</v>
      </c>
      <c r="O1400" t="s">
        <v>222</v>
      </c>
      <c r="P1400">
        <v>0</v>
      </c>
      <c r="U1400" s="15"/>
    </row>
    <row r="1401" spans="1:21" x14ac:dyDescent="0.35">
      <c r="A1401" t="s">
        <v>14</v>
      </c>
      <c r="B1401" t="s">
        <v>3158</v>
      </c>
      <c r="C1401" t="s">
        <v>515</v>
      </c>
      <c r="D1401" t="s">
        <v>516</v>
      </c>
      <c r="E1401" t="s">
        <v>517</v>
      </c>
      <c r="F1401" t="s">
        <v>3159</v>
      </c>
      <c r="G1401" t="s">
        <v>3193</v>
      </c>
      <c r="H1401" s="15">
        <v>46036</v>
      </c>
      <c r="I1401" t="s">
        <v>3195</v>
      </c>
      <c r="J1401" t="s">
        <v>16</v>
      </c>
      <c r="K1401" t="s">
        <v>185</v>
      </c>
      <c r="N1401">
        <v>0</v>
      </c>
      <c r="O1401" t="s">
        <v>222</v>
      </c>
      <c r="P1401">
        <v>0</v>
      </c>
      <c r="U1401" s="15"/>
    </row>
    <row r="1402" spans="1:21" x14ac:dyDescent="0.35">
      <c r="A1402" t="s">
        <v>14</v>
      </c>
      <c r="B1402" t="s">
        <v>3158</v>
      </c>
      <c r="C1402" t="s">
        <v>1255</v>
      </c>
      <c r="D1402" t="s">
        <v>1256</v>
      </c>
      <c r="E1402" t="s">
        <v>1257</v>
      </c>
      <c r="F1402" t="s">
        <v>3159</v>
      </c>
      <c r="G1402" t="s">
        <v>3196</v>
      </c>
      <c r="H1402" s="15">
        <v>46036</v>
      </c>
      <c r="I1402" t="s">
        <v>3197</v>
      </c>
      <c r="J1402" t="s">
        <v>233</v>
      </c>
      <c r="K1402" t="s">
        <v>185</v>
      </c>
      <c r="N1402">
        <v>0</v>
      </c>
      <c r="O1402" t="s">
        <v>222</v>
      </c>
      <c r="P1402">
        <v>0</v>
      </c>
      <c r="U1402" s="15"/>
    </row>
    <row r="1403" spans="1:21" x14ac:dyDescent="0.35">
      <c r="A1403" t="s">
        <v>14</v>
      </c>
      <c r="B1403" t="s">
        <v>3158</v>
      </c>
      <c r="C1403" t="s">
        <v>667</v>
      </c>
      <c r="D1403" t="s">
        <v>668</v>
      </c>
      <c r="E1403" t="s">
        <v>669</v>
      </c>
      <c r="F1403" t="s">
        <v>3159</v>
      </c>
      <c r="G1403" t="s">
        <v>3198</v>
      </c>
      <c r="H1403" s="15">
        <v>46037</v>
      </c>
      <c r="I1403" t="s">
        <v>3199</v>
      </c>
      <c r="J1403" t="s">
        <v>16</v>
      </c>
      <c r="K1403" t="s">
        <v>185</v>
      </c>
      <c r="N1403">
        <v>0</v>
      </c>
      <c r="O1403" t="s">
        <v>222</v>
      </c>
      <c r="P1403">
        <v>0</v>
      </c>
      <c r="U1403" s="15"/>
    </row>
    <row r="1404" spans="1:21" x14ac:dyDescent="0.35">
      <c r="A1404" t="s">
        <v>14</v>
      </c>
      <c r="B1404" t="s">
        <v>3158</v>
      </c>
      <c r="C1404" t="s">
        <v>515</v>
      </c>
      <c r="D1404" t="s">
        <v>516</v>
      </c>
      <c r="E1404" t="s">
        <v>517</v>
      </c>
      <c r="F1404" t="s">
        <v>3159</v>
      </c>
      <c r="G1404" t="s">
        <v>3198</v>
      </c>
      <c r="H1404" s="15">
        <v>46037</v>
      </c>
      <c r="I1404" t="s">
        <v>3200</v>
      </c>
      <c r="J1404" t="s">
        <v>16</v>
      </c>
      <c r="K1404" t="s">
        <v>185</v>
      </c>
      <c r="N1404">
        <v>0</v>
      </c>
      <c r="O1404" t="s">
        <v>222</v>
      </c>
      <c r="P1404">
        <v>0</v>
      </c>
      <c r="U1404" s="15"/>
    </row>
    <row r="1405" spans="1:21" x14ac:dyDescent="0.35">
      <c r="A1405" t="s">
        <v>14</v>
      </c>
      <c r="B1405" t="s">
        <v>3158</v>
      </c>
      <c r="C1405" t="s">
        <v>667</v>
      </c>
      <c r="D1405" t="s">
        <v>668</v>
      </c>
      <c r="E1405" t="s">
        <v>669</v>
      </c>
      <c r="F1405" t="s">
        <v>3159</v>
      </c>
      <c r="G1405" t="s">
        <v>3201</v>
      </c>
      <c r="H1405" s="15">
        <v>46037</v>
      </c>
      <c r="I1405" t="s">
        <v>3202</v>
      </c>
      <c r="J1405" t="s">
        <v>233</v>
      </c>
      <c r="K1405" t="s">
        <v>185</v>
      </c>
      <c r="N1405">
        <v>0</v>
      </c>
      <c r="O1405" t="s">
        <v>222</v>
      </c>
      <c r="P1405">
        <v>0</v>
      </c>
      <c r="U1405" s="15"/>
    </row>
    <row r="1406" spans="1:21" x14ac:dyDescent="0.35">
      <c r="A1406" t="s">
        <v>14</v>
      </c>
      <c r="B1406" t="s">
        <v>3158</v>
      </c>
      <c r="C1406" t="s">
        <v>1255</v>
      </c>
      <c r="D1406" t="s">
        <v>1256</v>
      </c>
      <c r="E1406" t="s">
        <v>1257</v>
      </c>
      <c r="F1406" t="s">
        <v>3159</v>
      </c>
      <c r="G1406" t="s">
        <v>3203</v>
      </c>
      <c r="H1406" s="15">
        <v>46038</v>
      </c>
      <c r="I1406" t="s">
        <v>3204</v>
      </c>
      <c r="J1406" t="s">
        <v>16</v>
      </c>
      <c r="K1406" t="s">
        <v>185</v>
      </c>
      <c r="N1406">
        <v>0</v>
      </c>
      <c r="O1406" t="s">
        <v>222</v>
      </c>
      <c r="P1406">
        <v>0</v>
      </c>
      <c r="U1406" s="15"/>
    </row>
    <row r="1407" spans="1:21" x14ac:dyDescent="0.35">
      <c r="A1407" t="s">
        <v>14</v>
      </c>
      <c r="B1407" t="s">
        <v>3158</v>
      </c>
      <c r="C1407" t="s">
        <v>515</v>
      </c>
      <c r="D1407" t="s">
        <v>516</v>
      </c>
      <c r="E1407" t="s">
        <v>517</v>
      </c>
      <c r="F1407" t="s">
        <v>3159</v>
      </c>
      <c r="G1407" t="s">
        <v>3203</v>
      </c>
      <c r="H1407" s="15">
        <v>46038</v>
      </c>
      <c r="I1407" t="s">
        <v>3205</v>
      </c>
      <c r="J1407" t="s">
        <v>16</v>
      </c>
      <c r="K1407" t="s">
        <v>185</v>
      </c>
      <c r="N1407">
        <v>0</v>
      </c>
      <c r="O1407" t="s">
        <v>222</v>
      </c>
      <c r="P1407">
        <v>0</v>
      </c>
      <c r="U1407" s="15"/>
    </row>
    <row r="1408" spans="1:21" x14ac:dyDescent="0.35">
      <c r="A1408" t="s">
        <v>14</v>
      </c>
      <c r="B1408" t="s">
        <v>3158</v>
      </c>
      <c r="C1408" t="s">
        <v>1255</v>
      </c>
      <c r="D1408" t="s">
        <v>1256</v>
      </c>
      <c r="E1408" t="s">
        <v>1257</v>
      </c>
      <c r="F1408" t="s">
        <v>3159</v>
      </c>
      <c r="G1408" t="s">
        <v>3206</v>
      </c>
      <c r="H1408" s="15">
        <v>46038</v>
      </c>
      <c r="I1408" t="s">
        <v>3207</v>
      </c>
      <c r="J1408" t="s">
        <v>233</v>
      </c>
      <c r="K1408" t="s">
        <v>185</v>
      </c>
      <c r="N1408">
        <v>0</v>
      </c>
      <c r="O1408" t="s">
        <v>222</v>
      </c>
      <c r="P1408">
        <v>0</v>
      </c>
      <c r="U1408" s="15"/>
    </row>
    <row r="1409" spans="1:21" x14ac:dyDescent="0.35">
      <c r="A1409" t="s">
        <v>14</v>
      </c>
      <c r="B1409" t="s">
        <v>3158</v>
      </c>
      <c r="C1409" t="s">
        <v>515</v>
      </c>
      <c r="D1409" t="s">
        <v>516</v>
      </c>
      <c r="E1409" t="s">
        <v>517</v>
      </c>
      <c r="F1409" t="s">
        <v>3159</v>
      </c>
      <c r="G1409" t="s">
        <v>3208</v>
      </c>
      <c r="H1409" s="15">
        <v>46039</v>
      </c>
      <c r="I1409" t="s">
        <v>3209</v>
      </c>
      <c r="J1409" t="s">
        <v>16</v>
      </c>
      <c r="K1409" t="s">
        <v>185</v>
      </c>
      <c r="N1409">
        <v>0</v>
      </c>
      <c r="O1409" t="s">
        <v>222</v>
      </c>
      <c r="P1409">
        <v>0</v>
      </c>
      <c r="U1409" s="15"/>
    </row>
    <row r="1410" spans="1:21" x14ac:dyDescent="0.35">
      <c r="A1410" t="s">
        <v>14</v>
      </c>
      <c r="B1410" t="s">
        <v>3158</v>
      </c>
      <c r="C1410" t="s">
        <v>515</v>
      </c>
      <c r="D1410" t="s">
        <v>516</v>
      </c>
      <c r="E1410" t="s">
        <v>517</v>
      </c>
      <c r="F1410" t="s">
        <v>3159</v>
      </c>
      <c r="G1410" t="s">
        <v>3208</v>
      </c>
      <c r="H1410" s="15">
        <v>46039</v>
      </c>
      <c r="I1410" t="s">
        <v>3209</v>
      </c>
      <c r="J1410" t="s">
        <v>16</v>
      </c>
      <c r="K1410" t="s">
        <v>185</v>
      </c>
      <c r="N1410">
        <v>0</v>
      </c>
      <c r="O1410" t="s">
        <v>222</v>
      </c>
      <c r="P1410">
        <v>0</v>
      </c>
      <c r="U1410" s="15"/>
    </row>
    <row r="1411" spans="1:21" x14ac:dyDescent="0.35">
      <c r="A1411" t="s">
        <v>14</v>
      </c>
      <c r="B1411" t="s">
        <v>3158</v>
      </c>
      <c r="C1411" t="s">
        <v>1255</v>
      </c>
      <c r="D1411" t="s">
        <v>1256</v>
      </c>
      <c r="E1411" t="s">
        <v>1257</v>
      </c>
      <c r="F1411" t="s">
        <v>3159</v>
      </c>
      <c r="G1411" t="s">
        <v>3208</v>
      </c>
      <c r="H1411" s="15">
        <v>46039</v>
      </c>
      <c r="I1411" t="s">
        <v>3210</v>
      </c>
      <c r="J1411" t="s">
        <v>16</v>
      </c>
      <c r="K1411" t="s">
        <v>185</v>
      </c>
      <c r="N1411">
        <v>0</v>
      </c>
      <c r="O1411" t="s">
        <v>222</v>
      </c>
      <c r="P1411">
        <v>0</v>
      </c>
      <c r="U1411" s="15"/>
    </row>
    <row r="1412" spans="1:21" x14ac:dyDescent="0.35">
      <c r="A1412" t="s">
        <v>14</v>
      </c>
      <c r="B1412" t="s">
        <v>3158</v>
      </c>
      <c r="C1412" t="s">
        <v>1255</v>
      </c>
      <c r="D1412" t="s">
        <v>1256</v>
      </c>
      <c r="E1412" t="s">
        <v>1257</v>
      </c>
      <c r="F1412" t="s">
        <v>3159</v>
      </c>
      <c r="G1412" t="s">
        <v>3211</v>
      </c>
      <c r="H1412" s="15">
        <v>46041</v>
      </c>
      <c r="I1412" t="s">
        <v>3212</v>
      </c>
      <c r="J1412" t="s">
        <v>16</v>
      </c>
      <c r="K1412" t="s">
        <v>185</v>
      </c>
      <c r="N1412">
        <v>0</v>
      </c>
      <c r="O1412" t="s">
        <v>222</v>
      </c>
      <c r="P1412">
        <v>0</v>
      </c>
      <c r="U1412" s="15"/>
    </row>
    <row r="1413" spans="1:21" x14ac:dyDescent="0.35">
      <c r="A1413" t="s">
        <v>14</v>
      </c>
      <c r="B1413" t="s">
        <v>3158</v>
      </c>
      <c r="C1413" t="s">
        <v>498</v>
      </c>
      <c r="D1413" t="s">
        <v>499</v>
      </c>
      <c r="E1413" t="s">
        <v>500</v>
      </c>
      <c r="F1413" t="s">
        <v>3159</v>
      </c>
      <c r="G1413" t="s">
        <v>3211</v>
      </c>
      <c r="H1413" s="15">
        <v>46041</v>
      </c>
      <c r="I1413" t="s">
        <v>3213</v>
      </c>
      <c r="J1413" t="s">
        <v>16</v>
      </c>
      <c r="K1413" t="s">
        <v>185</v>
      </c>
      <c r="N1413">
        <v>0</v>
      </c>
      <c r="O1413" t="s">
        <v>222</v>
      </c>
      <c r="P1413">
        <v>0</v>
      </c>
      <c r="U1413" s="15"/>
    </row>
    <row r="1414" spans="1:21" x14ac:dyDescent="0.35">
      <c r="A1414" t="s">
        <v>14</v>
      </c>
      <c r="B1414" t="s">
        <v>3158</v>
      </c>
      <c r="C1414" t="s">
        <v>1255</v>
      </c>
      <c r="D1414" t="s">
        <v>1256</v>
      </c>
      <c r="E1414" t="s">
        <v>1257</v>
      </c>
      <c r="F1414" t="s">
        <v>3159</v>
      </c>
      <c r="G1414" t="s">
        <v>3214</v>
      </c>
      <c r="H1414" s="15">
        <v>46041</v>
      </c>
      <c r="I1414" t="s">
        <v>3215</v>
      </c>
      <c r="J1414" t="s">
        <v>233</v>
      </c>
      <c r="K1414" t="s">
        <v>185</v>
      </c>
      <c r="N1414">
        <v>0</v>
      </c>
      <c r="O1414" t="s">
        <v>222</v>
      </c>
      <c r="P1414">
        <v>0</v>
      </c>
      <c r="U1414" s="15"/>
    </row>
    <row r="1415" spans="1:21" x14ac:dyDescent="0.35">
      <c r="A1415" t="s">
        <v>14</v>
      </c>
      <c r="B1415" t="s">
        <v>3158</v>
      </c>
      <c r="C1415" t="s">
        <v>1255</v>
      </c>
      <c r="D1415" t="s">
        <v>1256</v>
      </c>
      <c r="E1415" t="s">
        <v>1257</v>
      </c>
      <c r="F1415" t="s">
        <v>3159</v>
      </c>
      <c r="G1415" t="s">
        <v>3216</v>
      </c>
      <c r="H1415" s="15">
        <v>46042</v>
      </c>
      <c r="I1415" t="s">
        <v>3217</v>
      </c>
      <c r="J1415" t="s">
        <v>16</v>
      </c>
      <c r="K1415" t="s">
        <v>185</v>
      </c>
      <c r="N1415">
        <v>0</v>
      </c>
      <c r="O1415" t="s">
        <v>222</v>
      </c>
      <c r="P1415">
        <v>0</v>
      </c>
      <c r="U1415" s="15"/>
    </row>
    <row r="1416" spans="1:21" x14ac:dyDescent="0.35">
      <c r="A1416" t="s">
        <v>14</v>
      </c>
      <c r="B1416" t="s">
        <v>3158</v>
      </c>
      <c r="C1416" t="s">
        <v>515</v>
      </c>
      <c r="D1416" t="s">
        <v>516</v>
      </c>
      <c r="E1416" t="s">
        <v>517</v>
      </c>
      <c r="F1416" t="s">
        <v>3159</v>
      </c>
      <c r="G1416" t="s">
        <v>3216</v>
      </c>
      <c r="H1416" s="15">
        <v>46042</v>
      </c>
      <c r="I1416" t="s">
        <v>3218</v>
      </c>
      <c r="J1416" t="s">
        <v>16</v>
      </c>
      <c r="K1416" t="s">
        <v>185</v>
      </c>
      <c r="N1416">
        <v>0</v>
      </c>
      <c r="O1416" t="s">
        <v>222</v>
      </c>
      <c r="P1416">
        <v>0</v>
      </c>
      <c r="U1416" s="15"/>
    </row>
    <row r="1417" spans="1:21" x14ac:dyDescent="0.35">
      <c r="A1417" t="s">
        <v>14</v>
      </c>
      <c r="B1417" t="s">
        <v>3158</v>
      </c>
      <c r="C1417" t="s">
        <v>1255</v>
      </c>
      <c r="D1417" t="s">
        <v>1256</v>
      </c>
      <c r="E1417" t="s">
        <v>1257</v>
      </c>
      <c r="F1417" t="s">
        <v>3159</v>
      </c>
      <c r="G1417" t="s">
        <v>3219</v>
      </c>
      <c r="H1417" s="15">
        <v>46042</v>
      </c>
      <c r="I1417" t="s">
        <v>3220</v>
      </c>
      <c r="J1417" t="s">
        <v>233</v>
      </c>
      <c r="K1417" t="s">
        <v>185</v>
      </c>
      <c r="N1417">
        <v>0</v>
      </c>
      <c r="O1417" t="s">
        <v>222</v>
      </c>
      <c r="P1417">
        <v>0</v>
      </c>
      <c r="U1417" s="15"/>
    </row>
    <row r="1418" spans="1:21" x14ac:dyDescent="0.35">
      <c r="A1418" t="s">
        <v>14</v>
      </c>
      <c r="B1418" t="s">
        <v>3158</v>
      </c>
      <c r="C1418" t="s">
        <v>1255</v>
      </c>
      <c r="D1418" t="s">
        <v>1256</v>
      </c>
      <c r="E1418" t="s">
        <v>1257</v>
      </c>
      <c r="F1418" t="s">
        <v>3159</v>
      </c>
      <c r="G1418" t="s">
        <v>3221</v>
      </c>
      <c r="H1418" s="15">
        <v>46043</v>
      </c>
      <c r="I1418" t="s">
        <v>3222</v>
      </c>
      <c r="J1418" t="s">
        <v>16</v>
      </c>
      <c r="K1418" t="s">
        <v>185</v>
      </c>
      <c r="N1418">
        <v>0</v>
      </c>
      <c r="O1418" t="s">
        <v>222</v>
      </c>
      <c r="P1418">
        <v>0</v>
      </c>
      <c r="U1418" s="15"/>
    </row>
    <row r="1419" spans="1:21" x14ac:dyDescent="0.35">
      <c r="A1419" t="s">
        <v>14</v>
      </c>
      <c r="B1419" t="s">
        <v>3158</v>
      </c>
      <c r="C1419" t="s">
        <v>498</v>
      </c>
      <c r="D1419" t="s">
        <v>499</v>
      </c>
      <c r="E1419" t="s">
        <v>500</v>
      </c>
      <c r="F1419" t="s">
        <v>3159</v>
      </c>
      <c r="G1419" t="s">
        <v>3221</v>
      </c>
      <c r="H1419" s="15">
        <v>46043</v>
      </c>
      <c r="I1419" t="s">
        <v>3223</v>
      </c>
      <c r="J1419" t="s">
        <v>16</v>
      </c>
      <c r="K1419" t="s">
        <v>185</v>
      </c>
      <c r="N1419">
        <v>0</v>
      </c>
      <c r="O1419" t="s">
        <v>222</v>
      </c>
      <c r="P1419">
        <v>0</v>
      </c>
      <c r="U1419" s="15"/>
    </row>
    <row r="1420" spans="1:21" x14ac:dyDescent="0.35">
      <c r="A1420" t="s">
        <v>14</v>
      </c>
      <c r="B1420" t="s">
        <v>3158</v>
      </c>
      <c r="C1420" t="s">
        <v>1255</v>
      </c>
      <c r="D1420" t="s">
        <v>1256</v>
      </c>
      <c r="E1420" t="s">
        <v>1257</v>
      </c>
      <c r="F1420" t="s">
        <v>3159</v>
      </c>
      <c r="G1420" t="s">
        <v>3224</v>
      </c>
      <c r="H1420" s="15">
        <v>46043</v>
      </c>
      <c r="I1420" t="s">
        <v>3225</v>
      </c>
      <c r="J1420" t="s">
        <v>233</v>
      </c>
      <c r="K1420" t="s">
        <v>185</v>
      </c>
      <c r="N1420">
        <v>0</v>
      </c>
      <c r="O1420" t="s">
        <v>222</v>
      </c>
      <c r="P1420">
        <v>0</v>
      </c>
      <c r="U1420" s="15"/>
    </row>
    <row r="1421" spans="1:21" x14ac:dyDescent="0.35">
      <c r="A1421" t="s">
        <v>14</v>
      </c>
      <c r="B1421" t="s">
        <v>3158</v>
      </c>
      <c r="C1421" t="s">
        <v>1255</v>
      </c>
      <c r="D1421" t="s">
        <v>1256</v>
      </c>
      <c r="E1421" t="s">
        <v>1257</v>
      </c>
      <c r="F1421" t="s">
        <v>3159</v>
      </c>
      <c r="G1421" t="s">
        <v>3226</v>
      </c>
      <c r="H1421" s="15">
        <v>46044</v>
      </c>
      <c r="I1421" t="s">
        <v>3227</v>
      </c>
      <c r="J1421" t="s">
        <v>16</v>
      </c>
      <c r="K1421" t="s">
        <v>185</v>
      </c>
      <c r="N1421">
        <v>0</v>
      </c>
      <c r="O1421" t="s">
        <v>222</v>
      </c>
      <c r="P1421">
        <v>0</v>
      </c>
      <c r="U1421" s="15"/>
    </row>
    <row r="1422" spans="1:21" x14ac:dyDescent="0.35">
      <c r="A1422" t="s">
        <v>14</v>
      </c>
      <c r="B1422" t="s">
        <v>3158</v>
      </c>
      <c r="C1422" t="s">
        <v>1388</v>
      </c>
      <c r="D1422" t="s">
        <v>1389</v>
      </c>
      <c r="E1422" t="s">
        <v>1390</v>
      </c>
      <c r="F1422" t="s">
        <v>3159</v>
      </c>
      <c r="G1422" t="s">
        <v>3226</v>
      </c>
      <c r="H1422" s="15">
        <v>46044</v>
      </c>
      <c r="I1422" t="s">
        <v>3228</v>
      </c>
      <c r="J1422" t="s">
        <v>16</v>
      </c>
      <c r="K1422" t="s">
        <v>185</v>
      </c>
      <c r="N1422">
        <v>0</v>
      </c>
      <c r="O1422" t="s">
        <v>222</v>
      </c>
      <c r="P1422">
        <v>0</v>
      </c>
      <c r="U1422" s="15"/>
    </row>
    <row r="1423" spans="1:21" x14ac:dyDescent="0.35">
      <c r="A1423" t="s">
        <v>14</v>
      </c>
      <c r="B1423" t="s">
        <v>3158</v>
      </c>
      <c r="C1423" t="s">
        <v>1255</v>
      </c>
      <c r="D1423" t="s">
        <v>1256</v>
      </c>
      <c r="E1423" t="s">
        <v>1257</v>
      </c>
      <c r="F1423" t="s">
        <v>3159</v>
      </c>
      <c r="G1423" t="s">
        <v>3229</v>
      </c>
      <c r="H1423" s="15">
        <v>46044</v>
      </c>
      <c r="I1423" t="s">
        <v>3230</v>
      </c>
      <c r="J1423" t="s">
        <v>233</v>
      </c>
      <c r="K1423" t="s">
        <v>185</v>
      </c>
      <c r="N1423">
        <v>0</v>
      </c>
      <c r="O1423" t="s">
        <v>222</v>
      </c>
      <c r="P1423">
        <v>0</v>
      </c>
      <c r="U1423" s="15"/>
    </row>
    <row r="1424" spans="1:21" x14ac:dyDescent="0.35">
      <c r="A1424" t="s">
        <v>14</v>
      </c>
      <c r="B1424" t="s">
        <v>3158</v>
      </c>
      <c r="C1424" t="s">
        <v>1255</v>
      </c>
      <c r="D1424" t="s">
        <v>1256</v>
      </c>
      <c r="E1424" t="s">
        <v>1257</v>
      </c>
      <c r="F1424" t="s">
        <v>3159</v>
      </c>
      <c r="G1424" t="s">
        <v>3231</v>
      </c>
      <c r="H1424" s="15">
        <v>46045</v>
      </c>
      <c r="I1424" t="s">
        <v>3232</v>
      </c>
      <c r="J1424" t="s">
        <v>16</v>
      </c>
      <c r="K1424" t="s">
        <v>185</v>
      </c>
      <c r="N1424">
        <v>0</v>
      </c>
      <c r="O1424" t="s">
        <v>222</v>
      </c>
      <c r="P1424">
        <v>0</v>
      </c>
      <c r="U1424" s="15"/>
    </row>
    <row r="1425" spans="1:21" x14ac:dyDescent="0.35">
      <c r="A1425" t="s">
        <v>14</v>
      </c>
      <c r="B1425" t="s">
        <v>3158</v>
      </c>
      <c r="C1425" t="s">
        <v>498</v>
      </c>
      <c r="D1425" t="s">
        <v>499</v>
      </c>
      <c r="E1425" t="s">
        <v>500</v>
      </c>
      <c r="F1425" t="s">
        <v>3159</v>
      </c>
      <c r="G1425" t="s">
        <v>3231</v>
      </c>
      <c r="H1425" s="15">
        <v>46045</v>
      </c>
      <c r="I1425" t="s">
        <v>3233</v>
      </c>
      <c r="J1425" t="s">
        <v>16</v>
      </c>
      <c r="K1425" t="s">
        <v>185</v>
      </c>
      <c r="N1425">
        <v>0</v>
      </c>
      <c r="O1425" t="s">
        <v>222</v>
      </c>
      <c r="P1425">
        <v>0</v>
      </c>
      <c r="U1425" s="15"/>
    </row>
    <row r="1426" spans="1:21" x14ac:dyDescent="0.35">
      <c r="A1426" t="s">
        <v>14</v>
      </c>
      <c r="B1426" t="s">
        <v>3158</v>
      </c>
      <c r="C1426" t="s">
        <v>1255</v>
      </c>
      <c r="D1426" t="s">
        <v>1256</v>
      </c>
      <c r="E1426" t="s">
        <v>1257</v>
      </c>
      <c r="F1426" t="s">
        <v>3159</v>
      </c>
      <c r="G1426" t="s">
        <v>3234</v>
      </c>
      <c r="H1426" s="15">
        <v>46045</v>
      </c>
      <c r="I1426" t="s">
        <v>3235</v>
      </c>
      <c r="J1426" t="s">
        <v>233</v>
      </c>
      <c r="K1426" t="s">
        <v>185</v>
      </c>
      <c r="N1426">
        <v>0</v>
      </c>
      <c r="O1426" t="s">
        <v>222</v>
      </c>
      <c r="P1426">
        <v>0</v>
      </c>
      <c r="U1426" s="15"/>
    </row>
    <row r="1427" spans="1:21" x14ac:dyDescent="0.35">
      <c r="A1427" t="s">
        <v>14</v>
      </c>
      <c r="B1427" t="s">
        <v>3158</v>
      </c>
      <c r="C1427" t="s">
        <v>697</v>
      </c>
      <c r="D1427" t="s">
        <v>698</v>
      </c>
      <c r="E1427" t="s">
        <v>699</v>
      </c>
      <c r="F1427" t="s">
        <v>3159</v>
      </c>
      <c r="G1427" t="s">
        <v>3236</v>
      </c>
      <c r="H1427" s="15">
        <v>46048</v>
      </c>
      <c r="I1427" t="s">
        <v>3237</v>
      </c>
      <c r="J1427" t="s">
        <v>16</v>
      </c>
      <c r="K1427" t="s">
        <v>185</v>
      </c>
      <c r="N1427">
        <v>0</v>
      </c>
      <c r="O1427" t="s">
        <v>222</v>
      </c>
      <c r="P1427">
        <v>0</v>
      </c>
      <c r="U1427" s="15"/>
    </row>
    <row r="1428" spans="1:21" x14ac:dyDescent="0.35">
      <c r="A1428" t="s">
        <v>14</v>
      </c>
      <c r="B1428" t="s">
        <v>3158</v>
      </c>
      <c r="C1428" t="s">
        <v>658</v>
      </c>
      <c r="D1428" t="s">
        <v>659</v>
      </c>
      <c r="E1428" t="s">
        <v>660</v>
      </c>
      <c r="F1428" t="s">
        <v>3159</v>
      </c>
      <c r="G1428" t="s">
        <v>3238</v>
      </c>
      <c r="H1428" s="15">
        <v>46049</v>
      </c>
      <c r="I1428" t="s">
        <v>3239</v>
      </c>
      <c r="J1428" t="s">
        <v>16</v>
      </c>
      <c r="K1428" t="s">
        <v>185</v>
      </c>
      <c r="N1428">
        <v>0</v>
      </c>
      <c r="O1428" t="s">
        <v>222</v>
      </c>
      <c r="P1428">
        <v>0</v>
      </c>
      <c r="U1428" s="15"/>
    </row>
    <row r="1429" spans="1:21" x14ac:dyDescent="0.35">
      <c r="A1429" t="s">
        <v>14</v>
      </c>
      <c r="B1429" t="s">
        <v>3158</v>
      </c>
      <c r="C1429" t="s">
        <v>777</v>
      </c>
      <c r="D1429" t="s">
        <v>778</v>
      </c>
      <c r="E1429" t="s">
        <v>779</v>
      </c>
      <c r="F1429" t="s">
        <v>3159</v>
      </c>
      <c r="G1429" t="s">
        <v>3238</v>
      </c>
      <c r="H1429" s="15">
        <v>46049</v>
      </c>
      <c r="I1429" t="s">
        <v>3240</v>
      </c>
      <c r="J1429" t="s">
        <v>16</v>
      </c>
      <c r="K1429" t="s">
        <v>185</v>
      </c>
      <c r="N1429">
        <v>0</v>
      </c>
      <c r="O1429" t="s">
        <v>222</v>
      </c>
      <c r="P1429">
        <v>0</v>
      </c>
      <c r="U1429" s="15"/>
    </row>
    <row r="1430" spans="1:21" x14ac:dyDescent="0.35">
      <c r="A1430" t="s">
        <v>14</v>
      </c>
      <c r="B1430" t="s">
        <v>3158</v>
      </c>
      <c r="C1430" t="s">
        <v>531</v>
      </c>
      <c r="D1430" t="s">
        <v>532</v>
      </c>
      <c r="E1430" t="s">
        <v>533</v>
      </c>
      <c r="F1430" t="s">
        <v>3159</v>
      </c>
      <c r="G1430" t="s">
        <v>3238</v>
      </c>
      <c r="H1430" s="15">
        <v>46049</v>
      </c>
      <c r="I1430" t="s">
        <v>3241</v>
      </c>
      <c r="J1430" t="s">
        <v>16</v>
      </c>
      <c r="K1430" t="s">
        <v>185</v>
      </c>
      <c r="N1430">
        <v>0</v>
      </c>
      <c r="O1430" t="s">
        <v>222</v>
      </c>
      <c r="P1430">
        <v>0</v>
      </c>
      <c r="U1430" s="15"/>
    </row>
    <row r="1431" spans="1:21" x14ac:dyDescent="0.35">
      <c r="A1431" t="s">
        <v>14</v>
      </c>
      <c r="B1431" t="s">
        <v>3158</v>
      </c>
      <c r="C1431" t="s">
        <v>1255</v>
      </c>
      <c r="D1431" t="s">
        <v>1256</v>
      </c>
      <c r="E1431" t="s">
        <v>1257</v>
      </c>
      <c r="F1431" t="s">
        <v>3159</v>
      </c>
      <c r="G1431" t="s">
        <v>3242</v>
      </c>
      <c r="H1431" s="15">
        <v>46049</v>
      </c>
      <c r="I1431" t="s">
        <v>3243</v>
      </c>
      <c r="J1431" t="s">
        <v>233</v>
      </c>
      <c r="K1431" t="s">
        <v>185</v>
      </c>
      <c r="N1431">
        <v>0</v>
      </c>
      <c r="O1431" t="s">
        <v>222</v>
      </c>
      <c r="P1431">
        <v>0</v>
      </c>
      <c r="U1431" s="15"/>
    </row>
    <row r="1432" spans="1:21" x14ac:dyDescent="0.35">
      <c r="A1432" t="s">
        <v>14</v>
      </c>
      <c r="B1432" t="s">
        <v>3158</v>
      </c>
      <c r="C1432" t="s">
        <v>667</v>
      </c>
      <c r="D1432" t="s">
        <v>668</v>
      </c>
      <c r="E1432" t="s">
        <v>669</v>
      </c>
      <c r="F1432" t="s">
        <v>3159</v>
      </c>
      <c r="G1432" t="s">
        <v>3244</v>
      </c>
      <c r="H1432" s="15">
        <v>46050</v>
      </c>
      <c r="I1432" t="s">
        <v>3245</v>
      </c>
      <c r="J1432" t="s">
        <v>16</v>
      </c>
      <c r="K1432" t="s">
        <v>185</v>
      </c>
      <c r="N1432">
        <v>0</v>
      </c>
      <c r="O1432" t="s">
        <v>222</v>
      </c>
      <c r="P1432">
        <v>0</v>
      </c>
      <c r="U1432" s="15"/>
    </row>
    <row r="1433" spans="1:21" x14ac:dyDescent="0.35">
      <c r="A1433" t="s">
        <v>14</v>
      </c>
      <c r="B1433" t="s">
        <v>3158</v>
      </c>
      <c r="C1433" t="s">
        <v>515</v>
      </c>
      <c r="D1433" t="s">
        <v>516</v>
      </c>
      <c r="E1433" t="s">
        <v>517</v>
      </c>
      <c r="F1433" t="s">
        <v>3159</v>
      </c>
      <c r="G1433" t="s">
        <v>3244</v>
      </c>
      <c r="H1433" s="15">
        <v>46050</v>
      </c>
      <c r="I1433" t="s">
        <v>3246</v>
      </c>
      <c r="J1433" t="s">
        <v>16</v>
      </c>
      <c r="K1433" t="s">
        <v>185</v>
      </c>
      <c r="N1433">
        <v>0</v>
      </c>
      <c r="O1433" t="s">
        <v>222</v>
      </c>
      <c r="P1433">
        <v>0</v>
      </c>
      <c r="U1433" s="15"/>
    </row>
    <row r="1434" spans="1:21" x14ac:dyDescent="0.35">
      <c r="A1434" t="s">
        <v>14</v>
      </c>
      <c r="B1434" t="s">
        <v>3158</v>
      </c>
      <c r="C1434" t="s">
        <v>1255</v>
      </c>
      <c r="D1434" t="s">
        <v>1256</v>
      </c>
      <c r="E1434" t="s">
        <v>1257</v>
      </c>
      <c r="F1434" t="s">
        <v>3159</v>
      </c>
      <c r="G1434" t="s">
        <v>3335</v>
      </c>
      <c r="H1434" s="15">
        <v>46050</v>
      </c>
      <c r="I1434" t="s">
        <v>3336</v>
      </c>
      <c r="J1434" t="s">
        <v>233</v>
      </c>
      <c r="K1434" t="s">
        <v>185</v>
      </c>
      <c r="N1434">
        <v>0</v>
      </c>
      <c r="O1434" t="s">
        <v>222</v>
      </c>
      <c r="P1434">
        <v>0</v>
      </c>
      <c r="U1434" s="15"/>
    </row>
    <row r="1435" spans="1:21" x14ac:dyDescent="0.35">
      <c r="A1435" t="s">
        <v>14</v>
      </c>
      <c r="B1435" t="s">
        <v>3158</v>
      </c>
      <c r="C1435" t="s">
        <v>1255</v>
      </c>
      <c r="D1435" t="s">
        <v>1256</v>
      </c>
      <c r="E1435" t="s">
        <v>1257</v>
      </c>
      <c r="F1435" t="s">
        <v>3159</v>
      </c>
      <c r="G1435" t="s">
        <v>3337</v>
      </c>
      <c r="H1435" s="15">
        <v>46051</v>
      </c>
      <c r="I1435" t="s">
        <v>3338</v>
      </c>
      <c r="J1435" t="s">
        <v>16</v>
      </c>
      <c r="K1435" t="s">
        <v>185</v>
      </c>
      <c r="N1435">
        <v>0</v>
      </c>
      <c r="O1435" t="s">
        <v>222</v>
      </c>
      <c r="P1435">
        <v>0</v>
      </c>
      <c r="U1435" s="15"/>
    </row>
    <row r="1436" spans="1:21" x14ac:dyDescent="0.35">
      <c r="A1436" t="s">
        <v>14</v>
      </c>
      <c r="B1436" t="s">
        <v>3158</v>
      </c>
      <c r="C1436" t="s">
        <v>498</v>
      </c>
      <c r="D1436" t="s">
        <v>499</v>
      </c>
      <c r="E1436" t="s">
        <v>500</v>
      </c>
      <c r="F1436" t="s">
        <v>3159</v>
      </c>
      <c r="G1436" t="s">
        <v>3337</v>
      </c>
      <c r="H1436" s="15">
        <v>46051</v>
      </c>
      <c r="I1436" t="s">
        <v>3347</v>
      </c>
      <c r="J1436" t="s">
        <v>16</v>
      </c>
      <c r="K1436" t="s">
        <v>185</v>
      </c>
      <c r="N1436">
        <v>0</v>
      </c>
      <c r="O1436" t="s">
        <v>222</v>
      </c>
      <c r="P1436">
        <v>0</v>
      </c>
      <c r="U1436" s="15"/>
    </row>
    <row r="1437" spans="1:21" x14ac:dyDescent="0.35">
      <c r="A1437" t="s">
        <v>14</v>
      </c>
      <c r="B1437" t="s">
        <v>3158</v>
      </c>
      <c r="C1437" t="s">
        <v>1255</v>
      </c>
      <c r="D1437" t="s">
        <v>1256</v>
      </c>
      <c r="E1437" t="s">
        <v>1257</v>
      </c>
      <c r="F1437" t="s">
        <v>3159</v>
      </c>
      <c r="G1437" t="s">
        <v>3348</v>
      </c>
      <c r="H1437" s="15">
        <v>46051</v>
      </c>
      <c r="I1437" t="s">
        <v>3349</v>
      </c>
      <c r="J1437" t="s">
        <v>233</v>
      </c>
      <c r="K1437" t="s">
        <v>185</v>
      </c>
      <c r="N1437">
        <v>0</v>
      </c>
      <c r="O1437" t="s">
        <v>222</v>
      </c>
      <c r="P1437">
        <v>0</v>
      </c>
      <c r="U1437" s="15"/>
    </row>
    <row r="1438" spans="1:21" x14ac:dyDescent="0.35">
      <c r="A1438" t="s">
        <v>14</v>
      </c>
      <c r="B1438" t="s">
        <v>3158</v>
      </c>
      <c r="C1438" t="s">
        <v>1255</v>
      </c>
      <c r="D1438" t="s">
        <v>1256</v>
      </c>
      <c r="E1438" t="s">
        <v>1257</v>
      </c>
      <c r="F1438" t="s">
        <v>3159</v>
      </c>
      <c r="G1438" t="s">
        <v>3350</v>
      </c>
      <c r="H1438" s="15">
        <v>46052</v>
      </c>
      <c r="I1438" t="s">
        <v>3351</v>
      </c>
      <c r="J1438" t="s">
        <v>16</v>
      </c>
      <c r="K1438" t="s">
        <v>185</v>
      </c>
      <c r="N1438">
        <v>0</v>
      </c>
      <c r="O1438" t="s">
        <v>222</v>
      </c>
      <c r="P1438">
        <v>0</v>
      </c>
      <c r="U1438" s="15"/>
    </row>
    <row r="1439" spans="1:21" x14ac:dyDescent="0.35">
      <c r="A1439" t="s">
        <v>14</v>
      </c>
      <c r="B1439" t="s">
        <v>3158</v>
      </c>
      <c r="C1439" t="s">
        <v>1388</v>
      </c>
      <c r="D1439" t="s">
        <v>1389</v>
      </c>
      <c r="E1439" t="s">
        <v>1390</v>
      </c>
      <c r="F1439" t="s">
        <v>3159</v>
      </c>
      <c r="G1439" t="s">
        <v>3350</v>
      </c>
      <c r="H1439" s="15">
        <v>46052</v>
      </c>
      <c r="I1439" t="s">
        <v>3356</v>
      </c>
      <c r="J1439" t="s">
        <v>16</v>
      </c>
      <c r="K1439" t="s">
        <v>185</v>
      </c>
      <c r="N1439">
        <v>0</v>
      </c>
      <c r="O1439" t="s">
        <v>222</v>
      </c>
      <c r="P1439">
        <v>0</v>
      </c>
      <c r="U1439" s="15"/>
    </row>
    <row r="1440" spans="1:21" x14ac:dyDescent="0.35">
      <c r="A1440" t="s">
        <v>14</v>
      </c>
      <c r="B1440" t="s">
        <v>3158</v>
      </c>
      <c r="C1440" t="s">
        <v>1255</v>
      </c>
      <c r="D1440" t="s">
        <v>1256</v>
      </c>
      <c r="E1440" t="s">
        <v>1257</v>
      </c>
      <c r="F1440" t="s">
        <v>3159</v>
      </c>
      <c r="G1440" t="s">
        <v>3357</v>
      </c>
      <c r="H1440" s="15">
        <v>46052</v>
      </c>
      <c r="I1440" t="s">
        <v>3358</v>
      </c>
      <c r="J1440" t="s">
        <v>233</v>
      </c>
      <c r="K1440" t="s">
        <v>185</v>
      </c>
      <c r="N1440">
        <v>0</v>
      </c>
      <c r="O1440" t="s">
        <v>222</v>
      </c>
      <c r="P1440">
        <v>0</v>
      </c>
      <c r="U1440" s="15"/>
    </row>
    <row r="1441" spans="1:21" x14ac:dyDescent="0.35">
      <c r="A1441" t="s">
        <v>14</v>
      </c>
      <c r="B1441" t="s">
        <v>3158</v>
      </c>
      <c r="C1441" t="s">
        <v>498</v>
      </c>
      <c r="D1441" t="s">
        <v>499</v>
      </c>
      <c r="E1441" t="s">
        <v>500</v>
      </c>
      <c r="F1441" t="s">
        <v>3159</v>
      </c>
      <c r="G1441" t="s">
        <v>3364</v>
      </c>
      <c r="H1441" s="15">
        <v>46053</v>
      </c>
      <c r="I1441" t="s">
        <v>3365</v>
      </c>
      <c r="J1441" t="s">
        <v>16</v>
      </c>
      <c r="K1441" t="s">
        <v>185</v>
      </c>
      <c r="N1441">
        <v>0</v>
      </c>
      <c r="O1441" t="s">
        <v>222</v>
      </c>
      <c r="P1441">
        <v>0</v>
      </c>
      <c r="U1441" s="15"/>
    </row>
    <row r="1442" spans="1:21" x14ac:dyDescent="0.35">
      <c r="A1442" t="s">
        <v>14</v>
      </c>
      <c r="B1442" t="s">
        <v>3158</v>
      </c>
      <c r="C1442" t="s">
        <v>1255</v>
      </c>
      <c r="D1442" t="s">
        <v>1256</v>
      </c>
      <c r="E1442" t="s">
        <v>1257</v>
      </c>
      <c r="F1442" t="s">
        <v>3159</v>
      </c>
      <c r="G1442" t="s">
        <v>3364</v>
      </c>
      <c r="H1442" s="15">
        <v>46053</v>
      </c>
      <c r="I1442" t="s">
        <v>3366</v>
      </c>
      <c r="J1442" t="s">
        <v>16</v>
      </c>
      <c r="K1442" t="s">
        <v>185</v>
      </c>
      <c r="N1442">
        <v>0</v>
      </c>
      <c r="O1442" t="s">
        <v>222</v>
      </c>
      <c r="P1442">
        <v>0</v>
      </c>
      <c r="U1442" s="15"/>
    </row>
    <row r="1443" spans="1:21" x14ac:dyDescent="0.35">
      <c r="A1443" t="s">
        <v>14</v>
      </c>
      <c r="B1443" t="s">
        <v>3158</v>
      </c>
      <c r="C1443" t="s">
        <v>682</v>
      </c>
      <c r="D1443" t="s">
        <v>683</v>
      </c>
      <c r="E1443" t="s">
        <v>683</v>
      </c>
      <c r="F1443" t="s">
        <v>3159</v>
      </c>
      <c r="G1443" t="s">
        <v>3367</v>
      </c>
      <c r="H1443" s="15">
        <v>46055</v>
      </c>
      <c r="I1443" t="s">
        <v>3368</v>
      </c>
      <c r="J1443" t="s">
        <v>16</v>
      </c>
      <c r="K1443" t="s">
        <v>185</v>
      </c>
      <c r="N1443">
        <v>0</v>
      </c>
      <c r="O1443" t="s">
        <v>222</v>
      </c>
      <c r="P1443">
        <v>0</v>
      </c>
      <c r="U1443" s="15"/>
    </row>
    <row r="1444" spans="1:21" x14ac:dyDescent="0.35">
      <c r="A1444" t="s">
        <v>14</v>
      </c>
      <c r="B1444" t="s">
        <v>3158</v>
      </c>
      <c r="C1444" t="s">
        <v>552</v>
      </c>
      <c r="D1444" t="s">
        <v>553</v>
      </c>
      <c r="E1444" t="s">
        <v>554</v>
      </c>
      <c r="F1444" t="s">
        <v>3159</v>
      </c>
      <c r="G1444" t="s">
        <v>3367</v>
      </c>
      <c r="H1444" s="15">
        <v>46055</v>
      </c>
      <c r="I1444" t="s">
        <v>3373</v>
      </c>
      <c r="J1444" t="s">
        <v>16</v>
      </c>
      <c r="K1444" t="s">
        <v>185</v>
      </c>
      <c r="N1444">
        <v>0</v>
      </c>
      <c r="O1444" t="s">
        <v>222</v>
      </c>
      <c r="P1444">
        <v>0</v>
      </c>
      <c r="U1444" s="15"/>
    </row>
    <row r="1445" spans="1:21" x14ac:dyDescent="0.35">
      <c r="A1445" t="s">
        <v>14</v>
      </c>
      <c r="B1445" t="s">
        <v>3158</v>
      </c>
      <c r="C1445" t="s">
        <v>777</v>
      </c>
      <c r="D1445" t="s">
        <v>778</v>
      </c>
      <c r="E1445" t="s">
        <v>779</v>
      </c>
      <c r="F1445" t="s">
        <v>3159</v>
      </c>
      <c r="G1445" t="s">
        <v>3374</v>
      </c>
      <c r="H1445" s="15">
        <v>46055</v>
      </c>
      <c r="I1445" t="s">
        <v>3375</v>
      </c>
      <c r="J1445" t="s">
        <v>233</v>
      </c>
      <c r="K1445" t="s">
        <v>185</v>
      </c>
      <c r="N1445">
        <v>0</v>
      </c>
      <c r="O1445" t="s">
        <v>222</v>
      </c>
      <c r="P1445">
        <v>0</v>
      </c>
      <c r="U1445" s="15"/>
    </row>
    <row r="1446" spans="1:21" x14ac:dyDescent="0.35">
      <c r="A1446" t="s">
        <v>14</v>
      </c>
      <c r="B1446" t="s">
        <v>3158</v>
      </c>
      <c r="C1446" t="s">
        <v>1255</v>
      </c>
      <c r="D1446" t="s">
        <v>1256</v>
      </c>
      <c r="E1446" t="s">
        <v>1257</v>
      </c>
      <c r="F1446" t="s">
        <v>3159</v>
      </c>
      <c r="G1446" t="s">
        <v>3376</v>
      </c>
      <c r="H1446" s="15">
        <v>46056</v>
      </c>
      <c r="I1446" t="s">
        <v>3377</v>
      </c>
      <c r="J1446" t="s">
        <v>16</v>
      </c>
      <c r="K1446" t="s">
        <v>185</v>
      </c>
      <c r="N1446">
        <v>0</v>
      </c>
      <c r="O1446" t="s">
        <v>222</v>
      </c>
      <c r="P1446">
        <v>0</v>
      </c>
      <c r="U1446" s="15"/>
    </row>
    <row r="1447" spans="1:21" x14ac:dyDescent="0.35">
      <c r="A1447" t="s">
        <v>14</v>
      </c>
      <c r="B1447" t="s">
        <v>3158</v>
      </c>
      <c r="C1447" t="s">
        <v>515</v>
      </c>
      <c r="D1447" t="s">
        <v>516</v>
      </c>
      <c r="E1447" t="s">
        <v>517</v>
      </c>
      <c r="F1447" t="s">
        <v>3159</v>
      </c>
      <c r="G1447" t="s">
        <v>3376</v>
      </c>
      <c r="H1447" s="15">
        <v>46056</v>
      </c>
      <c r="I1447" t="s">
        <v>3378</v>
      </c>
      <c r="J1447" t="s">
        <v>16</v>
      </c>
      <c r="K1447" t="s">
        <v>185</v>
      </c>
      <c r="N1447">
        <v>0</v>
      </c>
      <c r="O1447" t="s">
        <v>222</v>
      </c>
      <c r="P1447">
        <v>0</v>
      </c>
      <c r="U1447" s="15"/>
    </row>
    <row r="1448" spans="1:21" x14ac:dyDescent="0.35">
      <c r="A1448" t="s">
        <v>14</v>
      </c>
      <c r="B1448" t="s">
        <v>3158</v>
      </c>
      <c r="C1448" t="s">
        <v>1255</v>
      </c>
      <c r="D1448" t="s">
        <v>1256</v>
      </c>
      <c r="E1448" t="s">
        <v>1257</v>
      </c>
      <c r="F1448" t="s">
        <v>3159</v>
      </c>
      <c r="G1448" t="s">
        <v>3384</v>
      </c>
      <c r="H1448" s="15">
        <v>46056</v>
      </c>
      <c r="I1448" t="s">
        <v>3385</v>
      </c>
      <c r="J1448" t="s">
        <v>233</v>
      </c>
      <c r="K1448" t="s">
        <v>185</v>
      </c>
      <c r="N1448">
        <v>0</v>
      </c>
      <c r="O1448" t="s">
        <v>222</v>
      </c>
      <c r="P1448">
        <v>0</v>
      </c>
      <c r="U1448" s="15"/>
    </row>
    <row r="1449" spans="1:21" x14ac:dyDescent="0.35">
      <c r="A1449" t="s">
        <v>14</v>
      </c>
      <c r="B1449" t="s">
        <v>3158</v>
      </c>
      <c r="C1449" t="s">
        <v>667</v>
      </c>
      <c r="D1449" t="s">
        <v>668</v>
      </c>
      <c r="E1449" t="s">
        <v>669</v>
      </c>
      <c r="F1449" t="s">
        <v>3159</v>
      </c>
      <c r="G1449" t="s">
        <v>3386</v>
      </c>
      <c r="H1449" s="15">
        <v>46057</v>
      </c>
      <c r="I1449" t="s">
        <v>3387</v>
      </c>
      <c r="J1449" t="s">
        <v>16</v>
      </c>
      <c r="K1449" t="s">
        <v>185</v>
      </c>
      <c r="N1449">
        <v>0</v>
      </c>
      <c r="O1449" t="s">
        <v>222</v>
      </c>
      <c r="P1449">
        <v>0</v>
      </c>
      <c r="U1449" s="15"/>
    </row>
    <row r="1450" spans="1:21" x14ac:dyDescent="0.35">
      <c r="A1450" t="s">
        <v>14</v>
      </c>
      <c r="B1450" t="s">
        <v>3158</v>
      </c>
      <c r="C1450" t="s">
        <v>531</v>
      </c>
      <c r="D1450" t="s">
        <v>532</v>
      </c>
      <c r="E1450" t="s">
        <v>533</v>
      </c>
      <c r="F1450" t="s">
        <v>3159</v>
      </c>
      <c r="G1450" t="s">
        <v>3386</v>
      </c>
      <c r="H1450" s="15">
        <v>46057</v>
      </c>
      <c r="I1450" t="s">
        <v>3392</v>
      </c>
      <c r="J1450" t="s">
        <v>16</v>
      </c>
      <c r="K1450" t="s">
        <v>185</v>
      </c>
      <c r="N1450">
        <v>0</v>
      </c>
      <c r="O1450" t="s">
        <v>222</v>
      </c>
      <c r="P1450">
        <v>0</v>
      </c>
      <c r="U1450" s="15"/>
    </row>
    <row r="1451" spans="1:21" x14ac:dyDescent="0.35">
      <c r="A1451" t="s">
        <v>14</v>
      </c>
      <c r="B1451" t="s">
        <v>3158</v>
      </c>
      <c r="C1451" t="s">
        <v>667</v>
      </c>
      <c r="D1451" t="s">
        <v>668</v>
      </c>
      <c r="E1451" t="s">
        <v>669</v>
      </c>
      <c r="F1451" t="s">
        <v>3159</v>
      </c>
      <c r="G1451" t="s">
        <v>3393</v>
      </c>
      <c r="H1451" s="15">
        <v>46057</v>
      </c>
      <c r="I1451" t="s">
        <v>3394</v>
      </c>
      <c r="J1451" t="s">
        <v>233</v>
      </c>
      <c r="K1451" t="s">
        <v>185</v>
      </c>
      <c r="N1451">
        <v>0</v>
      </c>
      <c r="O1451" t="s">
        <v>222</v>
      </c>
      <c r="P1451">
        <v>0</v>
      </c>
      <c r="U1451" s="15"/>
    </row>
    <row r="1452" spans="1:21" x14ac:dyDescent="0.35">
      <c r="A1452" t="s">
        <v>14</v>
      </c>
      <c r="B1452" t="s">
        <v>3158</v>
      </c>
      <c r="C1452" t="s">
        <v>737</v>
      </c>
      <c r="D1452" t="s">
        <v>738</v>
      </c>
      <c r="E1452" t="s">
        <v>739</v>
      </c>
      <c r="F1452" t="s">
        <v>3159</v>
      </c>
      <c r="G1452" t="s">
        <v>3395</v>
      </c>
      <c r="H1452" s="15">
        <v>46058</v>
      </c>
      <c r="I1452" t="s">
        <v>3396</v>
      </c>
      <c r="J1452" t="s">
        <v>16</v>
      </c>
      <c r="K1452" t="s">
        <v>185</v>
      </c>
      <c r="N1452">
        <v>0</v>
      </c>
      <c r="O1452" t="s">
        <v>222</v>
      </c>
      <c r="P1452">
        <v>0</v>
      </c>
      <c r="U1452" s="15"/>
    </row>
    <row r="1453" spans="1:21" x14ac:dyDescent="0.35">
      <c r="A1453" t="s">
        <v>14</v>
      </c>
      <c r="B1453" t="s">
        <v>3158</v>
      </c>
      <c r="C1453" t="s">
        <v>515</v>
      </c>
      <c r="D1453" t="s">
        <v>516</v>
      </c>
      <c r="E1453" t="s">
        <v>517</v>
      </c>
      <c r="F1453" t="s">
        <v>3159</v>
      </c>
      <c r="G1453" t="s">
        <v>3395</v>
      </c>
      <c r="H1453" s="15">
        <v>46058</v>
      </c>
      <c r="I1453" t="s">
        <v>3397</v>
      </c>
      <c r="J1453" t="s">
        <v>16</v>
      </c>
      <c r="K1453" t="s">
        <v>185</v>
      </c>
      <c r="N1453">
        <v>0</v>
      </c>
      <c r="O1453" t="s">
        <v>222</v>
      </c>
      <c r="P1453">
        <v>0</v>
      </c>
      <c r="U1453" s="15"/>
    </row>
    <row r="1454" spans="1:21" x14ac:dyDescent="0.35">
      <c r="A1454" t="s">
        <v>14</v>
      </c>
      <c r="B1454" t="s">
        <v>3158</v>
      </c>
      <c r="C1454" t="s">
        <v>1255</v>
      </c>
      <c r="D1454" t="s">
        <v>1256</v>
      </c>
      <c r="E1454" t="s">
        <v>1257</v>
      </c>
      <c r="F1454" t="s">
        <v>3159</v>
      </c>
      <c r="G1454" t="s">
        <v>3403</v>
      </c>
      <c r="H1454" s="15">
        <v>46058</v>
      </c>
      <c r="I1454" t="s">
        <v>3404</v>
      </c>
      <c r="J1454" t="s">
        <v>233</v>
      </c>
      <c r="K1454" t="s">
        <v>185</v>
      </c>
      <c r="N1454">
        <v>0</v>
      </c>
      <c r="O1454" t="s">
        <v>222</v>
      </c>
      <c r="P1454">
        <v>0</v>
      </c>
      <c r="U1454" s="15"/>
    </row>
    <row r="1455" spans="1:21" x14ac:dyDescent="0.35">
      <c r="A1455" t="s">
        <v>14</v>
      </c>
      <c r="B1455" t="s">
        <v>3158</v>
      </c>
      <c r="C1455" t="s">
        <v>1255</v>
      </c>
      <c r="D1455" t="s">
        <v>1256</v>
      </c>
      <c r="E1455" t="s">
        <v>1257</v>
      </c>
      <c r="F1455" t="s">
        <v>3159</v>
      </c>
      <c r="G1455" t="s">
        <v>3405</v>
      </c>
      <c r="H1455" s="15">
        <v>46059</v>
      </c>
      <c r="I1455" t="s">
        <v>3406</v>
      </c>
      <c r="J1455" t="s">
        <v>16</v>
      </c>
      <c r="K1455" t="s">
        <v>185</v>
      </c>
      <c r="N1455">
        <v>0</v>
      </c>
      <c r="O1455" t="s">
        <v>222</v>
      </c>
      <c r="P1455">
        <v>0</v>
      </c>
      <c r="U1455" s="15"/>
    </row>
    <row r="1456" spans="1:21" x14ac:dyDescent="0.35">
      <c r="A1456" t="s">
        <v>14</v>
      </c>
      <c r="B1456" t="s">
        <v>3158</v>
      </c>
      <c r="C1456" t="s">
        <v>515</v>
      </c>
      <c r="D1456" t="s">
        <v>516</v>
      </c>
      <c r="E1456" t="s">
        <v>517</v>
      </c>
      <c r="F1456" t="s">
        <v>3159</v>
      </c>
      <c r="G1456" t="s">
        <v>3405</v>
      </c>
      <c r="H1456" s="15">
        <v>46059</v>
      </c>
      <c r="I1456" t="s">
        <v>3411</v>
      </c>
      <c r="J1456" t="s">
        <v>16</v>
      </c>
      <c r="K1456" t="s">
        <v>185</v>
      </c>
      <c r="N1456">
        <v>0</v>
      </c>
      <c r="O1456" t="s">
        <v>222</v>
      </c>
      <c r="P1456">
        <v>0</v>
      </c>
      <c r="U1456" s="15"/>
    </row>
    <row r="1457" spans="1:21" x14ac:dyDescent="0.35">
      <c r="A1457" t="s">
        <v>14</v>
      </c>
      <c r="B1457" t="s">
        <v>3158</v>
      </c>
      <c r="C1457" t="s">
        <v>1255</v>
      </c>
      <c r="D1457" t="s">
        <v>1256</v>
      </c>
      <c r="E1457" t="s">
        <v>1257</v>
      </c>
      <c r="F1457" t="s">
        <v>3159</v>
      </c>
      <c r="G1457" t="s">
        <v>3412</v>
      </c>
      <c r="H1457" s="15">
        <v>46059</v>
      </c>
      <c r="I1457" t="s">
        <v>3413</v>
      </c>
      <c r="J1457" t="s">
        <v>233</v>
      </c>
      <c r="K1457" t="s">
        <v>185</v>
      </c>
      <c r="N1457">
        <v>0</v>
      </c>
      <c r="O1457" t="s">
        <v>222</v>
      </c>
      <c r="P1457">
        <v>0</v>
      </c>
      <c r="U1457" s="15"/>
    </row>
    <row r="1458" spans="1:21" x14ac:dyDescent="0.35">
      <c r="A1458" t="s">
        <v>14</v>
      </c>
      <c r="B1458" t="s">
        <v>3158</v>
      </c>
      <c r="C1458" t="s">
        <v>515</v>
      </c>
      <c r="D1458" t="s">
        <v>516</v>
      </c>
      <c r="E1458" t="s">
        <v>517</v>
      </c>
      <c r="F1458" t="s">
        <v>3159</v>
      </c>
      <c r="G1458" t="s">
        <v>3414</v>
      </c>
      <c r="H1458" s="15">
        <v>46060</v>
      </c>
      <c r="I1458" t="s">
        <v>3415</v>
      </c>
      <c r="J1458" t="s">
        <v>16</v>
      </c>
      <c r="K1458" t="s">
        <v>185</v>
      </c>
      <c r="N1458">
        <v>0</v>
      </c>
      <c r="O1458" t="s">
        <v>222</v>
      </c>
      <c r="P1458">
        <v>0</v>
      </c>
      <c r="U1458" s="15"/>
    </row>
    <row r="1459" spans="1:21" x14ac:dyDescent="0.35">
      <c r="A1459" t="s">
        <v>14</v>
      </c>
      <c r="B1459" t="s">
        <v>3158</v>
      </c>
      <c r="C1459" t="s">
        <v>1255</v>
      </c>
      <c r="D1459" t="s">
        <v>1256</v>
      </c>
      <c r="E1459" t="s">
        <v>1257</v>
      </c>
      <c r="F1459" t="s">
        <v>3159</v>
      </c>
      <c r="G1459" t="s">
        <v>3414</v>
      </c>
      <c r="H1459" s="15">
        <v>46060</v>
      </c>
      <c r="I1459" t="s">
        <v>3419</v>
      </c>
      <c r="J1459" t="s">
        <v>16</v>
      </c>
      <c r="K1459" t="s">
        <v>185</v>
      </c>
      <c r="N1459">
        <v>0</v>
      </c>
      <c r="O1459" t="s">
        <v>222</v>
      </c>
      <c r="P1459">
        <v>0</v>
      </c>
      <c r="U1459" s="15"/>
    </row>
    <row r="1460" spans="1:21" x14ac:dyDescent="0.35">
      <c r="A1460" t="s">
        <v>14</v>
      </c>
      <c r="B1460" t="s">
        <v>3158</v>
      </c>
      <c r="C1460" t="s">
        <v>697</v>
      </c>
      <c r="D1460" t="s">
        <v>698</v>
      </c>
      <c r="E1460" t="s">
        <v>699</v>
      </c>
      <c r="F1460" t="s">
        <v>3159</v>
      </c>
      <c r="G1460" t="s">
        <v>3420</v>
      </c>
      <c r="H1460" s="15">
        <v>46062</v>
      </c>
      <c r="I1460" t="s">
        <v>3421</v>
      </c>
      <c r="J1460" t="s">
        <v>16</v>
      </c>
      <c r="K1460" t="s">
        <v>185</v>
      </c>
      <c r="N1460">
        <v>0</v>
      </c>
      <c r="O1460" t="s">
        <v>222</v>
      </c>
      <c r="P1460">
        <v>0</v>
      </c>
      <c r="U1460" s="15"/>
    </row>
    <row r="1461" spans="1:21" x14ac:dyDescent="0.35">
      <c r="A1461" t="s">
        <v>14</v>
      </c>
      <c r="B1461" t="s">
        <v>3158</v>
      </c>
      <c r="C1461" t="s">
        <v>1255</v>
      </c>
      <c r="D1461" t="s">
        <v>1256</v>
      </c>
      <c r="E1461" t="s">
        <v>1257</v>
      </c>
      <c r="F1461" t="s">
        <v>3159</v>
      </c>
      <c r="G1461" t="s">
        <v>3422</v>
      </c>
      <c r="H1461" s="15">
        <v>46063</v>
      </c>
      <c r="I1461" t="s">
        <v>3423</v>
      </c>
      <c r="J1461" t="s">
        <v>16</v>
      </c>
      <c r="K1461" t="s">
        <v>185</v>
      </c>
      <c r="N1461">
        <v>0</v>
      </c>
      <c r="O1461" t="s">
        <v>222</v>
      </c>
      <c r="P1461">
        <v>0</v>
      </c>
      <c r="U1461" s="15"/>
    </row>
    <row r="1462" spans="1:21" x14ac:dyDescent="0.35">
      <c r="A1462" t="s">
        <v>14</v>
      </c>
      <c r="B1462" t="s">
        <v>3158</v>
      </c>
      <c r="C1462" t="s">
        <v>515</v>
      </c>
      <c r="D1462" t="s">
        <v>516</v>
      </c>
      <c r="E1462" t="s">
        <v>517</v>
      </c>
      <c r="F1462" t="s">
        <v>3159</v>
      </c>
      <c r="G1462" t="s">
        <v>3422</v>
      </c>
      <c r="H1462" s="15">
        <v>46063</v>
      </c>
      <c r="I1462" t="s">
        <v>3430</v>
      </c>
      <c r="J1462" t="s">
        <v>16</v>
      </c>
      <c r="K1462" t="s">
        <v>185</v>
      </c>
      <c r="N1462">
        <v>0</v>
      </c>
      <c r="O1462" t="s">
        <v>222</v>
      </c>
      <c r="P1462">
        <v>0</v>
      </c>
      <c r="U1462" s="15"/>
    </row>
    <row r="1463" spans="1:21" x14ac:dyDescent="0.35">
      <c r="A1463" t="s">
        <v>14</v>
      </c>
      <c r="B1463" t="s">
        <v>3158</v>
      </c>
      <c r="C1463" t="s">
        <v>1255</v>
      </c>
      <c r="D1463" t="s">
        <v>1256</v>
      </c>
      <c r="E1463" t="s">
        <v>1257</v>
      </c>
      <c r="F1463" t="s">
        <v>3159</v>
      </c>
      <c r="G1463" t="s">
        <v>3431</v>
      </c>
      <c r="H1463" s="15">
        <v>46063</v>
      </c>
      <c r="I1463" t="s">
        <v>3432</v>
      </c>
      <c r="J1463" t="s">
        <v>233</v>
      </c>
      <c r="K1463" t="s">
        <v>185</v>
      </c>
      <c r="N1463">
        <v>0</v>
      </c>
      <c r="O1463" t="s">
        <v>222</v>
      </c>
      <c r="P1463">
        <v>0</v>
      </c>
      <c r="U1463" s="15"/>
    </row>
    <row r="1464" spans="1:21" x14ac:dyDescent="0.35">
      <c r="A1464" t="s">
        <v>14</v>
      </c>
      <c r="B1464" t="s">
        <v>3158</v>
      </c>
      <c r="C1464" t="s">
        <v>1255</v>
      </c>
      <c r="D1464" t="s">
        <v>1256</v>
      </c>
      <c r="E1464" t="s">
        <v>1257</v>
      </c>
      <c r="F1464" t="s">
        <v>3159</v>
      </c>
      <c r="G1464" t="s">
        <v>3433</v>
      </c>
      <c r="H1464" s="15">
        <v>46064</v>
      </c>
      <c r="I1464" t="s">
        <v>3434</v>
      </c>
      <c r="J1464" t="s">
        <v>16</v>
      </c>
      <c r="K1464" t="s">
        <v>185</v>
      </c>
      <c r="N1464">
        <v>0</v>
      </c>
      <c r="O1464" t="s">
        <v>222</v>
      </c>
      <c r="P1464">
        <v>0</v>
      </c>
      <c r="U1464" s="15"/>
    </row>
    <row r="1465" spans="1:21" x14ac:dyDescent="0.35">
      <c r="A1465" t="s">
        <v>14</v>
      </c>
      <c r="B1465" t="s">
        <v>3158</v>
      </c>
      <c r="C1465" t="s">
        <v>515</v>
      </c>
      <c r="D1465" t="s">
        <v>516</v>
      </c>
      <c r="E1465" t="s">
        <v>517</v>
      </c>
      <c r="F1465" t="s">
        <v>3159</v>
      </c>
      <c r="G1465" t="s">
        <v>3433</v>
      </c>
      <c r="H1465" s="15">
        <v>46064</v>
      </c>
      <c r="I1465" t="s">
        <v>3435</v>
      </c>
      <c r="J1465" t="s">
        <v>16</v>
      </c>
      <c r="K1465" t="s">
        <v>185</v>
      </c>
      <c r="N1465">
        <v>0</v>
      </c>
      <c r="O1465" t="s">
        <v>222</v>
      </c>
      <c r="P1465">
        <v>0</v>
      </c>
      <c r="U1465" s="15"/>
    </row>
    <row r="1466" spans="1:21" x14ac:dyDescent="0.35">
      <c r="A1466" t="s">
        <v>14</v>
      </c>
      <c r="B1466" t="s">
        <v>3158</v>
      </c>
      <c r="C1466" t="s">
        <v>1255</v>
      </c>
      <c r="D1466" t="s">
        <v>1256</v>
      </c>
      <c r="E1466" t="s">
        <v>1257</v>
      </c>
      <c r="F1466" t="s">
        <v>3159</v>
      </c>
      <c r="G1466" t="s">
        <v>3439</v>
      </c>
      <c r="H1466" s="15">
        <v>46064</v>
      </c>
      <c r="I1466" t="s">
        <v>3440</v>
      </c>
      <c r="J1466" t="s">
        <v>233</v>
      </c>
      <c r="K1466" t="s">
        <v>185</v>
      </c>
      <c r="N1466">
        <v>0</v>
      </c>
      <c r="O1466" t="s">
        <v>222</v>
      </c>
      <c r="P1466">
        <v>0</v>
      </c>
      <c r="U1466" s="15"/>
    </row>
    <row r="1467" spans="1:21" x14ac:dyDescent="0.35">
      <c r="A1467" t="s">
        <v>14</v>
      </c>
      <c r="B1467" t="s">
        <v>3158</v>
      </c>
      <c r="C1467" t="s">
        <v>816</v>
      </c>
      <c r="D1467" t="s">
        <v>817</v>
      </c>
      <c r="E1467" t="s">
        <v>818</v>
      </c>
      <c r="F1467" t="s">
        <v>3159</v>
      </c>
      <c r="G1467" t="s">
        <v>3441</v>
      </c>
      <c r="H1467" s="15">
        <v>46065</v>
      </c>
      <c r="I1467" t="s">
        <v>3442</v>
      </c>
      <c r="J1467" t="s">
        <v>16</v>
      </c>
      <c r="K1467" t="s">
        <v>185</v>
      </c>
      <c r="N1467">
        <v>0</v>
      </c>
      <c r="O1467" t="s">
        <v>222</v>
      </c>
      <c r="P1467">
        <v>0</v>
      </c>
      <c r="U1467" s="15"/>
    </row>
    <row r="1468" spans="1:21" x14ac:dyDescent="0.35">
      <c r="A1468" t="s">
        <v>14</v>
      </c>
      <c r="B1468" t="s">
        <v>3158</v>
      </c>
      <c r="C1468" t="s">
        <v>1255</v>
      </c>
      <c r="D1468" t="s">
        <v>1256</v>
      </c>
      <c r="E1468" t="s">
        <v>1257</v>
      </c>
      <c r="F1468" t="s">
        <v>3159</v>
      </c>
      <c r="G1468" t="s">
        <v>3441</v>
      </c>
      <c r="H1468" s="15">
        <v>46065</v>
      </c>
      <c r="I1468" t="s">
        <v>3443</v>
      </c>
      <c r="J1468" t="s">
        <v>16</v>
      </c>
      <c r="K1468" t="s">
        <v>185</v>
      </c>
      <c r="N1468">
        <v>0</v>
      </c>
      <c r="O1468" t="s">
        <v>222</v>
      </c>
      <c r="P1468">
        <v>0</v>
      </c>
      <c r="U1468" s="15"/>
    </row>
    <row r="1469" spans="1:21" x14ac:dyDescent="0.35">
      <c r="A1469" t="s">
        <v>14</v>
      </c>
      <c r="B1469" t="s">
        <v>3158</v>
      </c>
      <c r="C1469" t="s">
        <v>977</v>
      </c>
      <c r="D1469" t="s">
        <v>978</v>
      </c>
      <c r="E1469" t="s">
        <v>979</v>
      </c>
      <c r="F1469" t="s">
        <v>3159</v>
      </c>
      <c r="G1469" t="s">
        <v>3441</v>
      </c>
      <c r="H1469" s="15">
        <v>46065</v>
      </c>
      <c r="I1469" t="s">
        <v>3444</v>
      </c>
      <c r="J1469" t="s">
        <v>16</v>
      </c>
      <c r="K1469" t="s">
        <v>185</v>
      </c>
      <c r="N1469">
        <v>0</v>
      </c>
      <c r="O1469" t="s">
        <v>222</v>
      </c>
      <c r="P1469">
        <v>0</v>
      </c>
      <c r="U1469" s="15"/>
    </row>
    <row r="1470" spans="1:21" x14ac:dyDescent="0.35">
      <c r="A1470" t="s">
        <v>14</v>
      </c>
      <c r="B1470" t="s">
        <v>3158</v>
      </c>
      <c r="C1470" t="s">
        <v>1255</v>
      </c>
      <c r="D1470" t="s">
        <v>1256</v>
      </c>
      <c r="E1470" t="s">
        <v>1257</v>
      </c>
      <c r="F1470" t="s">
        <v>3159</v>
      </c>
      <c r="G1470" t="s">
        <v>3445</v>
      </c>
      <c r="H1470" s="15">
        <v>46065</v>
      </c>
      <c r="I1470" t="s">
        <v>3446</v>
      </c>
      <c r="J1470" t="s">
        <v>233</v>
      </c>
      <c r="K1470" t="s">
        <v>185</v>
      </c>
      <c r="N1470">
        <v>0</v>
      </c>
      <c r="O1470" t="s">
        <v>222</v>
      </c>
      <c r="P1470">
        <v>0</v>
      </c>
      <c r="U1470" s="15"/>
    </row>
    <row r="1471" spans="1:21" x14ac:dyDescent="0.35">
      <c r="A1471" t="s">
        <v>14</v>
      </c>
      <c r="B1471" t="s">
        <v>3158</v>
      </c>
      <c r="C1471" t="s">
        <v>667</v>
      </c>
      <c r="D1471" t="s">
        <v>668</v>
      </c>
      <c r="E1471" t="s">
        <v>669</v>
      </c>
      <c r="F1471" t="s">
        <v>3159</v>
      </c>
      <c r="G1471" t="s">
        <v>3447</v>
      </c>
      <c r="H1471" s="15">
        <v>46066</v>
      </c>
      <c r="I1471" t="s">
        <v>3448</v>
      </c>
      <c r="J1471" t="s">
        <v>16</v>
      </c>
      <c r="K1471" t="s">
        <v>185</v>
      </c>
      <c r="N1471">
        <v>0</v>
      </c>
      <c r="O1471" t="s">
        <v>222</v>
      </c>
      <c r="P1471">
        <v>0</v>
      </c>
      <c r="U1471" s="15"/>
    </row>
    <row r="1472" spans="1:21" x14ac:dyDescent="0.35">
      <c r="A1472" t="s">
        <v>14</v>
      </c>
      <c r="B1472" t="s">
        <v>3158</v>
      </c>
      <c r="C1472" t="s">
        <v>515</v>
      </c>
      <c r="D1472" t="s">
        <v>516</v>
      </c>
      <c r="E1472" t="s">
        <v>517</v>
      </c>
      <c r="F1472" t="s">
        <v>3159</v>
      </c>
      <c r="G1472" t="s">
        <v>3447</v>
      </c>
      <c r="H1472" s="15">
        <v>46066</v>
      </c>
      <c r="I1472" t="s">
        <v>3449</v>
      </c>
      <c r="J1472" t="s">
        <v>16</v>
      </c>
      <c r="K1472" t="s">
        <v>185</v>
      </c>
      <c r="N1472">
        <v>0</v>
      </c>
      <c r="O1472" t="s">
        <v>222</v>
      </c>
      <c r="P1472">
        <v>0</v>
      </c>
      <c r="U1472" s="15"/>
    </row>
    <row r="1473" spans="1:21" x14ac:dyDescent="0.35">
      <c r="A1473" t="s">
        <v>14</v>
      </c>
      <c r="B1473" t="s">
        <v>3158</v>
      </c>
      <c r="C1473" t="s">
        <v>667</v>
      </c>
      <c r="D1473" t="s">
        <v>668</v>
      </c>
      <c r="E1473" t="s">
        <v>669</v>
      </c>
      <c r="F1473" t="s">
        <v>3159</v>
      </c>
      <c r="G1473" t="s">
        <v>3450</v>
      </c>
      <c r="H1473" s="15">
        <v>46066</v>
      </c>
      <c r="I1473" t="s">
        <v>3451</v>
      </c>
      <c r="J1473" t="s">
        <v>233</v>
      </c>
      <c r="K1473" t="s">
        <v>185</v>
      </c>
      <c r="N1473">
        <v>0</v>
      </c>
      <c r="O1473" t="s">
        <v>222</v>
      </c>
      <c r="P1473">
        <v>0</v>
      </c>
      <c r="U1473" s="15"/>
    </row>
    <row r="1474" spans="1:21" x14ac:dyDescent="0.35">
      <c r="A1474" t="s">
        <v>14</v>
      </c>
      <c r="B1474" t="s">
        <v>3158</v>
      </c>
      <c r="C1474" t="s">
        <v>977</v>
      </c>
      <c r="D1474" t="s">
        <v>978</v>
      </c>
      <c r="E1474" t="s">
        <v>979</v>
      </c>
      <c r="F1474" t="s">
        <v>3159</v>
      </c>
      <c r="G1474" t="s">
        <v>3452</v>
      </c>
      <c r="H1474" s="15">
        <v>46067</v>
      </c>
      <c r="I1474" t="s">
        <v>3453</v>
      </c>
      <c r="J1474" t="s">
        <v>16</v>
      </c>
      <c r="K1474" t="s">
        <v>185</v>
      </c>
      <c r="N1474">
        <v>0</v>
      </c>
      <c r="O1474" t="s">
        <v>222</v>
      </c>
      <c r="P1474">
        <v>0</v>
      </c>
      <c r="U1474" s="15"/>
    </row>
    <row r="1475" spans="1:21" x14ac:dyDescent="0.35">
      <c r="A1475" t="s">
        <v>14</v>
      </c>
      <c r="B1475" t="s">
        <v>3158</v>
      </c>
      <c r="C1475" t="s">
        <v>1255</v>
      </c>
      <c r="D1475" t="s">
        <v>1256</v>
      </c>
      <c r="E1475" t="s">
        <v>1257</v>
      </c>
      <c r="F1475" t="s">
        <v>3159</v>
      </c>
      <c r="G1475" t="s">
        <v>3452</v>
      </c>
      <c r="H1475" s="15">
        <v>46067</v>
      </c>
      <c r="I1475" t="s">
        <v>3459</v>
      </c>
      <c r="J1475" t="s">
        <v>16</v>
      </c>
      <c r="K1475" t="s">
        <v>185</v>
      </c>
      <c r="N1475">
        <v>0</v>
      </c>
      <c r="O1475" t="s">
        <v>222</v>
      </c>
      <c r="P1475">
        <v>0</v>
      </c>
      <c r="U1475" s="15"/>
    </row>
    <row r="1476" spans="1:21" x14ac:dyDescent="0.35">
      <c r="A1476" t="s">
        <v>14</v>
      </c>
      <c r="B1476" t="s">
        <v>3158</v>
      </c>
      <c r="C1476" t="s">
        <v>1255</v>
      </c>
      <c r="D1476" t="s">
        <v>1256</v>
      </c>
      <c r="E1476" t="s">
        <v>1257</v>
      </c>
      <c r="F1476" t="s">
        <v>3159</v>
      </c>
      <c r="G1476" t="s">
        <v>3460</v>
      </c>
      <c r="H1476" s="15">
        <v>46069</v>
      </c>
      <c r="I1476" t="s">
        <v>3461</v>
      </c>
      <c r="J1476" t="s">
        <v>16</v>
      </c>
      <c r="K1476" t="s">
        <v>185</v>
      </c>
      <c r="N1476">
        <v>0</v>
      </c>
      <c r="O1476" t="s">
        <v>222</v>
      </c>
      <c r="P1476">
        <v>0</v>
      </c>
      <c r="U1476" s="15"/>
    </row>
    <row r="1477" spans="1:21" x14ac:dyDescent="0.35">
      <c r="A1477" t="s">
        <v>14</v>
      </c>
      <c r="B1477" t="s">
        <v>3158</v>
      </c>
      <c r="C1477" t="s">
        <v>552</v>
      </c>
      <c r="D1477" t="s">
        <v>553</v>
      </c>
      <c r="E1477" t="s">
        <v>554</v>
      </c>
      <c r="F1477" t="s">
        <v>3159</v>
      </c>
      <c r="G1477" t="s">
        <v>3460</v>
      </c>
      <c r="H1477" s="15">
        <v>46069</v>
      </c>
      <c r="I1477" t="s">
        <v>3462</v>
      </c>
      <c r="J1477" t="s">
        <v>16</v>
      </c>
      <c r="K1477" t="s">
        <v>185</v>
      </c>
      <c r="N1477">
        <v>0</v>
      </c>
      <c r="O1477" t="s">
        <v>222</v>
      </c>
      <c r="P1477">
        <v>0</v>
      </c>
      <c r="U1477" s="15"/>
    </row>
    <row r="1478" spans="1:21" x14ac:dyDescent="0.35">
      <c r="A1478" t="s">
        <v>14</v>
      </c>
      <c r="B1478" t="s">
        <v>3158</v>
      </c>
      <c r="C1478" t="s">
        <v>1255</v>
      </c>
      <c r="D1478" t="s">
        <v>1256</v>
      </c>
      <c r="E1478" t="s">
        <v>1257</v>
      </c>
      <c r="F1478" t="s">
        <v>3159</v>
      </c>
      <c r="G1478" t="s">
        <v>3467</v>
      </c>
      <c r="H1478" s="15">
        <v>46069</v>
      </c>
      <c r="I1478" t="s">
        <v>3468</v>
      </c>
      <c r="J1478" t="s">
        <v>233</v>
      </c>
      <c r="K1478" t="s">
        <v>185</v>
      </c>
      <c r="N1478">
        <v>0</v>
      </c>
      <c r="O1478" t="s">
        <v>222</v>
      </c>
      <c r="P1478">
        <v>0</v>
      </c>
      <c r="U1478" s="15"/>
    </row>
    <row r="1479" spans="1:21" x14ac:dyDescent="0.35">
      <c r="A1479" t="s">
        <v>14</v>
      </c>
      <c r="B1479" t="s">
        <v>3158</v>
      </c>
      <c r="C1479" t="s">
        <v>647</v>
      </c>
      <c r="D1479" t="s">
        <v>648</v>
      </c>
      <c r="E1479" t="s">
        <v>649</v>
      </c>
      <c r="F1479" t="s">
        <v>3159</v>
      </c>
      <c r="G1479" t="s">
        <v>3469</v>
      </c>
      <c r="H1479" s="15">
        <v>46070</v>
      </c>
      <c r="I1479" t="s">
        <v>3470</v>
      </c>
      <c r="J1479" t="s">
        <v>16</v>
      </c>
      <c r="K1479" t="s">
        <v>185</v>
      </c>
      <c r="N1479">
        <v>0</v>
      </c>
      <c r="O1479" t="s">
        <v>222</v>
      </c>
      <c r="P1479">
        <v>0</v>
      </c>
      <c r="U1479" s="15"/>
    </row>
    <row r="1480" spans="1:21" x14ac:dyDescent="0.35">
      <c r="A1480" t="s">
        <v>14</v>
      </c>
      <c r="B1480" t="s">
        <v>3158</v>
      </c>
      <c r="C1480" t="s">
        <v>880</v>
      </c>
      <c r="D1480" t="s">
        <v>881</v>
      </c>
      <c r="E1480" t="s">
        <v>882</v>
      </c>
      <c r="F1480" t="s">
        <v>3159</v>
      </c>
      <c r="G1480" t="s">
        <v>3469</v>
      </c>
      <c r="H1480" s="15">
        <v>46070</v>
      </c>
      <c r="I1480" t="s">
        <v>3471</v>
      </c>
      <c r="J1480" t="s">
        <v>16</v>
      </c>
      <c r="K1480" t="s">
        <v>185</v>
      </c>
      <c r="N1480">
        <v>0</v>
      </c>
      <c r="O1480" t="s">
        <v>222</v>
      </c>
      <c r="P1480">
        <v>0</v>
      </c>
      <c r="U1480" s="15"/>
    </row>
    <row r="1481" spans="1:21" x14ac:dyDescent="0.35">
      <c r="A1481" t="s">
        <v>14</v>
      </c>
      <c r="B1481" t="s">
        <v>3158</v>
      </c>
      <c r="C1481" t="s">
        <v>1255</v>
      </c>
      <c r="D1481" t="s">
        <v>1256</v>
      </c>
      <c r="E1481" t="s">
        <v>1257</v>
      </c>
      <c r="F1481" t="s">
        <v>3159</v>
      </c>
      <c r="G1481" t="s">
        <v>3472</v>
      </c>
      <c r="H1481" s="15">
        <v>46070</v>
      </c>
      <c r="I1481" t="s">
        <v>3473</v>
      </c>
      <c r="J1481" t="s">
        <v>233</v>
      </c>
      <c r="K1481" t="s">
        <v>185</v>
      </c>
      <c r="N1481">
        <v>0</v>
      </c>
      <c r="O1481" t="s">
        <v>222</v>
      </c>
      <c r="P1481">
        <v>0</v>
      </c>
      <c r="U1481" s="15"/>
    </row>
    <row r="1482" spans="1:21" x14ac:dyDescent="0.35">
      <c r="A1482" t="s">
        <v>14</v>
      </c>
      <c r="B1482" t="s">
        <v>2421</v>
      </c>
      <c r="C1482" t="s">
        <v>667</v>
      </c>
      <c r="D1482" t="s">
        <v>668</v>
      </c>
      <c r="E1482" t="s">
        <v>669</v>
      </c>
      <c r="F1482" t="s">
        <v>2422</v>
      </c>
      <c r="G1482" t="s">
        <v>2423</v>
      </c>
      <c r="H1482" s="15">
        <v>46027</v>
      </c>
      <c r="I1482" t="s">
        <v>2424</v>
      </c>
      <c r="J1482" t="s">
        <v>16</v>
      </c>
      <c r="K1482" t="s">
        <v>185</v>
      </c>
      <c r="N1482">
        <v>0</v>
      </c>
      <c r="O1482" t="s">
        <v>222</v>
      </c>
      <c r="P1482">
        <v>0</v>
      </c>
      <c r="U1482" s="15"/>
    </row>
    <row r="1483" spans="1:21" x14ac:dyDescent="0.35">
      <c r="A1483" t="s">
        <v>14</v>
      </c>
      <c r="B1483" t="s">
        <v>2421</v>
      </c>
      <c r="C1483" t="s">
        <v>1255</v>
      </c>
      <c r="D1483" t="s">
        <v>1256</v>
      </c>
      <c r="E1483" t="s">
        <v>1257</v>
      </c>
      <c r="F1483" t="s">
        <v>2422</v>
      </c>
      <c r="G1483" t="s">
        <v>2425</v>
      </c>
      <c r="H1483" s="15">
        <v>46028</v>
      </c>
      <c r="I1483" t="s">
        <v>2426</v>
      </c>
      <c r="J1483" t="s">
        <v>16</v>
      </c>
      <c r="K1483" t="s">
        <v>185</v>
      </c>
      <c r="N1483">
        <v>0</v>
      </c>
      <c r="O1483" t="s">
        <v>222</v>
      </c>
      <c r="P1483">
        <v>0</v>
      </c>
      <c r="U1483" s="15"/>
    </row>
    <row r="1484" spans="1:21" x14ac:dyDescent="0.35">
      <c r="A1484" t="s">
        <v>14</v>
      </c>
      <c r="B1484" t="s">
        <v>3158</v>
      </c>
      <c r="C1484" t="s">
        <v>1255</v>
      </c>
      <c r="D1484" t="s">
        <v>1256</v>
      </c>
      <c r="E1484" t="s">
        <v>1257</v>
      </c>
      <c r="F1484" t="s">
        <v>3159</v>
      </c>
      <c r="G1484" t="s">
        <v>3479</v>
      </c>
      <c r="H1484" s="15">
        <v>46071</v>
      </c>
      <c r="I1484" t="s">
        <v>3480</v>
      </c>
      <c r="J1484" t="s">
        <v>16</v>
      </c>
      <c r="K1484" t="s">
        <v>185</v>
      </c>
      <c r="N1484">
        <v>0</v>
      </c>
      <c r="O1484" t="s">
        <v>222</v>
      </c>
      <c r="P1484">
        <v>0</v>
      </c>
      <c r="U1484" s="15"/>
    </row>
    <row r="1485" spans="1:21" x14ac:dyDescent="0.35">
      <c r="A1485" t="s">
        <v>14</v>
      </c>
      <c r="B1485" t="s">
        <v>2421</v>
      </c>
      <c r="C1485" t="s">
        <v>1255</v>
      </c>
      <c r="D1485" t="s">
        <v>1256</v>
      </c>
      <c r="E1485" t="s">
        <v>1257</v>
      </c>
      <c r="F1485" t="s">
        <v>2422</v>
      </c>
      <c r="G1485" t="s">
        <v>2429</v>
      </c>
      <c r="H1485" s="15">
        <v>46029</v>
      </c>
      <c r="I1485" t="s">
        <v>2430</v>
      </c>
      <c r="J1485" t="s">
        <v>16</v>
      </c>
      <c r="K1485" t="s">
        <v>185</v>
      </c>
      <c r="N1485">
        <v>0</v>
      </c>
      <c r="O1485" t="s">
        <v>222</v>
      </c>
      <c r="P1485">
        <v>0</v>
      </c>
      <c r="U1485" s="15"/>
    </row>
    <row r="1486" spans="1:21" x14ac:dyDescent="0.35">
      <c r="A1486" t="s">
        <v>14</v>
      </c>
      <c r="B1486" t="s">
        <v>2421</v>
      </c>
      <c r="C1486" t="s">
        <v>1255</v>
      </c>
      <c r="D1486" t="s">
        <v>1256</v>
      </c>
      <c r="E1486" t="s">
        <v>1257</v>
      </c>
      <c r="F1486" t="s">
        <v>2422</v>
      </c>
      <c r="G1486" t="s">
        <v>2434</v>
      </c>
      <c r="H1486" s="15">
        <v>46030</v>
      </c>
      <c r="I1486" t="s">
        <v>2435</v>
      </c>
      <c r="J1486" t="s">
        <v>16</v>
      </c>
      <c r="K1486" t="s">
        <v>185</v>
      </c>
      <c r="N1486">
        <v>0</v>
      </c>
      <c r="O1486" t="s">
        <v>222</v>
      </c>
      <c r="P1486">
        <v>0</v>
      </c>
      <c r="U1486" s="15"/>
    </row>
    <row r="1487" spans="1:21" x14ac:dyDescent="0.35">
      <c r="A1487" t="s">
        <v>14</v>
      </c>
      <c r="B1487" t="s">
        <v>3158</v>
      </c>
      <c r="C1487" t="s">
        <v>552</v>
      </c>
      <c r="D1487" t="s">
        <v>553</v>
      </c>
      <c r="E1487" t="s">
        <v>554</v>
      </c>
      <c r="F1487" t="s">
        <v>3159</v>
      </c>
      <c r="G1487" t="s">
        <v>3479</v>
      </c>
      <c r="H1487" s="15">
        <v>46071</v>
      </c>
      <c r="I1487" t="s">
        <v>3481</v>
      </c>
      <c r="J1487" t="s">
        <v>16</v>
      </c>
      <c r="K1487" t="s">
        <v>185</v>
      </c>
      <c r="N1487">
        <v>0</v>
      </c>
      <c r="O1487" t="s">
        <v>222</v>
      </c>
      <c r="P1487">
        <v>0</v>
      </c>
      <c r="U1487" s="15"/>
    </row>
    <row r="1488" spans="1:21" x14ac:dyDescent="0.35">
      <c r="A1488" t="s">
        <v>14</v>
      </c>
      <c r="B1488" t="s">
        <v>3158</v>
      </c>
      <c r="C1488" t="s">
        <v>1255</v>
      </c>
      <c r="D1488" t="s">
        <v>1256</v>
      </c>
      <c r="E1488" t="s">
        <v>1257</v>
      </c>
      <c r="F1488" t="s">
        <v>3159</v>
      </c>
      <c r="G1488" t="s">
        <v>3482</v>
      </c>
      <c r="H1488" s="15">
        <v>46071</v>
      </c>
      <c r="I1488" t="s">
        <v>3483</v>
      </c>
      <c r="J1488" t="s">
        <v>233</v>
      </c>
      <c r="K1488" t="s">
        <v>185</v>
      </c>
      <c r="N1488">
        <v>0</v>
      </c>
      <c r="O1488" t="s">
        <v>222</v>
      </c>
      <c r="P1488">
        <v>0</v>
      </c>
      <c r="U1488" s="15"/>
    </row>
    <row r="1489" spans="1:21" x14ac:dyDescent="0.35">
      <c r="A1489" t="s">
        <v>14</v>
      </c>
      <c r="B1489" t="s">
        <v>2421</v>
      </c>
      <c r="C1489" t="s">
        <v>777</v>
      </c>
      <c r="D1489" t="s">
        <v>778</v>
      </c>
      <c r="E1489" t="s">
        <v>779</v>
      </c>
      <c r="F1489" t="s">
        <v>2422</v>
      </c>
      <c r="G1489" t="s">
        <v>2440</v>
      </c>
      <c r="H1489" s="15">
        <v>46031</v>
      </c>
      <c r="I1489" t="s">
        <v>2441</v>
      </c>
      <c r="J1489" t="s">
        <v>16</v>
      </c>
      <c r="K1489" t="s">
        <v>185</v>
      </c>
      <c r="N1489">
        <v>0</v>
      </c>
      <c r="O1489" t="s">
        <v>222</v>
      </c>
      <c r="P1489">
        <v>0</v>
      </c>
      <c r="U1489" s="15"/>
    </row>
    <row r="1490" spans="1:21" x14ac:dyDescent="0.35">
      <c r="A1490" t="s">
        <v>14</v>
      </c>
      <c r="B1490" t="s">
        <v>2421</v>
      </c>
      <c r="C1490" t="s">
        <v>647</v>
      </c>
      <c r="D1490" t="s">
        <v>648</v>
      </c>
      <c r="E1490" t="s">
        <v>649</v>
      </c>
      <c r="F1490" t="s">
        <v>2422</v>
      </c>
      <c r="G1490" t="s">
        <v>2440</v>
      </c>
      <c r="H1490" s="15">
        <v>46031</v>
      </c>
      <c r="I1490" t="s">
        <v>2442</v>
      </c>
      <c r="J1490" t="s">
        <v>16</v>
      </c>
      <c r="K1490" t="s">
        <v>185</v>
      </c>
      <c r="N1490">
        <v>0</v>
      </c>
      <c r="O1490" t="s">
        <v>222</v>
      </c>
      <c r="P1490">
        <v>0</v>
      </c>
      <c r="U1490" s="15"/>
    </row>
    <row r="1491" spans="1:21" x14ac:dyDescent="0.35">
      <c r="A1491" t="s">
        <v>14</v>
      </c>
      <c r="B1491" t="s">
        <v>3158</v>
      </c>
      <c r="C1491" t="s">
        <v>682</v>
      </c>
      <c r="D1491" t="s">
        <v>683</v>
      </c>
      <c r="E1491" t="s">
        <v>683</v>
      </c>
      <c r="F1491" t="s">
        <v>3159</v>
      </c>
      <c r="G1491" t="s">
        <v>3484</v>
      </c>
      <c r="H1491" s="15">
        <v>46072</v>
      </c>
      <c r="I1491" t="s">
        <v>3485</v>
      </c>
      <c r="J1491" t="s">
        <v>16</v>
      </c>
      <c r="K1491" t="s">
        <v>185</v>
      </c>
      <c r="N1491">
        <v>0</v>
      </c>
      <c r="O1491" t="s">
        <v>222</v>
      </c>
      <c r="P1491">
        <v>0</v>
      </c>
      <c r="U1491" s="15"/>
    </row>
    <row r="1492" spans="1:21" x14ac:dyDescent="0.35">
      <c r="A1492" t="s">
        <v>14</v>
      </c>
      <c r="B1492" t="s">
        <v>2421</v>
      </c>
      <c r="C1492" t="s">
        <v>667</v>
      </c>
      <c r="D1492" t="s">
        <v>668</v>
      </c>
      <c r="E1492" t="s">
        <v>669</v>
      </c>
      <c r="F1492" t="s">
        <v>2422</v>
      </c>
      <c r="G1492" t="s">
        <v>2443</v>
      </c>
      <c r="H1492" s="15">
        <v>46034</v>
      </c>
      <c r="I1492" t="s">
        <v>2444</v>
      </c>
      <c r="J1492" t="s">
        <v>16</v>
      </c>
      <c r="K1492" t="s">
        <v>185</v>
      </c>
      <c r="N1492">
        <v>0</v>
      </c>
      <c r="O1492" t="s">
        <v>222</v>
      </c>
      <c r="P1492">
        <v>0</v>
      </c>
      <c r="U1492" s="15"/>
    </row>
    <row r="1493" spans="1:21" x14ac:dyDescent="0.35">
      <c r="A1493" t="s">
        <v>14</v>
      </c>
      <c r="B1493" t="s">
        <v>2421</v>
      </c>
      <c r="C1493" t="s">
        <v>1255</v>
      </c>
      <c r="D1493" t="s">
        <v>1256</v>
      </c>
      <c r="E1493" t="s">
        <v>1257</v>
      </c>
      <c r="F1493" t="s">
        <v>2422</v>
      </c>
      <c r="G1493" t="s">
        <v>2445</v>
      </c>
      <c r="H1493" s="15">
        <v>46035</v>
      </c>
      <c r="I1493" t="s">
        <v>2446</v>
      </c>
      <c r="J1493" t="s">
        <v>16</v>
      </c>
      <c r="K1493" t="s">
        <v>185</v>
      </c>
      <c r="N1493">
        <v>0</v>
      </c>
      <c r="O1493" t="s">
        <v>222</v>
      </c>
      <c r="P1493">
        <v>0</v>
      </c>
      <c r="U1493" s="15"/>
    </row>
    <row r="1494" spans="1:21" x14ac:dyDescent="0.35">
      <c r="A1494" t="s">
        <v>14</v>
      </c>
      <c r="B1494" t="s">
        <v>3158</v>
      </c>
      <c r="C1494" t="s">
        <v>515</v>
      </c>
      <c r="D1494" t="s">
        <v>516</v>
      </c>
      <c r="E1494" t="s">
        <v>517</v>
      </c>
      <c r="F1494" t="s">
        <v>3159</v>
      </c>
      <c r="G1494" t="s">
        <v>3484</v>
      </c>
      <c r="H1494" s="15">
        <v>46072</v>
      </c>
      <c r="I1494" t="s">
        <v>3486</v>
      </c>
      <c r="J1494" t="s">
        <v>16</v>
      </c>
      <c r="K1494" t="s">
        <v>185</v>
      </c>
      <c r="N1494">
        <v>0</v>
      </c>
      <c r="O1494" t="s">
        <v>222</v>
      </c>
      <c r="P1494">
        <v>0</v>
      </c>
      <c r="U1494" s="15"/>
    </row>
    <row r="1495" spans="1:21" x14ac:dyDescent="0.35">
      <c r="A1495" t="s">
        <v>14</v>
      </c>
      <c r="B1495" t="s">
        <v>3158</v>
      </c>
      <c r="C1495" t="s">
        <v>667</v>
      </c>
      <c r="D1495" t="s">
        <v>668</v>
      </c>
      <c r="E1495" t="s">
        <v>669</v>
      </c>
      <c r="F1495" t="s">
        <v>3159</v>
      </c>
      <c r="G1495" t="s">
        <v>3498</v>
      </c>
      <c r="H1495" s="15">
        <v>46072</v>
      </c>
      <c r="I1495" t="s">
        <v>3499</v>
      </c>
      <c r="J1495" t="s">
        <v>233</v>
      </c>
      <c r="K1495" t="s">
        <v>185</v>
      </c>
      <c r="N1495">
        <v>0</v>
      </c>
      <c r="O1495" t="s">
        <v>222</v>
      </c>
      <c r="P1495">
        <v>0</v>
      </c>
      <c r="U1495" s="15"/>
    </row>
    <row r="1496" spans="1:21" x14ac:dyDescent="0.35">
      <c r="A1496" t="s">
        <v>14</v>
      </c>
      <c r="B1496" t="s">
        <v>2421</v>
      </c>
      <c r="C1496" t="s">
        <v>1255</v>
      </c>
      <c r="D1496" t="s">
        <v>1256</v>
      </c>
      <c r="E1496" t="s">
        <v>1257</v>
      </c>
      <c r="F1496" t="s">
        <v>2422</v>
      </c>
      <c r="G1496" t="s">
        <v>2450</v>
      </c>
      <c r="H1496" s="15">
        <v>46036</v>
      </c>
      <c r="I1496" t="s">
        <v>2451</v>
      </c>
      <c r="J1496" t="s">
        <v>16</v>
      </c>
      <c r="K1496" t="s">
        <v>185</v>
      </c>
      <c r="N1496">
        <v>0</v>
      </c>
      <c r="O1496" t="s">
        <v>222</v>
      </c>
      <c r="P1496">
        <v>0</v>
      </c>
      <c r="U1496" s="15"/>
    </row>
    <row r="1497" spans="1:21" x14ac:dyDescent="0.35">
      <c r="A1497" t="s">
        <v>14</v>
      </c>
      <c r="B1497" t="s">
        <v>3158</v>
      </c>
      <c r="C1497" t="s">
        <v>1255</v>
      </c>
      <c r="D1497" t="s">
        <v>1256</v>
      </c>
      <c r="E1497" t="s">
        <v>1257</v>
      </c>
      <c r="F1497" t="s">
        <v>3159</v>
      </c>
      <c r="G1497" t="s">
        <v>3500</v>
      </c>
      <c r="H1497" s="15">
        <v>46073</v>
      </c>
      <c r="I1497" t="s">
        <v>3501</v>
      </c>
      <c r="J1497" t="s">
        <v>16</v>
      </c>
      <c r="K1497" t="s">
        <v>185</v>
      </c>
      <c r="N1497">
        <v>0</v>
      </c>
      <c r="O1497" t="s">
        <v>222</v>
      </c>
      <c r="P1497">
        <v>0</v>
      </c>
      <c r="U1497" s="15"/>
    </row>
    <row r="1498" spans="1:21" x14ac:dyDescent="0.35">
      <c r="A1498" t="s">
        <v>14</v>
      </c>
      <c r="B1498" t="s">
        <v>3158</v>
      </c>
      <c r="C1498" t="s">
        <v>515</v>
      </c>
      <c r="D1498" t="s">
        <v>516</v>
      </c>
      <c r="E1498" t="s">
        <v>517</v>
      </c>
      <c r="F1498" t="s">
        <v>3159</v>
      </c>
      <c r="G1498" t="s">
        <v>3500</v>
      </c>
      <c r="H1498" s="15">
        <v>46073</v>
      </c>
      <c r="I1498" t="s">
        <v>3508</v>
      </c>
      <c r="J1498" t="s">
        <v>16</v>
      </c>
      <c r="K1498" t="s">
        <v>185</v>
      </c>
      <c r="N1498">
        <v>0</v>
      </c>
      <c r="O1498" t="s">
        <v>222</v>
      </c>
      <c r="P1498">
        <v>0</v>
      </c>
      <c r="U1498" s="15"/>
    </row>
    <row r="1499" spans="1:21" x14ac:dyDescent="0.35">
      <c r="A1499" t="s">
        <v>14</v>
      </c>
      <c r="B1499" t="s">
        <v>2421</v>
      </c>
      <c r="C1499" t="s">
        <v>1255</v>
      </c>
      <c r="D1499" t="s">
        <v>1256</v>
      </c>
      <c r="E1499" t="s">
        <v>1257</v>
      </c>
      <c r="F1499" t="s">
        <v>2422</v>
      </c>
      <c r="G1499" t="s">
        <v>2454</v>
      </c>
      <c r="H1499" s="15">
        <v>46037</v>
      </c>
      <c r="I1499" t="s">
        <v>2455</v>
      </c>
      <c r="J1499" t="s">
        <v>16</v>
      </c>
      <c r="K1499" t="s">
        <v>185</v>
      </c>
      <c r="N1499">
        <v>0</v>
      </c>
      <c r="O1499" t="s">
        <v>222</v>
      </c>
      <c r="P1499">
        <v>0</v>
      </c>
      <c r="U1499" s="15"/>
    </row>
    <row r="1500" spans="1:21" x14ac:dyDescent="0.35">
      <c r="A1500" t="s">
        <v>14</v>
      </c>
      <c r="B1500" t="s">
        <v>3158</v>
      </c>
      <c r="C1500" t="s">
        <v>1255</v>
      </c>
      <c r="D1500" t="s">
        <v>1256</v>
      </c>
      <c r="E1500" t="s">
        <v>1257</v>
      </c>
      <c r="F1500" t="s">
        <v>3159</v>
      </c>
      <c r="G1500" t="s">
        <v>3509</v>
      </c>
      <c r="H1500" s="15">
        <v>46073</v>
      </c>
      <c r="I1500" t="s">
        <v>3510</v>
      </c>
      <c r="J1500" t="s">
        <v>233</v>
      </c>
      <c r="K1500" t="s">
        <v>185</v>
      </c>
      <c r="N1500">
        <v>0</v>
      </c>
      <c r="O1500" t="s">
        <v>222</v>
      </c>
      <c r="P1500">
        <v>0</v>
      </c>
      <c r="U1500" s="15"/>
    </row>
    <row r="1501" spans="1:21" x14ac:dyDescent="0.35">
      <c r="A1501" t="s">
        <v>14</v>
      </c>
      <c r="B1501" t="s">
        <v>3158</v>
      </c>
      <c r="C1501" t="s">
        <v>515</v>
      </c>
      <c r="D1501" t="s">
        <v>516</v>
      </c>
      <c r="E1501" t="s">
        <v>517</v>
      </c>
      <c r="F1501" t="s">
        <v>3159</v>
      </c>
      <c r="G1501" t="s">
        <v>3511</v>
      </c>
      <c r="H1501" s="15">
        <v>46074</v>
      </c>
      <c r="I1501" t="s">
        <v>3512</v>
      </c>
      <c r="J1501" t="s">
        <v>16</v>
      </c>
      <c r="K1501" t="s">
        <v>185</v>
      </c>
      <c r="N1501">
        <v>0</v>
      </c>
      <c r="O1501" t="s">
        <v>222</v>
      </c>
      <c r="P1501">
        <v>0</v>
      </c>
      <c r="U1501" s="15"/>
    </row>
    <row r="1502" spans="1:21" x14ac:dyDescent="0.35">
      <c r="A1502" t="s">
        <v>14</v>
      </c>
      <c r="B1502" t="s">
        <v>2421</v>
      </c>
      <c r="C1502" t="s">
        <v>1255</v>
      </c>
      <c r="D1502" t="s">
        <v>1256</v>
      </c>
      <c r="E1502" t="s">
        <v>1257</v>
      </c>
      <c r="F1502" t="s">
        <v>2422</v>
      </c>
      <c r="G1502" t="s">
        <v>2456</v>
      </c>
      <c r="H1502" s="15">
        <v>46038</v>
      </c>
      <c r="I1502" t="s">
        <v>2457</v>
      </c>
      <c r="J1502" t="s">
        <v>16</v>
      </c>
      <c r="K1502" t="s">
        <v>185</v>
      </c>
      <c r="N1502">
        <v>0</v>
      </c>
      <c r="O1502" t="s">
        <v>222</v>
      </c>
      <c r="P1502">
        <v>0</v>
      </c>
      <c r="U1502" s="15"/>
    </row>
    <row r="1503" spans="1:21" x14ac:dyDescent="0.35">
      <c r="A1503" t="s">
        <v>14</v>
      </c>
      <c r="B1503" t="s">
        <v>3158</v>
      </c>
      <c r="C1503" t="s">
        <v>1255</v>
      </c>
      <c r="D1503" t="s">
        <v>1256</v>
      </c>
      <c r="E1503" t="s">
        <v>1257</v>
      </c>
      <c r="F1503" t="s">
        <v>3159</v>
      </c>
      <c r="G1503" t="s">
        <v>3511</v>
      </c>
      <c r="H1503" s="15">
        <v>46074</v>
      </c>
      <c r="I1503" t="s">
        <v>3513</v>
      </c>
      <c r="J1503" t="s">
        <v>16</v>
      </c>
      <c r="K1503" t="s">
        <v>185</v>
      </c>
      <c r="N1503">
        <v>0</v>
      </c>
      <c r="O1503" t="s">
        <v>222</v>
      </c>
      <c r="P1503">
        <v>0</v>
      </c>
      <c r="U1503" s="15"/>
    </row>
    <row r="1504" spans="1:21" x14ac:dyDescent="0.35">
      <c r="A1504" t="s">
        <v>14</v>
      </c>
      <c r="B1504" t="s">
        <v>3158</v>
      </c>
      <c r="C1504" t="s">
        <v>1255</v>
      </c>
      <c r="D1504" t="s">
        <v>1256</v>
      </c>
      <c r="E1504" t="s">
        <v>1257</v>
      </c>
      <c r="F1504" t="s">
        <v>3159</v>
      </c>
      <c r="G1504" t="s">
        <v>3521</v>
      </c>
      <c r="H1504" s="15">
        <v>46076</v>
      </c>
      <c r="I1504" t="s">
        <v>3522</v>
      </c>
      <c r="J1504" t="s">
        <v>233</v>
      </c>
      <c r="K1504" t="s">
        <v>185</v>
      </c>
      <c r="N1504">
        <v>0</v>
      </c>
      <c r="O1504" t="s">
        <v>222</v>
      </c>
      <c r="P1504">
        <v>0</v>
      </c>
      <c r="U1504" s="15"/>
    </row>
    <row r="1505" spans="1:21" x14ac:dyDescent="0.35">
      <c r="A1505" t="s">
        <v>14</v>
      </c>
      <c r="B1505" t="s">
        <v>2421</v>
      </c>
      <c r="C1505" t="s">
        <v>1255</v>
      </c>
      <c r="D1505" t="s">
        <v>1256</v>
      </c>
      <c r="E1505" t="s">
        <v>1257</v>
      </c>
      <c r="F1505" t="s">
        <v>2422</v>
      </c>
      <c r="G1505" t="s">
        <v>2465</v>
      </c>
      <c r="H1505" s="15">
        <v>46039</v>
      </c>
      <c r="I1505" t="s">
        <v>2466</v>
      </c>
      <c r="J1505" t="s">
        <v>16</v>
      </c>
      <c r="K1505" t="s">
        <v>185</v>
      </c>
      <c r="N1505">
        <v>0</v>
      </c>
      <c r="O1505" t="s">
        <v>222</v>
      </c>
      <c r="P1505">
        <v>0</v>
      </c>
      <c r="U1505" s="15"/>
    </row>
    <row r="1506" spans="1:21" x14ac:dyDescent="0.35">
      <c r="A1506" t="s">
        <v>14</v>
      </c>
      <c r="B1506" t="s">
        <v>3158</v>
      </c>
      <c r="C1506" t="s">
        <v>1255</v>
      </c>
      <c r="D1506" t="s">
        <v>1256</v>
      </c>
      <c r="E1506" t="s">
        <v>1257</v>
      </c>
      <c r="F1506" t="s">
        <v>3159</v>
      </c>
      <c r="G1506" t="s">
        <v>3523</v>
      </c>
      <c r="H1506" s="15">
        <v>46077</v>
      </c>
      <c r="I1506" t="s">
        <v>3524</v>
      </c>
      <c r="J1506" t="s">
        <v>16</v>
      </c>
      <c r="K1506" t="s">
        <v>185</v>
      </c>
      <c r="N1506">
        <v>0</v>
      </c>
      <c r="O1506" t="s">
        <v>222</v>
      </c>
      <c r="P1506">
        <v>0</v>
      </c>
      <c r="U1506" s="15"/>
    </row>
    <row r="1507" spans="1:21" x14ac:dyDescent="0.35">
      <c r="A1507" t="s">
        <v>14</v>
      </c>
      <c r="B1507" t="s">
        <v>2421</v>
      </c>
      <c r="C1507" t="s">
        <v>737</v>
      </c>
      <c r="D1507" t="s">
        <v>738</v>
      </c>
      <c r="E1507" t="s">
        <v>739</v>
      </c>
      <c r="F1507" t="s">
        <v>2422</v>
      </c>
      <c r="G1507" t="s">
        <v>2468</v>
      </c>
      <c r="H1507" s="15">
        <v>46041</v>
      </c>
      <c r="I1507" t="s">
        <v>2469</v>
      </c>
      <c r="J1507" t="s">
        <v>233</v>
      </c>
      <c r="K1507" t="s">
        <v>185</v>
      </c>
      <c r="N1507">
        <v>0</v>
      </c>
      <c r="O1507" t="s">
        <v>222</v>
      </c>
      <c r="P1507">
        <v>0</v>
      </c>
      <c r="U1507" s="15"/>
    </row>
    <row r="1508" spans="1:21" x14ac:dyDescent="0.35">
      <c r="A1508" t="s">
        <v>14</v>
      </c>
      <c r="B1508" t="s">
        <v>2421</v>
      </c>
      <c r="C1508" t="s">
        <v>1255</v>
      </c>
      <c r="D1508" t="s">
        <v>1256</v>
      </c>
      <c r="E1508" t="s">
        <v>1257</v>
      </c>
      <c r="F1508" t="s">
        <v>2422</v>
      </c>
      <c r="G1508" t="s">
        <v>2470</v>
      </c>
      <c r="H1508" s="15">
        <v>46042</v>
      </c>
      <c r="I1508" t="s">
        <v>2471</v>
      </c>
      <c r="J1508" t="s">
        <v>16</v>
      </c>
      <c r="K1508" t="s">
        <v>185</v>
      </c>
      <c r="N1508">
        <v>0</v>
      </c>
      <c r="O1508" t="s">
        <v>222</v>
      </c>
      <c r="P1508">
        <v>0</v>
      </c>
      <c r="U1508" s="15"/>
    </row>
    <row r="1509" spans="1:21" x14ac:dyDescent="0.35">
      <c r="A1509" t="s">
        <v>14</v>
      </c>
      <c r="B1509" t="s">
        <v>3158</v>
      </c>
      <c r="C1509" t="s">
        <v>531</v>
      </c>
      <c r="D1509" t="s">
        <v>532</v>
      </c>
      <c r="E1509" t="s">
        <v>533</v>
      </c>
      <c r="F1509" t="s">
        <v>3159</v>
      </c>
      <c r="G1509" t="s">
        <v>3523</v>
      </c>
      <c r="H1509" s="15">
        <v>46077</v>
      </c>
      <c r="I1509" t="s">
        <v>3525</v>
      </c>
      <c r="J1509" t="s">
        <v>16</v>
      </c>
      <c r="K1509" t="s">
        <v>185</v>
      </c>
      <c r="N1509">
        <v>0</v>
      </c>
      <c r="O1509" t="s">
        <v>222</v>
      </c>
      <c r="P1509">
        <v>0</v>
      </c>
      <c r="U1509" s="15"/>
    </row>
    <row r="1510" spans="1:21" x14ac:dyDescent="0.35">
      <c r="A1510" t="s">
        <v>14</v>
      </c>
      <c r="B1510" t="s">
        <v>3158</v>
      </c>
      <c r="C1510" t="s">
        <v>1255</v>
      </c>
      <c r="D1510" t="s">
        <v>1256</v>
      </c>
      <c r="E1510" t="s">
        <v>1257</v>
      </c>
      <c r="F1510" t="s">
        <v>3159</v>
      </c>
      <c r="G1510" t="s">
        <v>3531</v>
      </c>
      <c r="H1510" s="15">
        <v>46077</v>
      </c>
      <c r="I1510" t="s">
        <v>3532</v>
      </c>
      <c r="J1510" t="s">
        <v>233</v>
      </c>
      <c r="K1510" t="s">
        <v>185</v>
      </c>
      <c r="N1510">
        <v>0</v>
      </c>
      <c r="O1510" t="s">
        <v>222</v>
      </c>
      <c r="P1510">
        <v>0</v>
      </c>
      <c r="U1510" s="15"/>
    </row>
    <row r="1511" spans="1:21" x14ac:dyDescent="0.35">
      <c r="A1511" t="s">
        <v>14</v>
      </c>
      <c r="B1511" t="s">
        <v>2421</v>
      </c>
      <c r="C1511" t="s">
        <v>1255</v>
      </c>
      <c r="D1511" t="s">
        <v>1256</v>
      </c>
      <c r="E1511" t="s">
        <v>1257</v>
      </c>
      <c r="F1511" t="s">
        <v>2422</v>
      </c>
      <c r="G1511" t="s">
        <v>2475</v>
      </c>
      <c r="H1511" s="15">
        <v>46043</v>
      </c>
      <c r="I1511" t="s">
        <v>2476</v>
      </c>
      <c r="J1511" t="s">
        <v>16</v>
      </c>
      <c r="K1511" t="s">
        <v>185</v>
      </c>
      <c r="N1511">
        <v>0</v>
      </c>
      <c r="O1511" t="s">
        <v>222</v>
      </c>
      <c r="P1511">
        <v>0</v>
      </c>
      <c r="U1511" s="15"/>
    </row>
    <row r="1512" spans="1:21" x14ac:dyDescent="0.35">
      <c r="A1512" t="s">
        <v>14</v>
      </c>
      <c r="B1512" t="s">
        <v>2421</v>
      </c>
      <c r="C1512" t="s">
        <v>1255</v>
      </c>
      <c r="D1512" t="s">
        <v>1256</v>
      </c>
      <c r="E1512" t="s">
        <v>1257</v>
      </c>
      <c r="F1512" t="s">
        <v>2422</v>
      </c>
      <c r="G1512" t="s">
        <v>2480</v>
      </c>
      <c r="H1512" s="15">
        <v>46044</v>
      </c>
      <c r="I1512" t="s">
        <v>2481</v>
      </c>
      <c r="J1512" t="s">
        <v>16</v>
      </c>
      <c r="K1512" t="s">
        <v>185</v>
      </c>
      <c r="N1512">
        <v>0</v>
      </c>
      <c r="O1512" t="s">
        <v>222</v>
      </c>
      <c r="P1512">
        <v>0</v>
      </c>
      <c r="U1512" s="15"/>
    </row>
    <row r="1513" spans="1:21" x14ac:dyDescent="0.35">
      <c r="A1513" t="s">
        <v>14</v>
      </c>
      <c r="B1513" t="s">
        <v>3158</v>
      </c>
      <c r="C1513" t="s">
        <v>1255</v>
      </c>
      <c r="D1513" t="s">
        <v>1256</v>
      </c>
      <c r="E1513" t="s">
        <v>1257</v>
      </c>
      <c r="F1513" t="s">
        <v>3159</v>
      </c>
      <c r="G1513" t="s">
        <v>3533</v>
      </c>
      <c r="H1513" s="15">
        <v>46078</v>
      </c>
      <c r="I1513" t="s">
        <v>3534</v>
      </c>
      <c r="J1513" t="s">
        <v>16</v>
      </c>
      <c r="K1513" t="s">
        <v>185</v>
      </c>
      <c r="N1513">
        <v>0</v>
      </c>
      <c r="O1513" t="s">
        <v>222</v>
      </c>
      <c r="P1513">
        <v>0</v>
      </c>
      <c r="U1513" s="15"/>
    </row>
    <row r="1514" spans="1:21" x14ac:dyDescent="0.35">
      <c r="A1514" t="s">
        <v>14</v>
      </c>
      <c r="B1514" t="s">
        <v>3158</v>
      </c>
      <c r="C1514" t="s">
        <v>515</v>
      </c>
      <c r="D1514" t="s">
        <v>516</v>
      </c>
      <c r="E1514" t="s">
        <v>517</v>
      </c>
      <c r="F1514" t="s">
        <v>3159</v>
      </c>
      <c r="G1514" t="s">
        <v>3533</v>
      </c>
      <c r="H1514" s="15">
        <v>46078</v>
      </c>
      <c r="I1514" t="s">
        <v>3535</v>
      </c>
      <c r="J1514" t="s">
        <v>16</v>
      </c>
      <c r="K1514" t="s">
        <v>185</v>
      </c>
      <c r="N1514">
        <v>0</v>
      </c>
      <c r="O1514" t="s">
        <v>222</v>
      </c>
      <c r="P1514">
        <v>0</v>
      </c>
      <c r="U1514" s="15"/>
    </row>
    <row r="1515" spans="1:21" x14ac:dyDescent="0.35">
      <c r="A1515" t="s">
        <v>14</v>
      </c>
      <c r="B1515" t="s">
        <v>2421</v>
      </c>
      <c r="C1515" t="s">
        <v>1255</v>
      </c>
      <c r="D1515" t="s">
        <v>1256</v>
      </c>
      <c r="E1515" t="s">
        <v>1257</v>
      </c>
      <c r="F1515" t="s">
        <v>2422</v>
      </c>
      <c r="G1515" t="s">
        <v>2482</v>
      </c>
      <c r="H1515" s="15">
        <v>46045</v>
      </c>
      <c r="I1515" t="s">
        <v>2483</v>
      </c>
      <c r="J1515" t="s">
        <v>16</v>
      </c>
      <c r="K1515" t="s">
        <v>185</v>
      </c>
      <c r="N1515">
        <v>0</v>
      </c>
      <c r="O1515" t="s">
        <v>222</v>
      </c>
      <c r="P1515">
        <v>0</v>
      </c>
      <c r="U1515" s="15"/>
    </row>
    <row r="1516" spans="1:21" x14ac:dyDescent="0.35">
      <c r="A1516" t="s">
        <v>14</v>
      </c>
      <c r="B1516" t="s">
        <v>3158</v>
      </c>
      <c r="C1516" t="s">
        <v>1255</v>
      </c>
      <c r="D1516" t="s">
        <v>1256</v>
      </c>
      <c r="E1516" t="s">
        <v>1257</v>
      </c>
      <c r="F1516" t="s">
        <v>3159</v>
      </c>
      <c r="G1516" t="s">
        <v>3536</v>
      </c>
      <c r="H1516" s="15">
        <v>46078</v>
      </c>
      <c r="I1516" t="s">
        <v>3537</v>
      </c>
      <c r="J1516" t="s">
        <v>233</v>
      </c>
      <c r="K1516" t="s">
        <v>185</v>
      </c>
      <c r="N1516">
        <v>0</v>
      </c>
      <c r="O1516" t="s">
        <v>222</v>
      </c>
      <c r="P1516">
        <v>0</v>
      </c>
      <c r="U1516" s="15"/>
    </row>
    <row r="1517" spans="1:21" x14ac:dyDescent="0.35">
      <c r="A1517" t="s">
        <v>14</v>
      </c>
      <c r="B1517" t="s">
        <v>3158</v>
      </c>
      <c r="C1517" t="s">
        <v>1255</v>
      </c>
      <c r="D1517" t="s">
        <v>1256</v>
      </c>
      <c r="E1517" t="s">
        <v>1257</v>
      </c>
      <c r="F1517" t="s">
        <v>3159</v>
      </c>
      <c r="G1517" t="s">
        <v>3545</v>
      </c>
      <c r="H1517" s="15">
        <v>46079</v>
      </c>
      <c r="I1517" t="s">
        <v>3546</v>
      </c>
      <c r="J1517" t="s">
        <v>16</v>
      </c>
      <c r="K1517" t="s">
        <v>185</v>
      </c>
      <c r="N1517">
        <v>0</v>
      </c>
      <c r="O1517" t="s">
        <v>222</v>
      </c>
      <c r="P1517">
        <v>0</v>
      </c>
      <c r="U1517" s="15"/>
    </row>
    <row r="1518" spans="1:21" x14ac:dyDescent="0.35">
      <c r="A1518" t="s">
        <v>14</v>
      </c>
      <c r="B1518" t="s">
        <v>2421</v>
      </c>
      <c r="C1518" t="s">
        <v>1255</v>
      </c>
      <c r="D1518" t="s">
        <v>1256</v>
      </c>
      <c r="E1518" t="s">
        <v>1257</v>
      </c>
      <c r="F1518" t="s">
        <v>2422</v>
      </c>
      <c r="G1518" t="s">
        <v>2486</v>
      </c>
      <c r="H1518" s="15">
        <v>46048</v>
      </c>
      <c r="I1518" t="s">
        <v>2487</v>
      </c>
      <c r="J1518" t="s">
        <v>16</v>
      </c>
      <c r="K1518" t="s">
        <v>185</v>
      </c>
      <c r="N1518">
        <v>0</v>
      </c>
      <c r="O1518" t="s">
        <v>222</v>
      </c>
      <c r="P1518">
        <v>0</v>
      </c>
      <c r="U1518" s="15"/>
    </row>
    <row r="1519" spans="1:21" x14ac:dyDescent="0.35">
      <c r="A1519" t="s">
        <v>14</v>
      </c>
      <c r="B1519" t="s">
        <v>2421</v>
      </c>
      <c r="C1519" t="s">
        <v>1255</v>
      </c>
      <c r="D1519" t="s">
        <v>1256</v>
      </c>
      <c r="E1519" t="s">
        <v>1257</v>
      </c>
      <c r="F1519" t="s">
        <v>2422</v>
      </c>
      <c r="G1519" t="s">
        <v>2488</v>
      </c>
      <c r="H1519" s="15">
        <v>46049</v>
      </c>
      <c r="I1519" t="s">
        <v>2489</v>
      </c>
      <c r="J1519" t="s">
        <v>16</v>
      </c>
      <c r="K1519" t="s">
        <v>185</v>
      </c>
      <c r="N1519">
        <v>0</v>
      </c>
      <c r="O1519" t="s">
        <v>222</v>
      </c>
      <c r="P1519">
        <v>0</v>
      </c>
      <c r="U1519" s="15"/>
    </row>
    <row r="1520" spans="1:21" x14ac:dyDescent="0.35">
      <c r="A1520" t="s">
        <v>14</v>
      </c>
      <c r="B1520" t="s">
        <v>3158</v>
      </c>
      <c r="C1520" t="s">
        <v>531</v>
      </c>
      <c r="D1520" t="s">
        <v>532</v>
      </c>
      <c r="E1520" t="s">
        <v>533</v>
      </c>
      <c r="F1520" t="s">
        <v>3159</v>
      </c>
      <c r="G1520" t="s">
        <v>3545</v>
      </c>
      <c r="H1520" s="15">
        <v>46079</v>
      </c>
      <c r="I1520" t="s">
        <v>3547</v>
      </c>
      <c r="J1520" t="s">
        <v>16</v>
      </c>
      <c r="K1520" t="s">
        <v>185</v>
      </c>
      <c r="N1520">
        <v>0</v>
      </c>
      <c r="O1520" t="s">
        <v>222</v>
      </c>
      <c r="P1520">
        <v>0</v>
      </c>
      <c r="U1520" s="15"/>
    </row>
    <row r="1521" spans="1:21" x14ac:dyDescent="0.35">
      <c r="A1521" t="s">
        <v>14</v>
      </c>
      <c r="B1521" t="s">
        <v>2421</v>
      </c>
      <c r="C1521" t="s">
        <v>777</v>
      </c>
      <c r="D1521" t="s">
        <v>778</v>
      </c>
      <c r="E1521" t="s">
        <v>779</v>
      </c>
      <c r="F1521" t="s">
        <v>2422</v>
      </c>
      <c r="G1521" t="s">
        <v>2492</v>
      </c>
      <c r="H1521" s="15">
        <v>46050</v>
      </c>
      <c r="I1521" t="s">
        <v>2493</v>
      </c>
      <c r="J1521" t="s">
        <v>16</v>
      </c>
      <c r="K1521" t="s">
        <v>185</v>
      </c>
      <c r="N1521">
        <v>0</v>
      </c>
      <c r="O1521" t="s">
        <v>222</v>
      </c>
      <c r="P1521">
        <v>0</v>
      </c>
      <c r="U1521" s="15"/>
    </row>
    <row r="1522" spans="1:21" x14ac:dyDescent="0.35">
      <c r="A1522" t="s">
        <v>14</v>
      </c>
      <c r="B1522" t="s">
        <v>3158</v>
      </c>
      <c r="C1522" t="s">
        <v>1255</v>
      </c>
      <c r="D1522" t="s">
        <v>1256</v>
      </c>
      <c r="E1522" t="s">
        <v>1257</v>
      </c>
      <c r="F1522" t="s">
        <v>3159</v>
      </c>
      <c r="G1522" t="s">
        <v>3548</v>
      </c>
      <c r="H1522" s="15">
        <v>46079</v>
      </c>
      <c r="I1522" t="s">
        <v>3549</v>
      </c>
      <c r="J1522" t="s">
        <v>233</v>
      </c>
      <c r="K1522" t="s">
        <v>185</v>
      </c>
      <c r="N1522">
        <v>0</v>
      </c>
      <c r="O1522" t="s">
        <v>222</v>
      </c>
      <c r="P1522">
        <v>0</v>
      </c>
      <c r="U1522" s="15"/>
    </row>
    <row r="1523" spans="1:21" x14ac:dyDescent="0.35">
      <c r="A1523" t="s">
        <v>14</v>
      </c>
      <c r="B1523" t="s">
        <v>3158</v>
      </c>
      <c r="C1523" t="s">
        <v>1255</v>
      </c>
      <c r="D1523" t="s">
        <v>1256</v>
      </c>
      <c r="E1523" t="s">
        <v>1257</v>
      </c>
      <c r="F1523" t="s">
        <v>3159</v>
      </c>
      <c r="G1523" t="s">
        <v>3554</v>
      </c>
      <c r="H1523" s="15">
        <v>46080</v>
      </c>
      <c r="I1523" t="s">
        <v>3555</v>
      </c>
      <c r="J1523" t="s">
        <v>16</v>
      </c>
      <c r="K1523" t="s">
        <v>185</v>
      </c>
      <c r="N1523">
        <v>0</v>
      </c>
      <c r="O1523" t="s">
        <v>222</v>
      </c>
      <c r="P1523">
        <v>0</v>
      </c>
      <c r="U1523" s="15"/>
    </row>
    <row r="1524" spans="1:21" x14ac:dyDescent="0.35">
      <c r="A1524" t="s">
        <v>14</v>
      </c>
      <c r="B1524" t="s">
        <v>2421</v>
      </c>
      <c r="C1524" t="s">
        <v>1255</v>
      </c>
      <c r="D1524" t="s">
        <v>1256</v>
      </c>
      <c r="E1524" t="s">
        <v>1257</v>
      </c>
      <c r="F1524" t="s">
        <v>2422</v>
      </c>
      <c r="G1524" t="s">
        <v>2496</v>
      </c>
      <c r="H1524" s="15">
        <v>46051</v>
      </c>
      <c r="I1524" t="s">
        <v>2497</v>
      </c>
      <c r="J1524" t="s">
        <v>16</v>
      </c>
      <c r="K1524" t="s">
        <v>185</v>
      </c>
      <c r="N1524">
        <v>0</v>
      </c>
      <c r="O1524" t="s">
        <v>222</v>
      </c>
      <c r="P1524">
        <v>0</v>
      </c>
      <c r="U1524" s="15"/>
    </row>
    <row r="1525" spans="1:21" x14ac:dyDescent="0.35">
      <c r="A1525" t="s">
        <v>14</v>
      </c>
      <c r="B1525" t="s">
        <v>2421</v>
      </c>
      <c r="C1525" t="s">
        <v>1255</v>
      </c>
      <c r="D1525" t="s">
        <v>1256</v>
      </c>
      <c r="E1525" t="s">
        <v>1257</v>
      </c>
      <c r="F1525" t="s">
        <v>2422</v>
      </c>
      <c r="G1525" t="s">
        <v>2498</v>
      </c>
      <c r="H1525" s="15">
        <v>46052</v>
      </c>
      <c r="I1525" t="s">
        <v>2499</v>
      </c>
      <c r="J1525" t="s">
        <v>16</v>
      </c>
      <c r="K1525" t="s">
        <v>185</v>
      </c>
      <c r="N1525">
        <v>0</v>
      </c>
      <c r="O1525" t="s">
        <v>222</v>
      </c>
      <c r="P1525">
        <v>0</v>
      </c>
      <c r="U1525" s="15"/>
    </row>
    <row r="1526" spans="1:21" x14ac:dyDescent="0.35">
      <c r="A1526" t="s">
        <v>14</v>
      </c>
      <c r="B1526" t="s">
        <v>3158</v>
      </c>
      <c r="C1526" t="s">
        <v>880</v>
      </c>
      <c r="D1526" t="s">
        <v>881</v>
      </c>
      <c r="E1526" t="s">
        <v>882</v>
      </c>
      <c r="F1526" t="s">
        <v>3159</v>
      </c>
      <c r="G1526" t="s">
        <v>3554</v>
      </c>
      <c r="H1526" s="15">
        <v>46080</v>
      </c>
      <c r="I1526" t="s">
        <v>3560</v>
      </c>
      <c r="J1526" t="s">
        <v>16</v>
      </c>
      <c r="K1526" t="s">
        <v>185</v>
      </c>
      <c r="N1526">
        <v>0</v>
      </c>
      <c r="O1526" t="s">
        <v>222</v>
      </c>
      <c r="P1526">
        <v>0</v>
      </c>
      <c r="U1526" s="15"/>
    </row>
    <row r="1527" spans="1:21" x14ac:dyDescent="0.35">
      <c r="A1527" t="s">
        <v>14</v>
      </c>
      <c r="B1527" t="s">
        <v>3158</v>
      </c>
      <c r="C1527" t="s">
        <v>1255</v>
      </c>
      <c r="D1527" t="s">
        <v>1256</v>
      </c>
      <c r="E1527" t="s">
        <v>1257</v>
      </c>
      <c r="F1527" t="s">
        <v>3159</v>
      </c>
      <c r="G1527" t="s">
        <v>3561</v>
      </c>
      <c r="H1527" s="15">
        <v>46080</v>
      </c>
      <c r="I1527" t="s">
        <v>3562</v>
      </c>
      <c r="J1527" t="s">
        <v>233</v>
      </c>
      <c r="K1527" t="s">
        <v>185</v>
      </c>
      <c r="N1527">
        <v>0</v>
      </c>
      <c r="O1527" t="s">
        <v>222</v>
      </c>
      <c r="P1527">
        <v>0</v>
      </c>
      <c r="U1527" s="15"/>
    </row>
    <row r="1528" spans="1:21" x14ac:dyDescent="0.35">
      <c r="A1528" t="s">
        <v>14</v>
      </c>
      <c r="B1528" t="s">
        <v>2421</v>
      </c>
      <c r="C1528" t="s">
        <v>821</v>
      </c>
      <c r="D1528" t="s">
        <v>822</v>
      </c>
      <c r="E1528" t="s">
        <v>823</v>
      </c>
      <c r="F1528" t="s">
        <v>2422</v>
      </c>
      <c r="G1528" t="s">
        <v>2507</v>
      </c>
      <c r="H1528" s="15">
        <v>46055</v>
      </c>
      <c r="I1528" t="s">
        <v>2508</v>
      </c>
      <c r="J1528" t="s">
        <v>16</v>
      </c>
      <c r="K1528" t="s">
        <v>185</v>
      </c>
      <c r="N1528">
        <v>0</v>
      </c>
      <c r="O1528" t="s">
        <v>222</v>
      </c>
      <c r="P1528">
        <v>0</v>
      </c>
      <c r="U1528" s="15"/>
    </row>
    <row r="1529" spans="1:21" x14ac:dyDescent="0.35">
      <c r="A1529" t="s">
        <v>14</v>
      </c>
      <c r="B1529" t="s">
        <v>2421</v>
      </c>
      <c r="C1529" t="s">
        <v>737</v>
      </c>
      <c r="D1529" t="s">
        <v>738</v>
      </c>
      <c r="E1529" t="s">
        <v>739</v>
      </c>
      <c r="F1529" t="s">
        <v>2422</v>
      </c>
      <c r="G1529" t="s">
        <v>2507</v>
      </c>
      <c r="H1529" s="15">
        <v>46055</v>
      </c>
      <c r="I1529" t="s">
        <v>2509</v>
      </c>
      <c r="J1529" t="s">
        <v>16</v>
      </c>
      <c r="K1529" t="s">
        <v>185</v>
      </c>
      <c r="N1529">
        <v>0</v>
      </c>
      <c r="O1529" t="s">
        <v>222</v>
      </c>
      <c r="P1529">
        <v>0</v>
      </c>
      <c r="U1529" s="15"/>
    </row>
    <row r="1530" spans="1:21" x14ac:dyDescent="0.35">
      <c r="A1530" t="s">
        <v>14</v>
      </c>
      <c r="B1530" t="s">
        <v>2421</v>
      </c>
      <c r="C1530" t="s">
        <v>647</v>
      </c>
      <c r="D1530" t="s">
        <v>648</v>
      </c>
      <c r="E1530" t="s">
        <v>649</v>
      </c>
      <c r="F1530" t="s">
        <v>2422</v>
      </c>
      <c r="G1530" t="s">
        <v>2510</v>
      </c>
      <c r="H1530" s="15">
        <v>46056</v>
      </c>
      <c r="I1530" t="s">
        <v>2511</v>
      </c>
      <c r="J1530" t="s">
        <v>16</v>
      </c>
      <c r="K1530" t="s">
        <v>185</v>
      </c>
      <c r="N1530">
        <v>0</v>
      </c>
      <c r="O1530" t="s">
        <v>222</v>
      </c>
      <c r="P1530">
        <v>0</v>
      </c>
      <c r="U1530" s="15"/>
    </row>
    <row r="1531" spans="1:21" x14ac:dyDescent="0.35">
      <c r="A1531" t="s">
        <v>14</v>
      </c>
      <c r="B1531" t="s">
        <v>3158</v>
      </c>
      <c r="C1531" t="s">
        <v>515</v>
      </c>
      <c r="D1531" t="s">
        <v>516</v>
      </c>
      <c r="E1531" t="s">
        <v>517</v>
      </c>
      <c r="F1531" t="s">
        <v>3159</v>
      </c>
      <c r="G1531" t="s">
        <v>3568</v>
      </c>
      <c r="H1531" s="15">
        <v>46081</v>
      </c>
      <c r="I1531" t="s">
        <v>3569</v>
      </c>
      <c r="J1531" t="s">
        <v>16</v>
      </c>
      <c r="K1531" t="s">
        <v>185</v>
      </c>
      <c r="N1531">
        <v>0</v>
      </c>
      <c r="O1531" t="s">
        <v>222</v>
      </c>
      <c r="P1531">
        <v>0</v>
      </c>
      <c r="U1531" s="15"/>
    </row>
    <row r="1532" spans="1:21" x14ac:dyDescent="0.35">
      <c r="A1532" t="s">
        <v>14</v>
      </c>
      <c r="B1532" t="s">
        <v>2421</v>
      </c>
      <c r="C1532" t="s">
        <v>1255</v>
      </c>
      <c r="D1532" t="s">
        <v>1256</v>
      </c>
      <c r="E1532" t="s">
        <v>1257</v>
      </c>
      <c r="F1532" t="s">
        <v>2422</v>
      </c>
      <c r="G1532" t="s">
        <v>2510</v>
      </c>
      <c r="H1532" s="15">
        <v>46056</v>
      </c>
      <c r="I1532" t="s">
        <v>2515</v>
      </c>
      <c r="J1532" t="s">
        <v>16</v>
      </c>
      <c r="K1532" t="s">
        <v>185</v>
      </c>
      <c r="N1532">
        <v>0</v>
      </c>
      <c r="O1532" t="s">
        <v>222</v>
      </c>
      <c r="P1532">
        <v>0</v>
      </c>
      <c r="U1532" s="15"/>
    </row>
    <row r="1533" spans="1:21" x14ac:dyDescent="0.35">
      <c r="A1533" t="s">
        <v>14</v>
      </c>
      <c r="B1533" t="s">
        <v>3158</v>
      </c>
      <c r="C1533" t="s">
        <v>1255</v>
      </c>
      <c r="D1533" t="s">
        <v>1256</v>
      </c>
      <c r="E1533" t="s">
        <v>1257</v>
      </c>
      <c r="F1533" t="s">
        <v>3159</v>
      </c>
      <c r="G1533" t="s">
        <v>3568</v>
      </c>
      <c r="H1533" s="15">
        <v>46081</v>
      </c>
      <c r="I1533" t="s">
        <v>3570</v>
      </c>
      <c r="J1533" t="s">
        <v>16</v>
      </c>
      <c r="K1533" t="s">
        <v>185</v>
      </c>
      <c r="N1533">
        <v>0</v>
      </c>
      <c r="O1533" t="s">
        <v>222</v>
      </c>
      <c r="P1533">
        <v>0</v>
      </c>
      <c r="U1533" s="15"/>
    </row>
    <row r="1534" spans="1:21" x14ac:dyDescent="0.35">
      <c r="A1534" t="s">
        <v>14</v>
      </c>
      <c r="B1534" t="s">
        <v>3158</v>
      </c>
      <c r="C1534" t="s">
        <v>1255</v>
      </c>
      <c r="D1534" t="s">
        <v>1256</v>
      </c>
      <c r="E1534" t="s">
        <v>1257</v>
      </c>
      <c r="F1534" t="s">
        <v>3159</v>
      </c>
      <c r="G1534" t="s">
        <v>3571</v>
      </c>
      <c r="H1534" s="15">
        <v>46083</v>
      </c>
      <c r="I1534" t="s">
        <v>3572</v>
      </c>
      <c r="J1534" t="s">
        <v>16</v>
      </c>
      <c r="K1534" t="s">
        <v>185</v>
      </c>
      <c r="N1534">
        <v>0</v>
      </c>
      <c r="O1534" t="s">
        <v>222</v>
      </c>
      <c r="P1534">
        <v>0</v>
      </c>
      <c r="U1534" s="15"/>
    </row>
    <row r="1535" spans="1:21" x14ac:dyDescent="0.35">
      <c r="A1535" t="s">
        <v>14</v>
      </c>
      <c r="B1535" t="s">
        <v>2421</v>
      </c>
      <c r="C1535" t="s">
        <v>1255</v>
      </c>
      <c r="D1535" t="s">
        <v>1256</v>
      </c>
      <c r="E1535" t="s">
        <v>1257</v>
      </c>
      <c r="F1535" t="s">
        <v>2422</v>
      </c>
      <c r="G1535" t="s">
        <v>2516</v>
      </c>
      <c r="H1535" s="15">
        <v>46057</v>
      </c>
      <c r="I1535" t="s">
        <v>2517</v>
      </c>
      <c r="J1535" t="s">
        <v>16</v>
      </c>
      <c r="K1535" t="s">
        <v>185</v>
      </c>
      <c r="N1535">
        <v>0</v>
      </c>
      <c r="O1535" t="s">
        <v>222</v>
      </c>
      <c r="P1535">
        <v>0</v>
      </c>
      <c r="U1535" s="15"/>
    </row>
    <row r="1536" spans="1:21" x14ac:dyDescent="0.35">
      <c r="A1536" t="s">
        <v>14</v>
      </c>
      <c r="B1536" t="s">
        <v>2421</v>
      </c>
      <c r="C1536" t="s">
        <v>1255</v>
      </c>
      <c r="D1536" t="s">
        <v>1256</v>
      </c>
      <c r="E1536" t="s">
        <v>1257</v>
      </c>
      <c r="F1536" t="s">
        <v>2422</v>
      </c>
      <c r="G1536" t="s">
        <v>2518</v>
      </c>
      <c r="H1536" s="15">
        <v>46058</v>
      </c>
      <c r="I1536" t="s">
        <v>2519</v>
      </c>
      <c r="J1536" t="s">
        <v>16</v>
      </c>
      <c r="K1536" t="s">
        <v>185</v>
      </c>
      <c r="N1536">
        <v>0</v>
      </c>
      <c r="O1536" t="s">
        <v>222</v>
      </c>
      <c r="P1536">
        <v>0</v>
      </c>
      <c r="U1536" s="15"/>
    </row>
    <row r="1537" spans="1:21" x14ac:dyDescent="0.35">
      <c r="A1537" t="s">
        <v>14</v>
      </c>
      <c r="B1537" t="s">
        <v>3158</v>
      </c>
      <c r="C1537" t="s">
        <v>498</v>
      </c>
      <c r="D1537" t="s">
        <v>499</v>
      </c>
      <c r="E1537" t="s">
        <v>500</v>
      </c>
      <c r="F1537" t="s">
        <v>3159</v>
      </c>
      <c r="G1537" t="s">
        <v>3571</v>
      </c>
      <c r="H1537" s="15">
        <v>46083</v>
      </c>
      <c r="I1537" t="s">
        <v>3578</v>
      </c>
      <c r="J1537" t="s">
        <v>16</v>
      </c>
      <c r="K1537" t="s">
        <v>185</v>
      </c>
      <c r="N1537">
        <v>0</v>
      </c>
      <c r="O1537" t="s">
        <v>222</v>
      </c>
      <c r="P1537">
        <v>0</v>
      </c>
      <c r="U1537" s="15"/>
    </row>
    <row r="1538" spans="1:21" x14ac:dyDescent="0.35">
      <c r="A1538" t="s">
        <v>14</v>
      </c>
      <c r="B1538" t="s">
        <v>3158</v>
      </c>
      <c r="C1538" t="s">
        <v>697</v>
      </c>
      <c r="D1538" t="s">
        <v>698</v>
      </c>
      <c r="E1538" t="s">
        <v>699</v>
      </c>
      <c r="F1538" t="s">
        <v>3159</v>
      </c>
      <c r="G1538" t="s">
        <v>3579</v>
      </c>
      <c r="H1538" s="15">
        <v>46083</v>
      </c>
      <c r="I1538" t="s">
        <v>3580</v>
      </c>
      <c r="J1538" t="s">
        <v>233</v>
      </c>
      <c r="K1538" t="s">
        <v>185</v>
      </c>
      <c r="N1538">
        <v>0</v>
      </c>
      <c r="O1538" t="s">
        <v>222</v>
      </c>
      <c r="P1538">
        <v>0</v>
      </c>
      <c r="U1538" s="15"/>
    </row>
    <row r="1539" spans="1:21" x14ac:dyDescent="0.35">
      <c r="A1539" t="s">
        <v>14</v>
      </c>
      <c r="B1539" t="s">
        <v>2421</v>
      </c>
      <c r="C1539" t="s">
        <v>1255</v>
      </c>
      <c r="D1539" t="s">
        <v>1256</v>
      </c>
      <c r="E1539" t="s">
        <v>1257</v>
      </c>
      <c r="F1539" t="s">
        <v>2422</v>
      </c>
      <c r="G1539" t="s">
        <v>2522</v>
      </c>
      <c r="H1539" s="15">
        <v>46059</v>
      </c>
      <c r="I1539" t="s">
        <v>2523</v>
      </c>
      <c r="J1539" t="s">
        <v>16</v>
      </c>
      <c r="K1539" t="s">
        <v>185</v>
      </c>
      <c r="N1539">
        <v>0</v>
      </c>
      <c r="O1539" t="s">
        <v>222</v>
      </c>
      <c r="P1539">
        <v>0</v>
      </c>
      <c r="U1539" s="15"/>
    </row>
    <row r="1540" spans="1:21" x14ac:dyDescent="0.35">
      <c r="A1540" t="s">
        <v>14</v>
      </c>
      <c r="B1540" t="s">
        <v>2421</v>
      </c>
      <c r="C1540" t="s">
        <v>1255</v>
      </c>
      <c r="D1540" t="s">
        <v>1256</v>
      </c>
      <c r="E1540" t="s">
        <v>1257</v>
      </c>
      <c r="F1540" t="s">
        <v>2422</v>
      </c>
      <c r="G1540" t="s">
        <v>2527</v>
      </c>
      <c r="H1540" s="15">
        <v>46062</v>
      </c>
      <c r="I1540" t="s">
        <v>2528</v>
      </c>
      <c r="J1540" t="s">
        <v>16</v>
      </c>
      <c r="K1540" t="s">
        <v>185</v>
      </c>
      <c r="N1540">
        <v>0</v>
      </c>
      <c r="O1540" t="s">
        <v>222</v>
      </c>
      <c r="P1540">
        <v>0</v>
      </c>
      <c r="U1540" s="15"/>
    </row>
    <row r="1541" spans="1:21" x14ac:dyDescent="0.35">
      <c r="A1541" t="s">
        <v>14</v>
      </c>
      <c r="B1541" t="s">
        <v>3158</v>
      </c>
      <c r="C1541" t="s">
        <v>515</v>
      </c>
      <c r="D1541" t="s">
        <v>516</v>
      </c>
      <c r="E1541" t="s">
        <v>517</v>
      </c>
      <c r="F1541" t="s">
        <v>3159</v>
      </c>
      <c r="G1541" t="s">
        <v>3581</v>
      </c>
      <c r="H1541" s="15">
        <v>46084</v>
      </c>
      <c r="I1541" t="s">
        <v>3582</v>
      </c>
      <c r="J1541" t="s">
        <v>16</v>
      </c>
      <c r="K1541" t="s">
        <v>185</v>
      </c>
      <c r="N1541">
        <v>0</v>
      </c>
      <c r="O1541" t="s">
        <v>222</v>
      </c>
      <c r="P1541">
        <v>0</v>
      </c>
      <c r="U1541" s="15"/>
    </row>
    <row r="1542" spans="1:21" x14ac:dyDescent="0.35">
      <c r="A1542" t="s">
        <v>14</v>
      </c>
      <c r="B1542" t="s">
        <v>3158</v>
      </c>
      <c r="C1542" t="s">
        <v>777</v>
      </c>
      <c r="D1542" t="s">
        <v>778</v>
      </c>
      <c r="E1542" t="s">
        <v>779</v>
      </c>
      <c r="F1542" t="s">
        <v>3159</v>
      </c>
      <c r="G1542" t="s">
        <v>3581</v>
      </c>
      <c r="H1542" s="15">
        <v>46084</v>
      </c>
      <c r="I1542" t="s">
        <v>3583</v>
      </c>
      <c r="J1542" t="s">
        <v>16</v>
      </c>
      <c r="K1542" t="s">
        <v>185</v>
      </c>
      <c r="N1542">
        <v>0</v>
      </c>
      <c r="O1542" t="s">
        <v>222</v>
      </c>
      <c r="P1542">
        <v>0</v>
      </c>
      <c r="U1542" s="15"/>
    </row>
    <row r="1543" spans="1:21" x14ac:dyDescent="0.35">
      <c r="A1543" t="s">
        <v>14</v>
      </c>
      <c r="B1543" t="s">
        <v>2421</v>
      </c>
      <c r="C1543" t="s">
        <v>1255</v>
      </c>
      <c r="D1543" t="s">
        <v>1256</v>
      </c>
      <c r="E1543" t="s">
        <v>1257</v>
      </c>
      <c r="F1543" t="s">
        <v>2422</v>
      </c>
      <c r="G1543" t="s">
        <v>2532</v>
      </c>
      <c r="H1543" s="15">
        <v>46063</v>
      </c>
      <c r="I1543" t="s">
        <v>2533</v>
      </c>
      <c r="J1543" t="s">
        <v>16</v>
      </c>
      <c r="K1543" t="s">
        <v>185</v>
      </c>
      <c r="N1543">
        <v>0</v>
      </c>
      <c r="O1543" t="s">
        <v>222</v>
      </c>
      <c r="P1543">
        <v>0</v>
      </c>
      <c r="U1543" s="15"/>
    </row>
    <row r="1544" spans="1:21" x14ac:dyDescent="0.35">
      <c r="A1544" t="s">
        <v>14</v>
      </c>
      <c r="B1544" t="s">
        <v>3158</v>
      </c>
      <c r="C1544" t="s">
        <v>1255</v>
      </c>
      <c r="D1544" t="s">
        <v>1256</v>
      </c>
      <c r="E1544" t="s">
        <v>1257</v>
      </c>
      <c r="F1544" t="s">
        <v>3159</v>
      </c>
      <c r="G1544" t="s">
        <v>3584</v>
      </c>
      <c r="H1544" s="15">
        <v>46085</v>
      </c>
      <c r="I1544" t="s">
        <v>3585</v>
      </c>
      <c r="J1544" t="s">
        <v>16</v>
      </c>
      <c r="K1544" t="s">
        <v>185</v>
      </c>
      <c r="N1544">
        <v>0</v>
      </c>
      <c r="O1544" t="s">
        <v>222</v>
      </c>
      <c r="P1544">
        <v>0</v>
      </c>
      <c r="U1544" s="15"/>
    </row>
    <row r="1545" spans="1:21" x14ac:dyDescent="0.35">
      <c r="A1545" t="s">
        <v>14</v>
      </c>
      <c r="B1545" t="s">
        <v>2421</v>
      </c>
      <c r="C1545" t="s">
        <v>1255</v>
      </c>
      <c r="D1545" t="s">
        <v>1256</v>
      </c>
      <c r="E1545" t="s">
        <v>1257</v>
      </c>
      <c r="F1545" t="s">
        <v>2422</v>
      </c>
      <c r="G1545" t="s">
        <v>2536</v>
      </c>
      <c r="H1545" s="15">
        <v>46064</v>
      </c>
      <c r="I1545" t="s">
        <v>2537</v>
      </c>
      <c r="J1545" t="s">
        <v>16</v>
      </c>
      <c r="K1545" t="s">
        <v>185</v>
      </c>
      <c r="N1545">
        <v>0</v>
      </c>
      <c r="O1545" t="s">
        <v>222</v>
      </c>
      <c r="P1545">
        <v>0</v>
      </c>
      <c r="U1545" s="15"/>
    </row>
    <row r="1546" spans="1:21" x14ac:dyDescent="0.35">
      <c r="A1546" t="s">
        <v>14</v>
      </c>
      <c r="B1546" t="s">
        <v>2421</v>
      </c>
      <c r="C1546" t="s">
        <v>1255</v>
      </c>
      <c r="D1546" t="s">
        <v>1256</v>
      </c>
      <c r="E1546" t="s">
        <v>1257</v>
      </c>
      <c r="F1546" t="s">
        <v>2422</v>
      </c>
      <c r="G1546" t="s">
        <v>2538</v>
      </c>
      <c r="H1546" s="15">
        <v>46065</v>
      </c>
      <c r="I1546" t="s">
        <v>2539</v>
      </c>
      <c r="J1546" t="s">
        <v>16</v>
      </c>
      <c r="K1546" t="s">
        <v>185</v>
      </c>
      <c r="N1546">
        <v>0</v>
      </c>
      <c r="O1546" t="s">
        <v>222</v>
      </c>
      <c r="P1546">
        <v>0</v>
      </c>
      <c r="U1546" s="15"/>
    </row>
    <row r="1547" spans="1:21" x14ac:dyDescent="0.35">
      <c r="A1547" t="s">
        <v>14</v>
      </c>
      <c r="B1547" t="s">
        <v>3158</v>
      </c>
      <c r="C1547" t="s">
        <v>515</v>
      </c>
      <c r="D1547" t="s">
        <v>516</v>
      </c>
      <c r="E1547" t="s">
        <v>517</v>
      </c>
      <c r="F1547" t="s">
        <v>3159</v>
      </c>
      <c r="G1547" t="s">
        <v>3584</v>
      </c>
      <c r="H1547" s="15">
        <v>46085</v>
      </c>
      <c r="I1547" t="s">
        <v>3591</v>
      </c>
      <c r="J1547" t="s">
        <v>16</v>
      </c>
      <c r="K1547" t="s">
        <v>185</v>
      </c>
      <c r="N1547">
        <v>0</v>
      </c>
      <c r="O1547" t="s">
        <v>222</v>
      </c>
      <c r="P1547">
        <v>0</v>
      </c>
      <c r="U1547" s="15"/>
    </row>
    <row r="1548" spans="1:21" x14ac:dyDescent="0.35">
      <c r="A1548" t="s">
        <v>14</v>
      </c>
      <c r="B1548" t="s">
        <v>3158</v>
      </c>
      <c r="C1548" t="s">
        <v>1255</v>
      </c>
      <c r="D1548" t="s">
        <v>1256</v>
      </c>
      <c r="E1548" t="s">
        <v>1257</v>
      </c>
      <c r="F1548" t="s">
        <v>3159</v>
      </c>
      <c r="G1548" t="s">
        <v>3596</v>
      </c>
      <c r="H1548" s="15">
        <v>46085</v>
      </c>
      <c r="I1548" t="s">
        <v>3597</v>
      </c>
      <c r="J1548" t="s">
        <v>233</v>
      </c>
      <c r="K1548" t="s">
        <v>185</v>
      </c>
      <c r="N1548">
        <v>0</v>
      </c>
      <c r="O1548" t="s">
        <v>222</v>
      </c>
      <c r="P1548">
        <v>0</v>
      </c>
      <c r="U1548" s="15"/>
    </row>
    <row r="1549" spans="1:21" x14ac:dyDescent="0.35">
      <c r="A1549" t="s">
        <v>14</v>
      </c>
      <c r="B1549" t="s">
        <v>2421</v>
      </c>
      <c r="C1549" t="s">
        <v>1255</v>
      </c>
      <c r="D1549" t="s">
        <v>1256</v>
      </c>
      <c r="E1549" t="s">
        <v>1257</v>
      </c>
      <c r="F1549" t="s">
        <v>2422</v>
      </c>
      <c r="G1549" t="s">
        <v>2542</v>
      </c>
      <c r="H1549" s="15">
        <v>46066</v>
      </c>
      <c r="I1549" t="s">
        <v>2543</v>
      </c>
      <c r="J1549" t="s">
        <v>16</v>
      </c>
      <c r="K1549" t="s">
        <v>185</v>
      </c>
      <c r="N1549">
        <v>0</v>
      </c>
      <c r="O1549" t="s">
        <v>222</v>
      </c>
      <c r="P1549">
        <v>0</v>
      </c>
      <c r="U1549" s="15"/>
    </row>
    <row r="1550" spans="1:21" x14ac:dyDescent="0.35">
      <c r="A1550" t="s">
        <v>14</v>
      </c>
      <c r="B1550" t="s">
        <v>2421</v>
      </c>
      <c r="C1550" t="s">
        <v>1255</v>
      </c>
      <c r="D1550" t="s">
        <v>1256</v>
      </c>
      <c r="E1550" t="s">
        <v>1257</v>
      </c>
      <c r="F1550" t="s">
        <v>2422</v>
      </c>
      <c r="G1550" t="s">
        <v>2548</v>
      </c>
      <c r="H1550" s="15">
        <v>46067</v>
      </c>
      <c r="I1550" t="s">
        <v>2549</v>
      </c>
      <c r="J1550" t="s">
        <v>16</v>
      </c>
      <c r="K1550" t="s">
        <v>185</v>
      </c>
      <c r="N1550">
        <v>0</v>
      </c>
      <c r="O1550" t="s">
        <v>222</v>
      </c>
      <c r="P1550">
        <v>0</v>
      </c>
      <c r="U1550" s="15"/>
    </row>
    <row r="1551" spans="1:21" x14ac:dyDescent="0.35">
      <c r="A1551" t="s">
        <v>14</v>
      </c>
      <c r="B1551" t="s">
        <v>3158</v>
      </c>
      <c r="C1551" t="s">
        <v>1255</v>
      </c>
      <c r="D1551" t="s">
        <v>1256</v>
      </c>
      <c r="E1551" t="s">
        <v>1257</v>
      </c>
      <c r="F1551" t="s">
        <v>3159</v>
      </c>
      <c r="G1551" t="s">
        <v>3598</v>
      </c>
      <c r="H1551" s="15">
        <v>46086</v>
      </c>
      <c r="I1551" t="s">
        <v>3599</v>
      </c>
      <c r="J1551" t="s">
        <v>16</v>
      </c>
      <c r="K1551" t="s">
        <v>185</v>
      </c>
      <c r="N1551">
        <v>0</v>
      </c>
      <c r="O1551" t="s">
        <v>222</v>
      </c>
      <c r="P1551">
        <v>0</v>
      </c>
      <c r="U1551" s="15"/>
    </row>
    <row r="1552" spans="1:21" x14ac:dyDescent="0.35">
      <c r="A1552" t="s">
        <v>14</v>
      </c>
      <c r="B1552" t="s">
        <v>3158</v>
      </c>
      <c r="C1552" t="s">
        <v>515</v>
      </c>
      <c r="D1552" t="s">
        <v>516</v>
      </c>
      <c r="E1552" t="s">
        <v>517</v>
      </c>
      <c r="F1552" t="s">
        <v>3159</v>
      </c>
      <c r="G1552" t="s">
        <v>3598</v>
      </c>
      <c r="H1552" s="15">
        <v>46086</v>
      </c>
      <c r="I1552" t="s">
        <v>3600</v>
      </c>
      <c r="J1552" t="s">
        <v>16</v>
      </c>
      <c r="K1552" t="s">
        <v>185</v>
      </c>
      <c r="N1552">
        <v>0</v>
      </c>
      <c r="O1552" t="s">
        <v>222</v>
      </c>
      <c r="P1552">
        <v>0</v>
      </c>
      <c r="U1552" s="15"/>
    </row>
    <row r="1553" spans="1:21" x14ac:dyDescent="0.35">
      <c r="A1553" t="s">
        <v>14</v>
      </c>
      <c r="B1553" t="s">
        <v>2421</v>
      </c>
      <c r="C1553" t="s">
        <v>1255</v>
      </c>
      <c r="D1553" t="s">
        <v>1256</v>
      </c>
      <c r="E1553" t="s">
        <v>1257</v>
      </c>
      <c r="F1553" t="s">
        <v>2422</v>
      </c>
      <c r="G1553" t="s">
        <v>2553</v>
      </c>
      <c r="H1553" s="15">
        <v>46069</v>
      </c>
      <c r="I1553" t="s">
        <v>2554</v>
      </c>
      <c r="J1553" t="s">
        <v>233</v>
      </c>
      <c r="K1553" t="s">
        <v>185</v>
      </c>
      <c r="N1553">
        <v>0</v>
      </c>
      <c r="O1553" t="s">
        <v>222</v>
      </c>
      <c r="P1553">
        <v>0</v>
      </c>
      <c r="U1553" s="15"/>
    </row>
    <row r="1554" spans="1:21" x14ac:dyDescent="0.35">
      <c r="A1554" t="s">
        <v>14</v>
      </c>
      <c r="B1554" t="s">
        <v>2421</v>
      </c>
      <c r="C1554" t="s">
        <v>1255</v>
      </c>
      <c r="D1554" t="s">
        <v>1256</v>
      </c>
      <c r="E1554" t="s">
        <v>1257</v>
      </c>
      <c r="F1554" t="s">
        <v>2422</v>
      </c>
      <c r="G1554" t="s">
        <v>2555</v>
      </c>
      <c r="H1554" s="15">
        <v>46070</v>
      </c>
      <c r="I1554" t="s">
        <v>2556</v>
      </c>
      <c r="J1554" t="s">
        <v>16</v>
      </c>
      <c r="K1554" t="s">
        <v>185</v>
      </c>
      <c r="N1554">
        <v>0</v>
      </c>
      <c r="O1554" t="s">
        <v>222</v>
      </c>
      <c r="P1554">
        <v>0</v>
      </c>
      <c r="U1554" s="15"/>
    </row>
    <row r="1555" spans="1:21" x14ac:dyDescent="0.35">
      <c r="A1555" t="s">
        <v>14</v>
      </c>
      <c r="B1555" t="s">
        <v>3158</v>
      </c>
      <c r="C1555" t="s">
        <v>1255</v>
      </c>
      <c r="D1555" t="s">
        <v>1256</v>
      </c>
      <c r="E1555" t="s">
        <v>1257</v>
      </c>
      <c r="F1555" t="s">
        <v>3159</v>
      </c>
      <c r="G1555" t="s">
        <v>3601</v>
      </c>
      <c r="H1555" s="15">
        <v>46086</v>
      </c>
      <c r="I1555" t="s">
        <v>3602</v>
      </c>
      <c r="J1555" t="s">
        <v>233</v>
      </c>
      <c r="K1555" t="s">
        <v>185</v>
      </c>
      <c r="N1555">
        <v>0</v>
      </c>
      <c r="O1555" t="s">
        <v>222</v>
      </c>
      <c r="P1555">
        <v>0</v>
      </c>
      <c r="U1555" s="15"/>
    </row>
    <row r="1556" spans="1:21" x14ac:dyDescent="0.35">
      <c r="A1556" t="s">
        <v>14</v>
      </c>
      <c r="B1556" t="s">
        <v>3158</v>
      </c>
      <c r="C1556" t="s">
        <v>1255</v>
      </c>
      <c r="D1556" t="s">
        <v>1256</v>
      </c>
      <c r="E1556" t="s">
        <v>1257</v>
      </c>
      <c r="F1556" t="s">
        <v>3159</v>
      </c>
      <c r="G1556" t="s">
        <v>3608</v>
      </c>
      <c r="H1556" s="15">
        <v>46087</v>
      </c>
      <c r="I1556" t="s">
        <v>3609</v>
      </c>
      <c r="J1556" t="s">
        <v>16</v>
      </c>
      <c r="K1556" t="s">
        <v>185</v>
      </c>
      <c r="N1556">
        <v>0</v>
      </c>
      <c r="O1556" t="s">
        <v>222</v>
      </c>
      <c r="P1556">
        <v>0</v>
      </c>
      <c r="U1556" s="15"/>
    </row>
    <row r="1557" spans="1:21" x14ac:dyDescent="0.35">
      <c r="A1557" t="s">
        <v>14</v>
      </c>
      <c r="B1557" t="s">
        <v>2421</v>
      </c>
      <c r="C1557" t="s">
        <v>1255</v>
      </c>
      <c r="D1557" t="s">
        <v>1256</v>
      </c>
      <c r="E1557" t="s">
        <v>1257</v>
      </c>
      <c r="F1557" t="s">
        <v>2422</v>
      </c>
      <c r="G1557" t="s">
        <v>2555</v>
      </c>
      <c r="H1557" s="15">
        <v>46070</v>
      </c>
      <c r="I1557" t="s">
        <v>2559</v>
      </c>
      <c r="J1557" t="s">
        <v>16</v>
      </c>
      <c r="K1557" t="s">
        <v>185</v>
      </c>
      <c r="N1557">
        <v>0</v>
      </c>
      <c r="O1557" t="s">
        <v>222</v>
      </c>
      <c r="P1557">
        <v>0</v>
      </c>
      <c r="U1557" s="15"/>
    </row>
    <row r="1558" spans="1:21" x14ac:dyDescent="0.35">
      <c r="A1558" t="s">
        <v>14</v>
      </c>
      <c r="B1558" t="s">
        <v>2421</v>
      </c>
      <c r="C1558" t="s">
        <v>1255</v>
      </c>
      <c r="D1558" t="s">
        <v>1256</v>
      </c>
      <c r="E1558" t="s">
        <v>1257</v>
      </c>
      <c r="F1558" t="s">
        <v>2422</v>
      </c>
      <c r="G1558" t="s">
        <v>2560</v>
      </c>
      <c r="H1558" s="15">
        <v>46071</v>
      </c>
      <c r="I1558" t="s">
        <v>2561</v>
      </c>
      <c r="J1558" t="s">
        <v>16</v>
      </c>
      <c r="K1558" t="s">
        <v>185</v>
      </c>
      <c r="N1558">
        <v>0</v>
      </c>
      <c r="O1558" t="s">
        <v>222</v>
      </c>
      <c r="P1558">
        <v>0</v>
      </c>
      <c r="U1558" s="15"/>
    </row>
    <row r="1559" spans="1:21" x14ac:dyDescent="0.35">
      <c r="A1559" t="s">
        <v>14</v>
      </c>
      <c r="B1559" t="s">
        <v>3158</v>
      </c>
      <c r="C1559" t="s">
        <v>515</v>
      </c>
      <c r="D1559" t="s">
        <v>516</v>
      </c>
      <c r="E1559" t="s">
        <v>517</v>
      </c>
      <c r="F1559" t="s">
        <v>3159</v>
      </c>
      <c r="G1559" t="s">
        <v>3608</v>
      </c>
      <c r="H1559" s="15">
        <v>46087</v>
      </c>
      <c r="I1559" t="s">
        <v>3617</v>
      </c>
      <c r="J1559" t="s">
        <v>16</v>
      </c>
      <c r="K1559" t="s">
        <v>185</v>
      </c>
      <c r="N1559">
        <v>0</v>
      </c>
      <c r="O1559" t="s">
        <v>222</v>
      </c>
      <c r="P1559">
        <v>0</v>
      </c>
      <c r="U1559" s="15"/>
    </row>
    <row r="1560" spans="1:21" x14ac:dyDescent="0.35">
      <c r="A1560" t="s">
        <v>14</v>
      </c>
      <c r="B1560" t="s">
        <v>3158</v>
      </c>
      <c r="C1560" t="s">
        <v>1255</v>
      </c>
      <c r="D1560" t="s">
        <v>1256</v>
      </c>
      <c r="E1560" t="s">
        <v>1257</v>
      </c>
      <c r="F1560" t="s">
        <v>3159</v>
      </c>
      <c r="G1560" t="s">
        <v>3618</v>
      </c>
      <c r="H1560" s="15">
        <v>46087</v>
      </c>
      <c r="I1560" t="s">
        <v>3619</v>
      </c>
      <c r="J1560" t="s">
        <v>233</v>
      </c>
      <c r="K1560" t="s">
        <v>185</v>
      </c>
      <c r="N1560">
        <v>0</v>
      </c>
      <c r="O1560" t="s">
        <v>222</v>
      </c>
      <c r="P1560">
        <v>0</v>
      </c>
      <c r="U1560" s="15"/>
    </row>
    <row r="1561" spans="1:21" x14ac:dyDescent="0.35">
      <c r="A1561" t="s">
        <v>14</v>
      </c>
      <c r="B1561" t="s">
        <v>2421</v>
      </c>
      <c r="C1561" t="s">
        <v>1255</v>
      </c>
      <c r="D1561" t="s">
        <v>1256</v>
      </c>
      <c r="E1561" t="s">
        <v>1257</v>
      </c>
      <c r="F1561" t="s">
        <v>2422</v>
      </c>
      <c r="G1561" t="s">
        <v>2563</v>
      </c>
      <c r="H1561" s="15">
        <v>46072</v>
      </c>
      <c r="I1561" t="s">
        <v>2564</v>
      </c>
      <c r="J1561" t="s">
        <v>16</v>
      </c>
      <c r="K1561" t="s">
        <v>185</v>
      </c>
      <c r="N1561">
        <v>0</v>
      </c>
      <c r="O1561" t="s">
        <v>222</v>
      </c>
      <c r="P1561">
        <v>0</v>
      </c>
      <c r="U1561" s="15"/>
    </row>
    <row r="1562" spans="1:21" x14ac:dyDescent="0.35">
      <c r="A1562" t="s">
        <v>14</v>
      </c>
      <c r="B1562" t="s">
        <v>3158</v>
      </c>
      <c r="C1562" t="s">
        <v>515</v>
      </c>
      <c r="D1562" t="s">
        <v>516</v>
      </c>
      <c r="E1562" t="s">
        <v>517</v>
      </c>
      <c r="F1562" t="s">
        <v>3159</v>
      </c>
      <c r="G1562" t="s">
        <v>3620</v>
      </c>
      <c r="H1562" s="15">
        <v>46088</v>
      </c>
      <c r="I1562" t="s">
        <v>3621</v>
      </c>
      <c r="J1562" t="s">
        <v>16</v>
      </c>
      <c r="K1562" t="s">
        <v>185</v>
      </c>
      <c r="N1562">
        <v>0</v>
      </c>
      <c r="O1562" t="s">
        <v>222</v>
      </c>
      <c r="P1562">
        <v>0</v>
      </c>
      <c r="U1562" s="15"/>
    </row>
    <row r="1563" spans="1:21" x14ac:dyDescent="0.35">
      <c r="A1563" t="s">
        <v>14</v>
      </c>
      <c r="B1563" t="s">
        <v>2421</v>
      </c>
      <c r="C1563" t="s">
        <v>1255</v>
      </c>
      <c r="D1563" t="s">
        <v>1256</v>
      </c>
      <c r="E1563" t="s">
        <v>1257</v>
      </c>
      <c r="F1563" t="s">
        <v>2422</v>
      </c>
      <c r="G1563" t="s">
        <v>2565</v>
      </c>
      <c r="H1563" s="15">
        <v>46073</v>
      </c>
      <c r="I1563" t="s">
        <v>2566</v>
      </c>
      <c r="J1563" t="s">
        <v>16</v>
      </c>
      <c r="K1563" t="s">
        <v>185</v>
      </c>
      <c r="N1563">
        <v>0</v>
      </c>
      <c r="O1563" t="s">
        <v>222</v>
      </c>
      <c r="P1563">
        <v>0</v>
      </c>
      <c r="U1563" s="15"/>
    </row>
    <row r="1564" spans="1:21" x14ac:dyDescent="0.35">
      <c r="A1564" t="s">
        <v>14</v>
      </c>
      <c r="B1564" t="s">
        <v>3158</v>
      </c>
      <c r="C1564" t="s">
        <v>667</v>
      </c>
      <c r="D1564" t="s">
        <v>668</v>
      </c>
      <c r="E1564" t="s">
        <v>669</v>
      </c>
      <c r="F1564" t="s">
        <v>3159</v>
      </c>
      <c r="G1564" t="s">
        <v>3620</v>
      </c>
      <c r="H1564" s="15">
        <v>46088</v>
      </c>
      <c r="I1564" t="s">
        <v>3622</v>
      </c>
      <c r="J1564" t="s">
        <v>16</v>
      </c>
      <c r="K1564" t="s">
        <v>185</v>
      </c>
      <c r="N1564">
        <v>0</v>
      </c>
      <c r="O1564" t="s">
        <v>222</v>
      </c>
      <c r="P1564">
        <v>0</v>
      </c>
      <c r="U1564" s="15"/>
    </row>
    <row r="1565" spans="1:21" x14ac:dyDescent="0.35">
      <c r="A1565" t="s">
        <v>14</v>
      </c>
      <c r="B1565" t="s">
        <v>3158</v>
      </c>
      <c r="C1565" t="s">
        <v>1255</v>
      </c>
      <c r="D1565" t="s">
        <v>1256</v>
      </c>
      <c r="E1565" t="s">
        <v>1257</v>
      </c>
      <c r="F1565" t="s">
        <v>3159</v>
      </c>
      <c r="G1565" t="s">
        <v>3626</v>
      </c>
      <c r="H1565" s="15">
        <v>46090</v>
      </c>
      <c r="I1565" t="s">
        <v>3627</v>
      </c>
      <c r="J1565" t="s">
        <v>233</v>
      </c>
      <c r="K1565" t="s">
        <v>185</v>
      </c>
      <c r="N1565">
        <v>0</v>
      </c>
      <c r="O1565" t="s">
        <v>222</v>
      </c>
      <c r="P1565">
        <v>0</v>
      </c>
      <c r="U1565" s="15"/>
    </row>
    <row r="1566" spans="1:21" x14ac:dyDescent="0.35">
      <c r="A1566" t="s">
        <v>14</v>
      </c>
      <c r="B1566" t="s">
        <v>2421</v>
      </c>
      <c r="C1566" t="s">
        <v>1255</v>
      </c>
      <c r="D1566" t="s">
        <v>1256</v>
      </c>
      <c r="E1566" t="s">
        <v>1257</v>
      </c>
      <c r="F1566" t="s">
        <v>2422</v>
      </c>
      <c r="G1566" t="s">
        <v>2571</v>
      </c>
      <c r="H1566" s="15">
        <v>46074</v>
      </c>
      <c r="I1566" t="s">
        <v>2572</v>
      </c>
      <c r="J1566" t="s">
        <v>16</v>
      </c>
      <c r="K1566" t="s">
        <v>185</v>
      </c>
      <c r="N1566">
        <v>0</v>
      </c>
      <c r="O1566" t="s">
        <v>222</v>
      </c>
      <c r="P1566">
        <v>0</v>
      </c>
      <c r="U1566" s="15"/>
    </row>
    <row r="1567" spans="1:21" x14ac:dyDescent="0.35">
      <c r="A1567" t="s">
        <v>14</v>
      </c>
      <c r="B1567" t="s">
        <v>2421</v>
      </c>
      <c r="C1567" t="s">
        <v>647</v>
      </c>
      <c r="D1567" t="s">
        <v>648</v>
      </c>
      <c r="E1567" t="s">
        <v>649</v>
      </c>
      <c r="F1567" t="s">
        <v>2422</v>
      </c>
      <c r="G1567" t="s">
        <v>2573</v>
      </c>
      <c r="H1567" s="15">
        <v>46076</v>
      </c>
      <c r="I1567" t="s">
        <v>2574</v>
      </c>
      <c r="J1567" t="s">
        <v>16</v>
      </c>
      <c r="K1567" t="s">
        <v>185</v>
      </c>
      <c r="N1567">
        <v>0</v>
      </c>
      <c r="O1567" t="s">
        <v>222</v>
      </c>
      <c r="P1567">
        <v>0</v>
      </c>
      <c r="U1567" s="15"/>
    </row>
    <row r="1568" spans="1:21" x14ac:dyDescent="0.35">
      <c r="A1568" t="s">
        <v>14</v>
      </c>
      <c r="B1568" t="s">
        <v>3158</v>
      </c>
      <c r="C1568" t="s">
        <v>1255</v>
      </c>
      <c r="D1568" t="s">
        <v>1256</v>
      </c>
      <c r="E1568" t="s">
        <v>1257</v>
      </c>
      <c r="F1568" t="s">
        <v>3159</v>
      </c>
      <c r="G1568" t="s">
        <v>3628</v>
      </c>
      <c r="H1568" s="15">
        <v>46091</v>
      </c>
      <c r="I1568" t="s">
        <v>3629</v>
      </c>
      <c r="J1568" t="s">
        <v>16</v>
      </c>
      <c r="K1568" t="s">
        <v>185</v>
      </c>
      <c r="N1568">
        <v>0</v>
      </c>
      <c r="O1568" t="s">
        <v>222</v>
      </c>
      <c r="P1568">
        <v>0</v>
      </c>
      <c r="U1568" s="15"/>
    </row>
    <row r="1569" spans="1:21" x14ac:dyDescent="0.35">
      <c r="A1569" t="s">
        <v>14</v>
      </c>
      <c r="B1569" t="s">
        <v>2421</v>
      </c>
      <c r="C1569" t="s">
        <v>1255</v>
      </c>
      <c r="D1569" t="s">
        <v>1256</v>
      </c>
      <c r="E1569" t="s">
        <v>1257</v>
      </c>
      <c r="F1569" t="s">
        <v>2422</v>
      </c>
      <c r="G1569" t="s">
        <v>2573</v>
      </c>
      <c r="H1569" s="15">
        <v>46076</v>
      </c>
      <c r="I1569" t="s">
        <v>2575</v>
      </c>
      <c r="J1569" t="s">
        <v>16</v>
      </c>
      <c r="K1569" t="s">
        <v>185</v>
      </c>
      <c r="N1569">
        <v>0</v>
      </c>
      <c r="O1569" t="s">
        <v>222</v>
      </c>
      <c r="P1569">
        <v>0</v>
      </c>
      <c r="U1569" s="15"/>
    </row>
    <row r="1570" spans="1:21" x14ac:dyDescent="0.35">
      <c r="A1570" t="s">
        <v>14</v>
      </c>
      <c r="B1570" t="s">
        <v>2421</v>
      </c>
      <c r="C1570" t="s">
        <v>1255</v>
      </c>
      <c r="D1570" t="s">
        <v>1256</v>
      </c>
      <c r="E1570" t="s">
        <v>1257</v>
      </c>
      <c r="F1570" t="s">
        <v>2422</v>
      </c>
      <c r="G1570" t="s">
        <v>2576</v>
      </c>
      <c r="H1570" s="15">
        <v>46077</v>
      </c>
      <c r="I1570" t="s">
        <v>2577</v>
      </c>
      <c r="J1570" t="s">
        <v>16</v>
      </c>
      <c r="K1570" t="s">
        <v>185</v>
      </c>
      <c r="N1570">
        <v>0</v>
      </c>
      <c r="O1570" t="s">
        <v>222</v>
      </c>
      <c r="P1570">
        <v>0</v>
      </c>
      <c r="U1570" s="15"/>
    </row>
    <row r="1571" spans="1:21" x14ac:dyDescent="0.35">
      <c r="A1571" t="s">
        <v>14</v>
      </c>
      <c r="B1571" t="s">
        <v>3158</v>
      </c>
      <c r="C1571" t="s">
        <v>977</v>
      </c>
      <c r="D1571" t="s">
        <v>978</v>
      </c>
      <c r="E1571" t="s">
        <v>979</v>
      </c>
      <c r="F1571" t="s">
        <v>3159</v>
      </c>
      <c r="G1571" t="s">
        <v>3628</v>
      </c>
      <c r="H1571" s="15">
        <v>46091</v>
      </c>
      <c r="I1571" t="s">
        <v>3630</v>
      </c>
      <c r="J1571" t="s">
        <v>16</v>
      </c>
      <c r="K1571" t="s">
        <v>185</v>
      </c>
      <c r="N1571">
        <v>0</v>
      </c>
      <c r="O1571" t="s">
        <v>222</v>
      </c>
      <c r="P1571">
        <v>0</v>
      </c>
      <c r="U1571" s="15"/>
    </row>
    <row r="1572" spans="1:21" x14ac:dyDescent="0.35">
      <c r="A1572" t="s">
        <v>14</v>
      </c>
      <c r="B1572" t="s">
        <v>3158</v>
      </c>
      <c r="C1572" t="s">
        <v>697</v>
      </c>
      <c r="D1572" t="s">
        <v>698</v>
      </c>
      <c r="E1572" t="s">
        <v>699</v>
      </c>
      <c r="F1572" t="s">
        <v>3159</v>
      </c>
      <c r="G1572" t="s">
        <v>3635</v>
      </c>
      <c r="H1572" s="15">
        <v>46091</v>
      </c>
      <c r="I1572" t="s">
        <v>3636</v>
      </c>
      <c r="J1572" t="s">
        <v>233</v>
      </c>
      <c r="K1572" t="s">
        <v>185</v>
      </c>
      <c r="N1572">
        <v>0</v>
      </c>
      <c r="O1572" t="s">
        <v>222</v>
      </c>
      <c r="P1572">
        <v>0</v>
      </c>
      <c r="U1572" s="15"/>
    </row>
    <row r="1573" spans="1:21" x14ac:dyDescent="0.35">
      <c r="A1573" t="s">
        <v>14</v>
      </c>
      <c r="B1573" t="s">
        <v>3158</v>
      </c>
      <c r="C1573" t="s">
        <v>1255</v>
      </c>
      <c r="D1573" t="s">
        <v>1256</v>
      </c>
      <c r="E1573" t="s">
        <v>1257</v>
      </c>
      <c r="F1573" t="s">
        <v>3159</v>
      </c>
      <c r="G1573" t="s">
        <v>3637</v>
      </c>
      <c r="H1573" s="15">
        <v>46092</v>
      </c>
      <c r="I1573" t="s">
        <v>3638</v>
      </c>
      <c r="J1573" t="s">
        <v>16</v>
      </c>
      <c r="K1573" t="s">
        <v>185</v>
      </c>
      <c r="N1573">
        <v>0</v>
      </c>
      <c r="O1573" t="s">
        <v>222</v>
      </c>
      <c r="P1573">
        <v>0</v>
      </c>
      <c r="U1573" s="15"/>
    </row>
    <row r="1574" spans="1:21" x14ac:dyDescent="0.35">
      <c r="A1574" t="s">
        <v>14</v>
      </c>
      <c r="B1574" t="s">
        <v>2421</v>
      </c>
      <c r="C1574" t="s">
        <v>1255</v>
      </c>
      <c r="D1574" t="s">
        <v>1256</v>
      </c>
      <c r="E1574" t="s">
        <v>1257</v>
      </c>
      <c r="F1574" t="s">
        <v>2422</v>
      </c>
      <c r="G1574" t="s">
        <v>2578</v>
      </c>
      <c r="H1574" s="15">
        <v>46078</v>
      </c>
      <c r="I1574" t="s">
        <v>2579</v>
      </c>
      <c r="J1574" t="s">
        <v>16</v>
      </c>
      <c r="K1574" t="s">
        <v>185</v>
      </c>
      <c r="N1574">
        <v>0</v>
      </c>
      <c r="O1574" t="s">
        <v>222</v>
      </c>
      <c r="P1574">
        <v>0</v>
      </c>
      <c r="U1574" s="15"/>
    </row>
    <row r="1575" spans="1:21" x14ac:dyDescent="0.35">
      <c r="A1575" t="s">
        <v>14</v>
      </c>
      <c r="B1575" t="s">
        <v>3158</v>
      </c>
      <c r="C1575" t="s">
        <v>498</v>
      </c>
      <c r="D1575" t="s">
        <v>499</v>
      </c>
      <c r="E1575" t="s">
        <v>500</v>
      </c>
      <c r="F1575" t="s">
        <v>3159</v>
      </c>
      <c r="G1575" t="s">
        <v>3637</v>
      </c>
      <c r="H1575" s="15">
        <v>46092</v>
      </c>
      <c r="I1575" t="s">
        <v>3644</v>
      </c>
      <c r="J1575" t="s">
        <v>16</v>
      </c>
      <c r="K1575" t="s">
        <v>185</v>
      </c>
      <c r="N1575">
        <v>0</v>
      </c>
      <c r="O1575" t="s">
        <v>222</v>
      </c>
      <c r="P1575">
        <v>0</v>
      </c>
      <c r="U1575" s="15"/>
    </row>
    <row r="1576" spans="1:21" x14ac:dyDescent="0.35">
      <c r="A1576" t="s">
        <v>14</v>
      </c>
      <c r="B1576" t="s">
        <v>3158</v>
      </c>
      <c r="C1576" t="s">
        <v>1255</v>
      </c>
      <c r="D1576" t="s">
        <v>1256</v>
      </c>
      <c r="E1576" t="s">
        <v>1257</v>
      </c>
      <c r="F1576" t="s">
        <v>3159</v>
      </c>
      <c r="G1576" t="s">
        <v>3645</v>
      </c>
      <c r="H1576" s="15">
        <v>46092</v>
      </c>
      <c r="I1576" t="s">
        <v>3646</v>
      </c>
      <c r="J1576" t="s">
        <v>233</v>
      </c>
      <c r="K1576" t="s">
        <v>185</v>
      </c>
      <c r="N1576">
        <v>0</v>
      </c>
      <c r="O1576" t="s">
        <v>222</v>
      </c>
      <c r="P1576">
        <v>0</v>
      </c>
      <c r="U1576" s="15"/>
    </row>
    <row r="1577" spans="1:21" x14ac:dyDescent="0.35">
      <c r="A1577" t="s">
        <v>14</v>
      </c>
      <c r="B1577" t="s">
        <v>2421</v>
      </c>
      <c r="C1577" t="s">
        <v>1255</v>
      </c>
      <c r="D1577" t="s">
        <v>1256</v>
      </c>
      <c r="E1577" t="s">
        <v>1257</v>
      </c>
      <c r="F1577" t="s">
        <v>2422</v>
      </c>
      <c r="G1577" t="s">
        <v>2580</v>
      </c>
      <c r="H1577" s="15">
        <v>46079</v>
      </c>
      <c r="I1577" t="s">
        <v>2581</v>
      </c>
      <c r="J1577" t="s">
        <v>16</v>
      </c>
      <c r="K1577" t="s">
        <v>185</v>
      </c>
      <c r="N1577">
        <v>0</v>
      </c>
      <c r="O1577" t="s">
        <v>222</v>
      </c>
      <c r="P1577">
        <v>0</v>
      </c>
      <c r="U1577" s="15"/>
    </row>
    <row r="1578" spans="1:21" x14ac:dyDescent="0.35">
      <c r="A1578" t="s">
        <v>14</v>
      </c>
      <c r="B1578" t="s">
        <v>3158</v>
      </c>
      <c r="C1578" t="s">
        <v>1255</v>
      </c>
      <c r="D1578" t="s">
        <v>1256</v>
      </c>
      <c r="E1578" t="s">
        <v>1257</v>
      </c>
      <c r="F1578" t="s">
        <v>3159</v>
      </c>
      <c r="G1578" t="s">
        <v>3647</v>
      </c>
      <c r="H1578" s="15">
        <v>46093</v>
      </c>
      <c r="I1578" t="s">
        <v>3648</v>
      </c>
      <c r="J1578" t="s">
        <v>16</v>
      </c>
      <c r="K1578" t="s">
        <v>185</v>
      </c>
      <c r="N1578">
        <v>0</v>
      </c>
      <c r="O1578" t="s">
        <v>222</v>
      </c>
      <c r="P1578">
        <v>0</v>
      </c>
      <c r="R1578" t="s">
        <v>3649</v>
      </c>
      <c r="U1578" s="15"/>
    </row>
    <row r="1579" spans="1:21" x14ac:dyDescent="0.35">
      <c r="A1579" t="s">
        <v>14</v>
      </c>
      <c r="B1579" t="s">
        <v>2421</v>
      </c>
      <c r="C1579" t="s">
        <v>1255</v>
      </c>
      <c r="D1579" t="s">
        <v>1256</v>
      </c>
      <c r="E1579" t="s">
        <v>1257</v>
      </c>
      <c r="F1579" t="s">
        <v>2422</v>
      </c>
      <c r="G1579" t="s">
        <v>2585</v>
      </c>
      <c r="H1579" s="15">
        <v>46080</v>
      </c>
      <c r="I1579" t="s">
        <v>2586</v>
      </c>
      <c r="J1579" t="s">
        <v>16</v>
      </c>
      <c r="K1579" t="s">
        <v>185</v>
      </c>
      <c r="N1579">
        <v>0</v>
      </c>
      <c r="O1579" t="s">
        <v>222</v>
      </c>
      <c r="P1579">
        <v>0</v>
      </c>
      <c r="U1579" s="15"/>
    </row>
    <row r="1580" spans="1:21" x14ac:dyDescent="0.35">
      <c r="A1580" t="s">
        <v>14</v>
      </c>
      <c r="B1580" t="s">
        <v>2421</v>
      </c>
      <c r="C1580" t="s">
        <v>1255</v>
      </c>
      <c r="D1580" t="s">
        <v>1256</v>
      </c>
      <c r="E1580" t="s">
        <v>1257</v>
      </c>
      <c r="F1580" t="s">
        <v>2422</v>
      </c>
      <c r="G1580" t="s">
        <v>2587</v>
      </c>
      <c r="H1580" s="15">
        <v>46081</v>
      </c>
      <c r="I1580" t="s">
        <v>2588</v>
      </c>
      <c r="J1580" t="s">
        <v>16</v>
      </c>
      <c r="K1580" t="s">
        <v>185</v>
      </c>
      <c r="N1580">
        <v>0</v>
      </c>
      <c r="O1580" t="s">
        <v>222</v>
      </c>
      <c r="P1580">
        <v>0</v>
      </c>
      <c r="U1580" s="15"/>
    </row>
    <row r="1581" spans="1:21" x14ac:dyDescent="0.35">
      <c r="A1581" t="s">
        <v>14</v>
      </c>
      <c r="B1581" t="s">
        <v>3158</v>
      </c>
      <c r="C1581" t="s">
        <v>515</v>
      </c>
      <c r="D1581" t="s">
        <v>516</v>
      </c>
      <c r="E1581" t="s">
        <v>517</v>
      </c>
      <c r="F1581" t="s">
        <v>3159</v>
      </c>
      <c r="G1581" t="s">
        <v>3647</v>
      </c>
      <c r="H1581" s="15">
        <v>46093</v>
      </c>
      <c r="I1581" t="s">
        <v>3655</v>
      </c>
      <c r="J1581" t="s">
        <v>16</v>
      </c>
      <c r="K1581" t="s">
        <v>185</v>
      </c>
      <c r="N1581">
        <v>0</v>
      </c>
      <c r="O1581" t="s">
        <v>222</v>
      </c>
      <c r="P1581">
        <v>0</v>
      </c>
      <c r="U1581" s="15"/>
    </row>
    <row r="1582" spans="1:21" x14ac:dyDescent="0.35">
      <c r="A1582" t="s">
        <v>14</v>
      </c>
      <c r="B1582" t="s">
        <v>3158</v>
      </c>
      <c r="C1582" t="s">
        <v>2461</v>
      </c>
      <c r="D1582" t="s">
        <v>2462</v>
      </c>
      <c r="E1582" t="s">
        <v>2463</v>
      </c>
      <c r="F1582" t="s">
        <v>3159</v>
      </c>
      <c r="G1582" t="s">
        <v>3660</v>
      </c>
      <c r="H1582" s="15">
        <v>46093</v>
      </c>
      <c r="I1582" t="s">
        <v>3661</v>
      </c>
      <c r="J1582" t="s">
        <v>233</v>
      </c>
      <c r="K1582" t="s">
        <v>185</v>
      </c>
      <c r="N1582">
        <v>0</v>
      </c>
      <c r="O1582" t="s">
        <v>222</v>
      </c>
      <c r="P1582">
        <v>0</v>
      </c>
      <c r="U1582" s="15"/>
    </row>
    <row r="1583" spans="1:21" x14ac:dyDescent="0.35">
      <c r="A1583" t="s">
        <v>14</v>
      </c>
      <c r="B1583" t="s">
        <v>3158</v>
      </c>
      <c r="C1583" t="s">
        <v>1255</v>
      </c>
      <c r="D1583" t="s">
        <v>1256</v>
      </c>
      <c r="E1583" t="s">
        <v>1257</v>
      </c>
      <c r="F1583" t="s">
        <v>3159</v>
      </c>
      <c r="G1583" t="s">
        <v>3662</v>
      </c>
      <c r="H1583" s="15">
        <v>46094</v>
      </c>
      <c r="I1583" t="s">
        <v>3663</v>
      </c>
      <c r="J1583" t="s">
        <v>16</v>
      </c>
      <c r="K1583" t="s">
        <v>185</v>
      </c>
      <c r="N1583">
        <v>0</v>
      </c>
      <c r="O1583" t="s">
        <v>222</v>
      </c>
      <c r="P1583">
        <v>0</v>
      </c>
      <c r="U1583" s="15"/>
    </row>
    <row r="1584" spans="1:21" x14ac:dyDescent="0.35">
      <c r="A1584" t="s">
        <v>14</v>
      </c>
      <c r="B1584" t="s">
        <v>2421</v>
      </c>
      <c r="C1584" t="s">
        <v>1255</v>
      </c>
      <c r="D1584" t="s">
        <v>1256</v>
      </c>
      <c r="E1584" t="s">
        <v>1257</v>
      </c>
      <c r="F1584" t="s">
        <v>2422</v>
      </c>
      <c r="G1584" t="s">
        <v>2592</v>
      </c>
      <c r="H1584" s="15">
        <v>46083</v>
      </c>
      <c r="I1584" t="s">
        <v>2593</v>
      </c>
      <c r="J1584" t="s">
        <v>16</v>
      </c>
      <c r="K1584" t="s">
        <v>185</v>
      </c>
      <c r="N1584">
        <v>0</v>
      </c>
      <c r="O1584" t="s">
        <v>222</v>
      </c>
      <c r="P1584">
        <v>0</v>
      </c>
      <c r="U1584" s="15"/>
    </row>
    <row r="1585" spans="1:21" x14ac:dyDescent="0.35">
      <c r="A1585" t="s">
        <v>14</v>
      </c>
      <c r="B1585" t="s">
        <v>2421</v>
      </c>
      <c r="C1585" t="s">
        <v>1255</v>
      </c>
      <c r="D1585" t="s">
        <v>1256</v>
      </c>
      <c r="E1585" t="s">
        <v>1257</v>
      </c>
      <c r="F1585" t="s">
        <v>2422</v>
      </c>
      <c r="G1585" t="s">
        <v>2594</v>
      </c>
      <c r="H1585" s="15">
        <v>46084</v>
      </c>
      <c r="I1585" t="s">
        <v>2595</v>
      </c>
      <c r="J1585" t="s">
        <v>16</v>
      </c>
      <c r="K1585" t="s">
        <v>185</v>
      </c>
      <c r="N1585">
        <v>0</v>
      </c>
      <c r="O1585" t="s">
        <v>222</v>
      </c>
      <c r="P1585">
        <v>0</v>
      </c>
      <c r="U1585" s="15"/>
    </row>
    <row r="1586" spans="1:21" x14ac:dyDescent="0.35">
      <c r="A1586" t="s">
        <v>14</v>
      </c>
      <c r="B1586" t="s">
        <v>2421</v>
      </c>
      <c r="C1586" t="s">
        <v>1255</v>
      </c>
      <c r="D1586" t="s">
        <v>1256</v>
      </c>
      <c r="E1586" t="s">
        <v>1257</v>
      </c>
      <c r="F1586" t="s">
        <v>2422</v>
      </c>
      <c r="G1586" t="s">
        <v>2598</v>
      </c>
      <c r="H1586" s="15">
        <v>46085</v>
      </c>
      <c r="I1586" t="s">
        <v>2599</v>
      </c>
      <c r="J1586" t="s">
        <v>16</v>
      </c>
      <c r="K1586" t="s">
        <v>185</v>
      </c>
      <c r="N1586">
        <v>0</v>
      </c>
      <c r="O1586" t="s">
        <v>222</v>
      </c>
      <c r="P1586">
        <v>0</v>
      </c>
      <c r="U1586" s="15"/>
    </row>
    <row r="1587" spans="1:21" x14ac:dyDescent="0.35">
      <c r="A1587" t="s">
        <v>14</v>
      </c>
      <c r="B1587" t="s">
        <v>3158</v>
      </c>
      <c r="C1587" t="s">
        <v>515</v>
      </c>
      <c r="D1587" t="s">
        <v>516</v>
      </c>
      <c r="E1587" t="s">
        <v>517</v>
      </c>
      <c r="F1587" t="s">
        <v>3159</v>
      </c>
      <c r="G1587" t="s">
        <v>3662</v>
      </c>
      <c r="H1587" s="15">
        <v>46094</v>
      </c>
      <c r="I1587" t="s">
        <v>3664</v>
      </c>
      <c r="J1587" t="s">
        <v>16</v>
      </c>
      <c r="K1587" t="s">
        <v>185</v>
      </c>
      <c r="N1587">
        <v>0</v>
      </c>
      <c r="O1587" t="s">
        <v>222</v>
      </c>
      <c r="P1587">
        <v>0</v>
      </c>
      <c r="U1587" s="15"/>
    </row>
    <row r="1588" spans="1:21" x14ac:dyDescent="0.35">
      <c r="A1588" t="s">
        <v>14</v>
      </c>
      <c r="B1588" t="s">
        <v>3158</v>
      </c>
      <c r="C1588" t="s">
        <v>682</v>
      </c>
      <c r="D1588" t="s">
        <v>683</v>
      </c>
      <c r="E1588" t="s">
        <v>683</v>
      </c>
      <c r="F1588" t="s">
        <v>3159</v>
      </c>
      <c r="G1588" t="s">
        <v>3665</v>
      </c>
      <c r="H1588" s="15">
        <v>46094</v>
      </c>
      <c r="I1588" t="s">
        <v>3666</v>
      </c>
      <c r="J1588" t="s">
        <v>233</v>
      </c>
      <c r="K1588" t="s">
        <v>185</v>
      </c>
      <c r="N1588">
        <v>0</v>
      </c>
      <c r="O1588" t="s">
        <v>222</v>
      </c>
      <c r="P1588">
        <v>0</v>
      </c>
      <c r="U1588" s="15"/>
    </row>
    <row r="1589" spans="1:21" x14ac:dyDescent="0.35">
      <c r="A1589" t="s">
        <v>14</v>
      </c>
      <c r="B1589" t="s">
        <v>3158</v>
      </c>
      <c r="C1589" t="s">
        <v>515</v>
      </c>
      <c r="D1589" t="s">
        <v>516</v>
      </c>
      <c r="E1589" t="s">
        <v>517</v>
      </c>
      <c r="F1589" t="s">
        <v>3159</v>
      </c>
      <c r="G1589" t="s">
        <v>3667</v>
      </c>
      <c r="H1589" s="15">
        <v>46095</v>
      </c>
      <c r="I1589" t="s">
        <v>3668</v>
      </c>
      <c r="J1589" t="s">
        <v>16</v>
      </c>
      <c r="K1589" t="s">
        <v>185</v>
      </c>
      <c r="N1589">
        <v>0</v>
      </c>
      <c r="O1589" t="s">
        <v>222</v>
      </c>
      <c r="P1589">
        <v>0</v>
      </c>
      <c r="U1589" s="15"/>
    </row>
    <row r="1590" spans="1:21" x14ac:dyDescent="0.35">
      <c r="A1590" t="s">
        <v>14</v>
      </c>
      <c r="B1590" t="s">
        <v>2421</v>
      </c>
      <c r="C1590" t="s">
        <v>1255</v>
      </c>
      <c r="D1590" t="s">
        <v>1256</v>
      </c>
      <c r="E1590" t="s">
        <v>1257</v>
      </c>
      <c r="F1590" t="s">
        <v>2422</v>
      </c>
      <c r="G1590" t="s">
        <v>2603</v>
      </c>
      <c r="H1590" s="15">
        <v>46086</v>
      </c>
      <c r="I1590" t="s">
        <v>2604</v>
      </c>
      <c r="J1590" t="s">
        <v>16</v>
      </c>
      <c r="K1590" t="s">
        <v>185</v>
      </c>
      <c r="N1590">
        <v>0</v>
      </c>
      <c r="O1590" t="s">
        <v>222</v>
      </c>
      <c r="P1590">
        <v>0</v>
      </c>
      <c r="U1590" s="15"/>
    </row>
    <row r="1591" spans="1:21" x14ac:dyDescent="0.35">
      <c r="A1591" t="s">
        <v>14</v>
      </c>
      <c r="B1591" t="s">
        <v>2421</v>
      </c>
      <c r="C1591" t="s">
        <v>1255</v>
      </c>
      <c r="D1591" t="s">
        <v>1256</v>
      </c>
      <c r="E1591" t="s">
        <v>1257</v>
      </c>
      <c r="F1591" t="s">
        <v>2422</v>
      </c>
      <c r="G1591" t="s">
        <v>2605</v>
      </c>
      <c r="H1591" s="15">
        <v>46087</v>
      </c>
      <c r="I1591" t="s">
        <v>2606</v>
      </c>
      <c r="J1591" t="s">
        <v>16</v>
      </c>
      <c r="K1591" t="s">
        <v>185</v>
      </c>
      <c r="N1591">
        <v>0</v>
      </c>
      <c r="O1591" t="s">
        <v>222</v>
      </c>
      <c r="P1591">
        <v>0</v>
      </c>
      <c r="U1591" s="15"/>
    </row>
    <row r="1592" spans="1:21" x14ac:dyDescent="0.35">
      <c r="A1592" t="s">
        <v>14</v>
      </c>
      <c r="B1592" t="s">
        <v>3158</v>
      </c>
      <c r="C1592" t="s">
        <v>777</v>
      </c>
      <c r="D1592" t="s">
        <v>778</v>
      </c>
      <c r="E1592" t="s">
        <v>779</v>
      </c>
      <c r="F1592" t="s">
        <v>3159</v>
      </c>
      <c r="G1592" t="s">
        <v>3667</v>
      </c>
      <c r="H1592" s="15">
        <v>46095</v>
      </c>
      <c r="I1592" t="s">
        <v>3669</v>
      </c>
      <c r="J1592" t="s">
        <v>16</v>
      </c>
      <c r="K1592" t="s">
        <v>185</v>
      </c>
      <c r="N1592">
        <v>0</v>
      </c>
      <c r="O1592" t="s">
        <v>222</v>
      </c>
      <c r="P1592">
        <v>0</v>
      </c>
      <c r="U1592" s="15"/>
    </row>
    <row r="1593" spans="1:21" x14ac:dyDescent="0.35">
      <c r="A1593" t="s">
        <v>14</v>
      </c>
      <c r="B1593" t="s">
        <v>3158</v>
      </c>
      <c r="C1593" t="s">
        <v>2461</v>
      </c>
      <c r="D1593" t="s">
        <v>2462</v>
      </c>
      <c r="E1593" t="s">
        <v>2463</v>
      </c>
      <c r="F1593" t="s">
        <v>3159</v>
      </c>
      <c r="G1593" t="s">
        <v>3676</v>
      </c>
      <c r="H1593" s="15">
        <v>46097</v>
      </c>
      <c r="I1593" t="s">
        <v>3677</v>
      </c>
      <c r="J1593" t="s">
        <v>16</v>
      </c>
      <c r="K1593" t="s">
        <v>185</v>
      </c>
      <c r="N1593">
        <v>0</v>
      </c>
      <c r="O1593" t="s">
        <v>222</v>
      </c>
      <c r="P1593">
        <v>0</v>
      </c>
      <c r="U1593" s="15"/>
    </row>
    <row r="1594" spans="1:21" x14ac:dyDescent="0.35">
      <c r="A1594" t="s">
        <v>14</v>
      </c>
      <c r="B1594" t="s">
        <v>2421</v>
      </c>
      <c r="C1594" t="s">
        <v>1255</v>
      </c>
      <c r="D1594" t="s">
        <v>1256</v>
      </c>
      <c r="E1594" t="s">
        <v>1257</v>
      </c>
      <c r="F1594" t="s">
        <v>2422</v>
      </c>
      <c r="G1594" t="s">
        <v>2610</v>
      </c>
      <c r="H1594" s="15">
        <v>46088</v>
      </c>
      <c r="I1594" t="s">
        <v>2611</v>
      </c>
      <c r="J1594" t="s">
        <v>16</v>
      </c>
      <c r="K1594" t="s">
        <v>185</v>
      </c>
      <c r="N1594">
        <v>0</v>
      </c>
      <c r="O1594" t="s">
        <v>222</v>
      </c>
      <c r="P1594">
        <v>0</v>
      </c>
      <c r="U1594" s="15"/>
    </row>
    <row r="1595" spans="1:21" x14ac:dyDescent="0.35">
      <c r="A1595" t="s">
        <v>14</v>
      </c>
      <c r="B1595" t="s">
        <v>3158</v>
      </c>
      <c r="C1595" t="s">
        <v>667</v>
      </c>
      <c r="D1595" t="s">
        <v>668</v>
      </c>
      <c r="E1595" t="s">
        <v>669</v>
      </c>
      <c r="F1595" t="s">
        <v>3159</v>
      </c>
      <c r="G1595" t="s">
        <v>3678</v>
      </c>
      <c r="H1595" s="15">
        <v>46098</v>
      </c>
      <c r="I1595" t="s">
        <v>3679</v>
      </c>
      <c r="J1595" t="s">
        <v>16</v>
      </c>
      <c r="K1595" t="s">
        <v>185</v>
      </c>
      <c r="N1595">
        <v>0</v>
      </c>
      <c r="O1595" t="s">
        <v>222</v>
      </c>
      <c r="P1595">
        <v>0</v>
      </c>
      <c r="U1595" s="15"/>
    </row>
    <row r="1596" spans="1:21" x14ac:dyDescent="0.35">
      <c r="A1596" t="s">
        <v>14</v>
      </c>
      <c r="B1596" t="s">
        <v>2421</v>
      </c>
      <c r="C1596" t="s">
        <v>1255</v>
      </c>
      <c r="D1596" t="s">
        <v>1256</v>
      </c>
      <c r="E1596" t="s">
        <v>1257</v>
      </c>
      <c r="F1596" t="s">
        <v>2422</v>
      </c>
      <c r="G1596" t="s">
        <v>2612</v>
      </c>
      <c r="H1596" s="15">
        <v>46090</v>
      </c>
      <c r="I1596" t="s">
        <v>2613</v>
      </c>
      <c r="J1596" t="s">
        <v>16</v>
      </c>
      <c r="K1596" t="s">
        <v>185</v>
      </c>
      <c r="N1596">
        <v>0</v>
      </c>
      <c r="O1596" t="s">
        <v>222</v>
      </c>
      <c r="P1596">
        <v>0</v>
      </c>
      <c r="U1596" s="15"/>
    </row>
    <row r="1597" spans="1:21" x14ac:dyDescent="0.35">
      <c r="A1597" t="s">
        <v>14</v>
      </c>
      <c r="B1597" t="s">
        <v>2421</v>
      </c>
      <c r="C1597" t="s">
        <v>1255</v>
      </c>
      <c r="D1597" t="s">
        <v>1256</v>
      </c>
      <c r="E1597" t="s">
        <v>1257</v>
      </c>
      <c r="F1597" t="s">
        <v>2422</v>
      </c>
      <c r="G1597" t="s">
        <v>2616</v>
      </c>
      <c r="H1597" s="15">
        <v>46091</v>
      </c>
      <c r="I1597" t="s">
        <v>2617</v>
      </c>
      <c r="J1597" t="s">
        <v>16</v>
      </c>
      <c r="K1597" t="s">
        <v>185</v>
      </c>
      <c r="N1597">
        <v>0</v>
      </c>
      <c r="O1597" t="s">
        <v>222</v>
      </c>
      <c r="P1597">
        <v>0</v>
      </c>
      <c r="U1597" s="15"/>
    </row>
    <row r="1598" spans="1:21" x14ac:dyDescent="0.35">
      <c r="A1598" t="s">
        <v>14</v>
      </c>
      <c r="B1598" t="s">
        <v>3158</v>
      </c>
      <c r="C1598" t="s">
        <v>498</v>
      </c>
      <c r="D1598" t="s">
        <v>499</v>
      </c>
      <c r="E1598" t="s">
        <v>500</v>
      </c>
      <c r="F1598" t="s">
        <v>3159</v>
      </c>
      <c r="G1598" t="s">
        <v>3678</v>
      </c>
      <c r="H1598" s="15">
        <v>46098</v>
      </c>
      <c r="I1598" t="s">
        <v>3686</v>
      </c>
      <c r="J1598" t="s">
        <v>16</v>
      </c>
      <c r="K1598" t="s">
        <v>185</v>
      </c>
      <c r="N1598">
        <v>0</v>
      </c>
      <c r="O1598" t="s">
        <v>222</v>
      </c>
      <c r="P1598">
        <v>0</v>
      </c>
      <c r="U1598" s="15"/>
    </row>
    <row r="1599" spans="1:21" x14ac:dyDescent="0.35">
      <c r="A1599" t="s">
        <v>14</v>
      </c>
      <c r="B1599" t="s">
        <v>3158</v>
      </c>
      <c r="C1599" t="s">
        <v>1255</v>
      </c>
      <c r="D1599" t="s">
        <v>1256</v>
      </c>
      <c r="E1599" t="s">
        <v>1257</v>
      </c>
      <c r="F1599" t="s">
        <v>3159</v>
      </c>
      <c r="G1599" t="s">
        <v>3690</v>
      </c>
      <c r="H1599" s="15">
        <v>46098</v>
      </c>
      <c r="I1599" t="s">
        <v>3691</v>
      </c>
      <c r="J1599" t="s">
        <v>233</v>
      </c>
      <c r="K1599" t="s">
        <v>185</v>
      </c>
      <c r="N1599">
        <v>0</v>
      </c>
      <c r="O1599" t="s">
        <v>222</v>
      </c>
      <c r="P1599">
        <v>0</v>
      </c>
      <c r="U1599" s="15"/>
    </row>
    <row r="1600" spans="1:21" x14ac:dyDescent="0.35">
      <c r="A1600" t="s">
        <v>14</v>
      </c>
      <c r="B1600" t="s">
        <v>3158</v>
      </c>
      <c r="C1600" t="s">
        <v>1255</v>
      </c>
      <c r="D1600" t="s">
        <v>1256</v>
      </c>
      <c r="E1600" t="s">
        <v>1257</v>
      </c>
      <c r="F1600" t="s">
        <v>3159</v>
      </c>
      <c r="G1600" t="s">
        <v>3692</v>
      </c>
      <c r="H1600" s="15">
        <v>46099</v>
      </c>
      <c r="I1600" t="s">
        <v>3693</v>
      </c>
      <c r="J1600" t="s">
        <v>16</v>
      </c>
      <c r="K1600" t="s">
        <v>185</v>
      </c>
      <c r="N1600">
        <v>0</v>
      </c>
      <c r="O1600" t="s">
        <v>222</v>
      </c>
      <c r="P1600">
        <v>0</v>
      </c>
      <c r="U1600" s="15"/>
    </row>
    <row r="1601" spans="1:21" x14ac:dyDescent="0.35">
      <c r="A1601" t="s">
        <v>14</v>
      </c>
      <c r="B1601" t="s">
        <v>2421</v>
      </c>
      <c r="C1601" t="s">
        <v>1255</v>
      </c>
      <c r="D1601" t="s">
        <v>1256</v>
      </c>
      <c r="E1601" t="s">
        <v>1257</v>
      </c>
      <c r="F1601" t="s">
        <v>2422</v>
      </c>
      <c r="G1601" t="s">
        <v>2619</v>
      </c>
      <c r="H1601" s="15">
        <v>46092</v>
      </c>
      <c r="I1601" t="s">
        <v>2620</v>
      </c>
      <c r="J1601" t="s">
        <v>16</v>
      </c>
      <c r="K1601" t="s">
        <v>185</v>
      </c>
      <c r="N1601">
        <v>0</v>
      </c>
      <c r="O1601" t="s">
        <v>222</v>
      </c>
      <c r="P1601">
        <v>0</v>
      </c>
      <c r="U1601" s="15"/>
    </row>
    <row r="1602" spans="1:21" x14ac:dyDescent="0.35">
      <c r="A1602" t="s">
        <v>14</v>
      </c>
      <c r="B1602" t="s">
        <v>2421</v>
      </c>
      <c r="C1602" t="s">
        <v>1255</v>
      </c>
      <c r="D1602" t="s">
        <v>1256</v>
      </c>
      <c r="E1602" t="s">
        <v>1257</v>
      </c>
      <c r="F1602" t="s">
        <v>2422</v>
      </c>
      <c r="G1602" t="s">
        <v>2621</v>
      </c>
      <c r="H1602" s="15">
        <v>46093</v>
      </c>
      <c r="I1602" t="s">
        <v>2622</v>
      </c>
      <c r="J1602" t="s">
        <v>16</v>
      </c>
      <c r="K1602" t="s">
        <v>185</v>
      </c>
      <c r="N1602">
        <v>0</v>
      </c>
      <c r="O1602" t="s">
        <v>222</v>
      </c>
      <c r="P1602">
        <v>0</v>
      </c>
      <c r="U1602" s="15"/>
    </row>
    <row r="1603" spans="1:21" x14ac:dyDescent="0.35">
      <c r="A1603" t="s">
        <v>14</v>
      </c>
      <c r="B1603" t="s">
        <v>3158</v>
      </c>
      <c r="C1603" t="s">
        <v>515</v>
      </c>
      <c r="D1603" t="s">
        <v>516</v>
      </c>
      <c r="E1603" t="s">
        <v>517</v>
      </c>
      <c r="F1603" t="s">
        <v>3159</v>
      </c>
      <c r="G1603" t="s">
        <v>3692</v>
      </c>
      <c r="H1603" s="15">
        <v>46099</v>
      </c>
      <c r="I1603" t="s">
        <v>3698</v>
      </c>
      <c r="J1603" t="s">
        <v>16</v>
      </c>
      <c r="K1603" t="s">
        <v>185</v>
      </c>
      <c r="N1603">
        <v>0</v>
      </c>
      <c r="O1603" t="s">
        <v>222</v>
      </c>
      <c r="P1603">
        <v>0</v>
      </c>
      <c r="U1603" s="15"/>
    </row>
    <row r="1604" spans="1:21" x14ac:dyDescent="0.35">
      <c r="A1604" t="s">
        <v>14</v>
      </c>
      <c r="B1604" t="s">
        <v>3158</v>
      </c>
      <c r="C1604" t="s">
        <v>1255</v>
      </c>
      <c r="D1604" t="s">
        <v>1256</v>
      </c>
      <c r="E1604" t="s">
        <v>1257</v>
      </c>
      <c r="F1604" t="s">
        <v>3159</v>
      </c>
      <c r="G1604" t="s">
        <v>3704</v>
      </c>
      <c r="H1604" s="15">
        <v>46099</v>
      </c>
      <c r="I1604" t="s">
        <v>3705</v>
      </c>
      <c r="J1604" t="s">
        <v>233</v>
      </c>
      <c r="K1604" t="s">
        <v>185</v>
      </c>
      <c r="N1604">
        <v>0</v>
      </c>
      <c r="O1604" t="s">
        <v>222</v>
      </c>
      <c r="P1604">
        <v>0</v>
      </c>
      <c r="U1604" s="15"/>
    </row>
    <row r="1605" spans="1:21" x14ac:dyDescent="0.35">
      <c r="A1605" t="s">
        <v>14</v>
      </c>
      <c r="B1605" t="s">
        <v>2421</v>
      </c>
      <c r="C1605" t="s">
        <v>1255</v>
      </c>
      <c r="D1605" t="s">
        <v>1256</v>
      </c>
      <c r="E1605" t="s">
        <v>1257</v>
      </c>
      <c r="F1605" t="s">
        <v>2422</v>
      </c>
      <c r="G1605" t="s">
        <v>2627</v>
      </c>
      <c r="H1605" s="15">
        <v>46094</v>
      </c>
      <c r="I1605" t="s">
        <v>2628</v>
      </c>
      <c r="J1605" t="s">
        <v>16</v>
      </c>
      <c r="K1605" t="s">
        <v>185</v>
      </c>
      <c r="N1605">
        <v>0</v>
      </c>
      <c r="O1605" t="s">
        <v>222</v>
      </c>
      <c r="P1605">
        <v>0</v>
      </c>
      <c r="U1605" s="15"/>
    </row>
    <row r="1606" spans="1:21" x14ac:dyDescent="0.35">
      <c r="A1606" t="s">
        <v>14</v>
      </c>
      <c r="B1606" t="s">
        <v>3158</v>
      </c>
      <c r="C1606" t="s">
        <v>1255</v>
      </c>
      <c r="D1606" t="s">
        <v>1256</v>
      </c>
      <c r="E1606" t="s">
        <v>1257</v>
      </c>
      <c r="F1606" t="s">
        <v>3159</v>
      </c>
      <c r="G1606" t="s">
        <v>3706</v>
      </c>
      <c r="H1606" s="15">
        <v>46100</v>
      </c>
      <c r="I1606" t="s">
        <v>3707</v>
      </c>
      <c r="J1606" t="s">
        <v>16</v>
      </c>
      <c r="K1606" t="s">
        <v>185</v>
      </c>
      <c r="N1606">
        <v>0</v>
      </c>
      <c r="O1606" t="s">
        <v>222</v>
      </c>
      <c r="P1606">
        <v>0</v>
      </c>
      <c r="U1606" s="15"/>
    </row>
    <row r="1607" spans="1:21" x14ac:dyDescent="0.35">
      <c r="A1607" t="s">
        <v>14</v>
      </c>
      <c r="B1607" t="s">
        <v>3158</v>
      </c>
      <c r="C1607" t="s">
        <v>515</v>
      </c>
      <c r="D1607" t="s">
        <v>516</v>
      </c>
      <c r="E1607" t="s">
        <v>517</v>
      </c>
      <c r="F1607" t="s">
        <v>3159</v>
      </c>
      <c r="G1607" t="s">
        <v>3706</v>
      </c>
      <c r="H1607" s="15">
        <v>46100</v>
      </c>
      <c r="I1607" t="s">
        <v>3708</v>
      </c>
      <c r="J1607" t="s">
        <v>16</v>
      </c>
      <c r="K1607" t="s">
        <v>185</v>
      </c>
      <c r="N1607">
        <v>0</v>
      </c>
      <c r="O1607" t="s">
        <v>222</v>
      </c>
      <c r="P1607">
        <v>0</v>
      </c>
      <c r="U1607" s="15"/>
    </row>
    <row r="1608" spans="1:21" x14ac:dyDescent="0.35">
      <c r="A1608" t="s">
        <v>14</v>
      </c>
      <c r="B1608" t="s">
        <v>2421</v>
      </c>
      <c r="C1608" t="s">
        <v>1255</v>
      </c>
      <c r="D1608" t="s">
        <v>1256</v>
      </c>
      <c r="E1608" t="s">
        <v>1257</v>
      </c>
      <c r="F1608" t="s">
        <v>2422</v>
      </c>
      <c r="G1608" t="s">
        <v>2629</v>
      </c>
      <c r="H1608" s="15">
        <v>46099</v>
      </c>
      <c r="I1608" t="s">
        <v>2630</v>
      </c>
      <c r="J1608" t="s">
        <v>16</v>
      </c>
      <c r="K1608" t="s">
        <v>185</v>
      </c>
      <c r="N1608">
        <v>0</v>
      </c>
      <c r="O1608" t="s">
        <v>222</v>
      </c>
      <c r="P1608">
        <v>0</v>
      </c>
      <c r="U1608" s="15"/>
    </row>
    <row r="1609" spans="1:21" x14ac:dyDescent="0.35">
      <c r="A1609" t="s">
        <v>14</v>
      </c>
      <c r="B1609" t="s">
        <v>3158</v>
      </c>
      <c r="C1609" t="s">
        <v>1255</v>
      </c>
      <c r="D1609" t="s">
        <v>1256</v>
      </c>
      <c r="E1609" t="s">
        <v>1257</v>
      </c>
      <c r="F1609" t="s">
        <v>3159</v>
      </c>
      <c r="G1609" t="s">
        <v>3709</v>
      </c>
      <c r="H1609" s="15">
        <v>46100</v>
      </c>
      <c r="I1609" t="s">
        <v>3710</v>
      </c>
      <c r="J1609" t="s">
        <v>233</v>
      </c>
      <c r="K1609" t="s">
        <v>185</v>
      </c>
      <c r="N1609">
        <v>0</v>
      </c>
      <c r="O1609" t="s">
        <v>222</v>
      </c>
      <c r="P1609">
        <v>0</v>
      </c>
      <c r="U1609" s="15"/>
    </row>
    <row r="1610" spans="1:21" x14ac:dyDescent="0.35">
      <c r="A1610" t="s">
        <v>14</v>
      </c>
      <c r="B1610" t="s">
        <v>3158</v>
      </c>
      <c r="C1610" t="s">
        <v>1255</v>
      </c>
      <c r="D1610" t="s">
        <v>1256</v>
      </c>
      <c r="E1610" t="s">
        <v>1257</v>
      </c>
      <c r="F1610" t="s">
        <v>3159</v>
      </c>
      <c r="G1610" t="s">
        <v>3711</v>
      </c>
      <c r="H1610" s="15">
        <v>46104</v>
      </c>
      <c r="I1610" t="s">
        <v>3712</v>
      </c>
      <c r="J1610" t="s">
        <v>16</v>
      </c>
      <c r="K1610" t="s">
        <v>185</v>
      </c>
      <c r="N1610">
        <v>0</v>
      </c>
      <c r="O1610" t="s">
        <v>222</v>
      </c>
      <c r="P1610">
        <v>0</v>
      </c>
      <c r="U1610" s="15"/>
    </row>
    <row r="1611" spans="1:21" x14ac:dyDescent="0.35">
      <c r="A1611" t="s">
        <v>14</v>
      </c>
      <c r="B1611" t="s">
        <v>2421</v>
      </c>
      <c r="C1611" t="s">
        <v>1255</v>
      </c>
      <c r="D1611" t="s">
        <v>1256</v>
      </c>
      <c r="E1611" t="s">
        <v>1257</v>
      </c>
      <c r="F1611" t="s">
        <v>2422</v>
      </c>
      <c r="G1611" t="s">
        <v>2634</v>
      </c>
      <c r="H1611" s="15">
        <v>46100</v>
      </c>
      <c r="I1611" t="s">
        <v>2635</v>
      </c>
      <c r="J1611" t="s">
        <v>16</v>
      </c>
      <c r="K1611" t="s">
        <v>185</v>
      </c>
      <c r="N1611">
        <v>0</v>
      </c>
      <c r="O1611" t="s">
        <v>222</v>
      </c>
      <c r="P1611">
        <v>0</v>
      </c>
      <c r="U1611" s="15"/>
    </row>
    <row r="1612" spans="1:21" x14ac:dyDescent="0.35">
      <c r="A1612" t="s">
        <v>14</v>
      </c>
      <c r="B1612" t="s">
        <v>3158</v>
      </c>
      <c r="C1612" t="s">
        <v>682</v>
      </c>
      <c r="D1612" t="s">
        <v>683</v>
      </c>
      <c r="E1612" t="s">
        <v>683</v>
      </c>
      <c r="F1612" t="s">
        <v>3159</v>
      </c>
      <c r="G1612" t="s">
        <v>3713</v>
      </c>
      <c r="H1612" s="15">
        <v>46105</v>
      </c>
      <c r="I1612" t="s">
        <v>3714</v>
      </c>
      <c r="J1612" t="s">
        <v>16</v>
      </c>
      <c r="K1612" t="s">
        <v>185</v>
      </c>
      <c r="N1612">
        <v>0</v>
      </c>
      <c r="O1612" t="s">
        <v>222</v>
      </c>
      <c r="P1612">
        <v>0</v>
      </c>
      <c r="U1612" s="15"/>
    </row>
    <row r="1613" spans="1:21" x14ac:dyDescent="0.35">
      <c r="A1613" t="s">
        <v>14</v>
      </c>
      <c r="B1613" t="s">
        <v>3158</v>
      </c>
      <c r="C1613" t="s">
        <v>1255</v>
      </c>
      <c r="D1613" t="s">
        <v>1256</v>
      </c>
      <c r="E1613" t="s">
        <v>1257</v>
      </c>
      <c r="F1613" t="s">
        <v>3159</v>
      </c>
      <c r="G1613" t="s">
        <v>3713</v>
      </c>
      <c r="H1613" s="15">
        <v>46105</v>
      </c>
      <c r="I1613" t="s">
        <v>3725</v>
      </c>
      <c r="J1613" t="s">
        <v>16</v>
      </c>
      <c r="K1613" t="s">
        <v>185</v>
      </c>
      <c r="N1613">
        <v>0</v>
      </c>
      <c r="O1613" t="s">
        <v>222</v>
      </c>
      <c r="P1613">
        <v>0</v>
      </c>
      <c r="U1613" s="15"/>
    </row>
    <row r="1614" spans="1:21" x14ac:dyDescent="0.35">
      <c r="A1614" t="s">
        <v>14</v>
      </c>
      <c r="B1614" t="s">
        <v>2421</v>
      </c>
      <c r="C1614" t="s">
        <v>1255</v>
      </c>
      <c r="D1614" t="s">
        <v>1256</v>
      </c>
      <c r="E1614" t="s">
        <v>1257</v>
      </c>
      <c r="F1614" t="s">
        <v>2422</v>
      </c>
      <c r="G1614" t="s">
        <v>2638</v>
      </c>
      <c r="H1614" s="15">
        <v>46101</v>
      </c>
      <c r="I1614" t="s">
        <v>2639</v>
      </c>
      <c r="J1614" t="s">
        <v>16</v>
      </c>
      <c r="K1614" t="s">
        <v>185</v>
      </c>
      <c r="N1614">
        <v>0</v>
      </c>
      <c r="O1614" t="s">
        <v>222</v>
      </c>
      <c r="P1614">
        <v>0</v>
      </c>
      <c r="U1614" s="15"/>
    </row>
    <row r="1615" spans="1:21" x14ac:dyDescent="0.35">
      <c r="A1615" t="s">
        <v>14</v>
      </c>
      <c r="B1615" t="s">
        <v>3158</v>
      </c>
      <c r="C1615" t="s">
        <v>515</v>
      </c>
      <c r="D1615" t="s">
        <v>516</v>
      </c>
      <c r="E1615" t="s">
        <v>517</v>
      </c>
      <c r="F1615" t="s">
        <v>3159</v>
      </c>
      <c r="G1615" t="s">
        <v>3731</v>
      </c>
      <c r="H1615" s="15">
        <v>46105</v>
      </c>
      <c r="I1615" t="s">
        <v>3732</v>
      </c>
      <c r="J1615" t="s">
        <v>233</v>
      </c>
      <c r="K1615" t="s">
        <v>185</v>
      </c>
      <c r="N1615">
        <v>0</v>
      </c>
      <c r="O1615" t="s">
        <v>222</v>
      </c>
      <c r="P1615">
        <v>0</v>
      </c>
      <c r="U1615" s="15"/>
    </row>
    <row r="1616" spans="1:21" x14ac:dyDescent="0.35">
      <c r="A1616" t="s">
        <v>14</v>
      </c>
      <c r="B1616" t="s">
        <v>2421</v>
      </c>
      <c r="C1616" t="s">
        <v>1255</v>
      </c>
      <c r="D1616" t="s">
        <v>1256</v>
      </c>
      <c r="E1616" t="s">
        <v>1257</v>
      </c>
      <c r="F1616" t="s">
        <v>2422</v>
      </c>
      <c r="G1616" t="s">
        <v>2643</v>
      </c>
      <c r="H1616" s="15">
        <v>46102</v>
      </c>
      <c r="I1616" t="s">
        <v>2644</v>
      </c>
      <c r="J1616" t="s">
        <v>16</v>
      </c>
      <c r="K1616" t="s">
        <v>185</v>
      </c>
      <c r="N1616">
        <v>0</v>
      </c>
      <c r="O1616" t="s">
        <v>222</v>
      </c>
      <c r="P1616">
        <v>0</v>
      </c>
      <c r="U1616" s="15"/>
    </row>
    <row r="1617" spans="1:21" x14ac:dyDescent="0.35">
      <c r="A1617" t="s">
        <v>14</v>
      </c>
      <c r="B1617" t="s">
        <v>2421</v>
      </c>
      <c r="C1617" t="s">
        <v>1255</v>
      </c>
      <c r="D1617" t="s">
        <v>1256</v>
      </c>
      <c r="E1617" t="s">
        <v>1257</v>
      </c>
      <c r="F1617" t="s">
        <v>2422</v>
      </c>
      <c r="G1617" t="s">
        <v>2645</v>
      </c>
      <c r="H1617" s="15">
        <v>46104</v>
      </c>
      <c r="I1617" t="s">
        <v>2646</v>
      </c>
      <c r="J1617" t="s">
        <v>16</v>
      </c>
      <c r="K1617" t="s">
        <v>185</v>
      </c>
      <c r="N1617">
        <v>0</v>
      </c>
      <c r="O1617" t="s">
        <v>222</v>
      </c>
      <c r="P1617">
        <v>0</v>
      </c>
      <c r="U1617" s="15"/>
    </row>
    <row r="1618" spans="1:21" x14ac:dyDescent="0.35">
      <c r="A1618" t="s">
        <v>14</v>
      </c>
      <c r="B1618" t="s">
        <v>3158</v>
      </c>
      <c r="C1618" t="s">
        <v>697</v>
      </c>
      <c r="D1618" t="s">
        <v>698</v>
      </c>
      <c r="E1618" t="s">
        <v>699</v>
      </c>
      <c r="F1618" t="s">
        <v>3159</v>
      </c>
      <c r="G1618" t="s">
        <v>3731</v>
      </c>
      <c r="H1618" s="15">
        <v>46105</v>
      </c>
      <c r="I1618" t="s">
        <v>3733</v>
      </c>
      <c r="J1618" t="s">
        <v>233</v>
      </c>
      <c r="K1618" t="s">
        <v>185</v>
      </c>
      <c r="N1618">
        <v>0</v>
      </c>
      <c r="O1618" t="s">
        <v>222</v>
      </c>
      <c r="P1618">
        <v>0</v>
      </c>
      <c r="U1618" s="15"/>
    </row>
    <row r="1619" spans="1:21" x14ac:dyDescent="0.35">
      <c r="A1619" t="s">
        <v>14</v>
      </c>
      <c r="B1619" t="s">
        <v>3158</v>
      </c>
      <c r="C1619" t="s">
        <v>1255</v>
      </c>
      <c r="D1619" t="s">
        <v>1256</v>
      </c>
      <c r="E1619" t="s">
        <v>1257</v>
      </c>
      <c r="F1619" t="s">
        <v>3159</v>
      </c>
      <c r="G1619" t="s">
        <v>3734</v>
      </c>
      <c r="H1619" s="15">
        <v>46106</v>
      </c>
      <c r="I1619" t="s">
        <v>3735</v>
      </c>
      <c r="J1619" t="s">
        <v>16</v>
      </c>
      <c r="K1619" t="s">
        <v>185</v>
      </c>
      <c r="N1619">
        <v>0</v>
      </c>
      <c r="O1619" t="s">
        <v>222</v>
      </c>
      <c r="P1619">
        <v>0</v>
      </c>
      <c r="U1619" s="15"/>
    </row>
    <row r="1620" spans="1:21" x14ac:dyDescent="0.35">
      <c r="A1620" t="s">
        <v>14</v>
      </c>
      <c r="B1620" t="s">
        <v>3158</v>
      </c>
      <c r="C1620" t="s">
        <v>531</v>
      </c>
      <c r="D1620" t="s">
        <v>532</v>
      </c>
      <c r="E1620" t="s">
        <v>533</v>
      </c>
      <c r="F1620" t="s">
        <v>3159</v>
      </c>
      <c r="G1620" t="s">
        <v>3734</v>
      </c>
      <c r="H1620" s="15">
        <v>46106</v>
      </c>
      <c r="I1620" t="s">
        <v>3742</v>
      </c>
      <c r="J1620" t="s">
        <v>16</v>
      </c>
      <c r="K1620" t="s">
        <v>185</v>
      </c>
      <c r="N1620">
        <v>0</v>
      </c>
      <c r="O1620" t="s">
        <v>222</v>
      </c>
      <c r="P1620">
        <v>0</v>
      </c>
      <c r="U1620" s="15"/>
    </row>
    <row r="1621" spans="1:21" x14ac:dyDescent="0.35">
      <c r="A1621" t="s">
        <v>14</v>
      </c>
      <c r="B1621" t="s">
        <v>2421</v>
      </c>
      <c r="C1621" t="s">
        <v>1255</v>
      </c>
      <c r="D1621" t="s">
        <v>1256</v>
      </c>
      <c r="E1621" t="s">
        <v>1257</v>
      </c>
      <c r="F1621" t="s">
        <v>2422</v>
      </c>
      <c r="G1621" t="s">
        <v>2650</v>
      </c>
      <c r="H1621" s="15">
        <v>46105</v>
      </c>
      <c r="I1621" t="s">
        <v>2651</v>
      </c>
      <c r="J1621" t="s">
        <v>16</v>
      </c>
      <c r="K1621" t="s">
        <v>185</v>
      </c>
      <c r="N1621">
        <v>0</v>
      </c>
      <c r="O1621" t="s">
        <v>222</v>
      </c>
      <c r="P1621">
        <v>0</v>
      </c>
      <c r="U1621" s="15"/>
    </row>
    <row r="1622" spans="1:21" x14ac:dyDescent="0.35">
      <c r="A1622" t="s">
        <v>14</v>
      </c>
      <c r="B1622" t="s">
        <v>2421</v>
      </c>
      <c r="C1622" t="s">
        <v>1255</v>
      </c>
      <c r="D1622" t="s">
        <v>1256</v>
      </c>
      <c r="E1622" t="s">
        <v>1257</v>
      </c>
      <c r="F1622" t="s">
        <v>2422</v>
      </c>
      <c r="G1622" t="s">
        <v>2654</v>
      </c>
      <c r="H1622" s="15">
        <v>46106</v>
      </c>
      <c r="I1622" t="s">
        <v>2655</v>
      </c>
      <c r="J1622" t="s">
        <v>16</v>
      </c>
      <c r="K1622" t="s">
        <v>185</v>
      </c>
      <c r="N1622">
        <v>0</v>
      </c>
      <c r="O1622" t="s">
        <v>222</v>
      </c>
      <c r="P1622">
        <v>0</v>
      </c>
      <c r="U1622" s="15"/>
    </row>
    <row r="1623" spans="1:21" x14ac:dyDescent="0.35">
      <c r="A1623" t="s">
        <v>14</v>
      </c>
      <c r="B1623" t="s">
        <v>3158</v>
      </c>
      <c r="C1623" t="s">
        <v>932</v>
      </c>
      <c r="D1623" t="s">
        <v>933</v>
      </c>
      <c r="E1623" t="s">
        <v>934</v>
      </c>
      <c r="F1623" t="s">
        <v>3159</v>
      </c>
      <c r="G1623" t="s">
        <v>3743</v>
      </c>
      <c r="H1623" s="15">
        <v>46106</v>
      </c>
      <c r="I1623" t="s">
        <v>3744</v>
      </c>
      <c r="J1623" t="s">
        <v>233</v>
      </c>
      <c r="K1623" t="s">
        <v>185</v>
      </c>
      <c r="N1623">
        <v>0</v>
      </c>
      <c r="O1623" t="s">
        <v>222</v>
      </c>
      <c r="P1623">
        <v>0</v>
      </c>
      <c r="U1623" s="15"/>
    </row>
    <row r="1624" spans="1:21" x14ac:dyDescent="0.35">
      <c r="A1624" t="s">
        <v>14</v>
      </c>
      <c r="B1624" t="s">
        <v>3158</v>
      </c>
      <c r="C1624" t="s">
        <v>667</v>
      </c>
      <c r="D1624" t="s">
        <v>668</v>
      </c>
      <c r="E1624" t="s">
        <v>669</v>
      </c>
      <c r="F1624" t="s">
        <v>3159</v>
      </c>
      <c r="G1624" t="s">
        <v>3750</v>
      </c>
      <c r="H1624" s="15">
        <v>46107</v>
      </c>
      <c r="I1624" t="s">
        <v>3751</v>
      </c>
      <c r="J1624" t="s">
        <v>16</v>
      </c>
      <c r="K1624" t="s">
        <v>185</v>
      </c>
      <c r="N1624">
        <v>0</v>
      </c>
      <c r="O1624" t="s">
        <v>222</v>
      </c>
      <c r="P1624">
        <v>0</v>
      </c>
      <c r="U1624" s="15"/>
    </row>
    <row r="1625" spans="1:21" x14ac:dyDescent="0.35">
      <c r="A1625" t="s">
        <v>14</v>
      </c>
      <c r="B1625" t="s">
        <v>2421</v>
      </c>
      <c r="C1625" t="s">
        <v>1255</v>
      </c>
      <c r="D1625" t="s">
        <v>1256</v>
      </c>
      <c r="E1625" t="s">
        <v>1257</v>
      </c>
      <c r="F1625" t="s">
        <v>2422</v>
      </c>
      <c r="G1625" t="s">
        <v>2659</v>
      </c>
      <c r="H1625" s="15">
        <v>46107</v>
      </c>
      <c r="I1625" t="s">
        <v>2660</v>
      </c>
      <c r="J1625" t="s">
        <v>16</v>
      </c>
      <c r="K1625" t="s">
        <v>185</v>
      </c>
      <c r="N1625">
        <v>0</v>
      </c>
      <c r="O1625" t="s">
        <v>222</v>
      </c>
      <c r="P1625">
        <v>0</v>
      </c>
      <c r="U1625" s="15"/>
    </row>
    <row r="1626" spans="1:21" x14ac:dyDescent="0.35">
      <c r="A1626" t="s">
        <v>14</v>
      </c>
      <c r="B1626" t="s">
        <v>3158</v>
      </c>
      <c r="C1626" t="s">
        <v>1255</v>
      </c>
      <c r="D1626" t="s">
        <v>1256</v>
      </c>
      <c r="E1626" t="s">
        <v>1257</v>
      </c>
      <c r="F1626" t="s">
        <v>3159</v>
      </c>
      <c r="G1626" t="s">
        <v>3750</v>
      </c>
      <c r="H1626" s="15">
        <v>46107</v>
      </c>
      <c r="I1626" t="s">
        <v>3752</v>
      </c>
      <c r="J1626" t="s">
        <v>16</v>
      </c>
      <c r="K1626" t="s">
        <v>185</v>
      </c>
      <c r="N1626">
        <v>0</v>
      </c>
      <c r="O1626" t="s">
        <v>222</v>
      </c>
      <c r="P1626">
        <v>0</v>
      </c>
      <c r="U1626" s="15"/>
    </row>
    <row r="1627" spans="1:21" x14ac:dyDescent="0.35">
      <c r="A1627" t="s">
        <v>14</v>
      </c>
      <c r="B1627" t="s">
        <v>3158</v>
      </c>
      <c r="C1627" t="s">
        <v>515</v>
      </c>
      <c r="D1627" t="s">
        <v>516</v>
      </c>
      <c r="E1627" t="s">
        <v>517</v>
      </c>
      <c r="F1627" t="s">
        <v>3159</v>
      </c>
      <c r="G1627" t="s">
        <v>3750</v>
      </c>
      <c r="H1627" s="15">
        <v>46107</v>
      </c>
      <c r="I1627" t="s">
        <v>3753</v>
      </c>
      <c r="J1627" t="s">
        <v>16</v>
      </c>
      <c r="K1627" t="s">
        <v>185</v>
      </c>
      <c r="N1627">
        <v>0</v>
      </c>
      <c r="O1627" t="s">
        <v>222</v>
      </c>
      <c r="P1627">
        <v>0</v>
      </c>
      <c r="U1627" s="15"/>
    </row>
    <row r="1628" spans="1:21" x14ac:dyDescent="0.35">
      <c r="A1628" t="s">
        <v>14</v>
      </c>
      <c r="B1628" t="s">
        <v>2421</v>
      </c>
      <c r="C1628" t="s">
        <v>1255</v>
      </c>
      <c r="D1628" t="s">
        <v>1256</v>
      </c>
      <c r="E1628" t="s">
        <v>1257</v>
      </c>
      <c r="F1628" t="s">
        <v>2422</v>
      </c>
      <c r="G1628" t="s">
        <v>2662</v>
      </c>
      <c r="H1628" s="15">
        <v>46108</v>
      </c>
      <c r="I1628" t="s">
        <v>2663</v>
      </c>
      <c r="J1628" t="s">
        <v>16</v>
      </c>
      <c r="K1628" t="s">
        <v>185</v>
      </c>
      <c r="N1628">
        <v>0</v>
      </c>
      <c r="O1628" t="s">
        <v>222</v>
      </c>
      <c r="P1628">
        <v>0</v>
      </c>
      <c r="U1628" s="15"/>
    </row>
    <row r="1629" spans="1:21" x14ac:dyDescent="0.35">
      <c r="A1629" t="s">
        <v>14</v>
      </c>
      <c r="B1629" t="s">
        <v>2421</v>
      </c>
      <c r="C1629" t="s">
        <v>1255</v>
      </c>
      <c r="D1629" t="s">
        <v>1256</v>
      </c>
      <c r="E1629" t="s">
        <v>1257</v>
      </c>
      <c r="F1629" t="s">
        <v>2422</v>
      </c>
      <c r="G1629" t="s">
        <v>2664</v>
      </c>
      <c r="H1629" s="15">
        <v>46112</v>
      </c>
      <c r="I1629" t="s">
        <v>2665</v>
      </c>
      <c r="J1629" t="s">
        <v>16</v>
      </c>
      <c r="K1629" t="s">
        <v>185</v>
      </c>
      <c r="N1629">
        <v>0</v>
      </c>
      <c r="O1629" t="s">
        <v>222</v>
      </c>
      <c r="P1629">
        <v>0</v>
      </c>
      <c r="U1629" s="15"/>
    </row>
    <row r="1630" spans="1:21" x14ac:dyDescent="0.35">
      <c r="A1630" t="s">
        <v>14</v>
      </c>
      <c r="B1630" t="s">
        <v>3158</v>
      </c>
      <c r="C1630" t="s">
        <v>498</v>
      </c>
      <c r="D1630" t="s">
        <v>499</v>
      </c>
      <c r="E1630" t="s">
        <v>500</v>
      </c>
      <c r="F1630" t="s">
        <v>3159</v>
      </c>
      <c r="G1630" t="s">
        <v>3754</v>
      </c>
      <c r="H1630" s="15">
        <v>46108</v>
      </c>
      <c r="I1630" t="s">
        <v>3755</v>
      </c>
      <c r="J1630" t="s">
        <v>233</v>
      </c>
      <c r="K1630" t="s">
        <v>185</v>
      </c>
      <c r="N1630">
        <v>0</v>
      </c>
      <c r="O1630" t="s">
        <v>222</v>
      </c>
      <c r="P1630">
        <v>0</v>
      </c>
      <c r="U1630" s="15"/>
    </row>
    <row r="1631" spans="1:21" x14ac:dyDescent="0.35">
      <c r="A1631" t="s">
        <v>14</v>
      </c>
      <c r="B1631" t="s">
        <v>3158</v>
      </c>
      <c r="C1631" t="s">
        <v>1255</v>
      </c>
      <c r="D1631" t="s">
        <v>1256</v>
      </c>
      <c r="E1631" t="s">
        <v>1257</v>
      </c>
      <c r="F1631" t="s">
        <v>3159</v>
      </c>
      <c r="G1631" t="s">
        <v>3756</v>
      </c>
      <c r="H1631" s="15">
        <v>46108</v>
      </c>
      <c r="I1631" t="s">
        <v>3757</v>
      </c>
      <c r="J1631" t="s">
        <v>16</v>
      </c>
      <c r="K1631" t="s">
        <v>185</v>
      </c>
      <c r="N1631">
        <v>0</v>
      </c>
      <c r="O1631" t="s">
        <v>222</v>
      </c>
      <c r="P1631">
        <v>0</v>
      </c>
      <c r="U1631" s="15"/>
    </row>
    <row r="1632" spans="1:21" x14ac:dyDescent="0.35">
      <c r="A1632" t="s">
        <v>14</v>
      </c>
      <c r="B1632" t="s">
        <v>2421</v>
      </c>
      <c r="C1632" t="s">
        <v>1255</v>
      </c>
      <c r="D1632" t="s">
        <v>1256</v>
      </c>
      <c r="E1632" t="s">
        <v>1257</v>
      </c>
      <c r="F1632" t="s">
        <v>2422</v>
      </c>
      <c r="G1632" t="s">
        <v>2666</v>
      </c>
      <c r="H1632" s="15">
        <v>46113</v>
      </c>
      <c r="I1632" t="s">
        <v>2667</v>
      </c>
      <c r="J1632" t="s">
        <v>16</v>
      </c>
      <c r="K1632" t="s">
        <v>185</v>
      </c>
      <c r="N1632">
        <v>0</v>
      </c>
      <c r="O1632" t="s">
        <v>222</v>
      </c>
      <c r="P1632">
        <v>0</v>
      </c>
      <c r="U1632" s="15"/>
    </row>
    <row r="1633" spans="1:21" x14ac:dyDescent="0.35">
      <c r="A1633" t="s">
        <v>14</v>
      </c>
      <c r="B1633" t="s">
        <v>3158</v>
      </c>
      <c r="C1633" t="s">
        <v>1255</v>
      </c>
      <c r="D1633" t="s">
        <v>1256</v>
      </c>
      <c r="E1633" t="s">
        <v>1257</v>
      </c>
      <c r="F1633" t="s">
        <v>3159</v>
      </c>
      <c r="G1633" t="s">
        <v>3758</v>
      </c>
      <c r="H1633" s="15">
        <v>46111</v>
      </c>
      <c r="I1633" t="s">
        <v>3759</v>
      </c>
      <c r="J1633" t="s">
        <v>16</v>
      </c>
      <c r="K1633" t="s">
        <v>185</v>
      </c>
      <c r="N1633">
        <v>0</v>
      </c>
      <c r="O1633" t="s">
        <v>222</v>
      </c>
      <c r="P1633">
        <v>0</v>
      </c>
      <c r="U1633" s="15"/>
    </row>
    <row r="1634" spans="1:21" x14ac:dyDescent="0.35">
      <c r="A1634" t="s">
        <v>14</v>
      </c>
      <c r="B1634" t="s">
        <v>2421</v>
      </c>
      <c r="C1634" t="s">
        <v>1255</v>
      </c>
      <c r="D1634" t="s">
        <v>1256</v>
      </c>
      <c r="E1634" t="s">
        <v>1257</v>
      </c>
      <c r="F1634" t="s">
        <v>2422</v>
      </c>
      <c r="G1634" t="s">
        <v>2668</v>
      </c>
      <c r="H1634" s="15">
        <v>46114</v>
      </c>
      <c r="I1634" t="s">
        <v>2669</v>
      </c>
      <c r="J1634" t="s">
        <v>16</v>
      </c>
      <c r="K1634" t="s">
        <v>185</v>
      </c>
      <c r="N1634">
        <v>0</v>
      </c>
      <c r="O1634" t="s">
        <v>222</v>
      </c>
      <c r="P1634">
        <v>0</v>
      </c>
      <c r="U1634" s="15"/>
    </row>
    <row r="1635" spans="1:21" x14ac:dyDescent="0.35">
      <c r="A1635" t="s">
        <v>14</v>
      </c>
      <c r="B1635" t="s">
        <v>3158</v>
      </c>
      <c r="C1635" t="s">
        <v>515</v>
      </c>
      <c r="D1635" t="s">
        <v>516</v>
      </c>
      <c r="E1635" t="s">
        <v>517</v>
      </c>
      <c r="F1635" t="s">
        <v>3159</v>
      </c>
      <c r="G1635" t="s">
        <v>3758</v>
      </c>
      <c r="H1635" s="15">
        <v>46111</v>
      </c>
      <c r="I1635" t="s">
        <v>3767</v>
      </c>
      <c r="J1635" t="s">
        <v>16</v>
      </c>
      <c r="K1635" t="s">
        <v>185</v>
      </c>
      <c r="N1635">
        <v>0</v>
      </c>
      <c r="O1635" t="s">
        <v>222</v>
      </c>
      <c r="P1635">
        <v>0</v>
      </c>
      <c r="U1635" s="15"/>
    </row>
    <row r="1636" spans="1:21" x14ac:dyDescent="0.35">
      <c r="A1636" t="s">
        <v>14</v>
      </c>
      <c r="B1636" t="s">
        <v>3158</v>
      </c>
      <c r="C1636" t="s">
        <v>1255</v>
      </c>
      <c r="D1636" t="s">
        <v>1256</v>
      </c>
      <c r="E1636" t="s">
        <v>1257</v>
      </c>
      <c r="F1636" t="s">
        <v>3159</v>
      </c>
      <c r="G1636" t="s">
        <v>3768</v>
      </c>
      <c r="H1636" s="15">
        <v>46111</v>
      </c>
      <c r="I1636" t="s">
        <v>3769</v>
      </c>
      <c r="J1636" t="s">
        <v>233</v>
      </c>
      <c r="K1636" t="s">
        <v>185</v>
      </c>
      <c r="N1636">
        <v>0</v>
      </c>
      <c r="O1636" t="s">
        <v>222</v>
      </c>
      <c r="P1636">
        <v>0</v>
      </c>
      <c r="U1636" s="15"/>
    </row>
    <row r="1637" spans="1:21" x14ac:dyDescent="0.35">
      <c r="A1637" t="s">
        <v>14</v>
      </c>
      <c r="B1637" t="s">
        <v>2421</v>
      </c>
      <c r="C1637" t="s">
        <v>777</v>
      </c>
      <c r="D1637" t="s">
        <v>778</v>
      </c>
      <c r="E1637" t="s">
        <v>779</v>
      </c>
      <c r="F1637" t="s">
        <v>2422</v>
      </c>
      <c r="G1637" t="s">
        <v>2670</v>
      </c>
      <c r="H1637" s="15">
        <v>46115</v>
      </c>
      <c r="I1637" t="s">
        <v>2671</v>
      </c>
      <c r="J1637" t="s">
        <v>16</v>
      </c>
      <c r="K1637" t="s">
        <v>185</v>
      </c>
      <c r="N1637">
        <v>0</v>
      </c>
      <c r="O1637" t="s">
        <v>222</v>
      </c>
      <c r="P1637">
        <v>0</v>
      </c>
      <c r="U1637" s="15"/>
    </row>
    <row r="1638" spans="1:21" x14ac:dyDescent="0.35">
      <c r="A1638" t="s">
        <v>14</v>
      </c>
      <c r="B1638" t="s">
        <v>3158</v>
      </c>
      <c r="C1638" t="s">
        <v>1255</v>
      </c>
      <c r="D1638" t="s">
        <v>1256</v>
      </c>
      <c r="E1638" t="s">
        <v>1257</v>
      </c>
      <c r="F1638" t="s">
        <v>3159</v>
      </c>
      <c r="G1638" t="s">
        <v>3770</v>
      </c>
      <c r="H1638" s="15">
        <v>46112</v>
      </c>
      <c r="I1638" t="s">
        <v>3771</v>
      </c>
      <c r="J1638" t="s">
        <v>16</v>
      </c>
      <c r="K1638" t="s">
        <v>185</v>
      </c>
      <c r="N1638">
        <v>0</v>
      </c>
      <c r="O1638" t="s">
        <v>222</v>
      </c>
      <c r="P1638">
        <v>0</v>
      </c>
      <c r="U1638" s="15"/>
    </row>
    <row r="1639" spans="1:21" x14ac:dyDescent="0.35">
      <c r="A1639" t="s">
        <v>14</v>
      </c>
      <c r="B1639" t="s">
        <v>2421</v>
      </c>
      <c r="C1639" t="s">
        <v>1255</v>
      </c>
      <c r="D1639" t="s">
        <v>1256</v>
      </c>
      <c r="E1639" t="s">
        <v>1257</v>
      </c>
      <c r="F1639" t="s">
        <v>2422</v>
      </c>
      <c r="G1639" t="s">
        <v>2670</v>
      </c>
      <c r="H1639" s="15">
        <v>46115</v>
      </c>
      <c r="I1639" t="s">
        <v>2676</v>
      </c>
      <c r="J1639" t="s">
        <v>16</v>
      </c>
      <c r="K1639" t="s">
        <v>185</v>
      </c>
      <c r="N1639">
        <v>0</v>
      </c>
      <c r="O1639" t="s">
        <v>222</v>
      </c>
      <c r="P1639">
        <v>0</v>
      </c>
      <c r="U1639" s="15"/>
    </row>
    <row r="1640" spans="1:21" x14ac:dyDescent="0.35">
      <c r="A1640" t="s">
        <v>14</v>
      </c>
      <c r="B1640" t="s">
        <v>2421</v>
      </c>
      <c r="C1640" t="s">
        <v>1255</v>
      </c>
      <c r="D1640" t="s">
        <v>1256</v>
      </c>
      <c r="E1640" t="s">
        <v>1257</v>
      </c>
      <c r="F1640" t="s">
        <v>2422</v>
      </c>
      <c r="G1640" t="s">
        <v>2677</v>
      </c>
      <c r="H1640" s="15">
        <v>46116</v>
      </c>
      <c r="I1640" t="s">
        <v>2678</v>
      </c>
      <c r="J1640" t="s">
        <v>16</v>
      </c>
      <c r="K1640" t="s">
        <v>185</v>
      </c>
      <c r="N1640">
        <v>0</v>
      </c>
      <c r="O1640" t="s">
        <v>222</v>
      </c>
      <c r="P1640">
        <v>0</v>
      </c>
      <c r="U1640" s="15"/>
    </row>
    <row r="1641" spans="1:21" x14ac:dyDescent="0.35">
      <c r="A1641" t="s">
        <v>14</v>
      </c>
      <c r="B1641" t="s">
        <v>2421</v>
      </c>
      <c r="C1641" t="s">
        <v>1255</v>
      </c>
      <c r="D1641" t="s">
        <v>1256</v>
      </c>
      <c r="E1641" t="s">
        <v>1257</v>
      </c>
      <c r="F1641" t="s">
        <v>2422</v>
      </c>
      <c r="G1641" t="s">
        <v>2679</v>
      </c>
      <c r="H1641" s="15">
        <v>46118</v>
      </c>
      <c r="I1641" t="s">
        <v>2680</v>
      </c>
      <c r="J1641" t="s">
        <v>16</v>
      </c>
      <c r="K1641" t="s">
        <v>185</v>
      </c>
      <c r="N1641">
        <v>0</v>
      </c>
      <c r="O1641" t="s">
        <v>222</v>
      </c>
      <c r="P1641">
        <v>0</v>
      </c>
      <c r="U1641" s="15"/>
    </row>
    <row r="1642" spans="1:21" x14ac:dyDescent="0.35">
      <c r="A1642" t="s">
        <v>14</v>
      </c>
      <c r="B1642" t="s">
        <v>3158</v>
      </c>
      <c r="C1642" t="s">
        <v>515</v>
      </c>
      <c r="D1642" t="s">
        <v>516</v>
      </c>
      <c r="E1642" t="s">
        <v>517</v>
      </c>
      <c r="F1642" t="s">
        <v>3159</v>
      </c>
      <c r="G1642" t="s">
        <v>3770</v>
      </c>
      <c r="H1642" s="15">
        <v>46112</v>
      </c>
      <c r="I1642" t="s">
        <v>3777</v>
      </c>
      <c r="J1642" t="s">
        <v>16</v>
      </c>
      <c r="K1642" t="s">
        <v>185</v>
      </c>
      <c r="N1642">
        <v>0</v>
      </c>
      <c r="O1642" t="s">
        <v>222</v>
      </c>
      <c r="P1642">
        <v>0</v>
      </c>
      <c r="U1642" s="15"/>
    </row>
    <row r="1643" spans="1:21" x14ac:dyDescent="0.35">
      <c r="A1643" t="s">
        <v>14</v>
      </c>
      <c r="B1643" t="s">
        <v>3158</v>
      </c>
      <c r="C1643" t="s">
        <v>1255</v>
      </c>
      <c r="D1643" t="s">
        <v>1256</v>
      </c>
      <c r="E1643" t="s">
        <v>1257</v>
      </c>
      <c r="F1643" t="s">
        <v>3159</v>
      </c>
      <c r="G1643" t="s">
        <v>3783</v>
      </c>
      <c r="H1643" s="15">
        <v>46112</v>
      </c>
      <c r="I1643" t="s">
        <v>3784</v>
      </c>
      <c r="J1643" t="s">
        <v>233</v>
      </c>
      <c r="K1643" t="s">
        <v>185</v>
      </c>
      <c r="N1643">
        <v>0</v>
      </c>
      <c r="O1643" t="s">
        <v>222</v>
      </c>
      <c r="P1643">
        <v>0</v>
      </c>
      <c r="U1643" s="15"/>
    </row>
    <row r="1644" spans="1:21" x14ac:dyDescent="0.35">
      <c r="A1644" t="s">
        <v>14</v>
      </c>
      <c r="B1644" t="s">
        <v>3158</v>
      </c>
      <c r="C1644" t="s">
        <v>1255</v>
      </c>
      <c r="D1644" t="s">
        <v>1256</v>
      </c>
      <c r="E1644" t="s">
        <v>1257</v>
      </c>
      <c r="F1644" t="s">
        <v>3159</v>
      </c>
      <c r="G1644" t="s">
        <v>3785</v>
      </c>
      <c r="H1644" s="15">
        <v>46113</v>
      </c>
      <c r="I1644" t="s">
        <v>3786</v>
      </c>
      <c r="J1644" t="s">
        <v>16</v>
      </c>
      <c r="K1644" t="s">
        <v>185</v>
      </c>
      <c r="N1644">
        <v>0</v>
      </c>
      <c r="O1644" t="s">
        <v>222</v>
      </c>
      <c r="P1644">
        <v>0</v>
      </c>
      <c r="U1644" s="15"/>
    </row>
    <row r="1645" spans="1:21" x14ac:dyDescent="0.35">
      <c r="A1645" t="s">
        <v>14</v>
      </c>
      <c r="B1645" t="s">
        <v>3158</v>
      </c>
      <c r="C1645" t="s">
        <v>531</v>
      </c>
      <c r="D1645" t="s">
        <v>532</v>
      </c>
      <c r="E1645" t="s">
        <v>533</v>
      </c>
      <c r="F1645" t="s">
        <v>3159</v>
      </c>
      <c r="G1645" t="s">
        <v>3785</v>
      </c>
      <c r="H1645" s="15">
        <v>46113</v>
      </c>
      <c r="I1645" t="s">
        <v>3787</v>
      </c>
      <c r="J1645" t="s">
        <v>16</v>
      </c>
      <c r="K1645" t="s">
        <v>185</v>
      </c>
      <c r="N1645">
        <v>0</v>
      </c>
      <c r="O1645" t="s">
        <v>222</v>
      </c>
      <c r="P1645">
        <v>0</v>
      </c>
      <c r="U1645" s="15"/>
    </row>
    <row r="1646" spans="1:21" x14ac:dyDescent="0.35">
      <c r="A1646" t="s">
        <v>14</v>
      </c>
      <c r="B1646" t="s">
        <v>2421</v>
      </c>
      <c r="C1646" t="s">
        <v>1255</v>
      </c>
      <c r="D1646" t="s">
        <v>1256</v>
      </c>
      <c r="E1646" t="s">
        <v>1257</v>
      </c>
      <c r="F1646" t="s">
        <v>2422</v>
      </c>
      <c r="G1646" t="s">
        <v>2684</v>
      </c>
      <c r="H1646" s="15">
        <v>46119</v>
      </c>
      <c r="I1646" t="s">
        <v>2685</v>
      </c>
      <c r="J1646" t="s">
        <v>16</v>
      </c>
      <c r="K1646" t="s">
        <v>185</v>
      </c>
      <c r="N1646">
        <v>0</v>
      </c>
      <c r="O1646" t="s">
        <v>222</v>
      </c>
      <c r="P1646">
        <v>0</v>
      </c>
      <c r="U1646" s="15"/>
    </row>
    <row r="1647" spans="1:21" x14ac:dyDescent="0.35">
      <c r="A1647" t="s">
        <v>14</v>
      </c>
      <c r="B1647" t="s">
        <v>2421</v>
      </c>
      <c r="C1647" t="s">
        <v>1255</v>
      </c>
      <c r="D1647" t="s">
        <v>1256</v>
      </c>
      <c r="E1647" t="s">
        <v>1257</v>
      </c>
      <c r="F1647" t="s">
        <v>2422</v>
      </c>
      <c r="G1647" t="s">
        <v>2686</v>
      </c>
      <c r="H1647" s="15">
        <v>46120</v>
      </c>
      <c r="I1647" t="s">
        <v>2687</v>
      </c>
      <c r="J1647" t="s">
        <v>16</v>
      </c>
      <c r="K1647" t="s">
        <v>185</v>
      </c>
      <c r="N1647">
        <v>0</v>
      </c>
      <c r="O1647" t="s">
        <v>222</v>
      </c>
      <c r="P1647">
        <v>0</v>
      </c>
      <c r="U1647" s="15"/>
    </row>
    <row r="1648" spans="1:21" x14ac:dyDescent="0.35">
      <c r="A1648" t="s">
        <v>14</v>
      </c>
      <c r="B1648" t="s">
        <v>2421</v>
      </c>
      <c r="C1648" t="s">
        <v>1255</v>
      </c>
      <c r="D1648" t="s">
        <v>1256</v>
      </c>
      <c r="E1648" t="s">
        <v>1257</v>
      </c>
      <c r="F1648" t="s">
        <v>2422</v>
      </c>
      <c r="G1648" t="s">
        <v>2688</v>
      </c>
      <c r="H1648" s="15">
        <v>46121</v>
      </c>
      <c r="I1648" t="s">
        <v>2689</v>
      </c>
      <c r="J1648" t="s">
        <v>16</v>
      </c>
      <c r="K1648" t="s">
        <v>185</v>
      </c>
      <c r="N1648">
        <v>0</v>
      </c>
      <c r="O1648" t="s">
        <v>222</v>
      </c>
      <c r="P1648">
        <v>0</v>
      </c>
      <c r="U1648" s="15"/>
    </row>
    <row r="1649" spans="1:21" x14ac:dyDescent="0.35">
      <c r="A1649" t="s">
        <v>14</v>
      </c>
      <c r="B1649" t="s">
        <v>3158</v>
      </c>
      <c r="C1649" t="s">
        <v>647</v>
      </c>
      <c r="D1649" t="s">
        <v>648</v>
      </c>
      <c r="E1649" t="s">
        <v>649</v>
      </c>
      <c r="F1649" t="s">
        <v>3159</v>
      </c>
      <c r="G1649" t="s">
        <v>3788</v>
      </c>
      <c r="H1649" s="15">
        <v>46113</v>
      </c>
      <c r="I1649" t="s">
        <v>3789</v>
      </c>
      <c r="J1649" t="s">
        <v>233</v>
      </c>
      <c r="K1649" t="s">
        <v>185</v>
      </c>
      <c r="N1649">
        <v>0</v>
      </c>
      <c r="O1649" t="s">
        <v>222</v>
      </c>
      <c r="P1649">
        <v>0</v>
      </c>
      <c r="U1649" s="15"/>
    </row>
    <row r="1650" spans="1:21" x14ac:dyDescent="0.35">
      <c r="A1650" t="s">
        <v>14</v>
      </c>
      <c r="B1650" t="s">
        <v>3158</v>
      </c>
      <c r="C1650" t="s">
        <v>1255</v>
      </c>
      <c r="D1650" t="s">
        <v>1256</v>
      </c>
      <c r="E1650" t="s">
        <v>1257</v>
      </c>
      <c r="F1650" t="s">
        <v>3159</v>
      </c>
      <c r="G1650" t="s">
        <v>3795</v>
      </c>
      <c r="H1650" s="15">
        <v>46114</v>
      </c>
      <c r="I1650" t="s">
        <v>3796</v>
      </c>
      <c r="J1650" t="s">
        <v>16</v>
      </c>
      <c r="K1650" t="s">
        <v>185</v>
      </c>
      <c r="N1650">
        <v>0</v>
      </c>
      <c r="O1650" t="s">
        <v>222</v>
      </c>
      <c r="P1650">
        <v>0</v>
      </c>
      <c r="U1650" s="15"/>
    </row>
    <row r="1651" spans="1:21" x14ac:dyDescent="0.35">
      <c r="A1651" t="s">
        <v>14</v>
      </c>
      <c r="B1651" t="s">
        <v>3158</v>
      </c>
      <c r="C1651" t="s">
        <v>515</v>
      </c>
      <c r="D1651" t="s">
        <v>516</v>
      </c>
      <c r="E1651" t="s">
        <v>517</v>
      </c>
      <c r="F1651" t="s">
        <v>3159</v>
      </c>
      <c r="G1651" t="s">
        <v>3795</v>
      </c>
      <c r="H1651" s="15">
        <v>46114</v>
      </c>
      <c r="I1651" t="s">
        <v>3797</v>
      </c>
      <c r="J1651" t="s">
        <v>16</v>
      </c>
      <c r="K1651" t="s">
        <v>185</v>
      </c>
      <c r="N1651">
        <v>0</v>
      </c>
      <c r="O1651" t="s">
        <v>222</v>
      </c>
      <c r="P1651">
        <v>0</v>
      </c>
      <c r="U1651" s="15"/>
    </row>
    <row r="1652" spans="1:21" x14ac:dyDescent="0.35">
      <c r="A1652" t="s">
        <v>14</v>
      </c>
      <c r="B1652" t="s">
        <v>2421</v>
      </c>
      <c r="C1652" t="s">
        <v>1255</v>
      </c>
      <c r="D1652" t="s">
        <v>1256</v>
      </c>
      <c r="E1652" t="s">
        <v>1257</v>
      </c>
      <c r="F1652" t="s">
        <v>2422</v>
      </c>
      <c r="G1652" t="s">
        <v>2690</v>
      </c>
      <c r="H1652" s="15">
        <v>46122</v>
      </c>
      <c r="I1652" t="s">
        <v>2691</v>
      </c>
      <c r="J1652" t="s">
        <v>16</v>
      </c>
      <c r="K1652" t="s">
        <v>185</v>
      </c>
      <c r="N1652">
        <v>0</v>
      </c>
      <c r="O1652" t="s">
        <v>222</v>
      </c>
      <c r="P1652">
        <v>0</v>
      </c>
      <c r="U1652" s="15"/>
    </row>
    <row r="1653" spans="1:21" x14ac:dyDescent="0.35">
      <c r="A1653" t="s">
        <v>14</v>
      </c>
      <c r="B1653" t="s">
        <v>2421</v>
      </c>
      <c r="C1653" t="s">
        <v>1255</v>
      </c>
      <c r="D1653" t="s">
        <v>1256</v>
      </c>
      <c r="E1653" t="s">
        <v>1257</v>
      </c>
      <c r="F1653" t="s">
        <v>2422</v>
      </c>
      <c r="G1653" t="s">
        <v>2692</v>
      </c>
      <c r="H1653" s="15">
        <v>46123</v>
      </c>
      <c r="I1653" t="s">
        <v>2693</v>
      </c>
      <c r="J1653" t="s">
        <v>16</v>
      </c>
      <c r="K1653" t="s">
        <v>185</v>
      </c>
      <c r="N1653">
        <v>0</v>
      </c>
      <c r="O1653" t="s">
        <v>222</v>
      </c>
      <c r="P1653">
        <v>0</v>
      </c>
      <c r="U1653" s="15"/>
    </row>
    <row r="1654" spans="1:21" x14ac:dyDescent="0.35">
      <c r="A1654" t="s">
        <v>14</v>
      </c>
      <c r="B1654" t="s">
        <v>3158</v>
      </c>
      <c r="C1654" t="s">
        <v>697</v>
      </c>
      <c r="D1654" t="s">
        <v>698</v>
      </c>
      <c r="E1654" t="s">
        <v>699</v>
      </c>
      <c r="F1654" t="s">
        <v>3159</v>
      </c>
      <c r="G1654" t="s">
        <v>3805</v>
      </c>
      <c r="H1654" s="15">
        <v>46114</v>
      </c>
      <c r="I1654" t="s">
        <v>3806</v>
      </c>
      <c r="J1654" t="s">
        <v>233</v>
      </c>
      <c r="K1654" t="s">
        <v>185</v>
      </c>
      <c r="N1654">
        <v>0</v>
      </c>
      <c r="O1654" t="s">
        <v>222</v>
      </c>
      <c r="P1654">
        <v>0</v>
      </c>
      <c r="U1654" s="15"/>
    </row>
    <row r="1655" spans="1:21" x14ac:dyDescent="0.35">
      <c r="A1655" t="s">
        <v>14</v>
      </c>
      <c r="B1655" t="s">
        <v>3158</v>
      </c>
      <c r="C1655" t="s">
        <v>1255</v>
      </c>
      <c r="D1655" t="s">
        <v>1256</v>
      </c>
      <c r="E1655" t="s">
        <v>1257</v>
      </c>
      <c r="F1655" t="s">
        <v>3159</v>
      </c>
      <c r="G1655" t="s">
        <v>3807</v>
      </c>
      <c r="H1655" s="15">
        <v>46115</v>
      </c>
      <c r="I1655" t="s">
        <v>3808</v>
      </c>
      <c r="J1655" t="s">
        <v>16</v>
      </c>
      <c r="K1655" t="s">
        <v>185</v>
      </c>
      <c r="N1655">
        <v>0</v>
      </c>
      <c r="O1655" t="s">
        <v>222</v>
      </c>
      <c r="P1655">
        <v>0</v>
      </c>
      <c r="U1655" s="15"/>
    </row>
    <row r="1656" spans="1:21" x14ac:dyDescent="0.35">
      <c r="A1656" t="s">
        <v>14</v>
      </c>
      <c r="B1656" t="s">
        <v>3158</v>
      </c>
      <c r="C1656" t="s">
        <v>498</v>
      </c>
      <c r="D1656" t="s">
        <v>499</v>
      </c>
      <c r="E1656" t="s">
        <v>500</v>
      </c>
      <c r="F1656" t="s">
        <v>3159</v>
      </c>
      <c r="G1656" t="s">
        <v>3807</v>
      </c>
      <c r="H1656" s="15">
        <v>46115</v>
      </c>
      <c r="I1656" t="s">
        <v>3809</v>
      </c>
      <c r="J1656" t="s">
        <v>16</v>
      </c>
      <c r="K1656" t="s">
        <v>185</v>
      </c>
      <c r="N1656">
        <v>0</v>
      </c>
      <c r="O1656" t="s">
        <v>222</v>
      </c>
      <c r="P1656">
        <v>0</v>
      </c>
      <c r="U1656" s="15"/>
    </row>
    <row r="1657" spans="1:21" x14ac:dyDescent="0.35">
      <c r="A1657" t="s">
        <v>14</v>
      </c>
      <c r="B1657" t="s">
        <v>2421</v>
      </c>
      <c r="C1657" t="s">
        <v>1255</v>
      </c>
      <c r="D1657" t="s">
        <v>1256</v>
      </c>
      <c r="E1657" t="s">
        <v>1257</v>
      </c>
      <c r="F1657" t="s">
        <v>2422</v>
      </c>
      <c r="G1657" t="s">
        <v>2696</v>
      </c>
      <c r="H1657" s="15">
        <v>46126</v>
      </c>
      <c r="I1657" t="s">
        <v>2697</v>
      </c>
      <c r="J1657" t="s">
        <v>233</v>
      </c>
      <c r="K1657" t="s">
        <v>185</v>
      </c>
      <c r="N1657">
        <v>0</v>
      </c>
      <c r="O1657" t="s">
        <v>222</v>
      </c>
      <c r="P1657">
        <v>0</v>
      </c>
      <c r="U1657" s="15"/>
    </row>
    <row r="1658" spans="1:21" x14ac:dyDescent="0.35">
      <c r="A1658" t="s">
        <v>14</v>
      </c>
      <c r="B1658" t="s">
        <v>2421</v>
      </c>
      <c r="C1658" t="s">
        <v>1255</v>
      </c>
      <c r="D1658" t="s">
        <v>1256</v>
      </c>
      <c r="E1658" t="s">
        <v>1257</v>
      </c>
      <c r="F1658" t="s">
        <v>2422</v>
      </c>
      <c r="G1658" t="s">
        <v>2698</v>
      </c>
      <c r="H1658" s="15">
        <v>46127</v>
      </c>
      <c r="I1658" t="s">
        <v>2699</v>
      </c>
      <c r="J1658" t="s">
        <v>16</v>
      </c>
      <c r="K1658" t="s">
        <v>185</v>
      </c>
      <c r="N1658">
        <v>0</v>
      </c>
      <c r="O1658" t="s">
        <v>222</v>
      </c>
      <c r="P1658">
        <v>0</v>
      </c>
      <c r="U1658" s="15"/>
    </row>
    <row r="1659" spans="1:21" x14ac:dyDescent="0.35">
      <c r="A1659" t="s">
        <v>14</v>
      </c>
      <c r="B1659" t="s">
        <v>2421</v>
      </c>
      <c r="C1659" t="s">
        <v>647</v>
      </c>
      <c r="D1659" t="s">
        <v>648</v>
      </c>
      <c r="E1659" t="s">
        <v>649</v>
      </c>
      <c r="F1659" t="s">
        <v>2422</v>
      </c>
      <c r="G1659" t="s">
        <v>2704</v>
      </c>
      <c r="H1659" s="15">
        <v>46128</v>
      </c>
      <c r="I1659" t="s">
        <v>2705</v>
      </c>
      <c r="J1659" t="s">
        <v>16</v>
      </c>
      <c r="K1659" t="s">
        <v>185</v>
      </c>
      <c r="N1659">
        <v>0</v>
      </c>
      <c r="O1659" t="s">
        <v>222</v>
      </c>
      <c r="P1659">
        <v>0</v>
      </c>
      <c r="U1659" s="15"/>
    </row>
    <row r="1660" spans="1:21" x14ac:dyDescent="0.35">
      <c r="A1660" t="s">
        <v>14</v>
      </c>
      <c r="B1660" t="s">
        <v>2421</v>
      </c>
      <c r="C1660" t="s">
        <v>1255</v>
      </c>
      <c r="D1660" t="s">
        <v>1256</v>
      </c>
      <c r="E1660" t="s">
        <v>1257</v>
      </c>
      <c r="F1660" t="s">
        <v>2422</v>
      </c>
      <c r="G1660" t="s">
        <v>2704</v>
      </c>
      <c r="H1660" s="15">
        <v>46128</v>
      </c>
      <c r="I1660" t="s">
        <v>2706</v>
      </c>
      <c r="J1660" t="s">
        <v>16</v>
      </c>
      <c r="K1660" t="s">
        <v>185</v>
      </c>
      <c r="N1660">
        <v>0</v>
      </c>
      <c r="O1660" t="s">
        <v>222</v>
      </c>
      <c r="P1660">
        <v>0</v>
      </c>
      <c r="U1660" s="15"/>
    </row>
    <row r="1661" spans="1:21" x14ac:dyDescent="0.35">
      <c r="A1661" t="s">
        <v>14</v>
      </c>
      <c r="B1661" t="s">
        <v>3158</v>
      </c>
      <c r="C1661" t="s">
        <v>1255</v>
      </c>
      <c r="D1661" t="s">
        <v>1256</v>
      </c>
      <c r="E1661" t="s">
        <v>1257</v>
      </c>
      <c r="F1661" t="s">
        <v>3159</v>
      </c>
      <c r="G1661" t="s">
        <v>3810</v>
      </c>
      <c r="H1661" s="15">
        <v>46115</v>
      </c>
      <c r="I1661" t="s">
        <v>3811</v>
      </c>
      <c r="J1661" t="s">
        <v>233</v>
      </c>
      <c r="K1661" t="s">
        <v>185</v>
      </c>
      <c r="N1661">
        <v>0</v>
      </c>
      <c r="O1661" t="s">
        <v>222</v>
      </c>
      <c r="P1661">
        <v>0</v>
      </c>
      <c r="U1661" s="15"/>
    </row>
    <row r="1662" spans="1:21" x14ac:dyDescent="0.35">
      <c r="A1662" t="s">
        <v>14</v>
      </c>
      <c r="B1662" t="s">
        <v>3158</v>
      </c>
      <c r="C1662" t="s">
        <v>515</v>
      </c>
      <c r="D1662" t="s">
        <v>516</v>
      </c>
      <c r="E1662" t="s">
        <v>517</v>
      </c>
      <c r="F1662" t="s">
        <v>3159</v>
      </c>
      <c r="G1662" t="s">
        <v>3818</v>
      </c>
      <c r="H1662" s="15">
        <v>46116</v>
      </c>
      <c r="I1662" t="s">
        <v>3819</v>
      </c>
      <c r="J1662" t="s">
        <v>16</v>
      </c>
      <c r="K1662" t="s">
        <v>185</v>
      </c>
      <c r="N1662">
        <v>0</v>
      </c>
      <c r="O1662" t="s">
        <v>222</v>
      </c>
      <c r="P1662">
        <v>0</v>
      </c>
      <c r="U1662" s="15"/>
    </row>
    <row r="1663" spans="1:21" x14ac:dyDescent="0.35">
      <c r="A1663" t="s">
        <v>14</v>
      </c>
      <c r="B1663" t="s">
        <v>3247</v>
      </c>
      <c r="C1663" t="s">
        <v>1255</v>
      </c>
      <c r="D1663" t="s">
        <v>1256</v>
      </c>
      <c r="E1663" t="s">
        <v>1257</v>
      </c>
      <c r="F1663" t="s">
        <v>4305</v>
      </c>
      <c r="G1663" t="s">
        <v>4306</v>
      </c>
      <c r="H1663" s="15">
        <v>46027</v>
      </c>
      <c r="I1663" t="s">
        <v>4307</v>
      </c>
      <c r="J1663" t="s">
        <v>233</v>
      </c>
      <c r="K1663" t="s">
        <v>185</v>
      </c>
      <c r="N1663">
        <v>0</v>
      </c>
      <c r="O1663" t="s">
        <v>222</v>
      </c>
      <c r="P1663">
        <v>0</v>
      </c>
      <c r="U1663" s="15"/>
    </row>
    <row r="1664" spans="1:21" x14ac:dyDescent="0.35">
      <c r="A1664" t="s">
        <v>14</v>
      </c>
      <c r="B1664" t="s">
        <v>3158</v>
      </c>
      <c r="C1664" t="s">
        <v>1255</v>
      </c>
      <c r="D1664" t="s">
        <v>1256</v>
      </c>
      <c r="E1664" t="s">
        <v>1257</v>
      </c>
      <c r="F1664" t="s">
        <v>3159</v>
      </c>
      <c r="G1664" t="s">
        <v>3818</v>
      </c>
      <c r="H1664" s="15">
        <v>46116</v>
      </c>
      <c r="I1664" t="s">
        <v>3820</v>
      </c>
      <c r="J1664" t="s">
        <v>16</v>
      </c>
      <c r="K1664" t="s">
        <v>185</v>
      </c>
      <c r="N1664">
        <v>0</v>
      </c>
      <c r="O1664" t="s">
        <v>222</v>
      </c>
      <c r="P1664">
        <v>0</v>
      </c>
      <c r="U1664" s="15"/>
    </row>
    <row r="1665" spans="1:21" x14ac:dyDescent="0.35">
      <c r="A1665" t="s">
        <v>14</v>
      </c>
      <c r="B1665" t="s">
        <v>2421</v>
      </c>
      <c r="C1665" t="s">
        <v>1255</v>
      </c>
      <c r="D1665" t="s">
        <v>1256</v>
      </c>
      <c r="E1665" t="s">
        <v>1257</v>
      </c>
      <c r="F1665" t="s">
        <v>2422</v>
      </c>
      <c r="G1665" t="s">
        <v>2709</v>
      </c>
      <c r="H1665" s="15">
        <v>46129</v>
      </c>
      <c r="I1665" t="s">
        <v>2710</v>
      </c>
      <c r="J1665" t="s">
        <v>16</v>
      </c>
      <c r="K1665" t="s">
        <v>185</v>
      </c>
      <c r="N1665">
        <v>0</v>
      </c>
      <c r="O1665" t="s">
        <v>222</v>
      </c>
      <c r="P1665">
        <v>0</v>
      </c>
      <c r="U1665" s="15"/>
    </row>
    <row r="1666" spans="1:21" x14ac:dyDescent="0.35">
      <c r="A1666" t="s">
        <v>14</v>
      </c>
      <c r="B1666" t="s">
        <v>3247</v>
      </c>
      <c r="C1666" t="s">
        <v>515</v>
      </c>
      <c r="D1666" t="s">
        <v>516</v>
      </c>
      <c r="E1666" t="s">
        <v>517</v>
      </c>
      <c r="F1666" t="s">
        <v>4305</v>
      </c>
      <c r="G1666" t="s">
        <v>4308</v>
      </c>
      <c r="H1666" s="15">
        <v>46028</v>
      </c>
      <c r="I1666" t="s">
        <v>4309</v>
      </c>
      <c r="J1666" t="s">
        <v>16</v>
      </c>
      <c r="K1666" t="s">
        <v>185</v>
      </c>
      <c r="N1666">
        <v>0</v>
      </c>
      <c r="O1666" t="s">
        <v>222</v>
      </c>
      <c r="P1666">
        <v>0</v>
      </c>
      <c r="U1666" s="15"/>
    </row>
    <row r="1667" spans="1:21" x14ac:dyDescent="0.35">
      <c r="A1667" t="s">
        <v>14</v>
      </c>
      <c r="B1667" t="s">
        <v>3247</v>
      </c>
      <c r="C1667" t="s">
        <v>1255</v>
      </c>
      <c r="D1667" t="s">
        <v>1256</v>
      </c>
      <c r="E1667" t="s">
        <v>1257</v>
      </c>
      <c r="F1667" t="s">
        <v>4305</v>
      </c>
      <c r="G1667" t="s">
        <v>4310</v>
      </c>
      <c r="H1667" s="15">
        <v>46028</v>
      </c>
      <c r="I1667" t="s">
        <v>4311</v>
      </c>
      <c r="J1667" t="s">
        <v>233</v>
      </c>
      <c r="K1667" t="s">
        <v>185</v>
      </c>
      <c r="N1667">
        <v>0</v>
      </c>
      <c r="O1667" t="s">
        <v>222</v>
      </c>
      <c r="P1667">
        <v>0</v>
      </c>
      <c r="U1667" s="15"/>
    </row>
    <row r="1668" spans="1:21" x14ac:dyDescent="0.35">
      <c r="A1668" t="s">
        <v>14</v>
      </c>
      <c r="B1668" t="s">
        <v>2421</v>
      </c>
      <c r="C1668" t="s">
        <v>1255</v>
      </c>
      <c r="D1668" t="s">
        <v>1256</v>
      </c>
      <c r="E1668" t="s">
        <v>1257</v>
      </c>
      <c r="F1668" t="s">
        <v>2422</v>
      </c>
      <c r="G1668" t="s">
        <v>2714</v>
      </c>
      <c r="H1668" s="15">
        <v>46130</v>
      </c>
      <c r="I1668" t="s">
        <v>2715</v>
      </c>
      <c r="J1668" t="s">
        <v>16</v>
      </c>
      <c r="K1668" t="s">
        <v>185</v>
      </c>
      <c r="N1668">
        <v>0</v>
      </c>
      <c r="O1668" t="s">
        <v>222</v>
      </c>
      <c r="P1668">
        <v>0</v>
      </c>
      <c r="U1668" s="15"/>
    </row>
    <row r="1669" spans="1:21" x14ac:dyDescent="0.35">
      <c r="A1669" t="s">
        <v>14</v>
      </c>
      <c r="B1669" t="s">
        <v>3158</v>
      </c>
      <c r="C1669" t="s">
        <v>1255</v>
      </c>
      <c r="D1669" t="s">
        <v>1256</v>
      </c>
      <c r="E1669" t="s">
        <v>1257</v>
      </c>
      <c r="F1669" t="s">
        <v>3159</v>
      </c>
      <c r="G1669" t="s">
        <v>3826</v>
      </c>
      <c r="H1669" s="15">
        <v>46118</v>
      </c>
      <c r="I1669" t="s">
        <v>3827</v>
      </c>
      <c r="J1669" t="s">
        <v>233</v>
      </c>
      <c r="K1669" t="s">
        <v>185</v>
      </c>
      <c r="N1669">
        <v>0</v>
      </c>
      <c r="O1669" t="s">
        <v>222</v>
      </c>
      <c r="P1669">
        <v>0</v>
      </c>
      <c r="U1669" s="15"/>
    </row>
    <row r="1670" spans="1:21" x14ac:dyDescent="0.35">
      <c r="A1670" t="s">
        <v>14</v>
      </c>
      <c r="B1670" t="s">
        <v>3158</v>
      </c>
      <c r="C1670" t="s">
        <v>1255</v>
      </c>
      <c r="D1670" t="s">
        <v>1256</v>
      </c>
      <c r="E1670" t="s">
        <v>1257</v>
      </c>
      <c r="F1670" t="s">
        <v>3159</v>
      </c>
      <c r="G1670" t="s">
        <v>3828</v>
      </c>
      <c r="H1670" s="15">
        <v>46119</v>
      </c>
      <c r="I1670" t="s">
        <v>3829</v>
      </c>
      <c r="J1670" t="s">
        <v>16</v>
      </c>
      <c r="K1670" t="s">
        <v>185</v>
      </c>
      <c r="N1670">
        <v>0</v>
      </c>
      <c r="O1670" t="s">
        <v>222</v>
      </c>
      <c r="P1670">
        <v>0</v>
      </c>
      <c r="U1670" s="15"/>
    </row>
    <row r="1671" spans="1:21" x14ac:dyDescent="0.35">
      <c r="A1671" t="s">
        <v>14</v>
      </c>
      <c r="B1671" t="s">
        <v>2421</v>
      </c>
      <c r="C1671" t="s">
        <v>1255</v>
      </c>
      <c r="D1671" t="s">
        <v>1256</v>
      </c>
      <c r="E1671" t="s">
        <v>1257</v>
      </c>
      <c r="F1671" t="s">
        <v>2422</v>
      </c>
      <c r="G1671" t="s">
        <v>2717</v>
      </c>
      <c r="H1671" s="15">
        <v>46132</v>
      </c>
      <c r="I1671" t="s">
        <v>2718</v>
      </c>
      <c r="J1671" t="s">
        <v>16</v>
      </c>
      <c r="K1671" t="s">
        <v>185</v>
      </c>
      <c r="N1671">
        <v>0</v>
      </c>
      <c r="O1671" t="s">
        <v>222</v>
      </c>
      <c r="P1671">
        <v>0</v>
      </c>
      <c r="U1671" s="15"/>
    </row>
    <row r="1672" spans="1:21" x14ac:dyDescent="0.35">
      <c r="A1672" t="s">
        <v>14</v>
      </c>
      <c r="B1672" t="s">
        <v>3247</v>
      </c>
      <c r="C1672" t="s">
        <v>515</v>
      </c>
      <c r="D1672" t="s">
        <v>516</v>
      </c>
      <c r="E1672" t="s">
        <v>517</v>
      </c>
      <c r="F1672" t="s">
        <v>4305</v>
      </c>
      <c r="G1672" t="s">
        <v>4312</v>
      </c>
      <c r="H1672" s="15">
        <v>46029</v>
      </c>
      <c r="I1672" t="s">
        <v>4313</v>
      </c>
      <c r="J1672" t="s">
        <v>16</v>
      </c>
      <c r="K1672" t="s">
        <v>185</v>
      </c>
      <c r="N1672">
        <v>0</v>
      </c>
      <c r="O1672" t="s">
        <v>222</v>
      </c>
      <c r="P1672">
        <v>0</v>
      </c>
      <c r="U1672" s="15"/>
    </row>
    <row r="1673" spans="1:21" x14ac:dyDescent="0.35">
      <c r="A1673" t="s">
        <v>14</v>
      </c>
      <c r="B1673" t="s">
        <v>3247</v>
      </c>
      <c r="C1673" t="s">
        <v>1255</v>
      </c>
      <c r="D1673" t="s">
        <v>1256</v>
      </c>
      <c r="E1673" t="s">
        <v>1257</v>
      </c>
      <c r="F1673" t="s">
        <v>4305</v>
      </c>
      <c r="G1673" t="s">
        <v>4314</v>
      </c>
      <c r="H1673" s="15">
        <v>46029</v>
      </c>
      <c r="I1673" t="s">
        <v>4315</v>
      </c>
      <c r="J1673" t="s">
        <v>233</v>
      </c>
      <c r="K1673" t="s">
        <v>185</v>
      </c>
      <c r="N1673">
        <v>0</v>
      </c>
      <c r="O1673" t="s">
        <v>222</v>
      </c>
      <c r="P1673">
        <v>0</v>
      </c>
      <c r="U1673" s="15"/>
    </row>
    <row r="1674" spans="1:21" x14ac:dyDescent="0.35">
      <c r="A1674" t="s">
        <v>14</v>
      </c>
      <c r="B1674" t="s">
        <v>3158</v>
      </c>
      <c r="C1674" t="s">
        <v>1255</v>
      </c>
      <c r="D1674" t="s">
        <v>1256</v>
      </c>
      <c r="E1674" t="s">
        <v>1257</v>
      </c>
      <c r="F1674" t="s">
        <v>3159</v>
      </c>
      <c r="G1674" t="s">
        <v>3932</v>
      </c>
      <c r="H1674" s="15">
        <v>46120</v>
      </c>
      <c r="I1674" t="s">
        <v>3933</v>
      </c>
      <c r="J1674" t="s">
        <v>16</v>
      </c>
      <c r="K1674" t="s">
        <v>185</v>
      </c>
      <c r="N1674">
        <v>0</v>
      </c>
      <c r="O1674" t="s">
        <v>222</v>
      </c>
      <c r="P1674">
        <v>0</v>
      </c>
      <c r="U1674" s="15"/>
    </row>
    <row r="1675" spans="1:21" x14ac:dyDescent="0.35">
      <c r="A1675" t="s">
        <v>14</v>
      </c>
      <c r="B1675" t="s">
        <v>2421</v>
      </c>
      <c r="C1675" t="s">
        <v>1255</v>
      </c>
      <c r="D1675" t="s">
        <v>1256</v>
      </c>
      <c r="E1675" t="s">
        <v>1257</v>
      </c>
      <c r="F1675" t="s">
        <v>2422</v>
      </c>
      <c r="G1675" t="s">
        <v>2722</v>
      </c>
      <c r="H1675" s="15">
        <v>46133</v>
      </c>
      <c r="I1675" t="s">
        <v>2723</v>
      </c>
      <c r="J1675" t="s">
        <v>16</v>
      </c>
      <c r="K1675" t="s">
        <v>185</v>
      </c>
      <c r="N1675">
        <v>0</v>
      </c>
      <c r="O1675" t="s">
        <v>222</v>
      </c>
      <c r="P1675">
        <v>0</v>
      </c>
      <c r="U1675" s="15"/>
    </row>
    <row r="1676" spans="1:21" x14ac:dyDescent="0.35">
      <c r="A1676" t="s">
        <v>14</v>
      </c>
      <c r="B1676" t="s">
        <v>2421</v>
      </c>
      <c r="C1676" t="s">
        <v>1255</v>
      </c>
      <c r="D1676" t="s">
        <v>1256</v>
      </c>
      <c r="E1676" t="s">
        <v>1257</v>
      </c>
      <c r="F1676" t="s">
        <v>2422</v>
      </c>
      <c r="G1676" t="s">
        <v>2724</v>
      </c>
      <c r="H1676" s="15">
        <v>46134</v>
      </c>
      <c r="I1676" t="s">
        <v>2725</v>
      </c>
      <c r="J1676" t="s">
        <v>16</v>
      </c>
      <c r="K1676" t="s">
        <v>185</v>
      </c>
      <c r="N1676">
        <v>0</v>
      </c>
      <c r="O1676" t="s">
        <v>222</v>
      </c>
      <c r="P1676">
        <v>0</v>
      </c>
      <c r="U1676" s="15"/>
    </row>
    <row r="1677" spans="1:21" x14ac:dyDescent="0.35">
      <c r="A1677" t="s">
        <v>14</v>
      </c>
      <c r="B1677" t="s">
        <v>3247</v>
      </c>
      <c r="C1677" t="s">
        <v>515</v>
      </c>
      <c r="D1677" t="s">
        <v>516</v>
      </c>
      <c r="E1677" t="s">
        <v>517</v>
      </c>
      <c r="F1677" t="s">
        <v>4305</v>
      </c>
      <c r="G1677" t="s">
        <v>4316</v>
      </c>
      <c r="H1677" s="15">
        <v>46030</v>
      </c>
      <c r="I1677" t="s">
        <v>4317</v>
      </c>
      <c r="J1677" t="s">
        <v>16</v>
      </c>
      <c r="K1677" t="s">
        <v>185</v>
      </c>
      <c r="N1677">
        <v>0</v>
      </c>
      <c r="O1677" t="s">
        <v>222</v>
      </c>
      <c r="P1677">
        <v>0</v>
      </c>
      <c r="U1677" s="15"/>
    </row>
    <row r="1678" spans="1:21" x14ac:dyDescent="0.35">
      <c r="A1678" t="s">
        <v>14</v>
      </c>
      <c r="B1678" t="s">
        <v>3247</v>
      </c>
      <c r="C1678" t="s">
        <v>1255</v>
      </c>
      <c r="D1678" t="s">
        <v>1256</v>
      </c>
      <c r="E1678" t="s">
        <v>1257</v>
      </c>
      <c r="F1678" t="s">
        <v>4305</v>
      </c>
      <c r="G1678" t="s">
        <v>4318</v>
      </c>
      <c r="H1678" s="15">
        <v>46030</v>
      </c>
      <c r="I1678" t="s">
        <v>4319</v>
      </c>
      <c r="J1678" t="s">
        <v>233</v>
      </c>
      <c r="K1678" t="s">
        <v>185</v>
      </c>
      <c r="N1678">
        <v>0</v>
      </c>
      <c r="O1678" t="s">
        <v>222</v>
      </c>
      <c r="P1678">
        <v>0</v>
      </c>
      <c r="U1678" s="15"/>
    </row>
    <row r="1679" spans="1:21" x14ac:dyDescent="0.35">
      <c r="A1679" t="s">
        <v>14</v>
      </c>
      <c r="B1679" t="s">
        <v>3158</v>
      </c>
      <c r="C1679" t="s">
        <v>498</v>
      </c>
      <c r="D1679" t="s">
        <v>499</v>
      </c>
      <c r="E1679" t="s">
        <v>500</v>
      </c>
      <c r="F1679" t="s">
        <v>3159</v>
      </c>
      <c r="G1679" t="s">
        <v>3932</v>
      </c>
      <c r="H1679" s="15">
        <v>46120</v>
      </c>
      <c r="I1679" t="s">
        <v>3934</v>
      </c>
      <c r="J1679" t="s">
        <v>16</v>
      </c>
      <c r="K1679" t="s">
        <v>185</v>
      </c>
      <c r="N1679">
        <v>0</v>
      </c>
      <c r="O1679" t="s">
        <v>222</v>
      </c>
      <c r="P1679">
        <v>0</v>
      </c>
      <c r="U1679" s="15"/>
    </row>
    <row r="1680" spans="1:21" x14ac:dyDescent="0.35">
      <c r="A1680" t="s">
        <v>14</v>
      </c>
      <c r="B1680" t="s">
        <v>3158</v>
      </c>
      <c r="C1680" t="s">
        <v>1255</v>
      </c>
      <c r="D1680" t="s">
        <v>1256</v>
      </c>
      <c r="E1680" t="s">
        <v>1257</v>
      </c>
      <c r="F1680" t="s">
        <v>3159</v>
      </c>
      <c r="G1680" t="s">
        <v>3942</v>
      </c>
      <c r="H1680" s="15">
        <v>46120</v>
      </c>
      <c r="I1680" t="s">
        <v>3943</v>
      </c>
      <c r="J1680" t="s">
        <v>233</v>
      </c>
      <c r="K1680" t="s">
        <v>185</v>
      </c>
      <c r="N1680">
        <v>0</v>
      </c>
      <c r="O1680" t="s">
        <v>222</v>
      </c>
      <c r="P1680">
        <v>0</v>
      </c>
      <c r="U1680" s="15"/>
    </row>
    <row r="1681" spans="1:21" x14ac:dyDescent="0.35">
      <c r="A1681" t="s">
        <v>14</v>
      </c>
      <c r="B1681" t="s">
        <v>2421</v>
      </c>
      <c r="C1681" t="s">
        <v>1255</v>
      </c>
      <c r="D1681" t="s">
        <v>1256</v>
      </c>
      <c r="E1681" t="s">
        <v>1257</v>
      </c>
      <c r="F1681" t="s">
        <v>2422</v>
      </c>
      <c r="G1681" t="s">
        <v>2726</v>
      </c>
      <c r="H1681" s="15">
        <v>46135</v>
      </c>
      <c r="I1681" t="s">
        <v>2727</v>
      </c>
      <c r="J1681" t="s">
        <v>16</v>
      </c>
      <c r="K1681" t="s">
        <v>185</v>
      </c>
      <c r="N1681">
        <v>0</v>
      </c>
      <c r="O1681" t="s">
        <v>222</v>
      </c>
      <c r="P1681">
        <v>0</v>
      </c>
      <c r="U1681" s="15"/>
    </row>
    <row r="1682" spans="1:21" x14ac:dyDescent="0.35">
      <c r="A1682" t="s">
        <v>14</v>
      </c>
      <c r="B1682" t="s">
        <v>2421</v>
      </c>
      <c r="C1682" t="s">
        <v>1255</v>
      </c>
      <c r="D1682" t="s">
        <v>1256</v>
      </c>
      <c r="E1682" t="s">
        <v>1257</v>
      </c>
      <c r="F1682" t="s">
        <v>2422</v>
      </c>
      <c r="G1682" t="s">
        <v>2731</v>
      </c>
      <c r="H1682" s="15">
        <v>46136</v>
      </c>
      <c r="I1682" t="s">
        <v>2732</v>
      </c>
      <c r="J1682" t="s">
        <v>16</v>
      </c>
      <c r="K1682" t="s">
        <v>185</v>
      </c>
      <c r="N1682">
        <v>0</v>
      </c>
      <c r="O1682" t="s">
        <v>222</v>
      </c>
      <c r="P1682">
        <v>0</v>
      </c>
      <c r="U1682" s="15"/>
    </row>
    <row r="1683" spans="1:21" x14ac:dyDescent="0.35">
      <c r="A1683" t="s">
        <v>14</v>
      </c>
      <c r="B1683" t="s">
        <v>3247</v>
      </c>
      <c r="C1683" t="s">
        <v>515</v>
      </c>
      <c r="D1683" t="s">
        <v>516</v>
      </c>
      <c r="E1683" t="s">
        <v>517</v>
      </c>
      <c r="F1683" t="s">
        <v>4305</v>
      </c>
      <c r="G1683" t="s">
        <v>4320</v>
      </c>
      <c r="H1683" s="15">
        <v>46031</v>
      </c>
      <c r="I1683" t="s">
        <v>4321</v>
      </c>
      <c r="J1683" t="s">
        <v>16</v>
      </c>
      <c r="K1683" t="s">
        <v>185</v>
      </c>
      <c r="N1683">
        <v>0</v>
      </c>
      <c r="O1683" t="s">
        <v>222</v>
      </c>
      <c r="P1683">
        <v>0</v>
      </c>
      <c r="U1683" s="15"/>
    </row>
    <row r="1684" spans="1:21" x14ac:dyDescent="0.35">
      <c r="A1684" t="s">
        <v>14</v>
      </c>
      <c r="B1684" t="s">
        <v>3247</v>
      </c>
      <c r="C1684" t="s">
        <v>737</v>
      </c>
      <c r="D1684" t="s">
        <v>738</v>
      </c>
      <c r="E1684" t="s">
        <v>739</v>
      </c>
      <c r="F1684" t="s">
        <v>4305</v>
      </c>
      <c r="G1684" t="s">
        <v>4322</v>
      </c>
      <c r="H1684" s="15">
        <v>46031</v>
      </c>
      <c r="I1684" t="s">
        <v>4323</v>
      </c>
      <c r="J1684" t="s">
        <v>233</v>
      </c>
      <c r="K1684" t="s">
        <v>185</v>
      </c>
      <c r="N1684">
        <v>0</v>
      </c>
      <c r="O1684" t="s">
        <v>222</v>
      </c>
      <c r="P1684">
        <v>0</v>
      </c>
      <c r="U1684" s="15"/>
    </row>
    <row r="1685" spans="1:21" x14ac:dyDescent="0.35">
      <c r="A1685" t="s">
        <v>14</v>
      </c>
      <c r="B1685" t="s">
        <v>2421</v>
      </c>
      <c r="C1685" t="s">
        <v>777</v>
      </c>
      <c r="D1685" t="s">
        <v>778</v>
      </c>
      <c r="E1685" t="s">
        <v>779</v>
      </c>
      <c r="F1685" t="s">
        <v>2422</v>
      </c>
      <c r="G1685" t="s">
        <v>2733</v>
      </c>
      <c r="H1685" s="15">
        <v>46137</v>
      </c>
      <c r="I1685" t="s">
        <v>2734</v>
      </c>
      <c r="J1685" t="s">
        <v>16</v>
      </c>
      <c r="K1685" t="s">
        <v>185</v>
      </c>
      <c r="N1685">
        <v>0</v>
      </c>
      <c r="O1685" t="s">
        <v>222</v>
      </c>
      <c r="P1685">
        <v>0</v>
      </c>
      <c r="U1685" s="15"/>
    </row>
    <row r="1686" spans="1:21" x14ac:dyDescent="0.35">
      <c r="A1686" t="s">
        <v>14</v>
      </c>
      <c r="B1686" t="s">
        <v>3158</v>
      </c>
      <c r="C1686" t="s">
        <v>658</v>
      </c>
      <c r="D1686" t="s">
        <v>659</v>
      </c>
      <c r="E1686" t="s">
        <v>660</v>
      </c>
      <c r="F1686" t="s">
        <v>3159</v>
      </c>
      <c r="G1686" t="s">
        <v>3944</v>
      </c>
      <c r="H1686" s="15">
        <v>46121</v>
      </c>
      <c r="I1686" t="s">
        <v>3945</v>
      </c>
      <c r="J1686" t="s">
        <v>16</v>
      </c>
      <c r="K1686" t="s">
        <v>185</v>
      </c>
      <c r="N1686">
        <v>0</v>
      </c>
      <c r="O1686" t="s">
        <v>222</v>
      </c>
      <c r="P1686">
        <v>0</v>
      </c>
      <c r="U1686" s="15"/>
    </row>
    <row r="1687" spans="1:21" x14ac:dyDescent="0.35">
      <c r="A1687" t="s">
        <v>14</v>
      </c>
      <c r="B1687" t="s">
        <v>3158</v>
      </c>
      <c r="C1687" t="s">
        <v>1255</v>
      </c>
      <c r="D1687" t="s">
        <v>1256</v>
      </c>
      <c r="E1687" t="s">
        <v>1257</v>
      </c>
      <c r="F1687" t="s">
        <v>3159</v>
      </c>
      <c r="G1687" t="s">
        <v>3944</v>
      </c>
      <c r="H1687" s="15">
        <v>46121</v>
      </c>
      <c r="I1687" t="s">
        <v>3951</v>
      </c>
      <c r="J1687" t="s">
        <v>16</v>
      </c>
      <c r="K1687" t="s">
        <v>185</v>
      </c>
      <c r="N1687">
        <v>0</v>
      </c>
      <c r="O1687" t="s">
        <v>222</v>
      </c>
      <c r="P1687">
        <v>0</v>
      </c>
      <c r="U1687" s="15"/>
    </row>
    <row r="1688" spans="1:21" x14ac:dyDescent="0.35">
      <c r="A1688" t="s">
        <v>14</v>
      </c>
      <c r="B1688" t="s">
        <v>2421</v>
      </c>
      <c r="C1688" t="s">
        <v>1255</v>
      </c>
      <c r="D1688" t="s">
        <v>1256</v>
      </c>
      <c r="E1688" t="s">
        <v>1257</v>
      </c>
      <c r="F1688" t="s">
        <v>2422</v>
      </c>
      <c r="G1688" t="s">
        <v>2737</v>
      </c>
      <c r="H1688" s="15">
        <v>46139</v>
      </c>
      <c r="I1688" t="s">
        <v>2738</v>
      </c>
      <c r="J1688" t="s">
        <v>16</v>
      </c>
      <c r="K1688" t="s">
        <v>185</v>
      </c>
      <c r="N1688">
        <v>0</v>
      </c>
      <c r="O1688" t="s">
        <v>222</v>
      </c>
      <c r="P1688">
        <v>0</v>
      </c>
      <c r="U1688" s="15"/>
    </row>
    <row r="1689" spans="1:21" x14ac:dyDescent="0.35">
      <c r="A1689" t="s">
        <v>14</v>
      </c>
      <c r="B1689" t="s">
        <v>3158</v>
      </c>
      <c r="C1689" t="s">
        <v>880</v>
      </c>
      <c r="D1689" t="s">
        <v>881</v>
      </c>
      <c r="E1689" t="s">
        <v>882</v>
      </c>
      <c r="F1689" t="s">
        <v>3159</v>
      </c>
      <c r="G1689" t="s">
        <v>3944</v>
      </c>
      <c r="H1689" s="15">
        <v>46121</v>
      </c>
      <c r="I1689" t="s">
        <v>3959</v>
      </c>
      <c r="J1689" t="s">
        <v>16</v>
      </c>
      <c r="K1689" t="s">
        <v>185</v>
      </c>
      <c r="N1689">
        <v>0</v>
      </c>
      <c r="O1689" t="s">
        <v>222</v>
      </c>
      <c r="P1689">
        <v>0</v>
      </c>
      <c r="U1689" s="15"/>
    </row>
    <row r="1690" spans="1:21" x14ac:dyDescent="0.35">
      <c r="A1690" t="s">
        <v>14</v>
      </c>
      <c r="B1690" t="s">
        <v>3158</v>
      </c>
      <c r="C1690" t="s">
        <v>737</v>
      </c>
      <c r="D1690" t="s">
        <v>738</v>
      </c>
      <c r="E1690" t="s">
        <v>739</v>
      </c>
      <c r="F1690" t="s">
        <v>3159</v>
      </c>
      <c r="G1690" t="s">
        <v>3960</v>
      </c>
      <c r="H1690" s="15">
        <v>46121</v>
      </c>
      <c r="I1690" t="s">
        <v>3961</v>
      </c>
      <c r="J1690" t="s">
        <v>233</v>
      </c>
      <c r="K1690" t="s">
        <v>185</v>
      </c>
      <c r="N1690">
        <v>0</v>
      </c>
      <c r="O1690" t="s">
        <v>222</v>
      </c>
      <c r="P1690">
        <v>0</v>
      </c>
      <c r="U1690" s="15"/>
    </row>
    <row r="1691" spans="1:21" x14ac:dyDescent="0.35">
      <c r="A1691" t="s">
        <v>14</v>
      </c>
      <c r="B1691" t="s">
        <v>3158</v>
      </c>
      <c r="C1691" t="s">
        <v>2461</v>
      </c>
      <c r="D1691" t="s">
        <v>2462</v>
      </c>
      <c r="E1691" t="s">
        <v>2463</v>
      </c>
      <c r="F1691" t="s">
        <v>3159</v>
      </c>
      <c r="G1691" t="s">
        <v>3962</v>
      </c>
      <c r="H1691" s="15">
        <v>46122</v>
      </c>
      <c r="I1691" t="s">
        <v>3963</v>
      </c>
      <c r="J1691" t="s">
        <v>16</v>
      </c>
      <c r="K1691" t="s">
        <v>185</v>
      </c>
      <c r="N1691">
        <v>0</v>
      </c>
      <c r="O1691" t="s">
        <v>222</v>
      </c>
      <c r="P1691">
        <v>0</v>
      </c>
      <c r="U1691" s="15"/>
    </row>
    <row r="1692" spans="1:21" x14ac:dyDescent="0.35">
      <c r="A1692" t="s">
        <v>14</v>
      </c>
      <c r="B1692" t="s">
        <v>3247</v>
      </c>
      <c r="C1692" t="s">
        <v>977</v>
      </c>
      <c r="D1692" t="s">
        <v>978</v>
      </c>
      <c r="E1692" t="s">
        <v>979</v>
      </c>
      <c r="F1692" t="s">
        <v>4305</v>
      </c>
      <c r="G1692" t="s">
        <v>4324</v>
      </c>
      <c r="H1692" s="15">
        <v>46034</v>
      </c>
      <c r="I1692" t="s">
        <v>4325</v>
      </c>
      <c r="J1692" t="s">
        <v>16</v>
      </c>
      <c r="K1692" t="s">
        <v>185</v>
      </c>
      <c r="N1692">
        <v>0</v>
      </c>
      <c r="O1692" t="s">
        <v>222</v>
      </c>
      <c r="P1692">
        <v>0</v>
      </c>
      <c r="U1692" s="15"/>
    </row>
    <row r="1693" spans="1:21" x14ac:dyDescent="0.35">
      <c r="A1693" t="s">
        <v>14</v>
      </c>
      <c r="B1693" t="s">
        <v>3247</v>
      </c>
      <c r="C1693" t="s">
        <v>1255</v>
      </c>
      <c r="D1693" t="s">
        <v>1256</v>
      </c>
      <c r="E1693" t="s">
        <v>1257</v>
      </c>
      <c r="F1693" t="s">
        <v>4305</v>
      </c>
      <c r="G1693" t="s">
        <v>4326</v>
      </c>
      <c r="H1693" s="15">
        <v>46034</v>
      </c>
      <c r="I1693" t="s">
        <v>4327</v>
      </c>
      <c r="J1693" t="s">
        <v>233</v>
      </c>
      <c r="K1693" t="s">
        <v>185</v>
      </c>
      <c r="N1693">
        <v>0</v>
      </c>
      <c r="O1693" t="s">
        <v>222</v>
      </c>
      <c r="P1693">
        <v>0</v>
      </c>
      <c r="U1693" s="15"/>
    </row>
    <row r="1694" spans="1:21" x14ac:dyDescent="0.35">
      <c r="A1694" t="s">
        <v>14</v>
      </c>
      <c r="B1694" t="s">
        <v>2421</v>
      </c>
      <c r="C1694" t="s">
        <v>1255</v>
      </c>
      <c r="D1694" t="s">
        <v>1256</v>
      </c>
      <c r="E1694" t="s">
        <v>1257</v>
      </c>
      <c r="F1694" t="s">
        <v>2422</v>
      </c>
      <c r="G1694" t="s">
        <v>2741</v>
      </c>
      <c r="H1694" s="15">
        <v>46140</v>
      </c>
      <c r="I1694" t="s">
        <v>2742</v>
      </c>
      <c r="J1694" t="s">
        <v>16</v>
      </c>
      <c r="K1694" t="s">
        <v>185</v>
      </c>
      <c r="N1694">
        <v>0</v>
      </c>
      <c r="O1694" t="s">
        <v>222</v>
      </c>
      <c r="P1694">
        <v>0</v>
      </c>
      <c r="U1694" s="15"/>
    </row>
    <row r="1695" spans="1:21" x14ac:dyDescent="0.35">
      <c r="A1695" t="s">
        <v>14</v>
      </c>
      <c r="B1695" t="s">
        <v>2421</v>
      </c>
      <c r="C1695" t="s">
        <v>1255</v>
      </c>
      <c r="D1695" t="s">
        <v>1256</v>
      </c>
      <c r="E1695" t="s">
        <v>1257</v>
      </c>
      <c r="F1695" t="s">
        <v>2422</v>
      </c>
      <c r="G1695" t="s">
        <v>2743</v>
      </c>
      <c r="H1695" s="15">
        <v>46141</v>
      </c>
      <c r="I1695" t="s">
        <v>2744</v>
      </c>
      <c r="J1695" t="s">
        <v>16</v>
      </c>
      <c r="K1695" t="s">
        <v>185</v>
      </c>
      <c r="N1695">
        <v>0</v>
      </c>
      <c r="O1695" t="s">
        <v>222</v>
      </c>
      <c r="P1695">
        <v>0</v>
      </c>
      <c r="U1695" s="15"/>
    </row>
    <row r="1696" spans="1:21" x14ac:dyDescent="0.35">
      <c r="A1696" t="s">
        <v>14</v>
      </c>
      <c r="B1696" t="s">
        <v>3158</v>
      </c>
      <c r="C1696" t="s">
        <v>515</v>
      </c>
      <c r="D1696" t="s">
        <v>516</v>
      </c>
      <c r="E1696" t="s">
        <v>517</v>
      </c>
      <c r="F1696" t="s">
        <v>3159</v>
      </c>
      <c r="G1696" t="s">
        <v>3964</v>
      </c>
      <c r="H1696" s="15">
        <v>46122</v>
      </c>
      <c r="I1696" t="s">
        <v>3965</v>
      </c>
      <c r="J1696" t="s">
        <v>233</v>
      </c>
      <c r="K1696" t="s">
        <v>185</v>
      </c>
      <c r="N1696">
        <v>0</v>
      </c>
      <c r="O1696" t="s">
        <v>222</v>
      </c>
      <c r="P1696">
        <v>0</v>
      </c>
      <c r="U1696" s="15"/>
    </row>
    <row r="1697" spans="1:21" x14ac:dyDescent="0.35">
      <c r="A1697" t="s">
        <v>14</v>
      </c>
      <c r="B1697" t="s">
        <v>2421</v>
      </c>
      <c r="C1697" t="s">
        <v>1255</v>
      </c>
      <c r="D1697" t="s">
        <v>1256</v>
      </c>
      <c r="E1697" t="s">
        <v>1257</v>
      </c>
      <c r="F1697" t="s">
        <v>2422</v>
      </c>
      <c r="G1697" t="s">
        <v>2748</v>
      </c>
      <c r="H1697" s="15">
        <v>46142</v>
      </c>
      <c r="I1697" t="s">
        <v>2749</v>
      </c>
      <c r="J1697" t="s">
        <v>16</v>
      </c>
      <c r="K1697" t="s">
        <v>185</v>
      </c>
      <c r="N1697">
        <v>0</v>
      </c>
      <c r="O1697" t="s">
        <v>222</v>
      </c>
      <c r="P1697">
        <v>0</v>
      </c>
      <c r="U1697" s="15"/>
    </row>
    <row r="1698" spans="1:21" x14ac:dyDescent="0.35">
      <c r="A1698" t="s">
        <v>14</v>
      </c>
      <c r="B1698" t="s">
        <v>3247</v>
      </c>
      <c r="C1698" t="s">
        <v>515</v>
      </c>
      <c r="D1698" t="s">
        <v>516</v>
      </c>
      <c r="E1698" t="s">
        <v>517</v>
      </c>
      <c r="F1698" t="s">
        <v>4305</v>
      </c>
      <c r="G1698" t="s">
        <v>4328</v>
      </c>
      <c r="H1698" s="15">
        <v>46035</v>
      </c>
      <c r="I1698" t="s">
        <v>4329</v>
      </c>
      <c r="J1698" t="s">
        <v>16</v>
      </c>
      <c r="K1698" t="s">
        <v>185</v>
      </c>
      <c r="N1698">
        <v>0</v>
      </c>
      <c r="O1698" t="s">
        <v>222</v>
      </c>
      <c r="P1698">
        <v>0</v>
      </c>
      <c r="U1698" s="15"/>
    </row>
    <row r="1699" spans="1:21" x14ac:dyDescent="0.35">
      <c r="A1699" t="s">
        <v>14</v>
      </c>
      <c r="B1699" t="s">
        <v>3247</v>
      </c>
      <c r="C1699" t="s">
        <v>1255</v>
      </c>
      <c r="D1699" t="s">
        <v>1256</v>
      </c>
      <c r="E1699" t="s">
        <v>1257</v>
      </c>
      <c r="F1699" t="s">
        <v>4305</v>
      </c>
      <c r="G1699" t="s">
        <v>4330</v>
      </c>
      <c r="H1699" s="15">
        <v>46035</v>
      </c>
      <c r="I1699" t="s">
        <v>4331</v>
      </c>
      <c r="J1699" t="s">
        <v>233</v>
      </c>
      <c r="K1699" t="s">
        <v>185</v>
      </c>
      <c r="N1699">
        <v>0</v>
      </c>
      <c r="O1699" t="s">
        <v>222</v>
      </c>
      <c r="P1699">
        <v>0</v>
      </c>
      <c r="U1699" s="15"/>
    </row>
    <row r="1700" spans="1:21" x14ac:dyDescent="0.35">
      <c r="A1700" t="s">
        <v>14</v>
      </c>
      <c r="B1700" t="s">
        <v>3158</v>
      </c>
      <c r="C1700" t="s">
        <v>1255</v>
      </c>
      <c r="D1700" t="s">
        <v>1256</v>
      </c>
      <c r="E1700" t="s">
        <v>1257</v>
      </c>
      <c r="F1700" t="s">
        <v>3159</v>
      </c>
      <c r="G1700" t="s">
        <v>3964</v>
      </c>
      <c r="H1700" s="15">
        <v>46122</v>
      </c>
      <c r="I1700" t="s">
        <v>3966</v>
      </c>
      <c r="J1700" t="s">
        <v>233</v>
      </c>
      <c r="K1700" t="s">
        <v>185</v>
      </c>
      <c r="N1700">
        <v>0</v>
      </c>
      <c r="O1700" t="s">
        <v>222</v>
      </c>
      <c r="P1700">
        <v>0</v>
      </c>
      <c r="U1700" s="15"/>
    </row>
    <row r="1701" spans="1:21" x14ac:dyDescent="0.35">
      <c r="A1701" t="s">
        <v>14</v>
      </c>
      <c r="B1701" t="s">
        <v>3158</v>
      </c>
      <c r="C1701" t="s">
        <v>682</v>
      </c>
      <c r="D1701" t="s">
        <v>683</v>
      </c>
      <c r="E1701" t="s">
        <v>683</v>
      </c>
      <c r="F1701" t="s">
        <v>3159</v>
      </c>
      <c r="G1701" t="s">
        <v>3974</v>
      </c>
      <c r="H1701" s="15">
        <v>46123</v>
      </c>
      <c r="I1701" t="s">
        <v>3975</v>
      </c>
      <c r="J1701" t="s">
        <v>16</v>
      </c>
      <c r="K1701" t="s">
        <v>185</v>
      </c>
      <c r="N1701">
        <v>0</v>
      </c>
      <c r="O1701" t="s">
        <v>222</v>
      </c>
      <c r="P1701">
        <v>0</v>
      </c>
      <c r="U1701" s="15"/>
    </row>
    <row r="1702" spans="1:21" x14ac:dyDescent="0.35">
      <c r="A1702" t="s">
        <v>14</v>
      </c>
      <c r="B1702" t="s">
        <v>2421</v>
      </c>
      <c r="C1702" t="s">
        <v>647</v>
      </c>
      <c r="D1702" t="s">
        <v>648</v>
      </c>
      <c r="E1702" t="s">
        <v>649</v>
      </c>
      <c r="F1702" t="s">
        <v>2422</v>
      </c>
      <c r="G1702" t="s">
        <v>2753</v>
      </c>
      <c r="H1702" s="15">
        <v>46147</v>
      </c>
      <c r="I1702" t="s">
        <v>2754</v>
      </c>
      <c r="J1702" t="s">
        <v>16</v>
      </c>
      <c r="K1702" t="s">
        <v>185</v>
      </c>
      <c r="N1702">
        <v>0</v>
      </c>
      <c r="O1702" t="s">
        <v>222</v>
      </c>
      <c r="P1702">
        <v>0</v>
      </c>
      <c r="U1702" s="15"/>
    </row>
    <row r="1703" spans="1:21" x14ac:dyDescent="0.35">
      <c r="A1703" t="s">
        <v>14</v>
      </c>
      <c r="B1703" t="s">
        <v>3158</v>
      </c>
      <c r="C1703" t="s">
        <v>1255</v>
      </c>
      <c r="D1703" t="s">
        <v>1256</v>
      </c>
      <c r="E1703" t="s">
        <v>1257</v>
      </c>
      <c r="F1703" t="s">
        <v>3159</v>
      </c>
      <c r="G1703" t="s">
        <v>3976</v>
      </c>
      <c r="H1703" s="15">
        <v>46128</v>
      </c>
      <c r="I1703" t="s">
        <v>3977</v>
      </c>
      <c r="J1703" t="s">
        <v>16</v>
      </c>
      <c r="K1703" t="s">
        <v>185</v>
      </c>
      <c r="N1703">
        <v>0</v>
      </c>
      <c r="O1703" t="s">
        <v>222</v>
      </c>
      <c r="P1703">
        <v>0</v>
      </c>
      <c r="U1703" s="15"/>
    </row>
    <row r="1704" spans="1:21" x14ac:dyDescent="0.35">
      <c r="A1704" t="s">
        <v>14</v>
      </c>
      <c r="B1704" t="s">
        <v>2421</v>
      </c>
      <c r="C1704" t="s">
        <v>777</v>
      </c>
      <c r="D1704" t="s">
        <v>778</v>
      </c>
      <c r="E1704" t="s">
        <v>779</v>
      </c>
      <c r="F1704" t="s">
        <v>2422</v>
      </c>
      <c r="G1704" t="s">
        <v>2753</v>
      </c>
      <c r="H1704" s="15">
        <v>46147</v>
      </c>
      <c r="I1704" t="s">
        <v>2759</v>
      </c>
      <c r="J1704" t="s">
        <v>16</v>
      </c>
      <c r="K1704" t="s">
        <v>185</v>
      </c>
      <c r="N1704">
        <v>0</v>
      </c>
      <c r="O1704" t="s">
        <v>222</v>
      </c>
      <c r="P1704">
        <v>0</v>
      </c>
      <c r="U1704" s="15"/>
    </row>
    <row r="1705" spans="1:21" x14ac:dyDescent="0.35">
      <c r="A1705" t="s">
        <v>14</v>
      </c>
      <c r="B1705" t="s">
        <v>2421</v>
      </c>
      <c r="C1705" t="s">
        <v>1255</v>
      </c>
      <c r="D1705" t="s">
        <v>1256</v>
      </c>
      <c r="E1705" t="s">
        <v>1257</v>
      </c>
      <c r="F1705" t="s">
        <v>2422</v>
      </c>
      <c r="G1705" t="s">
        <v>2760</v>
      </c>
      <c r="H1705" s="15">
        <v>46148</v>
      </c>
      <c r="I1705" t="s">
        <v>2761</v>
      </c>
      <c r="J1705" t="s">
        <v>16</v>
      </c>
      <c r="K1705" t="s">
        <v>185</v>
      </c>
      <c r="N1705">
        <v>0</v>
      </c>
      <c r="O1705" t="s">
        <v>222</v>
      </c>
      <c r="P1705">
        <v>0</v>
      </c>
      <c r="U1705" s="15"/>
    </row>
    <row r="1706" spans="1:21" x14ac:dyDescent="0.35">
      <c r="A1706" t="s">
        <v>14</v>
      </c>
      <c r="B1706" t="s">
        <v>3158</v>
      </c>
      <c r="C1706" t="s">
        <v>531</v>
      </c>
      <c r="D1706" t="s">
        <v>532</v>
      </c>
      <c r="E1706" t="s">
        <v>533</v>
      </c>
      <c r="F1706" t="s">
        <v>3159</v>
      </c>
      <c r="G1706" t="s">
        <v>3976</v>
      </c>
      <c r="H1706" s="15">
        <v>46128</v>
      </c>
      <c r="I1706" t="s">
        <v>3978</v>
      </c>
      <c r="J1706" t="s">
        <v>16</v>
      </c>
      <c r="K1706" t="s">
        <v>185</v>
      </c>
      <c r="N1706">
        <v>0</v>
      </c>
      <c r="O1706" t="s">
        <v>222</v>
      </c>
      <c r="P1706">
        <v>0</v>
      </c>
      <c r="U1706" s="15"/>
    </row>
    <row r="1707" spans="1:21" x14ac:dyDescent="0.35">
      <c r="A1707" t="s">
        <v>14</v>
      </c>
      <c r="B1707" t="s">
        <v>3158</v>
      </c>
      <c r="C1707" t="s">
        <v>821</v>
      </c>
      <c r="D1707" t="s">
        <v>822</v>
      </c>
      <c r="E1707" t="s">
        <v>823</v>
      </c>
      <c r="F1707" t="s">
        <v>3159</v>
      </c>
      <c r="G1707" t="s">
        <v>3984</v>
      </c>
      <c r="H1707" s="15">
        <v>46128</v>
      </c>
      <c r="I1707" t="s">
        <v>3985</v>
      </c>
      <c r="J1707" t="s">
        <v>233</v>
      </c>
      <c r="K1707" t="s">
        <v>185</v>
      </c>
      <c r="N1707">
        <v>0</v>
      </c>
      <c r="O1707" t="s">
        <v>222</v>
      </c>
      <c r="P1707">
        <v>0</v>
      </c>
      <c r="U1707" s="15"/>
    </row>
    <row r="1708" spans="1:21" x14ac:dyDescent="0.35">
      <c r="A1708" t="s">
        <v>14</v>
      </c>
      <c r="B1708" t="s">
        <v>3247</v>
      </c>
      <c r="C1708" t="s">
        <v>515</v>
      </c>
      <c r="D1708" t="s">
        <v>516</v>
      </c>
      <c r="E1708" t="s">
        <v>517</v>
      </c>
      <c r="F1708" t="s">
        <v>4305</v>
      </c>
      <c r="G1708" t="s">
        <v>4332</v>
      </c>
      <c r="H1708" s="15">
        <v>46036</v>
      </c>
      <c r="I1708" t="s">
        <v>4333</v>
      </c>
      <c r="J1708" t="s">
        <v>16</v>
      </c>
      <c r="K1708" t="s">
        <v>185</v>
      </c>
      <c r="N1708">
        <v>0</v>
      </c>
      <c r="O1708" t="s">
        <v>222</v>
      </c>
      <c r="P1708">
        <v>0</v>
      </c>
      <c r="U1708" s="15"/>
    </row>
    <row r="1709" spans="1:21" x14ac:dyDescent="0.35">
      <c r="A1709" t="s">
        <v>14</v>
      </c>
      <c r="B1709" t="s">
        <v>3247</v>
      </c>
      <c r="C1709" t="s">
        <v>1255</v>
      </c>
      <c r="D1709" t="s">
        <v>1256</v>
      </c>
      <c r="E1709" t="s">
        <v>1257</v>
      </c>
      <c r="F1709" t="s">
        <v>4305</v>
      </c>
      <c r="G1709" t="s">
        <v>4334</v>
      </c>
      <c r="H1709" s="15">
        <v>46036</v>
      </c>
      <c r="I1709" t="s">
        <v>4335</v>
      </c>
      <c r="J1709" t="s">
        <v>233</v>
      </c>
      <c r="K1709" t="s">
        <v>185</v>
      </c>
      <c r="N1709">
        <v>0</v>
      </c>
      <c r="O1709" t="s">
        <v>222</v>
      </c>
      <c r="P1709">
        <v>0</v>
      </c>
      <c r="U1709" s="15"/>
    </row>
    <row r="1710" spans="1:21" x14ac:dyDescent="0.35">
      <c r="A1710" t="s">
        <v>14</v>
      </c>
      <c r="B1710" t="s">
        <v>3247</v>
      </c>
      <c r="C1710" t="s">
        <v>977</v>
      </c>
      <c r="D1710" t="s">
        <v>978</v>
      </c>
      <c r="E1710" t="s">
        <v>979</v>
      </c>
      <c r="F1710" t="s">
        <v>4305</v>
      </c>
      <c r="G1710" t="s">
        <v>4336</v>
      </c>
      <c r="H1710" s="15">
        <v>46037</v>
      </c>
      <c r="I1710" t="s">
        <v>4337</v>
      </c>
      <c r="J1710" t="s">
        <v>16</v>
      </c>
      <c r="K1710" t="s">
        <v>185</v>
      </c>
      <c r="N1710">
        <v>0</v>
      </c>
      <c r="O1710" t="s">
        <v>222</v>
      </c>
      <c r="P1710">
        <v>0</v>
      </c>
      <c r="U1710" s="15"/>
    </row>
    <row r="1711" spans="1:21" x14ac:dyDescent="0.35">
      <c r="A1711" t="s">
        <v>14</v>
      </c>
      <c r="B1711" t="s">
        <v>3158</v>
      </c>
      <c r="C1711" t="s">
        <v>1255</v>
      </c>
      <c r="D1711" t="s">
        <v>1256</v>
      </c>
      <c r="E1711" t="s">
        <v>1257</v>
      </c>
      <c r="F1711" t="s">
        <v>3159</v>
      </c>
      <c r="G1711" t="s">
        <v>3986</v>
      </c>
      <c r="H1711" s="15">
        <v>46129</v>
      </c>
      <c r="I1711" t="s">
        <v>3987</v>
      </c>
      <c r="J1711" t="s">
        <v>16</v>
      </c>
      <c r="K1711" t="s">
        <v>185</v>
      </c>
      <c r="N1711">
        <v>0</v>
      </c>
      <c r="O1711" t="s">
        <v>222</v>
      </c>
      <c r="P1711">
        <v>0</v>
      </c>
      <c r="U1711" s="15"/>
    </row>
    <row r="1712" spans="1:21" x14ac:dyDescent="0.35">
      <c r="A1712" t="s">
        <v>14</v>
      </c>
      <c r="B1712" t="s">
        <v>2421</v>
      </c>
      <c r="C1712" t="s">
        <v>1255</v>
      </c>
      <c r="D1712" t="s">
        <v>1256</v>
      </c>
      <c r="E1712" t="s">
        <v>1257</v>
      </c>
      <c r="F1712" t="s">
        <v>2422</v>
      </c>
      <c r="G1712" t="s">
        <v>2764</v>
      </c>
      <c r="H1712" s="15">
        <v>46149</v>
      </c>
      <c r="I1712" t="s">
        <v>2765</v>
      </c>
      <c r="J1712" t="s">
        <v>16</v>
      </c>
      <c r="K1712" t="s">
        <v>185</v>
      </c>
      <c r="N1712">
        <v>0</v>
      </c>
      <c r="O1712" t="s">
        <v>222</v>
      </c>
      <c r="P1712">
        <v>0</v>
      </c>
      <c r="U1712" s="15"/>
    </row>
    <row r="1713" spans="1:21" x14ac:dyDescent="0.35">
      <c r="A1713" t="s">
        <v>14</v>
      </c>
      <c r="B1713" t="s">
        <v>2421</v>
      </c>
      <c r="C1713" t="s">
        <v>1255</v>
      </c>
      <c r="D1713" t="s">
        <v>1256</v>
      </c>
      <c r="E1713" t="s">
        <v>1257</v>
      </c>
      <c r="F1713" t="s">
        <v>2422</v>
      </c>
      <c r="G1713" t="s">
        <v>2769</v>
      </c>
      <c r="H1713" s="15">
        <v>46150</v>
      </c>
      <c r="I1713" t="s">
        <v>2770</v>
      </c>
      <c r="J1713" t="s">
        <v>16</v>
      </c>
      <c r="K1713" t="s">
        <v>185</v>
      </c>
      <c r="N1713">
        <v>0</v>
      </c>
      <c r="O1713" t="s">
        <v>222</v>
      </c>
      <c r="P1713">
        <v>0</v>
      </c>
      <c r="U1713" s="15"/>
    </row>
    <row r="1714" spans="1:21" x14ac:dyDescent="0.35">
      <c r="A1714" t="s">
        <v>14</v>
      </c>
      <c r="B1714" t="s">
        <v>2398</v>
      </c>
      <c r="C1714" t="s">
        <v>1255</v>
      </c>
      <c r="D1714" t="s">
        <v>1256</v>
      </c>
      <c r="E1714" t="s">
        <v>1257</v>
      </c>
      <c r="F1714" t="s">
        <v>2399</v>
      </c>
      <c r="G1714" t="s">
        <v>2400</v>
      </c>
      <c r="H1714" s="15">
        <v>46027</v>
      </c>
      <c r="I1714" t="s">
        <v>2401</v>
      </c>
      <c r="J1714" t="s">
        <v>16</v>
      </c>
      <c r="K1714" t="s">
        <v>185</v>
      </c>
      <c r="N1714">
        <v>0</v>
      </c>
      <c r="O1714" t="s">
        <v>222</v>
      </c>
      <c r="P1714">
        <v>0</v>
      </c>
      <c r="U1714" s="15"/>
    </row>
    <row r="1715" spans="1:21" x14ac:dyDescent="0.35">
      <c r="A1715" t="s">
        <v>14</v>
      </c>
      <c r="B1715" t="s">
        <v>2398</v>
      </c>
      <c r="C1715" t="s">
        <v>515</v>
      </c>
      <c r="D1715" t="s">
        <v>516</v>
      </c>
      <c r="E1715" t="s">
        <v>517</v>
      </c>
      <c r="F1715" t="s">
        <v>2399</v>
      </c>
      <c r="G1715" t="s">
        <v>2402</v>
      </c>
      <c r="H1715" s="15">
        <v>46028</v>
      </c>
      <c r="I1715" t="s">
        <v>2403</v>
      </c>
      <c r="J1715" t="s">
        <v>16</v>
      </c>
      <c r="K1715" t="s">
        <v>185</v>
      </c>
      <c r="N1715">
        <v>0</v>
      </c>
      <c r="O1715" t="s">
        <v>222</v>
      </c>
      <c r="P1715">
        <v>0</v>
      </c>
      <c r="U1715" s="15"/>
    </row>
    <row r="1716" spans="1:21" x14ac:dyDescent="0.35">
      <c r="A1716" t="s">
        <v>14</v>
      </c>
      <c r="B1716" t="s">
        <v>3158</v>
      </c>
      <c r="C1716" t="s">
        <v>515</v>
      </c>
      <c r="D1716" t="s">
        <v>516</v>
      </c>
      <c r="E1716" t="s">
        <v>517</v>
      </c>
      <c r="F1716" t="s">
        <v>3159</v>
      </c>
      <c r="G1716" t="s">
        <v>3986</v>
      </c>
      <c r="H1716" s="15">
        <v>46129</v>
      </c>
      <c r="I1716" t="s">
        <v>3988</v>
      </c>
      <c r="J1716" t="s">
        <v>16</v>
      </c>
      <c r="K1716" t="s">
        <v>185</v>
      </c>
      <c r="N1716">
        <v>0</v>
      </c>
      <c r="O1716" t="s">
        <v>222</v>
      </c>
      <c r="P1716">
        <v>0</v>
      </c>
      <c r="U1716" s="15"/>
    </row>
    <row r="1717" spans="1:21" x14ac:dyDescent="0.35">
      <c r="A1717" t="s">
        <v>14</v>
      </c>
      <c r="B1717" t="s">
        <v>3158</v>
      </c>
      <c r="C1717" t="s">
        <v>816</v>
      </c>
      <c r="D1717" t="s">
        <v>817</v>
      </c>
      <c r="E1717" t="s">
        <v>818</v>
      </c>
      <c r="F1717" t="s">
        <v>3159</v>
      </c>
      <c r="G1717" t="s">
        <v>3994</v>
      </c>
      <c r="H1717" s="15">
        <v>46129</v>
      </c>
      <c r="I1717" t="s">
        <v>3995</v>
      </c>
      <c r="J1717" t="s">
        <v>233</v>
      </c>
      <c r="K1717" t="s">
        <v>185</v>
      </c>
      <c r="N1717">
        <v>0</v>
      </c>
      <c r="O1717" t="s">
        <v>222</v>
      </c>
      <c r="P1717">
        <v>0</v>
      </c>
      <c r="U1717" s="15"/>
    </row>
    <row r="1718" spans="1:21" x14ac:dyDescent="0.35">
      <c r="A1718" t="s">
        <v>14</v>
      </c>
      <c r="B1718" t="s">
        <v>3247</v>
      </c>
      <c r="C1718" t="s">
        <v>777</v>
      </c>
      <c r="D1718" t="s">
        <v>778</v>
      </c>
      <c r="E1718" t="s">
        <v>779</v>
      </c>
      <c r="F1718" t="s">
        <v>4305</v>
      </c>
      <c r="G1718" t="s">
        <v>4338</v>
      </c>
      <c r="H1718" s="15">
        <v>46037</v>
      </c>
      <c r="I1718" t="s">
        <v>4339</v>
      </c>
      <c r="J1718" t="s">
        <v>233</v>
      </c>
      <c r="K1718" t="s">
        <v>185</v>
      </c>
      <c r="N1718">
        <v>0</v>
      </c>
      <c r="O1718" t="s">
        <v>222</v>
      </c>
      <c r="P1718">
        <v>0</v>
      </c>
      <c r="U1718" s="15"/>
    </row>
    <row r="1719" spans="1:21" x14ac:dyDescent="0.35">
      <c r="A1719" t="s">
        <v>14</v>
      </c>
      <c r="B1719" t="s">
        <v>3247</v>
      </c>
      <c r="C1719" t="s">
        <v>658</v>
      </c>
      <c r="D1719" t="s">
        <v>659</v>
      </c>
      <c r="E1719" t="s">
        <v>660</v>
      </c>
      <c r="F1719" t="s">
        <v>4305</v>
      </c>
      <c r="G1719" t="s">
        <v>4338</v>
      </c>
      <c r="H1719" s="15">
        <v>46037</v>
      </c>
      <c r="I1719" t="s">
        <v>4340</v>
      </c>
      <c r="J1719" t="s">
        <v>233</v>
      </c>
      <c r="K1719" t="s">
        <v>185</v>
      </c>
      <c r="N1719">
        <v>0</v>
      </c>
      <c r="O1719" t="s">
        <v>222</v>
      </c>
      <c r="P1719">
        <v>0</v>
      </c>
      <c r="U1719" s="15"/>
    </row>
    <row r="1720" spans="1:21" x14ac:dyDescent="0.35">
      <c r="A1720" t="s">
        <v>14</v>
      </c>
      <c r="B1720" t="s">
        <v>3247</v>
      </c>
      <c r="C1720" t="s">
        <v>515</v>
      </c>
      <c r="D1720" t="s">
        <v>516</v>
      </c>
      <c r="E1720" t="s">
        <v>517</v>
      </c>
      <c r="F1720" t="s">
        <v>4305</v>
      </c>
      <c r="G1720" t="s">
        <v>4341</v>
      </c>
      <c r="H1720" s="15">
        <v>46038</v>
      </c>
      <c r="I1720" t="s">
        <v>4342</v>
      </c>
      <c r="J1720" t="s">
        <v>16</v>
      </c>
      <c r="K1720" t="s">
        <v>185</v>
      </c>
      <c r="N1720">
        <v>0</v>
      </c>
      <c r="O1720" t="s">
        <v>222</v>
      </c>
      <c r="P1720">
        <v>0</v>
      </c>
      <c r="U1720" s="15"/>
    </row>
    <row r="1721" spans="1:21" x14ac:dyDescent="0.35">
      <c r="A1721" t="s">
        <v>14</v>
      </c>
      <c r="B1721" t="s">
        <v>2421</v>
      </c>
      <c r="C1721" t="s">
        <v>1255</v>
      </c>
      <c r="D1721" t="s">
        <v>1256</v>
      </c>
      <c r="E1721" t="s">
        <v>1257</v>
      </c>
      <c r="F1721" t="s">
        <v>2422</v>
      </c>
      <c r="G1721" t="s">
        <v>2829</v>
      </c>
      <c r="H1721" s="15">
        <v>46151</v>
      </c>
      <c r="I1721" t="s">
        <v>2830</v>
      </c>
      <c r="J1721" t="s">
        <v>16</v>
      </c>
      <c r="K1721" t="s">
        <v>185</v>
      </c>
      <c r="N1721">
        <v>0</v>
      </c>
      <c r="O1721" t="s">
        <v>222</v>
      </c>
      <c r="P1721">
        <v>0</v>
      </c>
      <c r="U1721" s="15"/>
    </row>
    <row r="1722" spans="1:21" x14ac:dyDescent="0.35">
      <c r="A1722" t="s">
        <v>14</v>
      </c>
      <c r="B1722" t="s">
        <v>2398</v>
      </c>
      <c r="C1722" t="s">
        <v>651</v>
      </c>
      <c r="D1722" t="s">
        <v>652</v>
      </c>
      <c r="E1722" t="s">
        <v>653</v>
      </c>
      <c r="F1722" t="s">
        <v>2399</v>
      </c>
      <c r="G1722" t="s">
        <v>2402</v>
      </c>
      <c r="H1722" s="15">
        <v>46028</v>
      </c>
      <c r="I1722" t="s">
        <v>2404</v>
      </c>
      <c r="J1722" t="s">
        <v>16</v>
      </c>
      <c r="K1722" t="s">
        <v>185</v>
      </c>
      <c r="N1722">
        <v>0</v>
      </c>
      <c r="O1722" t="s">
        <v>222</v>
      </c>
      <c r="P1722">
        <v>0</v>
      </c>
      <c r="U1722" s="15"/>
    </row>
    <row r="1723" spans="1:21" x14ac:dyDescent="0.35">
      <c r="A1723" t="s">
        <v>14</v>
      </c>
      <c r="B1723" t="s">
        <v>2398</v>
      </c>
      <c r="C1723" t="s">
        <v>777</v>
      </c>
      <c r="D1723" t="s">
        <v>778</v>
      </c>
      <c r="E1723" t="s">
        <v>779</v>
      </c>
      <c r="F1723" t="s">
        <v>2399</v>
      </c>
      <c r="G1723" t="s">
        <v>2402</v>
      </c>
      <c r="H1723" s="15">
        <v>46028</v>
      </c>
      <c r="I1723" t="s">
        <v>2405</v>
      </c>
      <c r="J1723" t="s">
        <v>16</v>
      </c>
      <c r="K1723" t="s">
        <v>185</v>
      </c>
      <c r="N1723">
        <v>0</v>
      </c>
      <c r="O1723" t="s">
        <v>222</v>
      </c>
      <c r="P1723">
        <v>0</v>
      </c>
      <c r="U1723" s="15"/>
    </row>
    <row r="1724" spans="1:21" x14ac:dyDescent="0.35">
      <c r="A1724" t="s">
        <v>14</v>
      </c>
      <c r="B1724" t="s">
        <v>3158</v>
      </c>
      <c r="C1724" t="s">
        <v>498</v>
      </c>
      <c r="D1724" t="s">
        <v>499</v>
      </c>
      <c r="E1724" t="s">
        <v>500</v>
      </c>
      <c r="F1724" t="s">
        <v>3159</v>
      </c>
      <c r="G1724" t="s">
        <v>4001</v>
      </c>
      <c r="H1724" s="15">
        <v>46130</v>
      </c>
      <c r="I1724" t="s">
        <v>4002</v>
      </c>
      <c r="J1724" t="s">
        <v>16</v>
      </c>
      <c r="K1724" t="s">
        <v>185</v>
      </c>
      <c r="N1724">
        <v>0</v>
      </c>
      <c r="O1724" t="s">
        <v>222</v>
      </c>
      <c r="P1724">
        <v>0</v>
      </c>
      <c r="U1724" s="15"/>
    </row>
    <row r="1725" spans="1:21" x14ac:dyDescent="0.35">
      <c r="A1725" t="s">
        <v>14</v>
      </c>
      <c r="B1725" t="s">
        <v>3158</v>
      </c>
      <c r="C1725" t="s">
        <v>1255</v>
      </c>
      <c r="D1725" t="s">
        <v>1256</v>
      </c>
      <c r="E1725" t="s">
        <v>1257</v>
      </c>
      <c r="F1725" t="s">
        <v>3159</v>
      </c>
      <c r="G1725" t="s">
        <v>4001</v>
      </c>
      <c r="H1725" s="15">
        <v>46130</v>
      </c>
      <c r="I1725" t="s">
        <v>4003</v>
      </c>
      <c r="J1725" t="s">
        <v>16</v>
      </c>
      <c r="K1725" t="s">
        <v>185</v>
      </c>
      <c r="N1725">
        <v>0</v>
      </c>
      <c r="O1725" t="s">
        <v>222</v>
      </c>
      <c r="P1725">
        <v>0</v>
      </c>
      <c r="U1725" s="15"/>
    </row>
    <row r="1726" spans="1:21" x14ac:dyDescent="0.35">
      <c r="A1726" t="s">
        <v>14</v>
      </c>
      <c r="B1726" t="s">
        <v>3247</v>
      </c>
      <c r="C1726" t="s">
        <v>1255</v>
      </c>
      <c r="D1726" t="s">
        <v>1256</v>
      </c>
      <c r="E1726" t="s">
        <v>1257</v>
      </c>
      <c r="F1726" t="s">
        <v>4305</v>
      </c>
      <c r="G1726" t="s">
        <v>4343</v>
      </c>
      <c r="H1726" s="15">
        <v>46038</v>
      </c>
      <c r="I1726" t="s">
        <v>4344</v>
      </c>
      <c r="J1726" t="s">
        <v>233</v>
      </c>
      <c r="K1726" t="s">
        <v>185</v>
      </c>
      <c r="N1726">
        <v>0</v>
      </c>
      <c r="O1726" t="s">
        <v>222</v>
      </c>
      <c r="P1726">
        <v>0</v>
      </c>
      <c r="U1726" s="15"/>
    </row>
    <row r="1727" spans="1:21" x14ac:dyDescent="0.35">
      <c r="A1727" t="s">
        <v>14</v>
      </c>
      <c r="B1727" t="s">
        <v>2398</v>
      </c>
      <c r="C1727" t="s">
        <v>515</v>
      </c>
      <c r="D1727" t="s">
        <v>516</v>
      </c>
      <c r="E1727" t="s">
        <v>517</v>
      </c>
      <c r="F1727" t="s">
        <v>2399</v>
      </c>
      <c r="G1727" t="s">
        <v>2406</v>
      </c>
      <c r="H1727" s="15">
        <v>46029</v>
      </c>
      <c r="I1727" t="s">
        <v>2407</v>
      </c>
      <c r="J1727" t="s">
        <v>16</v>
      </c>
      <c r="K1727" t="s">
        <v>185</v>
      </c>
      <c r="N1727">
        <v>0</v>
      </c>
      <c r="O1727" t="s">
        <v>222</v>
      </c>
      <c r="P1727">
        <v>0</v>
      </c>
      <c r="U1727" s="15"/>
    </row>
    <row r="1728" spans="1:21" x14ac:dyDescent="0.35">
      <c r="A1728" t="s">
        <v>14</v>
      </c>
      <c r="B1728" t="s">
        <v>2398</v>
      </c>
      <c r="C1728" t="s">
        <v>651</v>
      </c>
      <c r="D1728" t="s">
        <v>652</v>
      </c>
      <c r="E1728" t="s">
        <v>653</v>
      </c>
      <c r="F1728" t="s">
        <v>2399</v>
      </c>
      <c r="G1728" t="s">
        <v>2406</v>
      </c>
      <c r="H1728" s="15">
        <v>46029</v>
      </c>
      <c r="I1728" t="s">
        <v>2408</v>
      </c>
      <c r="J1728" t="s">
        <v>16</v>
      </c>
      <c r="K1728" t="s">
        <v>185</v>
      </c>
      <c r="N1728">
        <v>0</v>
      </c>
      <c r="O1728" t="s">
        <v>222</v>
      </c>
      <c r="P1728">
        <v>0</v>
      </c>
      <c r="U1728" s="15"/>
    </row>
    <row r="1729" spans="1:21" x14ac:dyDescent="0.35">
      <c r="A1729" t="s">
        <v>14</v>
      </c>
      <c r="B1729" t="s">
        <v>2398</v>
      </c>
      <c r="C1729" t="s">
        <v>1255</v>
      </c>
      <c r="D1729" t="s">
        <v>1256</v>
      </c>
      <c r="E1729" t="s">
        <v>1257</v>
      </c>
      <c r="F1729" t="s">
        <v>2399</v>
      </c>
      <c r="G1729" t="s">
        <v>2406</v>
      </c>
      <c r="H1729" s="15">
        <v>46029</v>
      </c>
      <c r="I1729" t="s">
        <v>2409</v>
      </c>
      <c r="J1729" t="s">
        <v>16</v>
      </c>
      <c r="K1729" t="s">
        <v>185</v>
      </c>
      <c r="N1729">
        <v>0</v>
      </c>
      <c r="O1729" t="s">
        <v>222</v>
      </c>
      <c r="P1729">
        <v>0</v>
      </c>
      <c r="U1729" s="15"/>
    </row>
    <row r="1730" spans="1:21" x14ac:dyDescent="0.35">
      <c r="A1730" t="s">
        <v>14</v>
      </c>
      <c r="B1730" t="s">
        <v>2398</v>
      </c>
      <c r="C1730" t="s">
        <v>1255</v>
      </c>
      <c r="D1730" t="s">
        <v>1256</v>
      </c>
      <c r="E1730" t="s">
        <v>1257</v>
      </c>
      <c r="F1730" t="s">
        <v>2399</v>
      </c>
      <c r="G1730" t="s">
        <v>2406</v>
      </c>
      <c r="H1730" s="15">
        <v>46029</v>
      </c>
      <c r="I1730" t="s">
        <v>2409</v>
      </c>
      <c r="J1730" t="s">
        <v>16</v>
      </c>
      <c r="K1730" t="s">
        <v>185</v>
      </c>
      <c r="N1730">
        <v>0</v>
      </c>
      <c r="O1730" t="s">
        <v>222</v>
      </c>
      <c r="P1730">
        <v>0</v>
      </c>
      <c r="U1730" s="15"/>
    </row>
    <row r="1731" spans="1:21" x14ac:dyDescent="0.35">
      <c r="A1731" t="s">
        <v>14</v>
      </c>
      <c r="B1731" t="s">
        <v>2421</v>
      </c>
      <c r="C1731" t="s">
        <v>1255</v>
      </c>
      <c r="D1731" t="s">
        <v>1256</v>
      </c>
      <c r="E1731" t="s">
        <v>1257</v>
      </c>
      <c r="F1731" t="s">
        <v>2422</v>
      </c>
      <c r="G1731" t="s">
        <v>2835</v>
      </c>
      <c r="H1731" s="15">
        <v>46153</v>
      </c>
      <c r="I1731" t="s">
        <v>2836</v>
      </c>
      <c r="J1731" t="s">
        <v>233</v>
      </c>
      <c r="K1731" t="s">
        <v>185</v>
      </c>
      <c r="N1731">
        <v>0</v>
      </c>
      <c r="O1731" t="s">
        <v>222</v>
      </c>
      <c r="P1731">
        <v>0</v>
      </c>
      <c r="U1731" s="15"/>
    </row>
    <row r="1732" spans="1:21" x14ac:dyDescent="0.35">
      <c r="A1732" t="s">
        <v>14</v>
      </c>
      <c r="B1732" t="s">
        <v>2421</v>
      </c>
      <c r="C1732" t="s">
        <v>667</v>
      </c>
      <c r="D1732" t="s">
        <v>668</v>
      </c>
      <c r="E1732" t="s">
        <v>669</v>
      </c>
      <c r="F1732" t="s">
        <v>2422</v>
      </c>
      <c r="G1732" t="s">
        <v>2837</v>
      </c>
      <c r="H1732" s="15">
        <v>46154</v>
      </c>
      <c r="I1732" t="s">
        <v>2838</v>
      </c>
      <c r="J1732" t="s">
        <v>16</v>
      </c>
      <c r="K1732" t="s">
        <v>185</v>
      </c>
      <c r="N1732">
        <v>0</v>
      </c>
      <c r="O1732" t="s">
        <v>222</v>
      </c>
      <c r="P1732">
        <v>0</v>
      </c>
      <c r="U1732" s="15"/>
    </row>
    <row r="1733" spans="1:21" x14ac:dyDescent="0.35">
      <c r="A1733" t="s">
        <v>14</v>
      </c>
      <c r="B1733" t="s">
        <v>3158</v>
      </c>
      <c r="C1733" t="s">
        <v>1255</v>
      </c>
      <c r="D1733" t="s">
        <v>1256</v>
      </c>
      <c r="E1733" t="s">
        <v>1257</v>
      </c>
      <c r="F1733" t="s">
        <v>3159</v>
      </c>
      <c r="G1733" t="s">
        <v>4004</v>
      </c>
      <c r="H1733" s="15">
        <v>46132</v>
      </c>
      <c r="I1733" t="s">
        <v>4005</v>
      </c>
      <c r="J1733" t="s">
        <v>16</v>
      </c>
      <c r="K1733" t="s">
        <v>185</v>
      </c>
      <c r="N1733">
        <v>0</v>
      </c>
      <c r="O1733" t="s">
        <v>222</v>
      </c>
      <c r="P1733">
        <v>0</v>
      </c>
      <c r="U1733" s="15"/>
    </row>
    <row r="1734" spans="1:21" x14ac:dyDescent="0.35">
      <c r="A1734" t="s">
        <v>14</v>
      </c>
      <c r="B1734" t="s">
        <v>3158</v>
      </c>
      <c r="C1734" t="s">
        <v>1255</v>
      </c>
      <c r="D1734" t="s">
        <v>1256</v>
      </c>
      <c r="E1734" t="s">
        <v>1257</v>
      </c>
      <c r="F1734" t="s">
        <v>3159</v>
      </c>
      <c r="G1734" t="s">
        <v>4006</v>
      </c>
      <c r="H1734" s="15">
        <v>46133</v>
      </c>
      <c r="I1734" t="s">
        <v>4007</v>
      </c>
      <c r="J1734" t="s">
        <v>16</v>
      </c>
      <c r="K1734" t="s">
        <v>185</v>
      </c>
      <c r="N1734">
        <v>0</v>
      </c>
      <c r="O1734" t="s">
        <v>222</v>
      </c>
      <c r="P1734">
        <v>0</v>
      </c>
      <c r="U1734" s="15"/>
    </row>
    <row r="1735" spans="1:21" x14ac:dyDescent="0.35">
      <c r="A1735" t="s">
        <v>14</v>
      </c>
      <c r="B1735" t="s">
        <v>2398</v>
      </c>
      <c r="C1735" t="s">
        <v>515</v>
      </c>
      <c r="D1735" t="s">
        <v>516</v>
      </c>
      <c r="E1735" t="s">
        <v>517</v>
      </c>
      <c r="F1735" t="s">
        <v>2399</v>
      </c>
      <c r="G1735" t="s">
        <v>2410</v>
      </c>
      <c r="H1735" s="15">
        <v>46030</v>
      </c>
      <c r="I1735" t="s">
        <v>2411</v>
      </c>
      <c r="J1735" t="s">
        <v>16</v>
      </c>
      <c r="K1735" t="s">
        <v>185</v>
      </c>
      <c r="N1735">
        <v>0</v>
      </c>
      <c r="O1735" t="s">
        <v>222</v>
      </c>
      <c r="P1735">
        <v>0</v>
      </c>
      <c r="U1735" s="15"/>
    </row>
    <row r="1736" spans="1:21" x14ac:dyDescent="0.35">
      <c r="A1736" t="s">
        <v>14</v>
      </c>
      <c r="B1736" t="s">
        <v>2398</v>
      </c>
      <c r="C1736" t="s">
        <v>750</v>
      </c>
      <c r="D1736" t="s">
        <v>751</v>
      </c>
      <c r="E1736" t="s">
        <v>752</v>
      </c>
      <c r="F1736" t="s">
        <v>2399</v>
      </c>
      <c r="G1736" t="s">
        <v>2410</v>
      </c>
      <c r="H1736" s="15">
        <v>46030</v>
      </c>
      <c r="I1736" t="s">
        <v>2412</v>
      </c>
      <c r="J1736" t="s">
        <v>16</v>
      </c>
      <c r="K1736" t="s">
        <v>185</v>
      </c>
      <c r="N1736">
        <v>0</v>
      </c>
      <c r="O1736" t="s">
        <v>222</v>
      </c>
      <c r="P1736">
        <v>0</v>
      </c>
      <c r="U1736" s="15"/>
    </row>
    <row r="1737" spans="1:21" x14ac:dyDescent="0.35">
      <c r="A1737" t="s">
        <v>14</v>
      </c>
      <c r="B1737" t="s">
        <v>2421</v>
      </c>
      <c r="C1737" t="s">
        <v>1255</v>
      </c>
      <c r="D1737" t="s">
        <v>1256</v>
      </c>
      <c r="E1737" t="s">
        <v>1257</v>
      </c>
      <c r="F1737" t="s">
        <v>2422</v>
      </c>
      <c r="G1737" t="s">
        <v>2843</v>
      </c>
      <c r="H1737" s="15">
        <v>46155</v>
      </c>
      <c r="I1737" t="s">
        <v>2844</v>
      </c>
      <c r="J1737" t="s">
        <v>16</v>
      </c>
      <c r="K1737" t="s">
        <v>185</v>
      </c>
      <c r="N1737">
        <v>0</v>
      </c>
      <c r="O1737" t="s">
        <v>222</v>
      </c>
      <c r="P1737">
        <v>0</v>
      </c>
      <c r="U1737" s="15"/>
    </row>
    <row r="1738" spans="1:21" x14ac:dyDescent="0.35">
      <c r="A1738" t="s">
        <v>14</v>
      </c>
      <c r="B1738" t="s">
        <v>3158</v>
      </c>
      <c r="C1738" t="s">
        <v>515</v>
      </c>
      <c r="D1738" t="s">
        <v>516</v>
      </c>
      <c r="E1738" t="s">
        <v>517</v>
      </c>
      <c r="F1738" t="s">
        <v>3159</v>
      </c>
      <c r="G1738" t="s">
        <v>4006</v>
      </c>
      <c r="H1738" s="15">
        <v>46133</v>
      </c>
      <c r="I1738" t="s">
        <v>4014</v>
      </c>
      <c r="J1738" t="s">
        <v>16</v>
      </c>
      <c r="K1738" t="s">
        <v>185</v>
      </c>
      <c r="N1738">
        <v>0</v>
      </c>
      <c r="O1738" t="s">
        <v>222</v>
      </c>
      <c r="P1738">
        <v>0</v>
      </c>
      <c r="U1738" s="15"/>
    </row>
    <row r="1739" spans="1:21" x14ac:dyDescent="0.35">
      <c r="A1739" t="s">
        <v>14</v>
      </c>
      <c r="B1739" t="s">
        <v>2398</v>
      </c>
      <c r="C1739" t="s">
        <v>2413</v>
      </c>
      <c r="D1739" t="s">
        <v>2414</v>
      </c>
      <c r="E1739" t="s">
        <v>2415</v>
      </c>
      <c r="F1739" t="s">
        <v>2399</v>
      </c>
      <c r="G1739" t="s">
        <v>2410</v>
      </c>
      <c r="H1739" s="15">
        <v>46030</v>
      </c>
      <c r="I1739" t="s">
        <v>2416</v>
      </c>
      <c r="J1739" t="s">
        <v>16</v>
      </c>
      <c r="K1739" t="s">
        <v>185</v>
      </c>
      <c r="N1739">
        <v>0</v>
      </c>
      <c r="O1739" t="s">
        <v>222</v>
      </c>
      <c r="P1739">
        <v>0</v>
      </c>
      <c r="U1739" s="15"/>
    </row>
    <row r="1740" spans="1:21" x14ac:dyDescent="0.35">
      <c r="A1740" t="s">
        <v>14</v>
      </c>
      <c r="B1740" t="s">
        <v>2398</v>
      </c>
      <c r="C1740" t="s">
        <v>1255</v>
      </c>
      <c r="D1740" t="s">
        <v>1256</v>
      </c>
      <c r="E1740" t="s">
        <v>1257</v>
      </c>
      <c r="F1740" t="s">
        <v>2399</v>
      </c>
      <c r="G1740" t="s">
        <v>2410</v>
      </c>
      <c r="H1740" s="15">
        <v>46030</v>
      </c>
      <c r="I1740" t="s">
        <v>2417</v>
      </c>
      <c r="J1740" t="s">
        <v>16</v>
      </c>
      <c r="K1740" t="s">
        <v>185</v>
      </c>
      <c r="N1740">
        <v>0</v>
      </c>
      <c r="O1740" t="s">
        <v>222</v>
      </c>
      <c r="P1740">
        <v>0</v>
      </c>
      <c r="U1740" s="15"/>
    </row>
    <row r="1741" spans="1:21" x14ac:dyDescent="0.35">
      <c r="A1741" t="s">
        <v>14</v>
      </c>
      <c r="B1741" t="s">
        <v>3158</v>
      </c>
      <c r="C1741" t="s">
        <v>1255</v>
      </c>
      <c r="D1741" t="s">
        <v>1256</v>
      </c>
      <c r="E1741" t="s">
        <v>1257</v>
      </c>
      <c r="F1741" t="s">
        <v>3159</v>
      </c>
      <c r="G1741" t="s">
        <v>4015</v>
      </c>
      <c r="H1741" s="15">
        <v>46133</v>
      </c>
      <c r="I1741" t="s">
        <v>4016</v>
      </c>
      <c r="J1741" t="s">
        <v>233</v>
      </c>
      <c r="K1741" t="s">
        <v>185</v>
      </c>
      <c r="N1741">
        <v>0</v>
      </c>
      <c r="O1741" t="s">
        <v>222</v>
      </c>
      <c r="P1741">
        <v>0</v>
      </c>
      <c r="U1741" s="15"/>
    </row>
    <row r="1742" spans="1:21" x14ac:dyDescent="0.35">
      <c r="A1742" t="s">
        <v>14</v>
      </c>
      <c r="B1742" t="s">
        <v>3158</v>
      </c>
      <c r="C1742" t="s">
        <v>1255</v>
      </c>
      <c r="D1742" t="s">
        <v>1256</v>
      </c>
      <c r="E1742" t="s">
        <v>1257</v>
      </c>
      <c r="F1742" t="s">
        <v>3159</v>
      </c>
      <c r="G1742" t="s">
        <v>4017</v>
      </c>
      <c r="H1742" s="15">
        <v>46134</v>
      </c>
      <c r="I1742" t="s">
        <v>4018</v>
      </c>
      <c r="J1742" t="s">
        <v>16</v>
      </c>
      <c r="K1742" t="s">
        <v>185</v>
      </c>
      <c r="N1742">
        <v>0</v>
      </c>
      <c r="O1742" t="s">
        <v>222</v>
      </c>
      <c r="P1742">
        <v>0</v>
      </c>
      <c r="U1742" s="15"/>
    </row>
    <row r="1743" spans="1:21" x14ac:dyDescent="0.35">
      <c r="A1743" t="s">
        <v>14</v>
      </c>
      <c r="B1743" t="s">
        <v>2421</v>
      </c>
      <c r="C1743" t="s">
        <v>1255</v>
      </c>
      <c r="D1743" t="s">
        <v>1256</v>
      </c>
      <c r="E1743" t="s">
        <v>1257</v>
      </c>
      <c r="F1743" t="s">
        <v>2422</v>
      </c>
      <c r="G1743" t="s">
        <v>2847</v>
      </c>
      <c r="H1743" s="15">
        <v>46156</v>
      </c>
      <c r="I1743" t="s">
        <v>2848</v>
      </c>
      <c r="J1743" t="s">
        <v>16</v>
      </c>
      <c r="K1743" t="s">
        <v>185</v>
      </c>
      <c r="N1743">
        <v>0</v>
      </c>
      <c r="O1743" t="s">
        <v>222</v>
      </c>
      <c r="P1743">
        <v>0</v>
      </c>
      <c r="U1743" s="15"/>
    </row>
    <row r="1744" spans="1:21" x14ac:dyDescent="0.35">
      <c r="A1744" t="s">
        <v>14</v>
      </c>
      <c r="B1744" t="s">
        <v>3247</v>
      </c>
      <c r="C1744" t="s">
        <v>821</v>
      </c>
      <c r="D1744" t="s">
        <v>822</v>
      </c>
      <c r="E1744" t="s">
        <v>823</v>
      </c>
      <c r="F1744" t="s">
        <v>4305</v>
      </c>
      <c r="G1744" t="s">
        <v>4343</v>
      </c>
      <c r="H1744" s="15">
        <v>46038</v>
      </c>
      <c r="I1744" t="s">
        <v>4345</v>
      </c>
      <c r="J1744" t="s">
        <v>233</v>
      </c>
      <c r="K1744" t="s">
        <v>185</v>
      </c>
      <c r="N1744">
        <v>0</v>
      </c>
      <c r="O1744" t="s">
        <v>222</v>
      </c>
      <c r="P1744">
        <v>0</v>
      </c>
      <c r="U1744" s="15"/>
    </row>
    <row r="1745" spans="1:21" x14ac:dyDescent="0.35">
      <c r="A1745" t="s">
        <v>14</v>
      </c>
      <c r="B1745" t="s">
        <v>3247</v>
      </c>
      <c r="C1745" t="s">
        <v>977</v>
      </c>
      <c r="D1745" t="s">
        <v>978</v>
      </c>
      <c r="E1745" t="s">
        <v>979</v>
      </c>
      <c r="F1745" t="s">
        <v>4305</v>
      </c>
      <c r="G1745" t="s">
        <v>4346</v>
      </c>
      <c r="H1745" s="15">
        <v>46041</v>
      </c>
      <c r="I1745" t="s">
        <v>4347</v>
      </c>
      <c r="J1745" t="s">
        <v>16</v>
      </c>
      <c r="K1745" t="s">
        <v>185</v>
      </c>
      <c r="N1745">
        <v>0</v>
      </c>
      <c r="O1745" t="s">
        <v>222</v>
      </c>
      <c r="P1745">
        <v>0</v>
      </c>
      <c r="U1745" s="15"/>
    </row>
    <row r="1746" spans="1:21" x14ac:dyDescent="0.35">
      <c r="A1746" t="s">
        <v>14</v>
      </c>
      <c r="B1746" t="s">
        <v>3247</v>
      </c>
      <c r="C1746" t="s">
        <v>667</v>
      </c>
      <c r="D1746" t="s">
        <v>668</v>
      </c>
      <c r="E1746" t="s">
        <v>669</v>
      </c>
      <c r="F1746" t="s">
        <v>4305</v>
      </c>
      <c r="G1746" t="s">
        <v>4348</v>
      </c>
      <c r="H1746" s="15">
        <v>46041</v>
      </c>
      <c r="I1746" t="s">
        <v>4349</v>
      </c>
      <c r="J1746" t="s">
        <v>233</v>
      </c>
      <c r="K1746" t="s">
        <v>185</v>
      </c>
      <c r="N1746">
        <v>0</v>
      </c>
      <c r="O1746" t="s">
        <v>222</v>
      </c>
      <c r="P1746">
        <v>0</v>
      </c>
      <c r="U1746" s="15"/>
    </row>
    <row r="1747" spans="1:21" x14ac:dyDescent="0.35">
      <c r="A1747" t="s">
        <v>14</v>
      </c>
      <c r="B1747" t="s">
        <v>2398</v>
      </c>
      <c r="C1747" t="s">
        <v>515</v>
      </c>
      <c r="D1747" t="s">
        <v>516</v>
      </c>
      <c r="E1747" t="s">
        <v>517</v>
      </c>
      <c r="F1747" t="s">
        <v>2399</v>
      </c>
      <c r="G1747" t="s">
        <v>2418</v>
      </c>
      <c r="H1747" s="15">
        <v>46034</v>
      </c>
      <c r="I1747" t="s">
        <v>2419</v>
      </c>
      <c r="J1747" t="s">
        <v>16</v>
      </c>
      <c r="K1747" t="s">
        <v>185</v>
      </c>
      <c r="N1747">
        <v>0</v>
      </c>
      <c r="O1747" t="s">
        <v>222</v>
      </c>
      <c r="P1747">
        <v>0</v>
      </c>
      <c r="U1747" s="15"/>
    </row>
    <row r="1748" spans="1:21" x14ac:dyDescent="0.35">
      <c r="A1748" t="s">
        <v>14</v>
      </c>
      <c r="B1748" t="s">
        <v>2398</v>
      </c>
      <c r="C1748" t="s">
        <v>711</v>
      </c>
      <c r="D1748" t="s">
        <v>712</v>
      </c>
      <c r="E1748" t="s">
        <v>713</v>
      </c>
      <c r="F1748" t="s">
        <v>2399</v>
      </c>
      <c r="G1748" t="s">
        <v>2418</v>
      </c>
      <c r="H1748" s="15">
        <v>46034</v>
      </c>
      <c r="I1748" t="s">
        <v>2420</v>
      </c>
      <c r="J1748" t="s">
        <v>16</v>
      </c>
      <c r="K1748" t="s">
        <v>185</v>
      </c>
      <c r="N1748">
        <v>0</v>
      </c>
      <c r="O1748" t="s">
        <v>222</v>
      </c>
      <c r="P1748">
        <v>0</v>
      </c>
      <c r="U1748" s="15"/>
    </row>
    <row r="1749" spans="1:21" x14ac:dyDescent="0.35">
      <c r="A1749" t="s">
        <v>14</v>
      </c>
      <c r="B1749" t="s">
        <v>3158</v>
      </c>
      <c r="C1749" t="s">
        <v>977</v>
      </c>
      <c r="D1749" t="s">
        <v>978</v>
      </c>
      <c r="E1749" t="s">
        <v>979</v>
      </c>
      <c r="F1749" t="s">
        <v>3159</v>
      </c>
      <c r="G1749" t="s">
        <v>4017</v>
      </c>
      <c r="H1749" s="15">
        <v>46134</v>
      </c>
      <c r="I1749" t="s">
        <v>4019</v>
      </c>
      <c r="J1749" t="s">
        <v>16</v>
      </c>
      <c r="K1749" t="s">
        <v>185</v>
      </c>
      <c r="N1749">
        <v>0</v>
      </c>
      <c r="O1749" t="s">
        <v>222</v>
      </c>
      <c r="P1749">
        <v>0</v>
      </c>
      <c r="U1749" s="15"/>
    </row>
    <row r="1750" spans="1:21" x14ac:dyDescent="0.35">
      <c r="A1750" t="s">
        <v>14</v>
      </c>
      <c r="B1750" t="s">
        <v>2421</v>
      </c>
      <c r="C1750" t="s">
        <v>1255</v>
      </c>
      <c r="D1750" t="s">
        <v>1256</v>
      </c>
      <c r="E1750" t="s">
        <v>1257</v>
      </c>
      <c r="F1750" t="s">
        <v>2422</v>
      </c>
      <c r="G1750" t="s">
        <v>2849</v>
      </c>
      <c r="H1750" s="15">
        <v>46157</v>
      </c>
      <c r="I1750" t="s">
        <v>2850</v>
      </c>
      <c r="J1750" t="s">
        <v>16</v>
      </c>
      <c r="K1750" t="s">
        <v>185</v>
      </c>
      <c r="N1750">
        <v>0</v>
      </c>
      <c r="O1750" t="s">
        <v>222</v>
      </c>
      <c r="P1750">
        <v>0</v>
      </c>
      <c r="U1750" s="15"/>
    </row>
    <row r="1751" spans="1:21" x14ac:dyDescent="0.35">
      <c r="A1751" t="s">
        <v>14</v>
      </c>
      <c r="B1751" t="s">
        <v>2421</v>
      </c>
      <c r="C1751" t="s">
        <v>1255</v>
      </c>
      <c r="D1751" t="s">
        <v>1256</v>
      </c>
      <c r="E1751" t="s">
        <v>1257</v>
      </c>
      <c r="F1751" t="s">
        <v>2422</v>
      </c>
      <c r="G1751" t="s">
        <v>2855</v>
      </c>
      <c r="H1751" s="15">
        <v>46158</v>
      </c>
      <c r="I1751" t="s">
        <v>2856</v>
      </c>
      <c r="J1751" t="s">
        <v>16</v>
      </c>
      <c r="K1751" t="s">
        <v>185</v>
      </c>
      <c r="N1751">
        <v>0</v>
      </c>
      <c r="O1751" t="s">
        <v>222</v>
      </c>
      <c r="P1751">
        <v>0</v>
      </c>
      <c r="U1751" s="15"/>
    </row>
    <row r="1752" spans="1:21" x14ac:dyDescent="0.35">
      <c r="A1752" t="s">
        <v>14</v>
      </c>
      <c r="B1752" t="s">
        <v>2398</v>
      </c>
      <c r="C1752" t="s">
        <v>658</v>
      </c>
      <c r="D1752" t="s">
        <v>659</v>
      </c>
      <c r="E1752" t="s">
        <v>660</v>
      </c>
      <c r="F1752" t="s">
        <v>2399</v>
      </c>
      <c r="G1752" t="s">
        <v>2418</v>
      </c>
      <c r="H1752" s="15">
        <v>46034</v>
      </c>
      <c r="I1752" t="s">
        <v>2427</v>
      </c>
      <c r="J1752" t="s">
        <v>16</v>
      </c>
      <c r="K1752" t="s">
        <v>185</v>
      </c>
      <c r="N1752">
        <v>0</v>
      </c>
      <c r="O1752" t="s">
        <v>222</v>
      </c>
      <c r="P1752">
        <v>0</v>
      </c>
      <c r="U1752" s="15"/>
    </row>
    <row r="1753" spans="1:21" x14ac:dyDescent="0.35">
      <c r="A1753" t="s">
        <v>14</v>
      </c>
      <c r="B1753" t="s">
        <v>2398</v>
      </c>
      <c r="C1753" t="s">
        <v>1255</v>
      </c>
      <c r="D1753" t="s">
        <v>1256</v>
      </c>
      <c r="E1753" t="s">
        <v>1257</v>
      </c>
      <c r="F1753" t="s">
        <v>2399</v>
      </c>
      <c r="G1753" t="s">
        <v>2418</v>
      </c>
      <c r="H1753" s="15">
        <v>46034</v>
      </c>
      <c r="I1753" t="s">
        <v>2428</v>
      </c>
      <c r="J1753" t="s">
        <v>16</v>
      </c>
      <c r="K1753" t="s">
        <v>185</v>
      </c>
      <c r="N1753">
        <v>0</v>
      </c>
      <c r="O1753" t="s">
        <v>222</v>
      </c>
      <c r="P1753">
        <v>0</v>
      </c>
      <c r="U1753" s="15"/>
    </row>
    <row r="1754" spans="1:21" x14ac:dyDescent="0.35">
      <c r="A1754" t="s">
        <v>14</v>
      </c>
      <c r="B1754" t="s">
        <v>3158</v>
      </c>
      <c r="C1754" t="s">
        <v>777</v>
      </c>
      <c r="D1754" t="s">
        <v>778</v>
      </c>
      <c r="E1754" t="s">
        <v>779</v>
      </c>
      <c r="F1754" t="s">
        <v>3159</v>
      </c>
      <c r="G1754" t="s">
        <v>4020</v>
      </c>
      <c r="H1754" s="15">
        <v>46134</v>
      </c>
      <c r="I1754" t="s">
        <v>4021</v>
      </c>
      <c r="J1754" t="s">
        <v>233</v>
      </c>
      <c r="K1754" t="s">
        <v>185</v>
      </c>
      <c r="N1754">
        <v>0</v>
      </c>
      <c r="O1754" t="s">
        <v>222</v>
      </c>
      <c r="P1754">
        <v>0</v>
      </c>
      <c r="U1754" s="15"/>
    </row>
    <row r="1755" spans="1:21" x14ac:dyDescent="0.35">
      <c r="A1755" t="s">
        <v>14</v>
      </c>
      <c r="B1755" t="s">
        <v>3158</v>
      </c>
      <c r="C1755" t="s">
        <v>1255</v>
      </c>
      <c r="D1755" t="s">
        <v>1256</v>
      </c>
      <c r="E1755" t="s">
        <v>1257</v>
      </c>
      <c r="F1755" t="s">
        <v>3159</v>
      </c>
      <c r="G1755" t="s">
        <v>4026</v>
      </c>
      <c r="H1755" s="15">
        <v>46135</v>
      </c>
      <c r="I1755" t="s">
        <v>4027</v>
      </c>
      <c r="J1755" t="s">
        <v>16</v>
      </c>
      <c r="K1755" t="s">
        <v>185</v>
      </c>
      <c r="N1755">
        <v>0</v>
      </c>
      <c r="O1755" t="s">
        <v>222</v>
      </c>
      <c r="P1755">
        <v>0</v>
      </c>
      <c r="U1755" s="15"/>
    </row>
    <row r="1756" spans="1:21" x14ac:dyDescent="0.35">
      <c r="A1756" t="s">
        <v>14</v>
      </c>
      <c r="B1756" t="s">
        <v>3247</v>
      </c>
      <c r="C1756" t="s">
        <v>515</v>
      </c>
      <c r="D1756" t="s">
        <v>516</v>
      </c>
      <c r="E1756" t="s">
        <v>517</v>
      </c>
      <c r="F1756" t="s">
        <v>4305</v>
      </c>
      <c r="G1756" t="s">
        <v>4350</v>
      </c>
      <c r="H1756" s="15">
        <v>46042</v>
      </c>
      <c r="I1756" t="s">
        <v>4351</v>
      </c>
      <c r="J1756" t="s">
        <v>16</v>
      </c>
      <c r="K1756" t="s">
        <v>185</v>
      </c>
      <c r="N1756">
        <v>0</v>
      </c>
      <c r="O1756" t="s">
        <v>222</v>
      </c>
      <c r="P1756">
        <v>0</v>
      </c>
      <c r="U1756" s="15"/>
    </row>
    <row r="1757" spans="1:21" x14ac:dyDescent="0.35">
      <c r="A1757" t="s">
        <v>14</v>
      </c>
      <c r="B1757" t="s">
        <v>3247</v>
      </c>
      <c r="C1757" t="s">
        <v>1255</v>
      </c>
      <c r="D1757" t="s">
        <v>1256</v>
      </c>
      <c r="E1757" t="s">
        <v>1257</v>
      </c>
      <c r="F1757" t="s">
        <v>4305</v>
      </c>
      <c r="G1757" t="s">
        <v>4352</v>
      </c>
      <c r="H1757" s="15">
        <v>46042</v>
      </c>
      <c r="I1757" t="s">
        <v>4353</v>
      </c>
      <c r="J1757" t="s">
        <v>233</v>
      </c>
      <c r="K1757" t="s">
        <v>185</v>
      </c>
      <c r="N1757">
        <v>0</v>
      </c>
      <c r="O1757" t="s">
        <v>222</v>
      </c>
      <c r="P1757">
        <v>0</v>
      </c>
      <c r="U1757" s="15"/>
    </row>
    <row r="1758" spans="1:21" x14ac:dyDescent="0.35">
      <c r="A1758" t="s">
        <v>14</v>
      </c>
      <c r="B1758" t="s">
        <v>3158</v>
      </c>
      <c r="C1758" t="s">
        <v>515</v>
      </c>
      <c r="D1758" t="s">
        <v>516</v>
      </c>
      <c r="E1758" t="s">
        <v>517</v>
      </c>
      <c r="F1758" t="s">
        <v>3159</v>
      </c>
      <c r="G1758" t="s">
        <v>4026</v>
      </c>
      <c r="H1758" s="15">
        <v>46135</v>
      </c>
      <c r="I1758" t="s">
        <v>4034</v>
      </c>
      <c r="J1758" t="s">
        <v>16</v>
      </c>
      <c r="K1758" t="s">
        <v>185</v>
      </c>
      <c r="N1758">
        <v>0</v>
      </c>
      <c r="O1758" t="s">
        <v>222</v>
      </c>
      <c r="P1758">
        <v>0</v>
      </c>
      <c r="U1758" s="15"/>
    </row>
    <row r="1759" spans="1:21" x14ac:dyDescent="0.35">
      <c r="A1759" t="s">
        <v>14</v>
      </c>
      <c r="B1759" t="s">
        <v>2398</v>
      </c>
      <c r="C1759" t="s">
        <v>515</v>
      </c>
      <c r="D1759" t="s">
        <v>516</v>
      </c>
      <c r="E1759" t="s">
        <v>517</v>
      </c>
      <c r="F1759" t="s">
        <v>2399</v>
      </c>
      <c r="G1759" t="s">
        <v>2431</v>
      </c>
      <c r="H1759" s="15">
        <v>46035</v>
      </c>
      <c r="I1759" t="s">
        <v>2432</v>
      </c>
      <c r="J1759" t="s">
        <v>16</v>
      </c>
      <c r="K1759" t="s">
        <v>185</v>
      </c>
      <c r="N1759">
        <v>0</v>
      </c>
      <c r="O1759" t="s">
        <v>222</v>
      </c>
      <c r="P1759">
        <v>0</v>
      </c>
      <c r="U1759" s="15"/>
    </row>
    <row r="1760" spans="1:21" x14ac:dyDescent="0.35">
      <c r="A1760" t="s">
        <v>14</v>
      </c>
      <c r="B1760" t="s">
        <v>2398</v>
      </c>
      <c r="C1760" t="s">
        <v>2413</v>
      </c>
      <c r="D1760" t="s">
        <v>2414</v>
      </c>
      <c r="E1760" t="s">
        <v>2415</v>
      </c>
      <c r="F1760" t="s">
        <v>2399</v>
      </c>
      <c r="G1760" t="s">
        <v>2431</v>
      </c>
      <c r="H1760" s="15">
        <v>46035</v>
      </c>
      <c r="I1760" t="s">
        <v>2433</v>
      </c>
      <c r="J1760" t="s">
        <v>16</v>
      </c>
      <c r="K1760" t="s">
        <v>185</v>
      </c>
      <c r="N1760">
        <v>0</v>
      </c>
      <c r="O1760" t="s">
        <v>222</v>
      </c>
      <c r="P1760">
        <v>0</v>
      </c>
      <c r="U1760" s="15"/>
    </row>
    <row r="1761" spans="1:21" x14ac:dyDescent="0.35">
      <c r="A1761" t="s">
        <v>14</v>
      </c>
      <c r="B1761" t="s">
        <v>2421</v>
      </c>
      <c r="C1761" t="s">
        <v>1255</v>
      </c>
      <c r="D1761" t="s">
        <v>1256</v>
      </c>
      <c r="E1761" t="s">
        <v>1257</v>
      </c>
      <c r="F1761" t="s">
        <v>2422</v>
      </c>
      <c r="G1761" t="s">
        <v>2857</v>
      </c>
      <c r="H1761" s="15">
        <v>46160</v>
      </c>
      <c r="I1761" t="s">
        <v>2858</v>
      </c>
      <c r="J1761" t="s">
        <v>16</v>
      </c>
      <c r="K1761" t="s">
        <v>185</v>
      </c>
      <c r="N1761">
        <v>0</v>
      </c>
      <c r="O1761" t="s">
        <v>222</v>
      </c>
      <c r="P1761">
        <v>0</v>
      </c>
      <c r="U1761" s="15"/>
    </row>
    <row r="1762" spans="1:21" x14ac:dyDescent="0.35">
      <c r="A1762" t="s">
        <v>14</v>
      </c>
      <c r="B1762" t="s">
        <v>3247</v>
      </c>
      <c r="C1762" t="s">
        <v>515</v>
      </c>
      <c r="D1762" t="s">
        <v>516</v>
      </c>
      <c r="E1762" t="s">
        <v>517</v>
      </c>
      <c r="F1762" t="s">
        <v>4305</v>
      </c>
      <c r="G1762" t="s">
        <v>4354</v>
      </c>
      <c r="H1762" s="15">
        <v>46043</v>
      </c>
      <c r="I1762" t="s">
        <v>4355</v>
      </c>
      <c r="J1762" t="s">
        <v>16</v>
      </c>
      <c r="K1762" t="s">
        <v>185</v>
      </c>
      <c r="N1762">
        <v>0</v>
      </c>
      <c r="O1762" t="s">
        <v>222</v>
      </c>
      <c r="P1762">
        <v>0</v>
      </c>
      <c r="U1762" s="15"/>
    </row>
    <row r="1763" spans="1:21" x14ac:dyDescent="0.35">
      <c r="A1763" t="s">
        <v>14</v>
      </c>
      <c r="B1763" t="s">
        <v>3247</v>
      </c>
      <c r="C1763" t="s">
        <v>1255</v>
      </c>
      <c r="D1763" t="s">
        <v>1256</v>
      </c>
      <c r="E1763" t="s">
        <v>1257</v>
      </c>
      <c r="F1763" t="s">
        <v>4305</v>
      </c>
      <c r="G1763" t="s">
        <v>4356</v>
      </c>
      <c r="H1763" s="15">
        <v>46043</v>
      </c>
      <c r="I1763" t="s">
        <v>4357</v>
      </c>
      <c r="J1763" t="s">
        <v>233</v>
      </c>
      <c r="K1763" t="s">
        <v>185</v>
      </c>
      <c r="N1763">
        <v>0</v>
      </c>
      <c r="O1763" t="s">
        <v>222</v>
      </c>
      <c r="P1763">
        <v>0</v>
      </c>
      <c r="U1763" s="15"/>
    </row>
    <row r="1764" spans="1:21" x14ac:dyDescent="0.35">
      <c r="A1764" t="s">
        <v>14</v>
      </c>
      <c r="B1764" t="s">
        <v>2398</v>
      </c>
      <c r="C1764" t="s">
        <v>667</v>
      </c>
      <c r="D1764" t="s">
        <v>668</v>
      </c>
      <c r="E1764" t="s">
        <v>669</v>
      </c>
      <c r="F1764" t="s">
        <v>2399</v>
      </c>
      <c r="G1764" t="s">
        <v>2431</v>
      </c>
      <c r="H1764" s="15">
        <v>46035</v>
      </c>
      <c r="I1764" t="s">
        <v>2436</v>
      </c>
      <c r="J1764" t="s">
        <v>16</v>
      </c>
      <c r="K1764" t="s">
        <v>185</v>
      </c>
      <c r="N1764">
        <v>0</v>
      </c>
      <c r="O1764" t="s">
        <v>222</v>
      </c>
      <c r="P1764">
        <v>0</v>
      </c>
      <c r="U1764" s="15"/>
    </row>
    <row r="1765" spans="1:21" x14ac:dyDescent="0.35">
      <c r="A1765" t="s">
        <v>14</v>
      </c>
      <c r="B1765" t="s">
        <v>2398</v>
      </c>
      <c r="C1765" t="s">
        <v>515</v>
      </c>
      <c r="D1765" t="s">
        <v>516</v>
      </c>
      <c r="E1765" t="s">
        <v>517</v>
      </c>
      <c r="F1765" t="s">
        <v>2399</v>
      </c>
      <c r="G1765" t="s">
        <v>2437</v>
      </c>
      <c r="H1765" s="15">
        <v>46036</v>
      </c>
      <c r="I1765" t="s">
        <v>2438</v>
      </c>
      <c r="J1765" t="s">
        <v>16</v>
      </c>
      <c r="K1765" t="s">
        <v>185</v>
      </c>
      <c r="N1765">
        <v>0</v>
      </c>
      <c r="O1765" t="s">
        <v>222</v>
      </c>
      <c r="P1765">
        <v>0</v>
      </c>
      <c r="U1765" s="15"/>
    </row>
    <row r="1766" spans="1:21" x14ac:dyDescent="0.35">
      <c r="A1766" t="s">
        <v>14</v>
      </c>
      <c r="B1766" t="s">
        <v>2398</v>
      </c>
      <c r="C1766" t="s">
        <v>2413</v>
      </c>
      <c r="D1766" t="s">
        <v>2414</v>
      </c>
      <c r="E1766" t="s">
        <v>2415</v>
      </c>
      <c r="F1766" t="s">
        <v>2399</v>
      </c>
      <c r="G1766" t="s">
        <v>2437</v>
      </c>
      <c r="H1766" s="15">
        <v>46036</v>
      </c>
      <c r="I1766" t="s">
        <v>2439</v>
      </c>
      <c r="J1766" t="s">
        <v>16</v>
      </c>
      <c r="K1766" t="s">
        <v>185</v>
      </c>
      <c r="N1766">
        <v>0</v>
      </c>
      <c r="O1766" t="s">
        <v>222</v>
      </c>
      <c r="P1766">
        <v>0</v>
      </c>
      <c r="U1766" s="15"/>
    </row>
    <row r="1767" spans="1:21" x14ac:dyDescent="0.35">
      <c r="A1767" t="s">
        <v>14</v>
      </c>
      <c r="B1767" t="s">
        <v>3158</v>
      </c>
      <c r="C1767" t="s">
        <v>647</v>
      </c>
      <c r="D1767" t="s">
        <v>648</v>
      </c>
      <c r="E1767" t="s">
        <v>649</v>
      </c>
      <c r="F1767" t="s">
        <v>3159</v>
      </c>
      <c r="G1767" t="s">
        <v>4035</v>
      </c>
      <c r="H1767" s="15">
        <v>46135</v>
      </c>
      <c r="I1767" t="s">
        <v>4036</v>
      </c>
      <c r="J1767" t="s">
        <v>233</v>
      </c>
      <c r="K1767" t="s">
        <v>185</v>
      </c>
      <c r="N1767">
        <v>0</v>
      </c>
      <c r="O1767" t="s">
        <v>222</v>
      </c>
      <c r="P1767">
        <v>0</v>
      </c>
      <c r="U1767" s="15"/>
    </row>
    <row r="1768" spans="1:21" x14ac:dyDescent="0.35">
      <c r="A1768" t="s">
        <v>14</v>
      </c>
      <c r="B1768" t="s">
        <v>3158</v>
      </c>
      <c r="C1768" t="s">
        <v>667</v>
      </c>
      <c r="D1768" t="s">
        <v>668</v>
      </c>
      <c r="E1768" t="s">
        <v>669</v>
      </c>
      <c r="F1768" t="s">
        <v>3159</v>
      </c>
      <c r="G1768" t="s">
        <v>4042</v>
      </c>
      <c r="H1768" s="15">
        <v>46136</v>
      </c>
      <c r="I1768" t="s">
        <v>4043</v>
      </c>
      <c r="J1768" t="s">
        <v>16</v>
      </c>
      <c r="K1768" t="s">
        <v>185</v>
      </c>
      <c r="N1768">
        <v>0</v>
      </c>
      <c r="O1768" t="s">
        <v>222</v>
      </c>
      <c r="P1768">
        <v>0</v>
      </c>
      <c r="U1768" s="15"/>
    </row>
    <row r="1769" spans="1:21" x14ac:dyDescent="0.35">
      <c r="A1769" t="s">
        <v>14</v>
      </c>
      <c r="B1769" t="s">
        <v>2421</v>
      </c>
      <c r="C1769" t="s">
        <v>816</v>
      </c>
      <c r="D1769" t="s">
        <v>817</v>
      </c>
      <c r="E1769" t="s">
        <v>818</v>
      </c>
      <c r="F1769" t="s">
        <v>2422</v>
      </c>
      <c r="G1769" t="s">
        <v>2859</v>
      </c>
      <c r="H1769" s="15">
        <v>46161</v>
      </c>
      <c r="I1769" t="s">
        <v>2860</v>
      </c>
      <c r="J1769" t="s">
        <v>16</v>
      </c>
      <c r="K1769" t="s">
        <v>185</v>
      </c>
      <c r="N1769">
        <v>0</v>
      </c>
      <c r="O1769" t="s">
        <v>222</v>
      </c>
      <c r="P1769">
        <v>0</v>
      </c>
      <c r="U1769" s="15"/>
    </row>
    <row r="1770" spans="1:21" x14ac:dyDescent="0.35">
      <c r="A1770" t="s">
        <v>14</v>
      </c>
      <c r="B1770" t="s">
        <v>2421</v>
      </c>
      <c r="C1770" t="s">
        <v>1255</v>
      </c>
      <c r="D1770" t="s">
        <v>1256</v>
      </c>
      <c r="E1770" t="s">
        <v>1257</v>
      </c>
      <c r="F1770" t="s">
        <v>2422</v>
      </c>
      <c r="G1770" t="s">
        <v>2859</v>
      </c>
      <c r="H1770" s="15">
        <v>46161</v>
      </c>
      <c r="I1770" t="s">
        <v>2864</v>
      </c>
      <c r="J1770" t="s">
        <v>16</v>
      </c>
      <c r="K1770" t="s">
        <v>185</v>
      </c>
      <c r="N1770">
        <v>0</v>
      </c>
      <c r="O1770" t="s">
        <v>222</v>
      </c>
      <c r="P1770">
        <v>0</v>
      </c>
      <c r="U1770" s="15"/>
    </row>
    <row r="1771" spans="1:21" x14ac:dyDescent="0.35">
      <c r="A1771" t="s">
        <v>14</v>
      </c>
      <c r="B1771" t="s">
        <v>3158</v>
      </c>
      <c r="C1771" t="s">
        <v>498</v>
      </c>
      <c r="D1771" t="s">
        <v>499</v>
      </c>
      <c r="E1771" t="s">
        <v>500</v>
      </c>
      <c r="F1771" t="s">
        <v>3159</v>
      </c>
      <c r="G1771" t="s">
        <v>4042</v>
      </c>
      <c r="H1771" s="15">
        <v>46136</v>
      </c>
      <c r="I1771" t="s">
        <v>4044</v>
      </c>
      <c r="J1771" t="s">
        <v>16</v>
      </c>
      <c r="K1771" t="s">
        <v>185</v>
      </c>
      <c r="N1771">
        <v>0</v>
      </c>
      <c r="O1771" t="s">
        <v>222</v>
      </c>
      <c r="P1771">
        <v>0</v>
      </c>
      <c r="U1771" s="15"/>
    </row>
    <row r="1772" spans="1:21" x14ac:dyDescent="0.35">
      <c r="A1772" t="s">
        <v>14</v>
      </c>
      <c r="B1772" t="s">
        <v>3158</v>
      </c>
      <c r="C1772" t="s">
        <v>1255</v>
      </c>
      <c r="D1772" t="s">
        <v>1256</v>
      </c>
      <c r="E1772" t="s">
        <v>1257</v>
      </c>
      <c r="F1772" t="s">
        <v>3159</v>
      </c>
      <c r="G1772" t="s">
        <v>4045</v>
      </c>
      <c r="H1772" s="15">
        <v>46136</v>
      </c>
      <c r="I1772" t="s">
        <v>4046</v>
      </c>
      <c r="J1772" t="s">
        <v>233</v>
      </c>
      <c r="K1772" t="s">
        <v>185</v>
      </c>
      <c r="N1772">
        <v>0</v>
      </c>
      <c r="O1772" t="s">
        <v>222</v>
      </c>
      <c r="P1772">
        <v>0</v>
      </c>
      <c r="U1772" s="15"/>
    </row>
    <row r="1773" spans="1:21" x14ac:dyDescent="0.35">
      <c r="A1773" t="s">
        <v>14</v>
      </c>
      <c r="B1773" t="s">
        <v>2398</v>
      </c>
      <c r="C1773" t="s">
        <v>1255</v>
      </c>
      <c r="D1773" t="s">
        <v>1256</v>
      </c>
      <c r="E1773" t="s">
        <v>1257</v>
      </c>
      <c r="F1773" t="s">
        <v>2399</v>
      </c>
      <c r="G1773" t="s">
        <v>2437</v>
      </c>
      <c r="H1773" s="15">
        <v>46036</v>
      </c>
      <c r="I1773" t="s">
        <v>2447</v>
      </c>
      <c r="J1773" t="s">
        <v>16</v>
      </c>
      <c r="K1773" t="s">
        <v>185</v>
      </c>
      <c r="N1773">
        <v>0</v>
      </c>
      <c r="O1773" t="s">
        <v>222</v>
      </c>
      <c r="P1773">
        <v>0</v>
      </c>
      <c r="U1773" s="15"/>
    </row>
    <row r="1774" spans="1:21" x14ac:dyDescent="0.35">
      <c r="A1774" t="s">
        <v>14</v>
      </c>
      <c r="B1774" t="s">
        <v>2398</v>
      </c>
      <c r="C1774" t="s">
        <v>515</v>
      </c>
      <c r="D1774" t="s">
        <v>516</v>
      </c>
      <c r="E1774" t="s">
        <v>517</v>
      </c>
      <c r="F1774" t="s">
        <v>2399</v>
      </c>
      <c r="G1774" t="s">
        <v>2448</v>
      </c>
      <c r="H1774" s="15">
        <v>46037</v>
      </c>
      <c r="I1774" t="s">
        <v>2449</v>
      </c>
      <c r="J1774" t="s">
        <v>16</v>
      </c>
      <c r="K1774" t="s">
        <v>185</v>
      </c>
      <c r="N1774">
        <v>0</v>
      </c>
      <c r="O1774" t="s">
        <v>222</v>
      </c>
      <c r="P1774">
        <v>0</v>
      </c>
      <c r="U1774" s="15"/>
    </row>
    <row r="1775" spans="1:21" x14ac:dyDescent="0.35">
      <c r="A1775" t="s">
        <v>14</v>
      </c>
      <c r="B1775" t="s">
        <v>3158</v>
      </c>
      <c r="C1775" t="s">
        <v>1255</v>
      </c>
      <c r="D1775" t="s">
        <v>1256</v>
      </c>
      <c r="E1775" t="s">
        <v>1257</v>
      </c>
      <c r="F1775" t="s">
        <v>3159</v>
      </c>
      <c r="G1775" t="s">
        <v>4052</v>
      </c>
      <c r="H1775" s="15">
        <v>46137</v>
      </c>
      <c r="I1775" t="s">
        <v>4053</v>
      </c>
      <c r="J1775" t="s">
        <v>16</v>
      </c>
      <c r="K1775" t="s">
        <v>185</v>
      </c>
      <c r="N1775">
        <v>0</v>
      </c>
      <c r="O1775" t="s">
        <v>222</v>
      </c>
      <c r="P1775">
        <v>0</v>
      </c>
      <c r="U1775" s="15"/>
    </row>
    <row r="1776" spans="1:21" x14ac:dyDescent="0.35">
      <c r="A1776" t="s">
        <v>14</v>
      </c>
      <c r="B1776" t="s">
        <v>3158</v>
      </c>
      <c r="C1776" t="s">
        <v>667</v>
      </c>
      <c r="D1776" t="s">
        <v>668</v>
      </c>
      <c r="E1776" t="s">
        <v>669</v>
      </c>
      <c r="F1776" t="s">
        <v>3159</v>
      </c>
      <c r="G1776" t="s">
        <v>4054</v>
      </c>
      <c r="H1776" s="15">
        <v>46139</v>
      </c>
      <c r="I1776" t="s">
        <v>4055</v>
      </c>
      <c r="J1776" t="s">
        <v>16</v>
      </c>
      <c r="K1776" t="s">
        <v>185</v>
      </c>
      <c r="N1776">
        <v>0</v>
      </c>
      <c r="O1776" t="s">
        <v>222</v>
      </c>
      <c r="P1776">
        <v>0</v>
      </c>
      <c r="U1776" s="15"/>
    </row>
    <row r="1777" spans="1:21" x14ac:dyDescent="0.35">
      <c r="A1777" t="s">
        <v>14</v>
      </c>
      <c r="B1777" t="s">
        <v>3158</v>
      </c>
      <c r="C1777" t="s">
        <v>531</v>
      </c>
      <c r="D1777" t="s">
        <v>532</v>
      </c>
      <c r="E1777" t="s">
        <v>533</v>
      </c>
      <c r="F1777" t="s">
        <v>3159</v>
      </c>
      <c r="G1777" t="s">
        <v>4054</v>
      </c>
      <c r="H1777" s="15">
        <v>46139</v>
      </c>
      <c r="I1777" t="s">
        <v>4056</v>
      </c>
      <c r="J1777" t="s">
        <v>16</v>
      </c>
      <c r="K1777" t="s">
        <v>185</v>
      </c>
      <c r="N1777">
        <v>0</v>
      </c>
      <c r="O1777" t="s">
        <v>222</v>
      </c>
      <c r="P1777">
        <v>0</v>
      </c>
      <c r="U1777" s="15"/>
    </row>
    <row r="1778" spans="1:21" x14ac:dyDescent="0.35">
      <c r="A1778" t="s">
        <v>14</v>
      </c>
      <c r="B1778" t="s">
        <v>2398</v>
      </c>
      <c r="C1778" t="s">
        <v>651</v>
      </c>
      <c r="D1778" t="s">
        <v>652</v>
      </c>
      <c r="E1778" t="s">
        <v>653</v>
      </c>
      <c r="F1778" t="s">
        <v>2399</v>
      </c>
      <c r="G1778" t="s">
        <v>2448</v>
      </c>
      <c r="H1778" s="15">
        <v>46037</v>
      </c>
      <c r="I1778" t="s">
        <v>2452</v>
      </c>
      <c r="J1778" t="s">
        <v>16</v>
      </c>
      <c r="K1778" t="s">
        <v>185</v>
      </c>
      <c r="N1778">
        <v>0</v>
      </c>
      <c r="O1778" t="s">
        <v>222</v>
      </c>
      <c r="P1778">
        <v>0</v>
      </c>
      <c r="U1778" s="15"/>
    </row>
    <row r="1779" spans="1:21" x14ac:dyDescent="0.35">
      <c r="A1779" t="s">
        <v>14</v>
      </c>
      <c r="B1779" t="s">
        <v>2398</v>
      </c>
      <c r="C1779" t="s">
        <v>777</v>
      </c>
      <c r="D1779" t="s">
        <v>778</v>
      </c>
      <c r="E1779" t="s">
        <v>779</v>
      </c>
      <c r="F1779" t="s">
        <v>2399</v>
      </c>
      <c r="G1779" t="s">
        <v>2448</v>
      </c>
      <c r="H1779" s="15">
        <v>46037</v>
      </c>
      <c r="I1779" t="s">
        <v>2453</v>
      </c>
      <c r="J1779" t="s">
        <v>16</v>
      </c>
      <c r="K1779" t="s">
        <v>185</v>
      </c>
      <c r="N1779">
        <v>0</v>
      </c>
      <c r="O1779" t="s">
        <v>222</v>
      </c>
      <c r="P1779">
        <v>0</v>
      </c>
      <c r="U1779" s="15"/>
    </row>
    <row r="1780" spans="1:21" x14ac:dyDescent="0.35">
      <c r="A1780" t="s">
        <v>14</v>
      </c>
      <c r="B1780" t="s">
        <v>3247</v>
      </c>
      <c r="C1780" t="s">
        <v>515</v>
      </c>
      <c r="D1780" t="s">
        <v>516</v>
      </c>
      <c r="E1780" t="s">
        <v>517</v>
      </c>
      <c r="F1780" t="s">
        <v>4305</v>
      </c>
      <c r="G1780" t="s">
        <v>4358</v>
      </c>
      <c r="H1780" s="15">
        <v>46044</v>
      </c>
      <c r="I1780" t="s">
        <v>4359</v>
      </c>
      <c r="J1780" t="s">
        <v>16</v>
      </c>
      <c r="K1780" t="s">
        <v>185</v>
      </c>
      <c r="N1780">
        <v>0</v>
      </c>
      <c r="O1780" t="s">
        <v>222</v>
      </c>
      <c r="P1780">
        <v>0</v>
      </c>
      <c r="U1780" s="15"/>
    </row>
    <row r="1781" spans="1:21" x14ac:dyDescent="0.35">
      <c r="A1781" t="s">
        <v>14</v>
      </c>
      <c r="B1781" t="s">
        <v>3247</v>
      </c>
      <c r="C1781" t="s">
        <v>697</v>
      </c>
      <c r="D1781" t="s">
        <v>698</v>
      </c>
      <c r="E1781" t="s">
        <v>699</v>
      </c>
      <c r="F1781" t="s">
        <v>4305</v>
      </c>
      <c r="G1781" t="s">
        <v>4360</v>
      </c>
      <c r="H1781" s="15">
        <v>46044</v>
      </c>
      <c r="I1781" t="s">
        <v>4361</v>
      </c>
      <c r="J1781" t="s">
        <v>233</v>
      </c>
      <c r="K1781" t="s">
        <v>185</v>
      </c>
      <c r="N1781">
        <v>0</v>
      </c>
      <c r="O1781" t="s">
        <v>222</v>
      </c>
      <c r="P1781">
        <v>0</v>
      </c>
      <c r="U1781" s="15"/>
    </row>
    <row r="1782" spans="1:21" x14ac:dyDescent="0.35">
      <c r="A1782" t="s">
        <v>14</v>
      </c>
      <c r="B1782" t="s">
        <v>2421</v>
      </c>
      <c r="C1782" t="s">
        <v>1255</v>
      </c>
      <c r="D1782" t="s">
        <v>1256</v>
      </c>
      <c r="E1782" t="s">
        <v>1257</v>
      </c>
      <c r="F1782" t="s">
        <v>2422</v>
      </c>
      <c r="G1782" t="s">
        <v>2865</v>
      </c>
      <c r="H1782" s="15">
        <v>46162</v>
      </c>
      <c r="I1782" t="s">
        <v>2866</v>
      </c>
      <c r="J1782" t="s">
        <v>16</v>
      </c>
      <c r="K1782" t="s">
        <v>185</v>
      </c>
      <c r="N1782">
        <v>0</v>
      </c>
      <c r="O1782" t="s">
        <v>222</v>
      </c>
      <c r="P1782">
        <v>0</v>
      </c>
      <c r="U1782" s="15"/>
    </row>
    <row r="1783" spans="1:21" x14ac:dyDescent="0.35">
      <c r="A1783" t="s">
        <v>14</v>
      </c>
      <c r="B1783" t="s">
        <v>2421</v>
      </c>
      <c r="C1783" t="s">
        <v>1255</v>
      </c>
      <c r="D1783" t="s">
        <v>1256</v>
      </c>
      <c r="E1783" t="s">
        <v>1257</v>
      </c>
      <c r="F1783" t="s">
        <v>2422</v>
      </c>
      <c r="G1783" t="s">
        <v>2870</v>
      </c>
      <c r="H1783" s="15">
        <v>46163</v>
      </c>
      <c r="I1783" t="s">
        <v>2871</v>
      </c>
      <c r="J1783" t="s">
        <v>16</v>
      </c>
      <c r="K1783" t="s">
        <v>185</v>
      </c>
      <c r="N1783">
        <v>0</v>
      </c>
      <c r="O1783" t="s">
        <v>222</v>
      </c>
      <c r="P1783">
        <v>0</v>
      </c>
      <c r="U1783" s="15"/>
    </row>
    <row r="1784" spans="1:21" x14ac:dyDescent="0.35">
      <c r="A1784" t="s">
        <v>14</v>
      </c>
      <c r="B1784" t="s">
        <v>2421</v>
      </c>
      <c r="C1784" t="s">
        <v>1255</v>
      </c>
      <c r="D1784" t="s">
        <v>1256</v>
      </c>
      <c r="E1784" t="s">
        <v>1257</v>
      </c>
      <c r="F1784" t="s">
        <v>2422</v>
      </c>
      <c r="G1784" t="s">
        <v>2873</v>
      </c>
      <c r="H1784" s="15">
        <v>46164</v>
      </c>
      <c r="I1784" t="s">
        <v>2874</v>
      </c>
      <c r="J1784" t="s">
        <v>16</v>
      </c>
      <c r="K1784" t="s">
        <v>185</v>
      </c>
      <c r="N1784">
        <v>0</v>
      </c>
      <c r="O1784" t="s">
        <v>222</v>
      </c>
      <c r="P1784">
        <v>0</v>
      </c>
      <c r="U1784" s="15"/>
    </row>
    <row r="1785" spans="1:21" x14ac:dyDescent="0.35">
      <c r="A1785" t="s">
        <v>14</v>
      </c>
      <c r="B1785" t="s">
        <v>3158</v>
      </c>
      <c r="C1785" t="s">
        <v>1255</v>
      </c>
      <c r="D1785" t="s">
        <v>1256</v>
      </c>
      <c r="E1785" t="s">
        <v>1257</v>
      </c>
      <c r="F1785" t="s">
        <v>3159</v>
      </c>
      <c r="G1785" t="s">
        <v>4057</v>
      </c>
      <c r="H1785" s="15">
        <v>46139</v>
      </c>
      <c r="I1785" t="s">
        <v>4058</v>
      </c>
      <c r="J1785" t="s">
        <v>233</v>
      </c>
      <c r="K1785" t="s">
        <v>185</v>
      </c>
      <c r="N1785">
        <v>0</v>
      </c>
      <c r="O1785" t="s">
        <v>222</v>
      </c>
      <c r="P1785">
        <v>0</v>
      </c>
      <c r="U1785" s="15"/>
    </row>
    <row r="1786" spans="1:21" x14ac:dyDescent="0.35">
      <c r="A1786" t="s">
        <v>14</v>
      </c>
      <c r="B1786" t="s">
        <v>3158</v>
      </c>
      <c r="C1786" t="s">
        <v>1255</v>
      </c>
      <c r="D1786" t="s">
        <v>1256</v>
      </c>
      <c r="E1786" t="s">
        <v>1257</v>
      </c>
      <c r="F1786" t="s">
        <v>3159</v>
      </c>
      <c r="G1786" t="s">
        <v>4063</v>
      </c>
      <c r="H1786" s="15">
        <v>46140</v>
      </c>
      <c r="I1786" t="s">
        <v>4064</v>
      </c>
      <c r="J1786" t="s">
        <v>16</v>
      </c>
      <c r="K1786" t="s">
        <v>185</v>
      </c>
      <c r="N1786">
        <v>0</v>
      </c>
      <c r="O1786" t="s">
        <v>222</v>
      </c>
      <c r="P1786">
        <v>0</v>
      </c>
      <c r="U1786" s="15"/>
    </row>
    <row r="1787" spans="1:21" x14ac:dyDescent="0.35">
      <c r="A1787" t="s">
        <v>14</v>
      </c>
      <c r="B1787" t="s">
        <v>2398</v>
      </c>
      <c r="C1787" t="s">
        <v>515</v>
      </c>
      <c r="D1787" t="s">
        <v>516</v>
      </c>
      <c r="E1787" t="s">
        <v>517</v>
      </c>
      <c r="F1787" t="s">
        <v>2399</v>
      </c>
      <c r="G1787" t="s">
        <v>2458</v>
      </c>
      <c r="H1787" s="15">
        <v>46041</v>
      </c>
      <c r="I1787" t="s">
        <v>2459</v>
      </c>
      <c r="J1787" t="s">
        <v>16</v>
      </c>
      <c r="K1787" t="s">
        <v>185</v>
      </c>
      <c r="N1787">
        <v>0</v>
      </c>
      <c r="O1787" t="s">
        <v>222</v>
      </c>
      <c r="P1787">
        <v>0</v>
      </c>
      <c r="U1787" s="15"/>
    </row>
    <row r="1788" spans="1:21" x14ac:dyDescent="0.35">
      <c r="A1788" t="s">
        <v>14</v>
      </c>
      <c r="B1788" t="s">
        <v>2398</v>
      </c>
      <c r="C1788" t="s">
        <v>750</v>
      </c>
      <c r="D1788" t="s">
        <v>751</v>
      </c>
      <c r="E1788" t="s">
        <v>752</v>
      </c>
      <c r="F1788" t="s">
        <v>2399</v>
      </c>
      <c r="G1788" t="s">
        <v>2458</v>
      </c>
      <c r="H1788" s="15">
        <v>46041</v>
      </c>
      <c r="I1788" t="s">
        <v>2460</v>
      </c>
      <c r="J1788" t="s">
        <v>16</v>
      </c>
      <c r="K1788" t="s">
        <v>185</v>
      </c>
      <c r="N1788">
        <v>0</v>
      </c>
      <c r="O1788" t="s">
        <v>222</v>
      </c>
      <c r="P1788">
        <v>0</v>
      </c>
      <c r="U1788" s="15"/>
    </row>
    <row r="1789" spans="1:21" x14ac:dyDescent="0.35">
      <c r="A1789" t="s">
        <v>14</v>
      </c>
      <c r="B1789" t="s">
        <v>2398</v>
      </c>
      <c r="C1789" t="s">
        <v>2461</v>
      </c>
      <c r="D1789" t="s">
        <v>2462</v>
      </c>
      <c r="E1789" t="s">
        <v>2463</v>
      </c>
      <c r="F1789" t="s">
        <v>2399</v>
      </c>
      <c r="G1789" t="s">
        <v>2458</v>
      </c>
      <c r="H1789" s="15">
        <v>46041</v>
      </c>
      <c r="I1789" t="s">
        <v>2464</v>
      </c>
      <c r="J1789" t="s">
        <v>16</v>
      </c>
      <c r="K1789" t="s">
        <v>185</v>
      </c>
      <c r="N1789">
        <v>0</v>
      </c>
      <c r="O1789" t="s">
        <v>222</v>
      </c>
      <c r="P1789">
        <v>0</v>
      </c>
      <c r="U1789" s="15"/>
    </row>
    <row r="1790" spans="1:21" x14ac:dyDescent="0.35">
      <c r="A1790" t="s">
        <v>14</v>
      </c>
      <c r="B1790" t="s">
        <v>3247</v>
      </c>
      <c r="C1790" t="s">
        <v>1388</v>
      </c>
      <c r="D1790" t="s">
        <v>1389</v>
      </c>
      <c r="E1790" t="s">
        <v>1390</v>
      </c>
      <c r="F1790" t="s">
        <v>4305</v>
      </c>
      <c r="G1790" t="s">
        <v>4362</v>
      </c>
      <c r="H1790" s="15">
        <v>46045</v>
      </c>
      <c r="I1790" t="s">
        <v>4363</v>
      </c>
      <c r="J1790" t="s">
        <v>16</v>
      </c>
      <c r="K1790" t="s">
        <v>185</v>
      </c>
      <c r="N1790">
        <v>0</v>
      </c>
      <c r="O1790" t="s">
        <v>222</v>
      </c>
      <c r="P1790">
        <v>0</v>
      </c>
      <c r="U1790" s="15"/>
    </row>
    <row r="1791" spans="1:21" x14ac:dyDescent="0.35">
      <c r="A1791" t="s">
        <v>14</v>
      </c>
      <c r="B1791" t="s">
        <v>3247</v>
      </c>
      <c r="C1791" t="s">
        <v>697</v>
      </c>
      <c r="D1791" t="s">
        <v>698</v>
      </c>
      <c r="E1791" t="s">
        <v>699</v>
      </c>
      <c r="F1791" t="s">
        <v>4305</v>
      </c>
      <c r="G1791" t="s">
        <v>4364</v>
      </c>
      <c r="H1791" s="15">
        <v>46045</v>
      </c>
      <c r="I1791" t="s">
        <v>4365</v>
      </c>
      <c r="J1791" t="s">
        <v>233</v>
      </c>
      <c r="K1791" t="s">
        <v>185</v>
      </c>
      <c r="N1791">
        <v>0</v>
      </c>
      <c r="O1791" t="s">
        <v>222</v>
      </c>
      <c r="P1791">
        <v>0</v>
      </c>
      <c r="U1791" s="15"/>
    </row>
    <row r="1792" spans="1:21" x14ac:dyDescent="0.35">
      <c r="A1792" t="s">
        <v>14</v>
      </c>
      <c r="B1792" t="s">
        <v>3158</v>
      </c>
      <c r="C1792" t="s">
        <v>515</v>
      </c>
      <c r="D1792" t="s">
        <v>516</v>
      </c>
      <c r="E1792" t="s">
        <v>517</v>
      </c>
      <c r="F1792" t="s">
        <v>3159</v>
      </c>
      <c r="G1792" t="s">
        <v>4063</v>
      </c>
      <c r="H1792" s="15">
        <v>46140</v>
      </c>
      <c r="I1792" t="s">
        <v>4072</v>
      </c>
      <c r="J1792" t="s">
        <v>16</v>
      </c>
      <c r="K1792" t="s">
        <v>185</v>
      </c>
      <c r="N1792">
        <v>0</v>
      </c>
      <c r="O1792" t="s">
        <v>222</v>
      </c>
      <c r="P1792">
        <v>0</v>
      </c>
      <c r="U1792" s="15"/>
    </row>
    <row r="1793" spans="1:21" x14ac:dyDescent="0.35">
      <c r="A1793" t="s">
        <v>14</v>
      </c>
      <c r="B1793" t="s">
        <v>2398</v>
      </c>
      <c r="C1793" t="s">
        <v>667</v>
      </c>
      <c r="D1793" t="s">
        <v>668</v>
      </c>
      <c r="E1793" t="s">
        <v>669</v>
      </c>
      <c r="F1793" t="s">
        <v>2399</v>
      </c>
      <c r="G1793" t="s">
        <v>2458</v>
      </c>
      <c r="H1793" s="15">
        <v>46041</v>
      </c>
      <c r="I1793" t="s">
        <v>2467</v>
      </c>
      <c r="J1793" t="s">
        <v>16</v>
      </c>
      <c r="K1793" t="s">
        <v>185</v>
      </c>
      <c r="N1793">
        <v>0</v>
      </c>
      <c r="O1793" t="s">
        <v>222</v>
      </c>
      <c r="P1793">
        <v>0</v>
      </c>
      <c r="U1793" s="15"/>
    </row>
    <row r="1794" spans="1:21" x14ac:dyDescent="0.35">
      <c r="A1794" t="s">
        <v>14</v>
      </c>
      <c r="B1794" t="s">
        <v>2421</v>
      </c>
      <c r="C1794" t="s">
        <v>1255</v>
      </c>
      <c r="D1794" t="s">
        <v>1256</v>
      </c>
      <c r="E1794" t="s">
        <v>1257</v>
      </c>
      <c r="F1794" t="s">
        <v>2422</v>
      </c>
      <c r="G1794" t="s">
        <v>2879</v>
      </c>
      <c r="H1794" s="15">
        <v>46165</v>
      </c>
      <c r="I1794" t="s">
        <v>2880</v>
      </c>
      <c r="J1794" t="s">
        <v>16</v>
      </c>
      <c r="K1794" t="s">
        <v>185</v>
      </c>
      <c r="N1794">
        <v>0</v>
      </c>
      <c r="O1794" t="s">
        <v>222</v>
      </c>
      <c r="P1794">
        <v>0</v>
      </c>
      <c r="U1794" s="15"/>
    </row>
    <row r="1795" spans="1:21" x14ac:dyDescent="0.35">
      <c r="A1795" t="s">
        <v>14</v>
      </c>
      <c r="B1795" t="s">
        <v>3247</v>
      </c>
      <c r="C1795" t="s">
        <v>515</v>
      </c>
      <c r="D1795" t="s">
        <v>516</v>
      </c>
      <c r="E1795" t="s">
        <v>517</v>
      </c>
      <c r="F1795" t="s">
        <v>4305</v>
      </c>
      <c r="G1795" t="s">
        <v>4366</v>
      </c>
      <c r="H1795" s="15">
        <v>46049</v>
      </c>
      <c r="I1795" t="s">
        <v>4367</v>
      </c>
      <c r="J1795" t="s">
        <v>16</v>
      </c>
      <c r="K1795" t="s">
        <v>185</v>
      </c>
      <c r="N1795">
        <v>0</v>
      </c>
      <c r="O1795" t="s">
        <v>222</v>
      </c>
      <c r="P1795">
        <v>0</v>
      </c>
      <c r="U1795" s="15"/>
    </row>
    <row r="1796" spans="1:21" x14ac:dyDescent="0.35">
      <c r="A1796" t="s">
        <v>14</v>
      </c>
      <c r="B1796" t="s">
        <v>3247</v>
      </c>
      <c r="C1796" t="s">
        <v>682</v>
      </c>
      <c r="D1796" t="s">
        <v>683</v>
      </c>
      <c r="E1796" t="s">
        <v>683</v>
      </c>
      <c r="F1796" t="s">
        <v>4305</v>
      </c>
      <c r="G1796" t="s">
        <v>4368</v>
      </c>
      <c r="H1796" s="15">
        <v>46049</v>
      </c>
      <c r="I1796" t="s">
        <v>4369</v>
      </c>
      <c r="J1796" t="s">
        <v>233</v>
      </c>
      <c r="K1796" t="s">
        <v>185</v>
      </c>
      <c r="N1796">
        <v>0</v>
      </c>
      <c r="O1796" t="s">
        <v>222</v>
      </c>
      <c r="P1796">
        <v>0</v>
      </c>
      <c r="U1796" s="15"/>
    </row>
    <row r="1797" spans="1:21" x14ac:dyDescent="0.35">
      <c r="A1797" t="s">
        <v>14</v>
      </c>
      <c r="B1797" t="s">
        <v>2398</v>
      </c>
      <c r="C1797" t="s">
        <v>515</v>
      </c>
      <c r="D1797" t="s">
        <v>516</v>
      </c>
      <c r="E1797" t="s">
        <v>517</v>
      </c>
      <c r="F1797" t="s">
        <v>2399</v>
      </c>
      <c r="G1797" t="s">
        <v>2472</v>
      </c>
      <c r="H1797" s="15">
        <v>46042</v>
      </c>
      <c r="I1797" t="s">
        <v>2473</v>
      </c>
      <c r="J1797" t="s">
        <v>16</v>
      </c>
      <c r="K1797" t="s">
        <v>185</v>
      </c>
      <c r="N1797">
        <v>0</v>
      </c>
      <c r="O1797" t="s">
        <v>222</v>
      </c>
      <c r="P1797">
        <v>0</v>
      </c>
      <c r="U1797" s="15"/>
    </row>
    <row r="1798" spans="1:21" x14ac:dyDescent="0.35">
      <c r="A1798" t="s">
        <v>14</v>
      </c>
      <c r="B1798" t="s">
        <v>2398</v>
      </c>
      <c r="C1798" t="s">
        <v>651</v>
      </c>
      <c r="D1798" t="s">
        <v>652</v>
      </c>
      <c r="E1798" t="s">
        <v>653</v>
      </c>
      <c r="F1798" t="s">
        <v>2399</v>
      </c>
      <c r="G1798" t="s">
        <v>2472</v>
      </c>
      <c r="H1798" s="15">
        <v>46042</v>
      </c>
      <c r="I1798" t="s">
        <v>2474</v>
      </c>
      <c r="J1798" t="s">
        <v>16</v>
      </c>
      <c r="K1798" t="s">
        <v>185</v>
      </c>
      <c r="N1798">
        <v>0</v>
      </c>
      <c r="O1798" t="s">
        <v>222</v>
      </c>
      <c r="P1798">
        <v>0</v>
      </c>
      <c r="U1798" s="15"/>
    </row>
    <row r="1799" spans="1:21" x14ac:dyDescent="0.35">
      <c r="A1799" t="s">
        <v>14</v>
      </c>
      <c r="B1799" t="s">
        <v>2421</v>
      </c>
      <c r="C1799" t="s">
        <v>1255</v>
      </c>
      <c r="D1799" t="s">
        <v>1256</v>
      </c>
      <c r="E1799" t="s">
        <v>1257</v>
      </c>
      <c r="F1799" t="s">
        <v>2422</v>
      </c>
      <c r="G1799" t="s">
        <v>2885</v>
      </c>
      <c r="H1799" s="15">
        <v>46167</v>
      </c>
      <c r="I1799" t="s">
        <v>2886</v>
      </c>
      <c r="J1799" t="s">
        <v>233</v>
      </c>
      <c r="K1799" t="s">
        <v>185</v>
      </c>
      <c r="N1799">
        <v>0</v>
      </c>
      <c r="O1799" t="s">
        <v>222</v>
      </c>
      <c r="P1799">
        <v>0</v>
      </c>
      <c r="U1799" s="15"/>
    </row>
    <row r="1800" spans="1:21" x14ac:dyDescent="0.35">
      <c r="A1800" t="s">
        <v>14</v>
      </c>
      <c r="B1800" t="s">
        <v>3158</v>
      </c>
      <c r="C1800" t="s">
        <v>1255</v>
      </c>
      <c r="D1800" t="s">
        <v>1256</v>
      </c>
      <c r="E1800" t="s">
        <v>1257</v>
      </c>
      <c r="F1800" t="s">
        <v>3159</v>
      </c>
      <c r="G1800" t="s">
        <v>4073</v>
      </c>
      <c r="H1800" s="15">
        <v>46140</v>
      </c>
      <c r="I1800" t="s">
        <v>4074</v>
      </c>
      <c r="J1800" t="s">
        <v>233</v>
      </c>
      <c r="K1800" t="s">
        <v>185</v>
      </c>
      <c r="N1800">
        <v>0</v>
      </c>
      <c r="O1800" t="s">
        <v>222</v>
      </c>
      <c r="P1800">
        <v>0</v>
      </c>
      <c r="U1800" s="15"/>
    </row>
    <row r="1801" spans="1:21" x14ac:dyDescent="0.35">
      <c r="A1801" t="s">
        <v>14</v>
      </c>
      <c r="B1801" t="s">
        <v>3158</v>
      </c>
      <c r="C1801" t="s">
        <v>1255</v>
      </c>
      <c r="D1801" t="s">
        <v>1256</v>
      </c>
      <c r="E1801" t="s">
        <v>1257</v>
      </c>
      <c r="F1801" t="s">
        <v>3159</v>
      </c>
      <c r="G1801" t="s">
        <v>4075</v>
      </c>
      <c r="H1801" s="15">
        <v>46141</v>
      </c>
      <c r="I1801" t="s">
        <v>4076</v>
      </c>
      <c r="J1801" t="s">
        <v>16</v>
      </c>
      <c r="K1801" t="s">
        <v>185</v>
      </c>
      <c r="N1801">
        <v>0</v>
      </c>
      <c r="O1801" t="s">
        <v>222</v>
      </c>
      <c r="P1801">
        <v>0</v>
      </c>
      <c r="U1801" s="15"/>
    </row>
    <row r="1802" spans="1:21" x14ac:dyDescent="0.35">
      <c r="A1802" t="s">
        <v>14</v>
      </c>
      <c r="B1802" t="s">
        <v>2398</v>
      </c>
      <c r="C1802" t="s">
        <v>1255</v>
      </c>
      <c r="D1802" t="s">
        <v>1256</v>
      </c>
      <c r="E1802" t="s">
        <v>1257</v>
      </c>
      <c r="F1802" t="s">
        <v>2399</v>
      </c>
      <c r="G1802" t="s">
        <v>2472</v>
      </c>
      <c r="H1802" s="15">
        <v>46042</v>
      </c>
      <c r="I1802" t="s">
        <v>2477</v>
      </c>
      <c r="J1802" t="s">
        <v>16</v>
      </c>
      <c r="K1802" t="s">
        <v>185</v>
      </c>
      <c r="N1802">
        <v>0</v>
      </c>
      <c r="O1802" t="s">
        <v>222</v>
      </c>
      <c r="P1802">
        <v>0</v>
      </c>
      <c r="U1802" s="15"/>
    </row>
    <row r="1803" spans="1:21" x14ac:dyDescent="0.35">
      <c r="A1803" t="s">
        <v>14</v>
      </c>
      <c r="B1803" t="s">
        <v>2398</v>
      </c>
      <c r="C1803" t="s">
        <v>515</v>
      </c>
      <c r="D1803" t="s">
        <v>516</v>
      </c>
      <c r="E1803" t="s">
        <v>517</v>
      </c>
      <c r="F1803" t="s">
        <v>2399</v>
      </c>
      <c r="G1803" t="s">
        <v>2478</v>
      </c>
      <c r="H1803" s="15">
        <v>46044</v>
      </c>
      <c r="I1803" t="s">
        <v>2479</v>
      </c>
      <c r="J1803" t="s">
        <v>16</v>
      </c>
      <c r="K1803" t="s">
        <v>185</v>
      </c>
      <c r="N1803">
        <v>0</v>
      </c>
      <c r="O1803" t="s">
        <v>222</v>
      </c>
      <c r="P1803">
        <v>0</v>
      </c>
      <c r="U1803" s="15"/>
    </row>
    <row r="1804" spans="1:21" x14ac:dyDescent="0.35">
      <c r="A1804" t="s">
        <v>14</v>
      </c>
      <c r="B1804" t="s">
        <v>3158</v>
      </c>
      <c r="C1804" t="s">
        <v>531</v>
      </c>
      <c r="D1804" t="s">
        <v>532</v>
      </c>
      <c r="E1804" t="s">
        <v>533</v>
      </c>
      <c r="F1804" t="s">
        <v>3159</v>
      </c>
      <c r="G1804" t="s">
        <v>4075</v>
      </c>
      <c r="H1804" s="15">
        <v>46141</v>
      </c>
      <c r="I1804" t="s">
        <v>4083</v>
      </c>
      <c r="J1804" t="s">
        <v>16</v>
      </c>
      <c r="K1804" t="s">
        <v>185</v>
      </c>
      <c r="N1804">
        <v>0</v>
      </c>
      <c r="O1804" t="s">
        <v>222</v>
      </c>
      <c r="P1804">
        <v>0</v>
      </c>
      <c r="U1804" s="15"/>
    </row>
    <row r="1805" spans="1:21" x14ac:dyDescent="0.35">
      <c r="A1805" t="s">
        <v>14</v>
      </c>
      <c r="B1805" t="s">
        <v>3158</v>
      </c>
      <c r="C1805" t="s">
        <v>1255</v>
      </c>
      <c r="D1805" t="s">
        <v>1256</v>
      </c>
      <c r="E1805" t="s">
        <v>1257</v>
      </c>
      <c r="F1805" t="s">
        <v>3159</v>
      </c>
      <c r="G1805" t="s">
        <v>4084</v>
      </c>
      <c r="H1805" s="15">
        <v>46141</v>
      </c>
      <c r="I1805" t="s">
        <v>4085</v>
      </c>
      <c r="J1805" t="s">
        <v>233</v>
      </c>
      <c r="K1805" t="s">
        <v>185</v>
      </c>
      <c r="N1805">
        <v>0</v>
      </c>
      <c r="O1805" t="s">
        <v>222</v>
      </c>
      <c r="P1805">
        <v>0</v>
      </c>
      <c r="U1805" s="15"/>
    </row>
    <row r="1806" spans="1:21" x14ac:dyDescent="0.35">
      <c r="A1806" t="s">
        <v>14</v>
      </c>
      <c r="B1806" t="s">
        <v>2421</v>
      </c>
      <c r="C1806" t="s">
        <v>667</v>
      </c>
      <c r="D1806" t="s">
        <v>668</v>
      </c>
      <c r="E1806" t="s">
        <v>669</v>
      </c>
      <c r="F1806" t="s">
        <v>2422</v>
      </c>
      <c r="G1806" t="s">
        <v>2887</v>
      </c>
      <c r="H1806" s="15">
        <v>46168</v>
      </c>
      <c r="I1806" t="s">
        <v>2888</v>
      </c>
      <c r="J1806" t="s">
        <v>16</v>
      </c>
      <c r="K1806" t="s">
        <v>185</v>
      </c>
      <c r="N1806">
        <v>0</v>
      </c>
      <c r="O1806" t="s">
        <v>222</v>
      </c>
      <c r="P1806">
        <v>0</v>
      </c>
      <c r="U1806" s="15"/>
    </row>
    <row r="1807" spans="1:21" x14ac:dyDescent="0.35">
      <c r="A1807" t="s">
        <v>14</v>
      </c>
      <c r="B1807" t="s">
        <v>2421</v>
      </c>
      <c r="C1807" t="s">
        <v>1255</v>
      </c>
      <c r="D1807" t="s">
        <v>1256</v>
      </c>
      <c r="E1807" t="s">
        <v>1257</v>
      </c>
      <c r="F1807" t="s">
        <v>2422</v>
      </c>
      <c r="G1807" t="s">
        <v>2891</v>
      </c>
      <c r="H1807" s="15">
        <v>46169</v>
      </c>
      <c r="I1807" t="s">
        <v>2892</v>
      </c>
      <c r="J1807" t="s">
        <v>16</v>
      </c>
      <c r="K1807" t="s">
        <v>185</v>
      </c>
      <c r="N1807">
        <v>0</v>
      </c>
      <c r="O1807" t="s">
        <v>222</v>
      </c>
      <c r="P1807">
        <v>0</v>
      </c>
      <c r="U1807" s="15"/>
    </row>
    <row r="1808" spans="1:21" x14ac:dyDescent="0.35">
      <c r="A1808" t="s">
        <v>14</v>
      </c>
      <c r="B1808" t="s">
        <v>2398</v>
      </c>
      <c r="C1808" t="s">
        <v>750</v>
      </c>
      <c r="D1808" t="s">
        <v>751</v>
      </c>
      <c r="E1808" t="s">
        <v>752</v>
      </c>
      <c r="F1808" t="s">
        <v>2399</v>
      </c>
      <c r="G1808" t="s">
        <v>2478</v>
      </c>
      <c r="H1808" s="15">
        <v>46044</v>
      </c>
      <c r="I1808" t="s">
        <v>2484</v>
      </c>
      <c r="J1808" t="s">
        <v>16</v>
      </c>
      <c r="K1808" t="s">
        <v>185</v>
      </c>
      <c r="N1808">
        <v>0</v>
      </c>
      <c r="O1808" t="s">
        <v>222</v>
      </c>
      <c r="P1808">
        <v>0</v>
      </c>
      <c r="U1808" s="15"/>
    </row>
    <row r="1809" spans="1:21" x14ac:dyDescent="0.35">
      <c r="A1809" t="s">
        <v>14</v>
      </c>
      <c r="B1809" t="s">
        <v>2398</v>
      </c>
      <c r="C1809" t="s">
        <v>1255</v>
      </c>
      <c r="D1809" t="s">
        <v>1256</v>
      </c>
      <c r="E1809" t="s">
        <v>1257</v>
      </c>
      <c r="F1809" t="s">
        <v>2399</v>
      </c>
      <c r="G1809" t="s">
        <v>2478</v>
      </c>
      <c r="H1809" s="15">
        <v>46044</v>
      </c>
      <c r="I1809" t="s">
        <v>2485</v>
      </c>
      <c r="J1809" t="s">
        <v>16</v>
      </c>
      <c r="K1809" t="s">
        <v>185</v>
      </c>
      <c r="N1809">
        <v>0</v>
      </c>
      <c r="O1809" t="s">
        <v>222</v>
      </c>
      <c r="P1809">
        <v>0</v>
      </c>
      <c r="U1809" s="15"/>
    </row>
    <row r="1810" spans="1:21" x14ac:dyDescent="0.35">
      <c r="A1810" t="s">
        <v>14</v>
      </c>
      <c r="B1810" t="s">
        <v>3158</v>
      </c>
      <c r="C1810" t="s">
        <v>1255</v>
      </c>
      <c r="D1810" t="s">
        <v>1256</v>
      </c>
      <c r="E1810" t="s">
        <v>1257</v>
      </c>
      <c r="F1810" t="s">
        <v>3159</v>
      </c>
      <c r="G1810" t="s">
        <v>4086</v>
      </c>
      <c r="H1810" s="15">
        <v>46142</v>
      </c>
      <c r="I1810" t="s">
        <v>4087</v>
      </c>
      <c r="J1810" t="s">
        <v>16</v>
      </c>
      <c r="K1810" t="s">
        <v>185</v>
      </c>
      <c r="N1810">
        <v>0</v>
      </c>
      <c r="O1810" t="s">
        <v>222</v>
      </c>
      <c r="P1810">
        <v>0</v>
      </c>
      <c r="U1810" s="15"/>
    </row>
    <row r="1811" spans="1:21" x14ac:dyDescent="0.35">
      <c r="A1811" t="s">
        <v>14</v>
      </c>
      <c r="B1811" t="s">
        <v>2398</v>
      </c>
      <c r="C1811" t="s">
        <v>515</v>
      </c>
      <c r="D1811" t="s">
        <v>516</v>
      </c>
      <c r="E1811" t="s">
        <v>517</v>
      </c>
      <c r="F1811" t="s">
        <v>2399</v>
      </c>
      <c r="G1811" t="s">
        <v>2490</v>
      </c>
      <c r="H1811" s="15">
        <v>46045</v>
      </c>
      <c r="I1811" t="s">
        <v>2491</v>
      </c>
      <c r="J1811" t="s">
        <v>16</v>
      </c>
      <c r="K1811" t="s">
        <v>185</v>
      </c>
      <c r="N1811">
        <v>0</v>
      </c>
      <c r="O1811" t="s">
        <v>222</v>
      </c>
      <c r="P1811">
        <v>0</v>
      </c>
      <c r="U1811" s="15"/>
    </row>
    <row r="1812" spans="1:21" x14ac:dyDescent="0.35">
      <c r="A1812" t="s">
        <v>14</v>
      </c>
      <c r="B1812" t="s">
        <v>2421</v>
      </c>
      <c r="C1812" t="s">
        <v>1255</v>
      </c>
      <c r="D1812" t="s">
        <v>1256</v>
      </c>
      <c r="E1812" t="s">
        <v>1257</v>
      </c>
      <c r="F1812" t="s">
        <v>2422</v>
      </c>
      <c r="G1812" t="s">
        <v>2897</v>
      </c>
      <c r="H1812" s="15">
        <v>46170</v>
      </c>
      <c r="I1812" t="s">
        <v>2898</v>
      </c>
      <c r="J1812" t="s">
        <v>16</v>
      </c>
      <c r="K1812" t="s">
        <v>185</v>
      </c>
      <c r="N1812">
        <v>0</v>
      </c>
      <c r="O1812" t="s">
        <v>222</v>
      </c>
      <c r="P1812">
        <v>0</v>
      </c>
      <c r="U1812" s="15"/>
    </row>
    <row r="1813" spans="1:21" x14ac:dyDescent="0.35">
      <c r="A1813" t="s">
        <v>14</v>
      </c>
      <c r="B1813" t="s">
        <v>3247</v>
      </c>
      <c r="C1813" t="s">
        <v>777</v>
      </c>
      <c r="D1813" t="s">
        <v>778</v>
      </c>
      <c r="E1813" t="s">
        <v>779</v>
      </c>
      <c r="F1813" t="s">
        <v>4305</v>
      </c>
      <c r="G1813" t="s">
        <v>4368</v>
      </c>
      <c r="H1813" s="15">
        <v>46049</v>
      </c>
      <c r="I1813" t="s">
        <v>4370</v>
      </c>
      <c r="J1813" t="s">
        <v>233</v>
      </c>
      <c r="K1813" t="s">
        <v>185</v>
      </c>
      <c r="N1813">
        <v>0</v>
      </c>
      <c r="O1813" t="s">
        <v>222</v>
      </c>
      <c r="P1813">
        <v>0</v>
      </c>
      <c r="U1813" s="15"/>
    </row>
    <row r="1814" spans="1:21" x14ac:dyDescent="0.35">
      <c r="A1814" t="s">
        <v>14</v>
      </c>
      <c r="B1814" t="s">
        <v>3247</v>
      </c>
      <c r="C1814" t="s">
        <v>515</v>
      </c>
      <c r="D1814" t="s">
        <v>516</v>
      </c>
      <c r="E1814" t="s">
        <v>517</v>
      </c>
      <c r="F1814" t="s">
        <v>4305</v>
      </c>
      <c r="G1814" t="s">
        <v>4371</v>
      </c>
      <c r="H1814" s="15">
        <v>46050</v>
      </c>
      <c r="I1814" t="s">
        <v>4372</v>
      </c>
      <c r="J1814" t="s">
        <v>16</v>
      </c>
      <c r="K1814" t="s">
        <v>185</v>
      </c>
      <c r="N1814">
        <v>0</v>
      </c>
      <c r="O1814" t="s">
        <v>222</v>
      </c>
      <c r="P1814">
        <v>0</v>
      </c>
      <c r="U1814" s="15"/>
    </row>
    <row r="1815" spans="1:21" x14ac:dyDescent="0.35">
      <c r="A1815" t="s">
        <v>14</v>
      </c>
      <c r="B1815" t="s">
        <v>3158</v>
      </c>
      <c r="C1815" t="s">
        <v>515</v>
      </c>
      <c r="D1815" t="s">
        <v>516</v>
      </c>
      <c r="E1815" t="s">
        <v>517</v>
      </c>
      <c r="F1815" t="s">
        <v>3159</v>
      </c>
      <c r="G1815" t="s">
        <v>4086</v>
      </c>
      <c r="H1815" s="15">
        <v>46142</v>
      </c>
      <c r="I1815" t="s">
        <v>4088</v>
      </c>
      <c r="J1815" t="s">
        <v>16</v>
      </c>
      <c r="K1815" t="s">
        <v>185</v>
      </c>
      <c r="N1815">
        <v>0</v>
      </c>
      <c r="O1815" t="s">
        <v>222</v>
      </c>
      <c r="P1815">
        <v>0</v>
      </c>
      <c r="U1815" s="15"/>
    </row>
    <row r="1816" spans="1:21" x14ac:dyDescent="0.35">
      <c r="A1816" t="s">
        <v>14</v>
      </c>
      <c r="B1816" t="s">
        <v>3158</v>
      </c>
      <c r="C1816" t="s">
        <v>1255</v>
      </c>
      <c r="D1816" t="s">
        <v>1256</v>
      </c>
      <c r="E1816" t="s">
        <v>1257</v>
      </c>
      <c r="F1816" t="s">
        <v>3159</v>
      </c>
      <c r="G1816" t="s">
        <v>4089</v>
      </c>
      <c r="H1816" s="15">
        <v>46142</v>
      </c>
      <c r="I1816" t="s">
        <v>4090</v>
      </c>
      <c r="J1816" t="s">
        <v>233</v>
      </c>
      <c r="K1816" t="s">
        <v>185</v>
      </c>
      <c r="N1816">
        <v>0</v>
      </c>
      <c r="O1816" t="s">
        <v>222</v>
      </c>
      <c r="P1816">
        <v>0</v>
      </c>
      <c r="U1816" s="15"/>
    </row>
    <row r="1817" spans="1:21" x14ac:dyDescent="0.35">
      <c r="A1817" t="s">
        <v>14</v>
      </c>
      <c r="B1817" t="s">
        <v>2398</v>
      </c>
      <c r="C1817" t="s">
        <v>651</v>
      </c>
      <c r="D1817" t="s">
        <v>652</v>
      </c>
      <c r="E1817" t="s">
        <v>653</v>
      </c>
      <c r="F1817" t="s">
        <v>2399</v>
      </c>
      <c r="G1817" t="s">
        <v>2490</v>
      </c>
      <c r="H1817" s="15">
        <v>46045</v>
      </c>
      <c r="I1817" t="s">
        <v>2494</v>
      </c>
      <c r="J1817" t="s">
        <v>16</v>
      </c>
      <c r="K1817" t="s">
        <v>185</v>
      </c>
      <c r="N1817">
        <v>0</v>
      </c>
      <c r="O1817" t="s">
        <v>222</v>
      </c>
      <c r="P1817">
        <v>0</v>
      </c>
      <c r="U1817" s="15"/>
    </row>
    <row r="1818" spans="1:21" x14ac:dyDescent="0.35">
      <c r="A1818" t="s">
        <v>14</v>
      </c>
      <c r="B1818" t="s">
        <v>2398</v>
      </c>
      <c r="C1818" t="s">
        <v>1255</v>
      </c>
      <c r="D1818" t="s">
        <v>1256</v>
      </c>
      <c r="E1818" t="s">
        <v>1257</v>
      </c>
      <c r="F1818" t="s">
        <v>2399</v>
      </c>
      <c r="G1818" t="s">
        <v>2490</v>
      </c>
      <c r="H1818" s="15">
        <v>46045</v>
      </c>
      <c r="I1818" t="s">
        <v>2495</v>
      </c>
      <c r="J1818" t="s">
        <v>16</v>
      </c>
      <c r="K1818" t="s">
        <v>185</v>
      </c>
      <c r="N1818">
        <v>0</v>
      </c>
      <c r="O1818" t="s">
        <v>222</v>
      </c>
      <c r="P1818">
        <v>0</v>
      </c>
      <c r="U1818" s="15"/>
    </row>
    <row r="1819" spans="1:21" x14ac:dyDescent="0.35">
      <c r="A1819" t="s">
        <v>14</v>
      </c>
      <c r="B1819" t="s">
        <v>2421</v>
      </c>
      <c r="C1819" t="s">
        <v>1255</v>
      </c>
      <c r="D1819" t="s">
        <v>1256</v>
      </c>
      <c r="E1819" t="s">
        <v>1257</v>
      </c>
      <c r="F1819" t="s">
        <v>2422</v>
      </c>
      <c r="G1819" t="s">
        <v>2900</v>
      </c>
      <c r="H1819" s="15">
        <v>46171</v>
      </c>
      <c r="I1819" t="s">
        <v>2901</v>
      </c>
      <c r="J1819" t="s">
        <v>16</v>
      </c>
      <c r="K1819" t="s">
        <v>185</v>
      </c>
      <c r="N1819">
        <v>0</v>
      </c>
      <c r="O1819" t="s">
        <v>222</v>
      </c>
      <c r="P1819">
        <v>0</v>
      </c>
      <c r="U1819" s="15"/>
    </row>
    <row r="1820" spans="1:21" x14ac:dyDescent="0.35">
      <c r="A1820" t="s">
        <v>14</v>
      </c>
      <c r="B1820" t="s">
        <v>2398</v>
      </c>
      <c r="C1820" t="s">
        <v>515</v>
      </c>
      <c r="D1820" t="s">
        <v>516</v>
      </c>
      <c r="E1820" t="s">
        <v>517</v>
      </c>
      <c r="F1820" t="s">
        <v>2399</v>
      </c>
      <c r="G1820" t="s">
        <v>2500</v>
      </c>
      <c r="H1820" s="15">
        <v>46048</v>
      </c>
      <c r="I1820" t="s">
        <v>2501</v>
      </c>
      <c r="J1820" t="s">
        <v>16</v>
      </c>
      <c r="K1820" t="s">
        <v>185</v>
      </c>
      <c r="N1820">
        <v>0</v>
      </c>
      <c r="O1820" t="s">
        <v>222</v>
      </c>
      <c r="P1820">
        <v>0</v>
      </c>
      <c r="U1820" s="15"/>
    </row>
    <row r="1821" spans="1:21" x14ac:dyDescent="0.35">
      <c r="A1821" t="s">
        <v>14</v>
      </c>
      <c r="B1821" t="s">
        <v>3247</v>
      </c>
      <c r="C1821" t="s">
        <v>1255</v>
      </c>
      <c r="D1821" t="s">
        <v>1256</v>
      </c>
      <c r="E1821" t="s">
        <v>1257</v>
      </c>
      <c r="F1821" t="s">
        <v>4305</v>
      </c>
      <c r="G1821" t="s">
        <v>4373</v>
      </c>
      <c r="H1821" s="15">
        <v>46050</v>
      </c>
      <c r="I1821" t="s">
        <v>4374</v>
      </c>
      <c r="J1821" t="s">
        <v>233</v>
      </c>
      <c r="K1821" t="s">
        <v>185</v>
      </c>
      <c r="N1821">
        <v>0</v>
      </c>
      <c r="O1821" t="s">
        <v>222</v>
      </c>
      <c r="P1821">
        <v>0</v>
      </c>
      <c r="U1821" s="15"/>
    </row>
    <row r="1822" spans="1:21" x14ac:dyDescent="0.35">
      <c r="A1822" t="s">
        <v>14</v>
      </c>
      <c r="B1822" t="s">
        <v>3247</v>
      </c>
      <c r="C1822" t="s">
        <v>515</v>
      </c>
      <c r="D1822" t="s">
        <v>516</v>
      </c>
      <c r="E1822" t="s">
        <v>517</v>
      </c>
      <c r="F1822" t="s">
        <v>4305</v>
      </c>
      <c r="G1822" t="s">
        <v>4375</v>
      </c>
      <c r="H1822" s="15">
        <v>46051</v>
      </c>
      <c r="I1822" t="s">
        <v>4376</v>
      </c>
      <c r="J1822" t="s">
        <v>16</v>
      </c>
      <c r="K1822" t="s">
        <v>185</v>
      </c>
      <c r="N1822">
        <v>0</v>
      </c>
      <c r="O1822" t="s">
        <v>222</v>
      </c>
      <c r="P1822">
        <v>0</v>
      </c>
      <c r="U1822" s="15"/>
    </row>
    <row r="1823" spans="1:21" x14ac:dyDescent="0.35">
      <c r="A1823" t="s">
        <v>14</v>
      </c>
      <c r="B1823" t="s">
        <v>3158</v>
      </c>
      <c r="C1823" t="s">
        <v>515</v>
      </c>
      <c r="D1823" t="s">
        <v>516</v>
      </c>
      <c r="E1823" t="s">
        <v>517</v>
      </c>
      <c r="F1823" t="s">
        <v>3159</v>
      </c>
      <c r="G1823" t="s">
        <v>4091</v>
      </c>
      <c r="H1823" s="15">
        <v>46144</v>
      </c>
      <c r="I1823" t="s">
        <v>4092</v>
      </c>
      <c r="J1823" t="s">
        <v>16</v>
      </c>
      <c r="K1823" t="s">
        <v>185</v>
      </c>
      <c r="N1823">
        <v>0</v>
      </c>
      <c r="O1823" t="s">
        <v>222</v>
      </c>
      <c r="P1823">
        <v>0</v>
      </c>
      <c r="U1823" s="15"/>
    </row>
    <row r="1824" spans="1:21" x14ac:dyDescent="0.35">
      <c r="A1824" t="s">
        <v>14</v>
      </c>
      <c r="B1824" t="s">
        <v>2421</v>
      </c>
      <c r="C1824" t="s">
        <v>737</v>
      </c>
      <c r="D1824" t="s">
        <v>738</v>
      </c>
      <c r="E1824" t="s">
        <v>739</v>
      </c>
      <c r="F1824" t="s">
        <v>2422</v>
      </c>
      <c r="G1824" t="s">
        <v>2902</v>
      </c>
      <c r="H1824" s="15">
        <v>46175</v>
      </c>
      <c r="I1824" t="s">
        <v>2903</v>
      </c>
      <c r="J1824" t="s">
        <v>16</v>
      </c>
      <c r="K1824" t="s">
        <v>185</v>
      </c>
      <c r="N1824">
        <v>0</v>
      </c>
      <c r="O1824" t="s">
        <v>222</v>
      </c>
      <c r="P1824">
        <v>0</v>
      </c>
      <c r="U1824" s="15"/>
    </row>
    <row r="1825" spans="1:21" x14ac:dyDescent="0.35">
      <c r="A1825" t="s">
        <v>14</v>
      </c>
      <c r="B1825" t="s">
        <v>2398</v>
      </c>
      <c r="C1825" t="s">
        <v>711</v>
      </c>
      <c r="D1825" t="s">
        <v>712</v>
      </c>
      <c r="E1825" t="s">
        <v>713</v>
      </c>
      <c r="F1825" t="s">
        <v>2399</v>
      </c>
      <c r="G1825" t="s">
        <v>2500</v>
      </c>
      <c r="H1825" s="15">
        <v>46048</v>
      </c>
      <c r="I1825" t="s">
        <v>2502</v>
      </c>
      <c r="J1825" t="s">
        <v>16</v>
      </c>
      <c r="K1825" t="s">
        <v>185</v>
      </c>
      <c r="N1825">
        <v>0</v>
      </c>
      <c r="O1825" t="s">
        <v>222</v>
      </c>
      <c r="P1825">
        <v>0</v>
      </c>
      <c r="U1825" s="15"/>
    </row>
    <row r="1826" spans="1:21" x14ac:dyDescent="0.35">
      <c r="A1826" t="s">
        <v>14</v>
      </c>
      <c r="B1826" t="s">
        <v>2398</v>
      </c>
      <c r="C1826" t="s">
        <v>667</v>
      </c>
      <c r="D1826" t="s">
        <v>668</v>
      </c>
      <c r="E1826" t="s">
        <v>669</v>
      </c>
      <c r="F1826" t="s">
        <v>2399</v>
      </c>
      <c r="G1826" t="s">
        <v>2500</v>
      </c>
      <c r="H1826" s="15">
        <v>46048</v>
      </c>
      <c r="I1826" t="s">
        <v>2503</v>
      </c>
      <c r="J1826" t="s">
        <v>16</v>
      </c>
      <c r="K1826" t="s">
        <v>185</v>
      </c>
      <c r="N1826">
        <v>0</v>
      </c>
      <c r="O1826" t="s">
        <v>222</v>
      </c>
      <c r="P1826">
        <v>0</v>
      </c>
      <c r="U1826" s="15"/>
    </row>
    <row r="1827" spans="1:21" x14ac:dyDescent="0.35">
      <c r="A1827" t="s">
        <v>14</v>
      </c>
      <c r="B1827" t="s">
        <v>3158</v>
      </c>
      <c r="C1827" t="s">
        <v>1255</v>
      </c>
      <c r="D1827" t="s">
        <v>1256</v>
      </c>
      <c r="E1827" t="s">
        <v>1257</v>
      </c>
      <c r="F1827" t="s">
        <v>3159</v>
      </c>
      <c r="G1827" t="s">
        <v>4091</v>
      </c>
      <c r="H1827" s="15">
        <v>46144</v>
      </c>
      <c r="I1827" t="s">
        <v>4093</v>
      </c>
      <c r="J1827" t="s">
        <v>16</v>
      </c>
      <c r="K1827" t="s">
        <v>185</v>
      </c>
      <c r="N1827">
        <v>0</v>
      </c>
      <c r="O1827" t="s">
        <v>222</v>
      </c>
      <c r="P1827">
        <v>0</v>
      </c>
      <c r="U1827" s="15"/>
    </row>
    <row r="1828" spans="1:21" x14ac:dyDescent="0.35">
      <c r="A1828" t="s">
        <v>14</v>
      </c>
      <c r="B1828" t="s">
        <v>2421</v>
      </c>
      <c r="C1828" t="s">
        <v>1255</v>
      </c>
      <c r="D1828" t="s">
        <v>1256</v>
      </c>
      <c r="E1828" t="s">
        <v>1257</v>
      </c>
      <c r="F1828" t="s">
        <v>2422</v>
      </c>
      <c r="G1828" t="s">
        <v>2902</v>
      </c>
      <c r="H1828" s="15">
        <v>46175</v>
      </c>
      <c r="I1828" t="s">
        <v>2904</v>
      </c>
      <c r="J1828" t="s">
        <v>16</v>
      </c>
      <c r="K1828" t="s">
        <v>185</v>
      </c>
      <c r="N1828">
        <v>0</v>
      </c>
      <c r="O1828" t="s">
        <v>222</v>
      </c>
      <c r="P1828">
        <v>0</v>
      </c>
      <c r="U1828" s="15"/>
    </row>
    <row r="1829" spans="1:21" x14ac:dyDescent="0.35">
      <c r="A1829" t="s">
        <v>14</v>
      </c>
      <c r="B1829" t="s">
        <v>2421</v>
      </c>
      <c r="C1829" t="s">
        <v>1255</v>
      </c>
      <c r="D1829" t="s">
        <v>1256</v>
      </c>
      <c r="E1829" t="s">
        <v>1257</v>
      </c>
      <c r="F1829" t="s">
        <v>2422</v>
      </c>
      <c r="G1829" t="s">
        <v>2911</v>
      </c>
      <c r="H1829" s="15">
        <v>46177</v>
      </c>
      <c r="I1829" t="s">
        <v>2912</v>
      </c>
      <c r="J1829" t="s">
        <v>16</v>
      </c>
      <c r="K1829" t="s">
        <v>185</v>
      </c>
      <c r="N1829">
        <v>0</v>
      </c>
      <c r="O1829" t="s">
        <v>222</v>
      </c>
      <c r="P1829">
        <v>0</v>
      </c>
      <c r="U1829" s="15"/>
    </row>
    <row r="1830" spans="1:21" x14ac:dyDescent="0.35">
      <c r="A1830" t="s">
        <v>14</v>
      </c>
      <c r="B1830" t="s">
        <v>3247</v>
      </c>
      <c r="C1830" t="s">
        <v>1255</v>
      </c>
      <c r="D1830" t="s">
        <v>1256</v>
      </c>
      <c r="E1830" t="s">
        <v>1257</v>
      </c>
      <c r="F1830" t="s">
        <v>4305</v>
      </c>
      <c r="G1830" t="s">
        <v>4377</v>
      </c>
      <c r="H1830" s="15">
        <v>46051</v>
      </c>
      <c r="I1830" t="s">
        <v>4378</v>
      </c>
      <c r="J1830" t="s">
        <v>233</v>
      </c>
      <c r="K1830" t="s">
        <v>185</v>
      </c>
      <c r="N1830">
        <v>0</v>
      </c>
      <c r="O1830" t="s">
        <v>222</v>
      </c>
      <c r="P1830">
        <v>0</v>
      </c>
      <c r="U1830" s="15"/>
    </row>
    <row r="1831" spans="1:21" x14ac:dyDescent="0.35">
      <c r="A1831" t="s">
        <v>14</v>
      </c>
      <c r="B1831" t="s">
        <v>3247</v>
      </c>
      <c r="C1831" t="s">
        <v>515</v>
      </c>
      <c r="D1831" t="s">
        <v>516</v>
      </c>
      <c r="E1831" t="s">
        <v>517</v>
      </c>
      <c r="F1831" t="s">
        <v>4305</v>
      </c>
      <c r="G1831" t="s">
        <v>4379</v>
      </c>
      <c r="H1831" s="15">
        <v>46052</v>
      </c>
      <c r="I1831" t="s">
        <v>4380</v>
      </c>
      <c r="J1831" t="s">
        <v>16</v>
      </c>
      <c r="K1831" t="s">
        <v>185</v>
      </c>
      <c r="N1831">
        <v>0</v>
      </c>
      <c r="O1831" t="s">
        <v>222</v>
      </c>
      <c r="P1831">
        <v>0</v>
      </c>
      <c r="U1831" s="15"/>
    </row>
    <row r="1832" spans="1:21" x14ac:dyDescent="0.35">
      <c r="A1832" t="s">
        <v>14</v>
      </c>
      <c r="B1832" t="s">
        <v>3247</v>
      </c>
      <c r="C1832" t="s">
        <v>1255</v>
      </c>
      <c r="D1832" t="s">
        <v>1256</v>
      </c>
      <c r="E1832" t="s">
        <v>1257</v>
      </c>
      <c r="F1832" t="s">
        <v>4305</v>
      </c>
      <c r="G1832" t="s">
        <v>4381</v>
      </c>
      <c r="H1832" s="15">
        <v>46052</v>
      </c>
      <c r="I1832" t="s">
        <v>4382</v>
      </c>
      <c r="J1832" t="s">
        <v>233</v>
      </c>
      <c r="K1832" t="s">
        <v>185</v>
      </c>
      <c r="N1832">
        <v>0</v>
      </c>
      <c r="O1832" t="s">
        <v>222</v>
      </c>
      <c r="P1832">
        <v>0</v>
      </c>
      <c r="U1832" s="15"/>
    </row>
    <row r="1833" spans="1:21" x14ac:dyDescent="0.35">
      <c r="A1833" t="s">
        <v>14</v>
      </c>
      <c r="B1833" t="s">
        <v>2398</v>
      </c>
      <c r="C1833" t="s">
        <v>515</v>
      </c>
      <c r="D1833" t="s">
        <v>516</v>
      </c>
      <c r="E1833" t="s">
        <v>517</v>
      </c>
      <c r="F1833" t="s">
        <v>2399</v>
      </c>
      <c r="G1833" t="s">
        <v>2504</v>
      </c>
      <c r="H1833" s="15">
        <v>46049</v>
      </c>
      <c r="I1833" t="s">
        <v>2505</v>
      </c>
      <c r="J1833" t="s">
        <v>16</v>
      </c>
      <c r="K1833" t="s">
        <v>185</v>
      </c>
      <c r="N1833">
        <v>0</v>
      </c>
      <c r="O1833" t="s">
        <v>222</v>
      </c>
      <c r="P1833">
        <v>0</v>
      </c>
      <c r="U1833" s="15"/>
    </row>
    <row r="1834" spans="1:21" x14ac:dyDescent="0.35">
      <c r="A1834" t="s">
        <v>14</v>
      </c>
      <c r="B1834" t="s">
        <v>2398</v>
      </c>
      <c r="C1834" t="s">
        <v>651</v>
      </c>
      <c r="D1834" t="s">
        <v>652</v>
      </c>
      <c r="E1834" t="s">
        <v>653</v>
      </c>
      <c r="F1834" t="s">
        <v>2399</v>
      </c>
      <c r="G1834" t="s">
        <v>2504</v>
      </c>
      <c r="H1834" s="15">
        <v>46049</v>
      </c>
      <c r="I1834" t="s">
        <v>2506</v>
      </c>
      <c r="J1834" t="s">
        <v>16</v>
      </c>
      <c r="K1834" t="s">
        <v>185</v>
      </c>
      <c r="N1834">
        <v>0</v>
      </c>
      <c r="O1834" t="s">
        <v>222</v>
      </c>
      <c r="P1834">
        <v>0</v>
      </c>
      <c r="U1834" s="15"/>
    </row>
    <row r="1835" spans="1:21" x14ac:dyDescent="0.35">
      <c r="A1835" t="s">
        <v>14</v>
      </c>
      <c r="B1835" t="s">
        <v>3158</v>
      </c>
      <c r="C1835" t="s">
        <v>498</v>
      </c>
      <c r="D1835" t="s">
        <v>499</v>
      </c>
      <c r="E1835" t="s">
        <v>500</v>
      </c>
      <c r="F1835" t="s">
        <v>3159</v>
      </c>
      <c r="G1835" t="s">
        <v>4100</v>
      </c>
      <c r="H1835" s="15">
        <v>46146</v>
      </c>
      <c r="I1835" t="s">
        <v>4101</v>
      </c>
      <c r="J1835" t="s">
        <v>16</v>
      </c>
      <c r="K1835" t="s">
        <v>185</v>
      </c>
      <c r="N1835">
        <v>0</v>
      </c>
      <c r="O1835" t="s">
        <v>222</v>
      </c>
      <c r="P1835">
        <v>0</v>
      </c>
      <c r="U1835" s="15"/>
    </row>
    <row r="1836" spans="1:21" x14ac:dyDescent="0.35">
      <c r="A1836" t="s">
        <v>14</v>
      </c>
      <c r="B1836" t="s">
        <v>3158</v>
      </c>
      <c r="C1836" t="s">
        <v>1255</v>
      </c>
      <c r="D1836" t="s">
        <v>1256</v>
      </c>
      <c r="E1836" t="s">
        <v>1257</v>
      </c>
      <c r="F1836" t="s">
        <v>3159</v>
      </c>
      <c r="G1836" t="s">
        <v>4100</v>
      </c>
      <c r="H1836" s="15">
        <v>46146</v>
      </c>
      <c r="I1836" t="s">
        <v>4102</v>
      </c>
      <c r="J1836" t="s">
        <v>16</v>
      </c>
      <c r="K1836" t="s">
        <v>185</v>
      </c>
      <c r="N1836">
        <v>0</v>
      </c>
      <c r="O1836" t="s">
        <v>222</v>
      </c>
      <c r="P1836">
        <v>0</v>
      </c>
      <c r="U1836" s="15"/>
    </row>
    <row r="1837" spans="1:21" x14ac:dyDescent="0.35">
      <c r="A1837" t="s">
        <v>14</v>
      </c>
      <c r="B1837" t="s">
        <v>2421</v>
      </c>
      <c r="C1837" t="s">
        <v>1255</v>
      </c>
      <c r="D1837" t="s">
        <v>1256</v>
      </c>
      <c r="E1837" t="s">
        <v>1257</v>
      </c>
      <c r="F1837" t="s">
        <v>2422</v>
      </c>
      <c r="G1837" t="s">
        <v>2913</v>
      </c>
      <c r="H1837" s="15">
        <v>46178</v>
      </c>
      <c r="I1837" t="s">
        <v>2914</v>
      </c>
      <c r="J1837" t="s">
        <v>16</v>
      </c>
      <c r="K1837" t="s">
        <v>185</v>
      </c>
      <c r="N1837">
        <v>0</v>
      </c>
      <c r="O1837" t="s">
        <v>222</v>
      </c>
      <c r="P1837">
        <v>0</v>
      </c>
      <c r="U1837" s="15"/>
    </row>
    <row r="1838" spans="1:21" x14ac:dyDescent="0.35">
      <c r="A1838" t="s">
        <v>14</v>
      </c>
      <c r="B1838" t="s">
        <v>2421</v>
      </c>
      <c r="C1838" t="s">
        <v>1255</v>
      </c>
      <c r="D1838" t="s">
        <v>1256</v>
      </c>
      <c r="E1838" t="s">
        <v>1257</v>
      </c>
      <c r="F1838" t="s">
        <v>2422</v>
      </c>
      <c r="G1838" t="s">
        <v>2918</v>
      </c>
      <c r="H1838" s="15">
        <v>46181</v>
      </c>
      <c r="I1838" t="s">
        <v>2919</v>
      </c>
      <c r="J1838" t="s">
        <v>233</v>
      </c>
      <c r="K1838" t="s">
        <v>185</v>
      </c>
      <c r="N1838">
        <v>0</v>
      </c>
      <c r="O1838" t="s">
        <v>222</v>
      </c>
      <c r="P1838">
        <v>0</v>
      </c>
      <c r="U1838" s="15"/>
    </row>
    <row r="1839" spans="1:21" x14ac:dyDescent="0.35">
      <c r="A1839" t="s">
        <v>14</v>
      </c>
      <c r="B1839" t="s">
        <v>2398</v>
      </c>
      <c r="C1839" t="s">
        <v>667</v>
      </c>
      <c r="D1839" t="s">
        <v>668</v>
      </c>
      <c r="E1839" t="s">
        <v>669</v>
      </c>
      <c r="F1839" t="s">
        <v>2399</v>
      </c>
      <c r="G1839" t="s">
        <v>2504</v>
      </c>
      <c r="H1839" s="15">
        <v>46049</v>
      </c>
      <c r="I1839" t="s">
        <v>2512</v>
      </c>
      <c r="J1839" t="s">
        <v>16</v>
      </c>
      <c r="K1839" t="s">
        <v>185</v>
      </c>
      <c r="N1839">
        <v>0</v>
      </c>
      <c r="O1839" t="s">
        <v>222</v>
      </c>
      <c r="P1839">
        <v>0</v>
      </c>
      <c r="U1839" s="15"/>
    </row>
    <row r="1840" spans="1:21" x14ac:dyDescent="0.35">
      <c r="A1840" t="s">
        <v>14</v>
      </c>
      <c r="B1840" t="s">
        <v>2398</v>
      </c>
      <c r="C1840" t="s">
        <v>515</v>
      </c>
      <c r="D1840" t="s">
        <v>516</v>
      </c>
      <c r="E1840" t="s">
        <v>517</v>
      </c>
      <c r="F1840" t="s">
        <v>2399</v>
      </c>
      <c r="G1840" t="s">
        <v>2513</v>
      </c>
      <c r="H1840" s="15">
        <v>46050</v>
      </c>
      <c r="I1840" t="s">
        <v>2514</v>
      </c>
      <c r="J1840" t="s">
        <v>16</v>
      </c>
      <c r="K1840" t="s">
        <v>185</v>
      </c>
      <c r="N1840">
        <v>0</v>
      </c>
      <c r="O1840" t="s">
        <v>222</v>
      </c>
      <c r="P1840">
        <v>0</v>
      </c>
      <c r="U1840" s="15"/>
    </row>
    <row r="1841" spans="1:21" x14ac:dyDescent="0.35">
      <c r="A1841" t="s">
        <v>14</v>
      </c>
      <c r="B1841" t="s">
        <v>3158</v>
      </c>
      <c r="C1841" t="s">
        <v>1255</v>
      </c>
      <c r="D1841" t="s">
        <v>1256</v>
      </c>
      <c r="E1841" t="s">
        <v>1257</v>
      </c>
      <c r="F1841" t="s">
        <v>3159</v>
      </c>
      <c r="G1841" t="s">
        <v>4103</v>
      </c>
      <c r="H1841" s="15">
        <v>46147</v>
      </c>
      <c r="I1841" t="s">
        <v>4104</v>
      </c>
      <c r="J1841" t="s">
        <v>233</v>
      </c>
      <c r="K1841" t="s">
        <v>185</v>
      </c>
      <c r="N1841">
        <v>0</v>
      </c>
      <c r="O1841" t="s">
        <v>222</v>
      </c>
      <c r="P1841">
        <v>0</v>
      </c>
      <c r="U1841" s="15"/>
    </row>
    <row r="1842" spans="1:21" x14ac:dyDescent="0.35">
      <c r="A1842" t="s">
        <v>14</v>
      </c>
      <c r="B1842" t="s">
        <v>3158</v>
      </c>
      <c r="C1842" t="s">
        <v>667</v>
      </c>
      <c r="D1842" t="s">
        <v>668</v>
      </c>
      <c r="E1842" t="s">
        <v>669</v>
      </c>
      <c r="F1842" t="s">
        <v>3159</v>
      </c>
      <c r="G1842" t="s">
        <v>4109</v>
      </c>
      <c r="H1842" s="15">
        <v>46148</v>
      </c>
      <c r="I1842" t="s">
        <v>4110</v>
      </c>
      <c r="J1842" t="s">
        <v>16</v>
      </c>
      <c r="K1842" t="s">
        <v>185</v>
      </c>
      <c r="N1842">
        <v>0</v>
      </c>
      <c r="O1842" t="s">
        <v>222</v>
      </c>
      <c r="P1842">
        <v>0</v>
      </c>
      <c r="U1842" s="15"/>
    </row>
    <row r="1843" spans="1:21" x14ac:dyDescent="0.35">
      <c r="A1843" t="s">
        <v>14</v>
      </c>
      <c r="B1843" t="s">
        <v>3158</v>
      </c>
      <c r="C1843" t="s">
        <v>515</v>
      </c>
      <c r="D1843" t="s">
        <v>516</v>
      </c>
      <c r="E1843" t="s">
        <v>517</v>
      </c>
      <c r="F1843" t="s">
        <v>3159</v>
      </c>
      <c r="G1843" t="s">
        <v>4109</v>
      </c>
      <c r="H1843" s="15">
        <v>46148</v>
      </c>
      <c r="I1843" t="s">
        <v>4115</v>
      </c>
      <c r="J1843" t="s">
        <v>16</v>
      </c>
      <c r="K1843" t="s">
        <v>185</v>
      </c>
      <c r="N1843">
        <v>0</v>
      </c>
      <c r="O1843" t="s">
        <v>222</v>
      </c>
      <c r="P1843">
        <v>0</v>
      </c>
      <c r="U1843" s="15"/>
    </row>
    <row r="1844" spans="1:21" x14ac:dyDescent="0.35">
      <c r="A1844" t="s">
        <v>14</v>
      </c>
      <c r="B1844" t="s">
        <v>2421</v>
      </c>
      <c r="C1844" t="s">
        <v>667</v>
      </c>
      <c r="D1844" t="s">
        <v>668</v>
      </c>
      <c r="E1844" t="s">
        <v>669</v>
      </c>
      <c r="F1844" t="s">
        <v>2422</v>
      </c>
      <c r="G1844" t="s">
        <v>2922</v>
      </c>
      <c r="H1844" s="15">
        <v>46182</v>
      </c>
      <c r="I1844" t="s">
        <v>2923</v>
      </c>
      <c r="J1844" t="s">
        <v>16</v>
      </c>
      <c r="K1844" t="s">
        <v>185</v>
      </c>
      <c r="N1844">
        <v>0</v>
      </c>
      <c r="O1844" t="s">
        <v>222</v>
      </c>
      <c r="P1844">
        <v>0</v>
      </c>
      <c r="U1844" s="15"/>
    </row>
    <row r="1845" spans="1:21" x14ac:dyDescent="0.35">
      <c r="A1845" t="s">
        <v>14</v>
      </c>
      <c r="B1845" t="s">
        <v>2398</v>
      </c>
      <c r="C1845" t="s">
        <v>651</v>
      </c>
      <c r="D1845" t="s">
        <v>652</v>
      </c>
      <c r="E1845" t="s">
        <v>653</v>
      </c>
      <c r="F1845" t="s">
        <v>2399</v>
      </c>
      <c r="G1845" t="s">
        <v>2513</v>
      </c>
      <c r="H1845" s="15">
        <v>46050</v>
      </c>
      <c r="I1845" t="s">
        <v>2520</v>
      </c>
      <c r="J1845" t="s">
        <v>16</v>
      </c>
      <c r="K1845" t="s">
        <v>185</v>
      </c>
      <c r="N1845">
        <v>0</v>
      </c>
      <c r="O1845" t="s">
        <v>222</v>
      </c>
      <c r="P1845">
        <v>0</v>
      </c>
      <c r="U1845" s="15"/>
    </row>
    <row r="1846" spans="1:21" x14ac:dyDescent="0.35">
      <c r="A1846" t="s">
        <v>14</v>
      </c>
      <c r="B1846" t="s">
        <v>2398</v>
      </c>
      <c r="C1846" t="s">
        <v>1255</v>
      </c>
      <c r="D1846" t="s">
        <v>1256</v>
      </c>
      <c r="E1846" t="s">
        <v>1257</v>
      </c>
      <c r="F1846" t="s">
        <v>2399</v>
      </c>
      <c r="G1846" t="s">
        <v>2513</v>
      </c>
      <c r="H1846" s="15">
        <v>46050</v>
      </c>
      <c r="I1846" t="s">
        <v>2521</v>
      </c>
      <c r="J1846" t="s">
        <v>16</v>
      </c>
      <c r="K1846" t="s">
        <v>185</v>
      </c>
      <c r="N1846">
        <v>0</v>
      </c>
      <c r="O1846" t="s">
        <v>222</v>
      </c>
      <c r="P1846">
        <v>0</v>
      </c>
      <c r="U1846" s="15"/>
    </row>
    <row r="1847" spans="1:21" x14ac:dyDescent="0.35">
      <c r="A1847" t="s">
        <v>14</v>
      </c>
      <c r="B1847" t="s">
        <v>2398</v>
      </c>
      <c r="C1847" t="s">
        <v>1255</v>
      </c>
      <c r="D1847" t="s">
        <v>1256</v>
      </c>
      <c r="E1847" t="s">
        <v>1257</v>
      </c>
      <c r="F1847" t="s">
        <v>2399</v>
      </c>
      <c r="G1847" t="s">
        <v>2513</v>
      </c>
      <c r="H1847" s="15">
        <v>46050</v>
      </c>
      <c r="I1847" t="s">
        <v>2521</v>
      </c>
      <c r="J1847" t="s">
        <v>16</v>
      </c>
      <c r="K1847" t="s">
        <v>185</v>
      </c>
      <c r="N1847">
        <v>0</v>
      </c>
      <c r="O1847" t="s">
        <v>222</v>
      </c>
      <c r="P1847">
        <v>0</v>
      </c>
      <c r="U1847" s="15"/>
    </row>
    <row r="1848" spans="1:21" x14ac:dyDescent="0.35">
      <c r="A1848" t="s">
        <v>14</v>
      </c>
      <c r="B1848" t="s">
        <v>3247</v>
      </c>
      <c r="C1848" t="s">
        <v>542</v>
      </c>
      <c r="D1848" t="s">
        <v>543</v>
      </c>
      <c r="E1848" t="s">
        <v>544</v>
      </c>
      <c r="F1848" t="s">
        <v>4305</v>
      </c>
      <c r="G1848" t="s">
        <v>4383</v>
      </c>
      <c r="H1848" s="15">
        <v>46055</v>
      </c>
      <c r="I1848" t="s">
        <v>4384</v>
      </c>
      <c r="J1848" t="s">
        <v>16</v>
      </c>
      <c r="K1848" t="s">
        <v>185</v>
      </c>
      <c r="N1848">
        <v>0</v>
      </c>
      <c r="O1848" t="s">
        <v>222</v>
      </c>
      <c r="P1848">
        <v>0</v>
      </c>
      <c r="U1848" s="15"/>
    </row>
    <row r="1849" spans="1:21" x14ac:dyDescent="0.35">
      <c r="A1849" t="s">
        <v>14</v>
      </c>
      <c r="B1849" t="s">
        <v>3247</v>
      </c>
      <c r="C1849" t="s">
        <v>777</v>
      </c>
      <c r="D1849" t="s">
        <v>778</v>
      </c>
      <c r="E1849" t="s">
        <v>779</v>
      </c>
      <c r="F1849" t="s">
        <v>4305</v>
      </c>
      <c r="G1849" t="s">
        <v>4385</v>
      </c>
      <c r="H1849" s="15">
        <v>46055</v>
      </c>
      <c r="I1849" t="s">
        <v>4386</v>
      </c>
      <c r="J1849" t="s">
        <v>233</v>
      </c>
      <c r="K1849" t="s">
        <v>185</v>
      </c>
      <c r="N1849">
        <v>0</v>
      </c>
      <c r="O1849" t="s">
        <v>222</v>
      </c>
      <c r="P1849">
        <v>0</v>
      </c>
      <c r="U1849" s="15"/>
    </row>
    <row r="1850" spans="1:21" x14ac:dyDescent="0.35">
      <c r="A1850" t="s">
        <v>14</v>
      </c>
      <c r="B1850" t="s">
        <v>2398</v>
      </c>
      <c r="C1850" t="s">
        <v>515</v>
      </c>
      <c r="D1850" t="s">
        <v>516</v>
      </c>
      <c r="E1850" t="s">
        <v>517</v>
      </c>
      <c r="F1850" t="s">
        <v>2399</v>
      </c>
      <c r="G1850" t="s">
        <v>2524</v>
      </c>
      <c r="H1850" s="15">
        <v>46051</v>
      </c>
      <c r="I1850" t="s">
        <v>2525</v>
      </c>
      <c r="J1850" t="s">
        <v>16</v>
      </c>
      <c r="K1850" t="s">
        <v>185</v>
      </c>
      <c r="N1850">
        <v>0</v>
      </c>
      <c r="O1850" t="s">
        <v>222</v>
      </c>
      <c r="P1850">
        <v>0</v>
      </c>
      <c r="U1850" s="15"/>
    </row>
    <row r="1851" spans="1:21" x14ac:dyDescent="0.35">
      <c r="A1851" t="s">
        <v>14</v>
      </c>
      <c r="B1851" t="s">
        <v>2398</v>
      </c>
      <c r="C1851" t="s">
        <v>651</v>
      </c>
      <c r="D1851" t="s">
        <v>652</v>
      </c>
      <c r="E1851" t="s">
        <v>653</v>
      </c>
      <c r="F1851" t="s">
        <v>2399</v>
      </c>
      <c r="G1851" t="s">
        <v>2524</v>
      </c>
      <c r="H1851" s="15">
        <v>46051</v>
      </c>
      <c r="I1851" t="s">
        <v>2526</v>
      </c>
      <c r="J1851" t="s">
        <v>16</v>
      </c>
      <c r="K1851" t="s">
        <v>185</v>
      </c>
      <c r="N1851">
        <v>0</v>
      </c>
      <c r="O1851" t="s">
        <v>222</v>
      </c>
      <c r="P1851">
        <v>0</v>
      </c>
      <c r="U1851" s="15"/>
    </row>
    <row r="1852" spans="1:21" x14ac:dyDescent="0.35">
      <c r="A1852" t="s">
        <v>14</v>
      </c>
      <c r="B1852" t="s">
        <v>3158</v>
      </c>
      <c r="C1852" t="s">
        <v>932</v>
      </c>
      <c r="D1852" t="s">
        <v>933</v>
      </c>
      <c r="E1852" t="s">
        <v>934</v>
      </c>
      <c r="F1852" t="s">
        <v>3159</v>
      </c>
      <c r="G1852" t="s">
        <v>4116</v>
      </c>
      <c r="H1852" s="15">
        <v>46148</v>
      </c>
      <c r="I1852" t="s">
        <v>4117</v>
      </c>
      <c r="J1852" t="s">
        <v>233</v>
      </c>
      <c r="K1852" t="s">
        <v>185</v>
      </c>
      <c r="N1852">
        <v>0</v>
      </c>
      <c r="O1852" t="s">
        <v>222</v>
      </c>
      <c r="P1852">
        <v>0</v>
      </c>
      <c r="U1852" s="15"/>
    </row>
    <row r="1853" spans="1:21" x14ac:dyDescent="0.35">
      <c r="A1853" t="s">
        <v>14</v>
      </c>
      <c r="B1853" t="s">
        <v>3158</v>
      </c>
      <c r="C1853" t="s">
        <v>2461</v>
      </c>
      <c r="D1853" t="s">
        <v>2462</v>
      </c>
      <c r="E1853" t="s">
        <v>2463</v>
      </c>
      <c r="F1853" t="s">
        <v>3159</v>
      </c>
      <c r="G1853" t="s">
        <v>4118</v>
      </c>
      <c r="H1853" s="15">
        <v>46149</v>
      </c>
      <c r="I1853" t="s">
        <v>4119</v>
      </c>
      <c r="J1853" t="s">
        <v>16</v>
      </c>
      <c r="K1853" t="s">
        <v>185</v>
      </c>
      <c r="N1853">
        <v>0</v>
      </c>
      <c r="O1853" t="s">
        <v>222</v>
      </c>
      <c r="P1853">
        <v>0</v>
      </c>
      <c r="U1853" s="15"/>
    </row>
    <row r="1854" spans="1:21" x14ac:dyDescent="0.35">
      <c r="A1854" t="s">
        <v>14</v>
      </c>
      <c r="B1854" t="s">
        <v>2421</v>
      </c>
      <c r="C1854" t="s">
        <v>1255</v>
      </c>
      <c r="D1854" t="s">
        <v>1256</v>
      </c>
      <c r="E1854" t="s">
        <v>1257</v>
      </c>
      <c r="F1854" t="s">
        <v>2422</v>
      </c>
      <c r="G1854" t="s">
        <v>2924</v>
      </c>
      <c r="H1854" s="15">
        <v>46183</v>
      </c>
      <c r="I1854" t="s">
        <v>2925</v>
      </c>
      <c r="J1854" t="s">
        <v>16</v>
      </c>
      <c r="K1854" t="s">
        <v>185</v>
      </c>
      <c r="N1854">
        <v>0</v>
      </c>
      <c r="O1854" t="s">
        <v>222</v>
      </c>
      <c r="P1854">
        <v>0</v>
      </c>
      <c r="U1854" s="15"/>
    </row>
    <row r="1855" spans="1:21" x14ac:dyDescent="0.35">
      <c r="A1855" t="s">
        <v>14</v>
      </c>
      <c r="B1855" t="s">
        <v>2398</v>
      </c>
      <c r="C1855" t="s">
        <v>1255</v>
      </c>
      <c r="D1855" t="s">
        <v>1256</v>
      </c>
      <c r="E1855" t="s">
        <v>1257</v>
      </c>
      <c r="F1855" t="s">
        <v>2399</v>
      </c>
      <c r="G1855" t="s">
        <v>2524</v>
      </c>
      <c r="H1855" s="15">
        <v>46051</v>
      </c>
      <c r="I1855" t="s">
        <v>2529</v>
      </c>
      <c r="J1855" t="s">
        <v>16</v>
      </c>
      <c r="K1855" t="s">
        <v>185</v>
      </c>
      <c r="N1855">
        <v>0</v>
      </c>
      <c r="O1855" t="s">
        <v>222</v>
      </c>
      <c r="P1855">
        <v>0</v>
      </c>
      <c r="U1855" s="15"/>
    </row>
    <row r="1856" spans="1:21" x14ac:dyDescent="0.35">
      <c r="A1856" t="s">
        <v>14</v>
      </c>
      <c r="B1856" t="s">
        <v>2398</v>
      </c>
      <c r="C1856" t="s">
        <v>1255</v>
      </c>
      <c r="D1856" t="s">
        <v>1256</v>
      </c>
      <c r="E1856" t="s">
        <v>1257</v>
      </c>
      <c r="F1856" t="s">
        <v>2399</v>
      </c>
      <c r="G1856" t="s">
        <v>2524</v>
      </c>
      <c r="H1856" s="15">
        <v>46051</v>
      </c>
      <c r="I1856" t="s">
        <v>2529</v>
      </c>
      <c r="J1856" t="s">
        <v>16</v>
      </c>
      <c r="K1856" t="s">
        <v>185</v>
      </c>
      <c r="N1856">
        <v>0</v>
      </c>
      <c r="O1856" t="s">
        <v>222</v>
      </c>
      <c r="P1856">
        <v>0</v>
      </c>
      <c r="U1856" s="15"/>
    </row>
    <row r="1857" spans="1:21" x14ac:dyDescent="0.35">
      <c r="A1857" t="s">
        <v>14</v>
      </c>
      <c r="B1857" t="s">
        <v>2398</v>
      </c>
      <c r="C1857" t="s">
        <v>1255</v>
      </c>
      <c r="D1857" t="s">
        <v>1256</v>
      </c>
      <c r="E1857" t="s">
        <v>1257</v>
      </c>
      <c r="F1857" t="s">
        <v>2399</v>
      </c>
      <c r="G1857" t="s">
        <v>2530</v>
      </c>
      <c r="H1857" s="15">
        <v>46052</v>
      </c>
      <c r="I1857" t="s">
        <v>2531</v>
      </c>
      <c r="J1857" t="s">
        <v>16</v>
      </c>
      <c r="K1857" t="s">
        <v>185</v>
      </c>
      <c r="N1857">
        <v>0</v>
      </c>
      <c r="O1857" t="s">
        <v>222</v>
      </c>
      <c r="P1857">
        <v>0</v>
      </c>
      <c r="U1857" s="15"/>
    </row>
    <row r="1858" spans="1:21" x14ac:dyDescent="0.35">
      <c r="A1858" t="s">
        <v>14</v>
      </c>
      <c r="B1858" t="s">
        <v>2398</v>
      </c>
      <c r="C1858" t="s">
        <v>1255</v>
      </c>
      <c r="D1858" t="s">
        <v>1256</v>
      </c>
      <c r="E1858" t="s">
        <v>1257</v>
      </c>
      <c r="F1858" t="s">
        <v>2399</v>
      </c>
      <c r="G1858" t="s">
        <v>2530</v>
      </c>
      <c r="H1858" s="15">
        <v>46052</v>
      </c>
      <c r="I1858" t="s">
        <v>2531</v>
      </c>
      <c r="J1858" t="s">
        <v>16</v>
      </c>
      <c r="K1858" t="s">
        <v>185</v>
      </c>
      <c r="N1858">
        <v>0</v>
      </c>
      <c r="O1858" t="s">
        <v>222</v>
      </c>
      <c r="P1858">
        <v>0</v>
      </c>
      <c r="U1858" s="15"/>
    </row>
    <row r="1859" spans="1:21" x14ac:dyDescent="0.35">
      <c r="A1859" t="s">
        <v>14</v>
      </c>
      <c r="B1859" t="s">
        <v>3247</v>
      </c>
      <c r="C1859" t="s">
        <v>977</v>
      </c>
      <c r="D1859" t="s">
        <v>978</v>
      </c>
      <c r="E1859" t="s">
        <v>979</v>
      </c>
      <c r="F1859" t="s">
        <v>4305</v>
      </c>
      <c r="G1859" t="s">
        <v>4387</v>
      </c>
      <c r="H1859" s="15">
        <v>46056</v>
      </c>
      <c r="I1859" t="s">
        <v>4388</v>
      </c>
      <c r="J1859" t="s">
        <v>16</v>
      </c>
      <c r="K1859" t="s">
        <v>185</v>
      </c>
      <c r="N1859">
        <v>0</v>
      </c>
      <c r="O1859" t="s">
        <v>222</v>
      </c>
      <c r="P1859">
        <v>0</v>
      </c>
      <c r="U1859" s="15"/>
    </row>
    <row r="1860" spans="1:21" x14ac:dyDescent="0.35">
      <c r="A1860" t="s">
        <v>14</v>
      </c>
      <c r="B1860" t="s">
        <v>3247</v>
      </c>
      <c r="C1860" t="s">
        <v>1255</v>
      </c>
      <c r="D1860" t="s">
        <v>1256</v>
      </c>
      <c r="E1860" t="s">
        <v>1257</v>
      </c>
      <c r="F1860" t="s">
        <v>4305</v>
      </c>
      <c r="G1860" t="s">
        <v>4389</v>
      </c>
      <c r="H1860" s="15">
        <v>46056</v>
      </c>
      <c r="I1860" t="s">
        <v>4390</v>
      </c>
      <c r="J1860" t="s">
        <v>233</v>
      </c>
      <c r="K1860" t="s">
        <v>185</v>
      </c>
      <c r="N1860">
        <v>0</v>
      </c>
      <c r="O1860" t="s">
        <v>222</v>
      </c>
      <c r="P1860">
        <v>0</v>
      </c>
      <c r="U1860" s="15"/>
    </row>
    <row r="1861" spans="1:21" x14ac:dyDescent="0.35">
      <c r="A1861" t="s">
        <v>14</v>
      </c>
      <c r="B1861" t="s">
        <v>3158</v>
      </c>
      <c r="C1861" t="s">
        <v>515</v>
      </c>
      <c r="D1861" t="s">
        <v>516</v>
      </c>
      <c r="E1861" t="s">
        <v>517</v>
      </c>
      <c r="F1861" t="s">
        <v>3159</v>
      </c>
      <c r="G1861" t="s">
        <v>4118</v>
      </c>
      <c r="H1861" s="15">
        <v>46149</v>
      </c>
      <c r="I1861" t="s">
        <v>4129</v>
      </c>
      <c r="J1861" t="s">
        <v>16</v>
      </c>
      <c r="K1861" t="s">
        <v>185</v>
      </c>
      <c r="N1861">
        <v>0</v>
      </c>
      <c r="O1861" t="s">
        <v>222</v>
      </c>
      <c r="P1861">
        <v>0</v>
      </c>
      <c r="U1861" s="15"/>
    </row>
    <row r="1862" spans="1:21" x14ac:dyDescent="0.35">
      <c r="A1862" t="s">
        <v>14</v>
      </c>
      <c r="B1862" t="s">
        <v>3158</v>
      </c>
      <c r="C1862" t="s">
        <v>1255</v>
      </c>
      <c r="D1862" t="s">
        <v>1256</v>
      </c>
      <c r="E1862" t="s">
        <v>1257</v>
      </c>
      <c r="F1862" t="s">
        <v>3159</v>
      </c>
      <c r="G1862" t="s">
        <v>4130</v>
      </c>
      <c r="H1862" s="15">
        <v>46149</v>
      </c>
      <c r="I1862" t="s">
        <v>4131</v>
      </c>
      <c r="J1862" t="s">
        <v>233</v>
      </c>
      <c r="K1862" t="s">
        <v>185</v>
      </c>
      <c r="N1862">
        <v>0</v>
      </c>
      <c r="O1862" t="s">
        <v>222</v>
      </c>
      <c r="P1862">
        <v>0</v>
      </c>
      <c r="U1862" s="15"/>
    </row>
    <row r="1863" spans="1:21" x14ac:dyDescent="0.35">
      <c r="A1863" t="s">
        <v>14</v>
      </c>
      <c r="B1863" t="s">
        <v>2421</v>
      </c>
      <c r="C1863" t="s">
        <v>1255</v>
      </c>
      <c r="D1863" t="s">
        <v>1256</v>
      </c>
      <c r="E1863" t="s">
        <v>1257</v>
      </c>
      <c r="F1863" t="s">
        <v>2422</v>
      </c>
      <c r="G1863" t="s">
        <v>2929</v>
      </c>
      <c r="H1863" s="15">
        <v>46184</v>
      </c>
      <c r="I1863" t="s">
        <v>2930</v>
      </c>
      <c r="J1863" t="s">
        <v>16</v>
      </c>
      <c r="K1863" t="s">
        <v>185</v>
      </c>
      <c r="N1863">
        <v>0</v>
      </c>
      <c r="O1863" t="s">
        <v>222</v>
      </c>
      <c r="P1863">
        <v>0</v>
      </c>
      <c r="U1863" s="15"/>
    </row>
    <row r="1864" spans="1:21" x14ac:dyDescent="0.35">
      <c r="A1864" t="s">
        <v>14</v>
      </c>
      <c r="B1864" t="s">
        <v>2398</v>
      </c>
      <c r="C1864" t="s">
        <v>515</v>
      </c>
      <c r="D1864" t="s">
        <v>516</v>
      </c>
      <c r="E1864" t="s">
        <v>517</v>
      </c>
      <c r="F1864" t="s">
        <v>2399</v>
      </c>
      <c r="G1864" t="s">
        <v>2534</v>
      </c>
      <c r="H1864" s="15">
        <v>46055</v>
      </c>
      <c r="I1864" t="s">
        <v>2535</v>
      </c>
      <c r="J1864" t="s">
        <v>16</v>
      </c>
      <c r="K1864" t="s">
        <v>185</v>
      </c>
      <c r="N1864">
        <v>0</v>
      </c>
      <c r="O1864" t="s">
        <v>222</v>
      </c>
      <c r="P1864">
        <v>0</v>
      </c>
      <c r="U1864" s="15"/>
    </row>
    <row r="1865" spans="1:21" x14ac:dyDescent="0.35">
      <c r="A1865" t="s">
        <v>14</v>
      </c>
      <c r="B1865" t="s">
        <v>3247</v>
      </c>
      <c r="C1865" t="s">
        <v>977</v>
      </c>
      <c r="D1865" t="s">
        <v>978</v>
      </c>
      <c r="E1865" t="s">
        <v>979</v>
      </c>
      <c r="F1865" t="s">
        <v>4305</v>
      </c>
      <c r="G1865" t="s">
        <v>4393</v>
      </c>
      <c r="H1865" s="15">
        <v>46057</v>
      </c>
      <c r="I1865" t="s">
        <v>4394</v>
      </c>
      <c r="J1865" t="s">
        <v>16</v>
      </c>
      <c r="K1865" t="s">
        <v>185</v>
      </c>
      <c r="N1865">
        <v>0</v>
      </c>
      <c r="O1865" t="s">
        <v>222</v>
      </c>
      <c r="P1865">
        <v>0</v>
      </c>
      <c r="U1865" s="15"/>
    </row>
    <row r="1866" spans="1:21" x14ac:dyDescent="0.35">
      <c r="A1866" t="s">
        <v>14</v>
      </c>
      <c r="B1866" t="s">
        <v>3247</v>
      </c>
      <c r="C1866" t="s">
        <v>1255</v>
      </c>
      <c r="D1866" t="s">
        <v>1256</v>
      </c>
      <c r="E1866" t="s">
        <v>1257</v>
      </c>
      <c r="F1866" t="s">
        <v>4305</v>
      </c>
      <c r="G1866" t="s">
        <v>4395</v>
      </c>
      <c r="H1866" s="15">
        <v>46057</v>
      </c>
      <c r="I1866" t="s">
        <v>4396</v>
      </c>
      <c r="J1866" t="s">
        <v>233</v>
      </c>
      <c r="K1866" t="s">
        <v>185</v>
      </c>
      <c r="N1866">
        <v>0</v>
      </c>
      <c r="O1866" t="s">
        <v>222</v>
      </c>
      <c r="P1866">
        <v>0</v>
      </c>
      <c r="U1866" s="15"/>
    </row>
    <row r="1867" spans="1:21" x14ac:dyDescent="0.35">
      <c r="A1867" t="s">
        <v>14</v>
      </c>
      <c r="B1867" t="s">
        <v>2398</v>
      </c>
      <c r="C1867" t="s">
        <v>2413</v>
      </c>
      <c r="D1867" t="s">
        <v>2414</v>
      </c>
      <c r="E1867" t="s">
        <v>2415</v>
      </c>
      <c r="F1867" t="s">
        <v>2399</v>
      </c>
      <c r="G1867" t="s">
        <v>2534</v>
      </c>
      <c r="H1867" s="15">
        <v>46055</v>
      </c>
      <c r="I1867" t="s">
        <v>2540</v>
      </c>
      <c r="J1867" t="s">
        <v>16</v>
      </c>
      <c r="K1867" t="s">
        <v>185</v>
      </c>
      <c r="N1867">
        <v>0</v>
      </c>
      <c r="O1867" t="s">
        <v>222</v>
      </c>
      <c r="P1867">
        <v>0</v>
      </c>
      <c r="U1867" s="15"/>
    </row>
    <row r="1868" spans="1:21" x14ac:dyDescent="0.35">
      <c r="A1868" t="s">
        <v>14</v>
      </c>
      <c r="B1868" t="s">
        <v>2398</v>
      </c>
      <c r="C1868" t="s">
        <v>647</v>
      </c>
      <c r="D1868" t="s">
        <v>648</v>
      </c>
      <c r="E1868" t="s">
        <v>649</v>
      </c>
      <c r="F1868" t="s">
        <v>2399</v>
      </c>
      <c r="G1868" t="s">
        <v>2534</v>
      </c>
      <c r="H1868" s="15">
        <v>46055</v>
      </c>
      <c r="I1868" t="s">
        <v>2541</v>
      </c>
      <c r="J1868" t="s">
        <v>16</v>
      </c>
      <c r="K1868" t="s">
        <v>185</v>
      </c>
      <c r="N1868">
        <v>0</v>
      </c>
      <c r="O1868" t="s">
        <v>222</v>
      </c>
      <c r="P1868">
        <v>0</v>
      </c>
      <c r="U1868" s="15"/>
    </row>
    <row r="1869" spans="1:21" x14ac:dyDescent="0.35">
      <c r="A1869" t="s">
        <v>14</v>
      </c>
      <c r="B1869" t="s">
        <v>3158</v>
      </c>
      <c r="C1869" t="s">
        <v>1255</v>
      </c>
      <c r="D1869" t="s">
        <v>1256</v>
      </c>
      <c r="E1869" t="s">
        <v>1257</v>
      </c>
      <c r="F1869" t="s">
        <v>3159</v>
      </c>
      <c r="G1869" t="s">
        <v>4136</v>
      </c>
      <c r="H1869" s="15">
        <v>46150</v>
      </c>
      <c r="I1869" t="s">
        <v>4137</v>
      </c>
      <c r="J1869" t="s">
        <v>16</v>
      </c>
      <c r="K1869" t="s">
        <v>185</v>
      </c>
      <c r="N1869">
        <v>0</v>
      </c>
      <c r="O1869" t="s">
        <v>222</v>
      </c>
      <c r="P1869">
        <v>0</v>
      </c>
      <c r="U1869" s="15"/>
    </row>
    <row r="1870" spans="1:21" x14ac:dyDescent="0.35">
      <c r="A1870" t="s">
        <v>14</v>
      </c>
      <c r="B1870" t="s">
        <v>2421</v>
      </c>
      <c r="C1870" t="s">
        <v>1255</v>
      </c>
      <c r="D1870" t="s">
        <v>1256</v>
      </c>
      <c r="E1870" t="s">
        <v>1257</v>
      </c>
      <c r="F1870" t="s">
        <v>2422</v>
      </c>
      <c r="G1870" t="s">
        <v>2934</v>
      </c>
      <c r="H1870" s="15">
        <v>46185</v>
      </c>
      <c r="I1870" t="s">
        <v>2935</v>
      </c>
      <c r="J1870" t="s">
        <v>16</v>
      </c>
      <c r="K1870" t="s">
        <v>185</v>
      </c>
      <c r="N1870">
        <v>0</v>
      </c>
      <c r="O1870" t="s">
        <v>222</v>
      </c>
      <c r="P1870">
        <v>0</v>
      </c>
      <c r="U1870" s="15"/>
    </row>
    <row r="1871" spans="1:21" x14ac:dyDescent="0.35">
      <c r="A1871" t="s">
        <v>14</v>
      </c>
      <c r="B1871" t="s">
        <v>2421</v>
      </c>
      <c r="C1871" t="s">
        <v>1255</v>
      </c>
      <c r="D1871" t="s">
        <v>1256</v>
      </c>
      <c r="E1871" t="s">
        <v>1257</v>
      </c>
      <c r="F1871" t="s">
        <v>2422</v>
      </c>
      <c r="G1871" t="s">
        <v>2936</v>
      </c>
      <c r="H1871" s="15">
        <v>46186</v>
      </c>
      <c r="I1871" t="s">
        <v>2937</v>
      </c>
      <c r="J1871" t="s">
        <v>16</v>
      </c>
      <c r="K1871" t="s">
        <v>185</v>
      </c>
      <c r="N1871">
        <v>0</v>
      </c>
      <c r="O1871" t="s">
        <v>222</v>
      </c>
      <c r="P1871">
        <v>0</v>
      </c>
      <c r="U1871" s="15"/>
    </row>
    <row r="1872" spans="1:21" x14ac:dyDescent="0.35">
      <c r="A1872" t="s">
        <v>14</v>
      </c>
      <c r="B1872" t="s">
        <v>3158</v>
      </c>
      <c r="C1872" t="s">
        <v>515</v>
      </c>
      <c r="D1872" t="s">
        <v>516</v>
      </c>
      <c r="E1872" t="s">
        <v>517</v>
      </c>
      <c r="F1872" t="s">
        <v>3159</v>
      </c>
      <c r="G1872" t="s">
        <v>4136</v>
      </c>
      <c r="H1872" s="15">
        <v>46150</v>
      </c>
      <c r="I1872" t="s">
        <v>4138</v>
      </c>
      <c r="J1872" t="s">
        <v>16</v>
      </c>
      <c r="K1872" t="s">
        <v>185</v>
      </c>
      <c r="N1872">
        <v>0</v>
      </c>
      <c r="O1872" t="s">
        <v>222</v>
      </c>
      <c r="P1872">
        <v>0</v>
      </c>
      <c r="U1872" s="15"/>
    </row>
    <row r="1873" spans="1:21" x14ac:dyDescent="0.35">
      <c r="A1873" t="s">
        <v>14</v>
      </c>
      <c r="B1873" t="s">
        <v>3158</v>
      </c>
      <c r="C1873" t="s">
        <v>777</v>
      </c>
      <c r="D1873" t="s">
        <v>778</v>
      </c>
      <c r="E1873" t="s">
        <v>779</v>
      </c>
      <c r="F1873" t="s">
        <v>3159</v>
      </c>
      <c r="G1873" t="s">
        <v>4139</v>
      </c>
      <c r="H1873" s="15">
        <v>46150</v>
      </c>
      <c r="I1873" t="s">
        <v>4140</v>
      </c>
      <c r="J1873" t="s">
        <v>233</v>
      </c>
      <c r="K1873" t="s">
        <v>185</v>
      </c>
      <c r="N1873">
        <v>0</v>
      </c>
      <c r="O1873" t="s">
        <v>222</v>
      </c>
      <c r="P1873">
        <v>0</v>
      </c>
      <c r="U1873" s="15"/>
    </row>
    <row r="1874" spans="1:21" x14ac:dyDescent="0.35">
      <c r="A1874" t="s">
        <v>14</v>
      </c>
      <c r="B1874" t="s">
        <v>2398</v>
      </c>
      <c r="C1874" t="s">
        <v>777</v>
      </c>
      <c r="D1874" t="s">
        <v>778</v>
      </c>
      <c r="E1874" t="s">
        <v>779</v>
      </c>
      <c r="F1874" t="s">
        <v>2399</v>
      </c>
      <c r="G1874" t="s">
        <v>2534</v>
      </c>
      <c r="H1874" s="15">
        <v>46055</v>
      </c>
      <c r="I1874" t="s">
        <v>2544</v>
      </c>
      <c r="J1874" t="s">
        <v>16</v>
      </c>
      <c r="K1874" t="s">
        <v>185</v>
      </c>
      <c r="N1874">
        <v>0</v>
      </c>
      <c r="O1874" t="s">
        <v>222</v>
      </c>
      <c r="P1874">
        <v>0</v>
      </c>
      <c r="U1874" s="15"/>
    </row>
    <row r="1875" spans="1:21" x14ac:dyDescent="0.35">
      <c r="A1875" t="s">
        <v>14</v>
      </c>
      <c r="B1875" t="s">
        <v>2398</v>
      </c>
      <c r="C1875" t="s">
        <v>777</v>
      </c>
      <c r="D1875" t="s">
        <v>778</v>
      </c>
      <c r="E1875" t="s">
        <v>779</v>
      </c>
      <c r="F1875" t="s">
        <v>2399</v>
      </c>
      <c r="G1875" t="s">
        <v>2534</v>
      </c>
      <c r="H1875" s="15">
        <v>46055</v>
      </c>
      <c r="I1875" t="s">
        <v>2544</v>
      </c>
      <c r="J1875" t="s">
        <v>16</v>
      </c>
      <c r="K1875" t="s">
        <v>185</v>
      </c>
      <c r="N1875">
        <v>0</v>
      </c>
      <c r="O1875" t="s">
        <v>222</v>
      </c>
      <c r="P1875">
        <v>0</v>
      </c>
      <c r="U1875" s="15"/>
    </row>
    <row r="1876" spans="1:21" x14ac:dyDescent="0.35">
      <c r="A1876" t="s">
        <v>14</v>
      </c>
      <c r="B1876" t="s">
        <v>2398</v>
      </c>
      <c r="C1876" t="s">
        <v>515</v>
      </c>
      <c r="D1876" t="s">
        <v>516</v>
      </c>
      <c r="E1876" t="s">
        <v>517</v>
      </c>
      <c r="F1876" t="s">
        <v>2399</v>
      </c>
      <c r="G1876" t="s">
        <v>2545</v>
      </c>
      <c r="H1876" s="15">
        <v>46056</v>
      </c>
      <c r="I1876" t="s">
        <v>2546</v>
      </c>
      <c r="J1876" t="s">
        <v>16</v>
      </c>
      <c r="K1876" t="s">
        <v>185</v>
      </c>
      <c r="N1876">
        <v>0</v>
      </c>
      <c r="O1876" t="s">
        <v>222</v>
      </c>
      <c r="P1876">
        <v>0</v>
      </c>
      <c r="U1876" s="15"/>
    </row>
    <row r="1877" spans="1:21" x14ac:dyDescent="0.35">
      <c r="A1877" t="s">
        <v>14</v>
      </c>
      <c r="B1877" t="s">
        <v>2398</v>
      </c>
      <c r="C1877" t="s">
        <v>2413</v>
      </c>
      <c r="D1877" t="s">
        <v>2414</v>
      </c>
      <c r="E1877" t="s">
        <v>2415</v>
      </c>
      <c r="F1877" t="s">
        <v>2399</v>
      </c>
      <c r="G1877" t="s">
        <v>2545</v>
      </c>
      <c r="H1877" s="15">
        <v>46056</v>
      </c>
      <c r="I1877" t="s">
        <v>2547</v>
      </c>
      <c r="J1877" t="s">
        <v>16</v>
      </c>
      <c r="K1877" t="s">
        <v>185</v>
      </c>
      <c r="N1877">
        <v>0</v>
      </c>
      <c r="O1877" t="s">
        <v>222</v>
      </c>
      <c r="P1877">
        <v>0</v>
      </c>
      <c r="U1877" s="15"/>
    </row>
    <row r="1878" spans="1:21" x14ac:dyDescent="0.35">
      <c r="A1878" t="s">
        <v>14</v>
      </c>
      <c r="B1878" t="s">
        <v>3158</v>
      </c>
      <c r="C1878" t="s">
        <v>515</v>
      </c>
      <c r="D1878" t="s">
        <v>516</v>
      </c>
      <c r="E1878" t="s">
        <v>517</v>
      </c>
      <c r="F1878" t="s">
        <v>3159</v>
      </c>
      <c r="G1878" t="s">
        <v>4141</v>
      </c>
      <c r="H1878" s="15">
        <v>46151</v>
      </c>
      <c r="I1878" t="s">
        <v>4142</v>
      </c>
      <c r="J1878" t="s">
        <v>16</v>
      </c>
      <c r="K1878" t="s">
        <v>185</v>
      </c>
      <c r="N1878">
        <v>0</v>
      </c>
      <c r="O1878" t="s">
        <v>222</v>
      </c>
      <c r="P1878">
        <v>0</v>
      </c>
      <c r="U1878" s="15"/>
    </row>
    <row r="1879" spans="1:21" x14ac:dyDescent="0.35">
      <c r="A1879" t="s">
        <v>14</v>
      </c>
      <c r="B1879" t="s">
        <v>3247</v>
      </c>
      <c r="C1879" t="s">
        <v>515</v>
      </c>
      <c r="D1879" t="s">
        <v>516</v>
      </c>
      <c r="E1879" t="s">
        <v>517</v>
      </c>
      <c r="F1879" t="s">
        <v>4305</v>
      </c>
      <c r="G1879" t="s">
        <v>4398</v>
      </c>
      <c r="H1879" s="15">
        <v>46058</v>
      </c>
      <c r="I1879" t="s">
        <v>4399</v>
      </c>
      <c r="J1879" t="s">
        <v>16</v>
      </c>
      <c r="K1879" t="s">
        <v>185</v>
      </c>
      <c r="N1879">
        <v>0</v>
      </c>
      <c r="O1879" t="s">
        <v>222</v>
      </c>
      <c r="P1879">
        <v>0</v>
      </c>
      <c r="U1879" s="15"/>
    </row>
    <row r="1880" spans="1:21" x14ac:dyDescent="0.35">
      <c r="A1880" t="s">
        <v>14</v>
      </c>
      <c r="B1880" t="s">
        <v>3247</v>
      </c>
      <c r="C1880" t="s">
        <v>1255</v>
      </c>
      <c r="D1880" t="s">
        <v>1256</v>
      </c>
      <c r="E1880" t="s">
        <v>1257</v>
      </c>
      <c r="F1880" t="s">
        <v>4305</v>
      </c>
      <c r="G1880" t="s">
        <v>4400</v>
      </c>
      <c r="H1880" s="15">
        <v>46058</v>
      </c>
      <c r="I1880" t="s">
        <v>4401</v>
      </c>
      <c r="J1880" t="s">
        <v>233</v>
      </c>
      <c r="K1880" t="s">
        <v>185</v>
      </c>
      <c r="N1880">
        <v>0</v>
      </c>
      <c r="O1880" t="s">
        <v>222</v>
      </c>
      <c r="P1880">
        <v>0</v>
      </c>
      <c r="U1880" s="15"/>
    </row>
    <row r="1881" spans="1:21" x14ac:dyDescent="0.35">
      <c r="A1881" t="s">
        <v>14</v>
      </c>
      <c r="B1881" t="s">
        <v>2421</v>
      </c>
      <c r="C1881" t="s">
        <v>1255</v>
      </c>
      <c r="D1881" t="s">
        <v>1256</v>
      </c>
      <c r="E1881" t="s">
        <v>1257</v>
      </c>
      <c r="F1881" t="s">
        <v>2422</v>
      </c>
      <c r="G1881" t="s">
        <v>2938</v>
      </c>
      <c r="H1881" s="15">
        <v>46188</v>
      </c>
      <c r="I1881" t="s">
        <v>2939</v>
      </c>
      <c r="J1881" t="s">
        <v>16</v>
      </c>
      <c r="K1881" t="s">
        <v>185</v>
      </c>
      <c r="N1881">
        <v>0</v>
      </c>
      <c r="O1881" t="s">
        <v>222</v>
      </c>
      <c r="P1881">
        <v>0</v>
      </c>
      <c r="U1881" s="15"/>
    </row>
    <row r="1882" spans="1:21" x14ac:dyDescent="0.35">
      <c r="A1882" t="s">
        <v>14</v>
      </c>
      <c r="B1882" t="s">
        <v>2398</v>
      </c>
      <c r="C1882" t="s">
        <v>667</v>
      </c>
      <c r="D1882" t="s">
        <v>668</v>
      </c>
      <c r="E1882" t="s">
        <v>669</v>
      </c>
      <c r="F1882" t="s">
        <v>2399</v>
      </c>
      <c r="G1882" t="s">
        <v>2545</v>
      </c>
      <c r="H1882" s="15">
        <v>46056</v>
      </c>
      <c r="I1882" t="s">
        <v>2550</v>
      </c>
      <c r="J1882" t="s">
        <v>16</v>
      </c>
      <c r="K1882" t="s">
        <v>185</v>
      </c>
      <c r="N1882">
        <v>0</v>
      </c>
      <c r="O1882" t="s">
        <v>222</v>
      </c>
      <c r="P1882">
        <v>0</v>
      </c>
      <c r="U1882" s="15"/>
    </row>
    <row r="1883" spans="1:21" x14ac:dyDescent="0.35">
      <c r="A1883" t="s">
        <v>14</v>
      </c>
      <c r="B1883" t="s">
        <v>2398</v>
      </c>
      <c r="C1883" t="s">
        <v>515</v>
      </c>
      <c r="D1883" t="s">
        <v>516</v>
      </c>
      <c r="E1883" t="s">
        <v>517</v>
      </c>
      <c r="F1883" t="s">
        <v>2399</v>
      </c>
      <c r="G1883" t="s">
        <v>2551</v>
      </c>
      <c r="H1883" s="15">
        <v>46057</v>
      </c>
      <c r="I1883" t="s">
        <v>2552</v>
      </c>
      <c r="J1883" t="s">
        <v>16</v>
      </c>
      <c r="K1883" t="s">
        <v>185</v>
      </c>
      <c r="N1883">
        <v>0</v>
      </c>
      <c r="O1883" t="s">
        <v>222</v>
      </c>
      <c r="P1883">
        <v>0</v>
      </c>
      <c r="U1883" s="15"/>
    </row>
    <row r="1884" spans="1:21" x14ac:dyDescent="0.35">
      <c r="A1884" t="s">
        <v>14</v>
      </c>
      <c r="B1884" t="s">
        <v>3158</v>
      </c>
      <c r="C1884" t="s">
        <v>1255</v>
      </c>
      <c r="D1884" t="s">
        <v>1256</v>
      </c>
      <c r="E1884" t="s">
        <v>1257</v>
      </c>
      <c r="F1884" t="s">
        <v>3159</v>
      </c>
      <c r="G1884" t="s">
        <v>4141</v>
      </c>
      <c r="H1884" s="15">
        <v>46151</v>
      </c>
      <c r="I1884" t="s">
        <v>4143</v>
      </c>
      <c r="J1884" t="s">
        <v>16</v>
      </c>
      <c r="K1884" t="s">
        <v>185</v>
      </c>
      <c r="N1884">
        <v>0</v>
      </c>
      <c r="O1884" t="s">
        <v>222</v>
      </c>
      <c r="P1884">
        <v>0</v>
      </c>
      <c r="U1884" s="15"/>
    </row>
    <row r="1885" spans="1:21" x14ac:dyDescent="0.35">
      <c r="A1885" t="s">
        <v>14</v>
      </c>
      <c r="B1885" t="s">
        <v>3158</v>
      </c>
      <c r="C1885" t="s">
        <v>667</v>
      </c>
      <c r="D1885" t="s">
        <v>668</v>
      </c>
      <c r="E1885" t="s">
        <v>669</v>
      </c>
      <c r="F1885" t="s">
        <v>3159</v>
      </c>
      <c r="G1885" t="s">
        <v>4148</v>
      </c>
      <c r="H1885" s="15">
        <v>46153</v>
      </c>
      <c r="I1885" t="s">
        <v>4149</v>
      </c>
      <c r="J1885" t="s">
        <v>16</v>
      </c>
      <c r="K1885" t="s">
        <v>185</v>
      </c>
      <c r="N1885">
        <v>0</v>
      </c>
      <c r="O1885" t="s">
        <v>222</v>
      </c>
      <c r="P1885">
        <v>0</v>
      </c>
      <c r="U1885" s="15"/>
    </row>
    <row r="1886" spans="1:21" x14ac:dyDescent="0.35">
      <c r="A1886" t="s">
        <v>14</v>
      </c>
      <c r="B1886" t="s">
        <v>3158</v>
      </c>
      <c r="C1886" t="s">
        <v>515</v>
      </c>
      <c r="D1886" t="s">
        <v>516</v>
      </c>
      <c r="E1886" t="s">
        <v>517</v>
      </c>
      <c r="F1886" t="s">
        <v>3159</v>
      </c>
      <c r="G1886" t="s">
        <v>4148</v>
      </c>
      <c r="H1886" s="15">
        <v>46153</v>
      </c>
      <c r="I1886" t="s">
        <v>4152</v>
      </c>
      <c r="J1886" t="s">
        <v>16</v>
      </c>
      <c r="K1886" t="s">
        <v>185</v>
      </c>
      <c r="N1886">
        <v>0</v>
      </c>
      <c r="O1886" t="s">
        <v>222</v>
      </c>
      <c r="P1886">
        <v>0</v>
      </c>
      <c r="U1886" s="15"/>
    </row>
    <row r="1887" spans="1:21" x14ac:dyDescent="0.35">
      <c r="A1887" t="s">
        <v>14</v>
      </c>
      <c r="B1887" t="s">
        <v>2398</v>
      </c>
      <c r="C1887" t="s">
        <v>515</v>
      </c>
      <c r="D1887" t="s">
        <v>516</v>
      </c>
      <c r="E1887" t="s">
        <v>517</v>
      </c>
      <c r="F1887" t="s">
        <v>2399</v>
      </c>
      <c r="G1887" t="s">
        <v>2551</v>
      </c>
      <c r="H1887" s="15">
        <v>46057</v>
      </c>
      <c r="I1887" t="s">
        <v>2552</v>
      </c>
      <c r="J1887" t="s">
        <v>16</v>
      </c>
      <c r="K1887" t="s">
        <v>185</v>
      </c>
      <c r="N1887">
        <v>0</v>
      </c>
      <c r="O1887" t="s">
        <v>222</v>
      </c>
      <c r="P1887">
        <v>0</v>
      </c>
      <c r="U1887" s="15"/>
    </row>
    <row r="1888" spans="1:21" x14ac:dyDescent="0.35">
      <c r="A1888" t="s">
        <v>14</v>
      </c>
      <c r="B1888" t="s">
        <v>2398</v>
      </c>
      <c r="C1888" t="s">
        <v>2413</v>
      </c>
      <c r="D1888" t="s">
        <v>2414</v>
      </c>
      <c r="E1888" t="s">
        <v>2415</v>
      </c>
      <c r="F1888" t="s">
        <v>2399</v>
      </c>
      <c r="G1888" t="s">
        <v>2551</v>
      </c>
      <c r="H1888" s="15">
        <v>46057</v>
      </c>
      <c r="I1888" t="s">
        <v>2557</v>
      </c>
      <c r="J1888" t="s">
        <v>16</v>
      </c>
      <c r="K1888" t="s">
        <v>185</v>
      </c>
      <c r="N1888">
        <v>0</v>
      </c>
      <c r="O1888" t="s">
        <v>222</v>
      </c>
      <c r="P1888">
        <v>0</v>
      </c>
      <c r="U1888" s="15"/>
    </row>
    <row r="1889" spans="1:21" x14ac:dyDescent="0.35">
      <c r="A1889" t="s">
        <v>14</v>
      </c>
      <c r="B1889" t="s">
        <v>2398</v>
      </c>
      <c r="C1889" t="s">
        <v>658</v>
      </c>
      <c r="D1889" t="s">
        <v>659</v>
      </c>
      <c r="E1889" t="s">
        <v>660</v>
      </c>
      <c r="F1889" t="s">
        <v>2399</v>
      </c>
      <c r="G1889" t="s">
        <v>2551</v>
      </c>
      <c r="H1889" s="15">
        <v>46057</v>
      </c>
      <c r="I1889" t="s">
        <v>2558</v>
      </c>
      <c r="J1889" t="s">
        <v>16</v>
      </c>
      <c r="K1889" t="s">
        <v>185</v>
      </c>
      <c r="N1889">
        <v>0</v>
      </c>
      <c r="O1889" t="s">
        <v>222</v>
      </c>
      <c r="P1889">
        <v>0</v>
      </c>
      <c r="U1889" s="15"/>
    </row>
    <row r="1890" spans="1:21" x14ac:dyDescent="0.35">
      <c r="A1890" t="s">
        <v>14</v>
      </c>
      <c r="B1890" t="s">
        <v>3247</v>
      </c>
      <c r="C1890" t="s">
        <v>515</v>
      </c>
      <c r="D1890" t="s">
        <v>516</v>
      </c>
      <c r="E1890" t="s">
        <v>517</v>
      </c>
      <c r="F1890" t="s">
        <v>4305</v>
      </c>
      <c r="G1890" t="s">
        <v>4407</v>
      </c>
      <c r="H1890" s="15">
        <v>46059</v>
      </c>
      <c r="I1890" t="s">
        <v>4408</v>
      </c>
      <c r="J1890" t="s">
        <v>16</v>
      </c>
      <c r="K1890" t="s">
        <v>185</v>
      </c>
      <c r="N1890">
        <v>0</v>
      </c>
      <c r="O1890" t="s">
        <v>222</v>
      </c>
      <c r="P1890">
        <v>0</v>
      </c>
      <c r="U1890" s="15"/>
    </row>
    <row r="1891" spans="1:21" x14ac:dyDescent="0.35">
      <c r="A1891" t="s">
        <v>14</v>
      </c>
      <c r="B1891" t="s">
        <v>3247</v>
      </c>
      <c r="C1891" t="s">
        <v>1255</v>
      </c>
      <c r="D1891" t="s">
        <v>1256</v>
      </c>
      <c r="E1891" t="s">
        <v>1257</v>
      </c>
      <c r="F1891" t="s">
        <v>4305</v>
      </c>
      <c r="G1891" t="s">
        <v>4409</v>
      </c>
      <c r="H1891" s="15">
        <v>46059</v>
      </c>
      <c r="I1891" t="s">
        <v>4410</v>
      </c>
      <c r="J1891" t="s">
        <v>233</v>
      </c>
      <c r="K1891" t="s">
        <v>185</v>
      </c>
      <c r="N1891">
        <v>0</v>
      </c>
      <c r="O1891" t="s">
        <v>222</v>
      </c>
      <c r="P1891">
        <v>0</v>
      </c>
      <c r="U1891" s="15"/>
    </row>
    <row r="1892" spans="1:21" x14ac:dyDescent="0.35">
      <c r="A1892" t="s">
        <v>14</v>
      </c>
      <c r="B1892" t="s">
        <v>3247</v>
      </c>
      <c r="C1892" t="s">
        <v>570</v>
      </c>
      <c r="D1892" t="s">
        <v>571</v>
      </c>
      <c r="E1892" t="s">
        <v>572</v>
      </c>
      <c r="F1892" t="s">
        <v>4305</v>
      </c>
      <c r="G1892" t="s">
        <v>4411</v>
      </c>
      <c r="H1892" s="15">
        <v>46062</v>
      </c>
      <c r="I1892" t="s">
        <v>4412</v>
      </c>
      <c r="J1892" t="s">
        <v>16</v>
      </c>
      <c r="K1892" t="s">
        <v>185</v>
      </c>
      <c r="N1892">
        <v>0</v>
      </c>
      <c r="O1892" t="s">
        <v>222</v>
      </c>
      <c r="P1892">
        <v>0</v>
      </c>
      <c r="U1892" s="15"/>
    </row>
    <row r="1893" spans="1:21" x14ac:dyDescent="0.35">
      <c r="A1893" t="s">
        <v>14</v>
      </c>
      <c r="B1893" t="s">
        <v>2421</v>
      </c>
      <c r="C1893" t="s">
        <v>1255</v>
      </c>
      <c r="D1893" t="s">
        <v>1256</v>
      </c>
      <c r="E1893" t="s">
        <v>1257</v>
      </c>
      <c r="F1893" t="s">
        <v>2422</v>
      </c>
      <c r="G1893" t="s">
        <v>2943</v>
      </c>
      <c r="H1893" s="15">
        <v>46189</v>
      </c>
      <c r="I1893" t="s">
        <v>2944</v>
      </c>
      <c r="J1893" t="s">
        <v>16</v>
      </c>
      <c r="K1893" t="s">
        <v>185</v>
      </c>
      <c r="N1893">
        <v>0</v>
      </c>
      <c r="O1893" t="s">
        <v>222</v>
      </c>
      <c r="P1893">
        <v>0</v>
      </c>
      <c r="U1893" s="15"/>
    </row>
    <row r="1894" spans="1:21" x14ac:dyDescent="0.35">
      <c r="A1894" t="s">
        <v>14</v>
      </c>
      <c r="B1894" t="s">
        <v>2421</v>
      </c>
      <c r="C1894" t="s">
        <v>1255</v>
      </c>
      <c r="D1894" t="s">
        <v>1256</v>
      </c>
      <c r="E1894" t="s">
        <v>1257</v>
      </c>
      <c r="F1894" t="s">
        <v>2422</v>
      </c>
      <c r="G1894" t="s">
        <v>2948</v>
      </c>
      <c r="H1894" s="15">
        <v>46190</v>
      </c>
      <c r="I1894" t="s">
        <v>2949</v>
      </c>
      <c r="J1894" t="s">
        <v>16</v>
      </c>
      <c r="K1894" t="s">
        <v>185</v>
      </c>
      <c r="N1894">
        <v>0</v>
      </c>
      <c r="O1894" t="s">
        <v>222</v>
      </c>
      <c r="P1894">
        <v>0</v>
      </c>
      <c r="U1894" s="15"/>
    </row>
    <row r="1895" spans="1:21" x14ac:dyDescent="0.35">
      <c r="A1895" t="s">
        <v>14</v>
      </c>
      <c r="B1895" t="s">
        <v>3158</v>
      </c>
      <c r="C1895" t="s">
        <v>667</v>
      </c>
      <c r="D1895" t="s">
        <v>668</v>
      </c>
      <c r="E1895" t="s">
        <v>669</v>
      </c>
      <c r="F1895" t="s">
        <v>3159</v>
      </c>
      <c r="G1895" t="s">
        <v>4153</v>
      </c>
      <c r="H1895" s="15">
        <v>46153</v>
      </c>
      <c r="I1895" t="s">
        <v>4154</v>
      </c>
      <c r="J1895" t="s">
        <v>233</v>
      </c>
      <c r="K1895" t="s">
        <v>185</v>
      </c>
      <c r="N1895">
        <v>0</v>
      </c>
      <c r="O1895" t="s">
        <v>222</v>
      </c>
      <c r="P1895">
        <v>0</v>
      </c>
      <c r="U1895" s="15"/>
    </row>
    <row r="1896" spans="1:21" x14ac:dyDescent="0.35">
      <c r="A1896" t="s">
        <v>14</v>
      </c>
      <c r="B1896" t="s">
        <v>3158</v>
      </c>
      <c r="C1896" t="s">
        <v>1255</v>
      </c>
      <c r="D1896" t="s">
        <v>1256</v>
      </c>
      <c r="E1896" t="s">
        <v>1257</v>
      </c>
      <c r="F1896" t="s">
        <v>3159</v>
      </c>
      <c r="G1896" t="s">
        <v>4155</v>
      </c>
      <c r="H1896" s="15">
        <v>46154</v>
      </c>
      <c r="I1896" t="s">
        <v>4156</v>
      </c>
      <c r="J1896" t="s">
        <v>16</v>
      </c>
      <c r="K1896" t="s">
        <v>185</v>
      </c>
      <c r="N1896">
        <v>0</v>
      </c>
      <c r="O1896" t="s">
        <v>222</v>
      </c>
      <c r="P1896">
        <v>0</v>
      </c>
      <c r="U1896" s="15"/>
    </row>
    <row r="1897" spans="1:21" x14ac:dyDescent="0.35">
      <c r="A1897" t="s">
        <v>14</v>
      </c>
      <c r="B1897" t="s">
        <v>2398</v>
      </c>
      <c r="C1897" t="s">
        <v>667</v>
      </c>
      <c r="D1897" t="s">
        <v>668</v>
      </c>
      <c r="E1897" t="s">
        <v>669</v>
      </c>
      <c r="F1897" t="s">
        <v>2399</v>
      </c>
      <c r="G1897" t="s">
        <v>2551</v>
      </c>
      <c r="H1897" s="15">
        <v>46057</v>
      </c>
      <c r="I1897" t="s">
        <v>2562</v>
      </c>
      <c r="J1897" t="s">
        <v>16</v>
      </c>
      <c r="K1897" t="s">
        <v>185</v>
      </c>
      <c r="N1897">
        <v>0</v>
      </c>
      <c r="O1897" t="s">
        <v>222</v>
      </c>
      <c r="P1897">
        <v>0</v>
      </c>
      <c r="U1897" s="15"/>
    </row>
    <row r="1898" spans="1:21" x14ac:dyDescent="0.35">
      <c r="A1898" t="s">
        <v>14</v>
      </c>
      <c r="B1898" t="s">
        <v>2421</v>
      </c>
      <c r="C1898" t="s">
        <v>1255</v>
      </c>
      <c r="D1898" t="s">
        <v>1256</v>
      </c>
      <c r="E1898" t="s">
        <v>1257</v>
      </c>
      <c r="F1898" t="s">
        <v>2422</v>
      </c>
      <c r="G1898" t="s">
        <v>2950</v>
      </c>
      <c r="H1898" s="15">
        <v>46191</v>
      </c>
      <c r="I1898" t="s">
        <v>2951</v>
      </c>
      <c r="J1898" t="s">
        <v>16</v>
      </c>
      <c r="K1898" t="s">
        <v>185</v>
      </c>
      <c r="N1898">
        <v>0</v>
      </c>
      <c r="O1898" t="s">
        <v>222</v>
      </c>
      <c r="P1898">
        <v>0</v>
      </c>
      <c r="U1898" s="15"/>
    </row>
    <row r="1899" spans="1:21" x14ac:dyDescent="0.35">
      <c r="A1899" t="s">
        <v>14</v>
      </c>
      <c r="B1899" t="s">
        <v>3158</v>
      </c>
      <c r="C1899" t="s">
        <v>515</v>
      </c>
      <c r="D1899" t="s">
        <v>516</v>
      </c>
      <c r="E1899" t="s">
        <v>517</v>
      </c>
      <c r="F1899" t="s">
        <v>3159</v>
      </c>
      <c r="G1899" t="s">
        <v>4155</v>
      </c>
      <c r="H1899" s="15">
        <v>46154</v>
      </c>
      <c r="I1899" t="s">
        <v>4165</v>
      </c>
      <c r="J1899" t="s">
        <v>16</v>
      </c>
      <c r="K1899" t="s">
        <v>185</v>
      </c>
      <c r="N1899">
        <v>0</v>
      </c>
      <c r="O1899" t="s">
        <v>222</v>
      </c>
      <c r="P1899">
        <v>0</v>
      </c>
      <c r="U1899" s="15"/>
    </row>
    <row r="1900" spans="1:21" x14ac:dyDescent="0.35">
      <c r="A1900" t="s">
        <v>14</v>
      </c>
      <c r="B1900" t="s">
        <v>3158</v>
      </c>
      <c r="C1900" t="s">
        <v>1255</v>
      </c>
      <c r="D1900" t="s">
        <v>1256</v>
      </c>
      <c r="E1900" t="s">
        <v>1257</v>
      </c>
      <c r="F1900" t="s">
        <v>3159</v>
      </c>
      <c r="G1900" t="s">
        <v>4166</v>
      </c>
      <c r="H1900" s="15">
        <v>46154</v>
      </c>
      <c r="I1900" t="s">
        <v>4167</v>
      </c>
      <c r="J1900" t="s">
        <v>233</v>
      </c>
      <c r="K1900" t="s">
        <v>185</v>
      </c>
      <c r="N1900">
        <v>0</v>
      </c>
      <c r="O1900" t="s">
        <v>222</v>
      </c>
      <c r="P1900">
        <v>0</v>
      </c>
      <c r="U1900" s="15"/>
    </row>
    <row r="1901" spans="1:21" x14ac:dyDescent="0.35">
      <c r="A1901" t="s">
        <v>14</v>
      </c>
      <c r="B1901" t="s">
        <v>3247</v>
      </c>
      <c r="C1901" t="s">
        <v>1255</v>
      </c>
      <c r="D1901" t="s">
        <v>1256</v>
      </c>
      <c r="E1901" t="s">
        <v>1257</v>
      </c>
      <c r="F1901" t="s">
        <v>4305</v>
      </c>
      <c r="G1901" t="s">
        <v>4413</v>
      </c>
      <c r="H1901" s="15">
        <v>46062</v>
      </c>
      <c r="I1901" t="s">
        <v>4414</v>
      </c>
      <c r="J1901" t="s">
        <v>233</v>
      </c>
      <c r="K1901" t="s">
        <v>185</v>
      </c>
      <c r="N1901">
        <v>0</v>
      </c>
      <c r="O1901" t="s">
        <v>222</v>
      </c>
      <c r="P1901">
        <v>0</v>
      </c>
      <c r="U1901" s="15"/>
    </row>
    <row r="1902" spans="1:21" x14ac:dyDescent="0.35">
      <c r="A1902" t="s">
        <v>14</v>
      </c>
      <c r="B1902" t="s">
        <v>3247</v>
      </c>
      <c r="C1902" t="s">
        <v>515</v>
      </c>
      <c r="D1902" t="s">
        <v>516</v>
      </c>
      <c r="E1902" t="s">
        <v>517</v>
      </c>
      <c r="F1902" t="s">
        <v>4305</v>
      </c>
      <c r="G1902" t="s">
        <v>4415</v>
      </c>
      <c r="H1902" s="15">
        <v>46063</v>
      </c>
      <c r="I1902" t="s">
        <v>4416</v>
      </c>
      <c r="J1902" t="s">
        <v>16</v>
      </c>
      <c r="K1902" t="s">
        <v>185</v>
      </c>
      <c r="N1902">
        <v>0</v>
      </c>
      <c r="O1902" t="s">
        <v>222</v>
      </c>
      <c r="P1902">
        <v>0</v>
      </c>
      <c r="U1902" s="15"/>
    </row>
    <row r="1903" spans="1:21" x14ac:dyDescent="0.35">
      <c r="A1903" t="s">
        <v>14</v>
      </c>
      <c r="B1903" t="s">
        <v>2398</v>
      </c>
      <c r="C1903" t="s">
        <v>515</v>
      </c>
      <c r="D1903" t="s">
        <v>516</v>
      </c>
      <c r="E1903" t="s">
        <v>517</v>
      </c>
      <c r="F1903" t="s">
        <v>2399</v>
      </c>
      <c r="G1903" t="s">
        <v>2567</v>
      </c>
      <c r="H1903" s="15">
        <v>46058</v>
      </c>
      <c r="I1903" t="s">
        <v>2568</v>
      </c>
      <c r="J1903" t="s">
        <v>16</v>
      </c>
      <c r="K1903" t="s">
        <v>185</v>
      </c>
      <c r="N1903">
        <v>0</v>
      </c>
      <c r="O1903" t="s">
        <v>222</v>
      </c>
      <c r="P1903">
        <v>0</v>
      </c>
      <c r="U1903" s="15"/>
    </row>
    <row r="1904" spans="1:21" x14ac:dyDescent="0.35">
      <c r="A1904" t="s">
        <v>14</v>
      </c>
      <c r="B1904" t="s">
        <v>2398</v>
      </c>
      <c r="C1904" t="s">
        <v>2413</v>
      </c>
      <c r="D1904" t="s">
        <v>2414</v>
      </c>
      <c r="E1904" t="s">
        <v>2415</v>
      </c>
      <c r="F1904" t="s">
        <v>2399</v>
      </c>
      <c r="G1904" t="s">
        <v>2567</v>
      </c>
      <c r="H1904" s="15">
        <v>46058</v>
      </c>
      <c r="I1904" t="s">
        <v>2569</v>
      </c>
      <c r="J1904" t="s">
        <v>16</v>
      </c>
      <c r="K1904" t="s">
        <v>185</v>
      </c>
      <c r="N1904">
        <v>0</v>
      </c>
      <c r="O1904" t="s">
        <v>222</v>
      </c>
      <c r="P1904">
        <v>0</v>
      </c>
      <c r="U1904" s="15"/>
    </row>
    <row r="1905" spans="1:21" x14ac:dyDescent="0.35">
      <c r="A1905" t="s">
        <v>14</v>
      </c>
      <c r="B1905" t="s">
        <v>3158</v>
      </c>
      <c r="C1905" t="s">
        <v>1255</v>
      </c>
      <c r="D1905" t="s">
        <v>1256</v>
      </c>
      <c r="E1905" t="s">
        <v>1257</v>
      </c>
      <c r="F1905" t="s">
        <v>3159</v>
      </c>
      <c r="G1905" t="s">
        <v>4172</v>
      </c>
      <c r="H1905" s="15">
        <v>46155</v>
      </c>
      <c r="I1905" t="s">
        <v>4173</v>
      </c>
      <c r="J1905" t="s">
        <v>16</v>
      </c>
      <c r="K1905" t="s">
        <v>185</v>
      </c>
      <c r="N1905">
        <v>0</v>
      </c>
      <c r="O1905" t="s">
        <v>222</v>
      </c>
      <c r="P1905">
        <v>0</v>
      </c>
      <c r="U1905" s="15"/>
    </row>
    <row r="1906" spans="1:21" x14ac:dyDescent="0.35">
      <c r="A1906" t="s">
        <v>14</v>
      </c>
      <c r="B1906" t="s">
        <v>2421</v>
      </c>
      <c r="C1906" t="s">
        <v>1255</v>
      </c>
      <c r="D1906" t="s">
        <v>1256</v>
      </c>
      <c r="E1906" t="s">
        <v>1257</v>
      </c>
      <c r="F1906" t="s">
        <v>2422</v>
      </c>
      <c r="G1906" t="s">
        <v>2955</v>
      </c>
      <c r="H1906" s="15">
        <v>46192</v>
      </c>
      <c r="I1906" t="s">
        <v>2956</v>
      </c>
      <c r="J1906" t="s">
        <v>16</v>
      </c>
      <c r="K1906" t="s">
        <v>185</v>
      </c>
      <c r="N1906">
        <v>0</v>
      </c>
      <c r="O1906" t="s">
        <v>222</v>
      </c>
      <c r="P1906">
        <v>0</v>
      </c>
      <c r="U1906" s="15"/>
    </row>
    <row r="1907" spans="1:21" x14ac:dyDescent="0.35">
      <c r="A1907" t="s">
        <v>14</v>
      </c>
      <c r="B1907" t="s">
        <v>2398</v>
      </c>
      <c r="C1907" t="s">
        <v>1255</v>
      </c>
      <c r="D1907" t="s">
        <v>1256</v>
      </c>
      <c r="E1907" t="s">
        <v>1257</v>
      </c>
      <c r="F1907" t="s">
        <v>2399</v>
      </c>
      <c r="G1907" t="s">
        <v>2567</v>
      </c>
      <c r="H1907" s="15">
        <v>46058</v>
      </c>
      <c r="I1907" t="s">
        <v>2570</v>
      </c>
      <c r="J1907" t="s">
        <v>16</v>
      </c>
      <c r="K1907" t="s">
        <v>185</v>
      </c>
      <c r="N1907">
        <v>0</v>
      </c>
      <c r="O1907" t="s">
        <v>222</v>
      </c>
      <c r="P1907">
        <v>0</v>
      </c>
      <c r="U1907" s="15"/>
    </row>
    <row r="1908" spans="1:21" x14ac:dyDescent="0.35">
      <c r="A1908" t="s">
        <v>14</v>
      </c>
      <c r="B1908" t="s">
        <v>3158</v>
      </c>
      <c r="C1908" t="s">
        <v>515</v>
      </c>
      <c r="D1908" t="s">
        <v>516</v>
      </c>
      <c r="E1908" t="s">
        <v>517</v>
      </c>
      <c r="F1908" t="s">
        <v>3159</v>
      </c>
      <c r="G1908" t="s">
        <v>4172</v>
      </c>
      <c r="H1908" s="15">
        <v>46155</v>
      </c>
      <c r="I1908" t="s">
        <v>4174</v>
      </c>
      <c r="J1908" t="s">
        <v>16</v>
      </c>
      <c r="K1908" t="s">
        <v>185</v>
      </c>
      <c r="N1908">
        <v>0</v>
      </c>
      <c r="O1908" t="s">
        <v>222</v>
      </c>
      <c r="P1908">
        <v>0</v>
      </c>
      <c r="U1908" s="15"/>
    </row>
    <row r="1909" spans="1:21" x14ac:dyDescent="0.35">
      <c r="A1909" t="s">
        <v>14</v>
      </c>
      <c r="B1909" t="s">
        <v>2421</v>
      </c>
      <c r="C1909" t="s">
        <v>1255</v>
      </c>
      <c r="D1909" t="s">
        <v>1256</v>
      </c>
      <c r="E1909" t="s">
        <v>1257</v>
      </c>
      <c r="F1909" t="s">
        <v>2422</v>
      </c>
      <c r="G1909" t="s">
        <v>2960</v>
      </c>
      <c r="H1909" s="15">
        <v>46193</v>
      </c>
      <c r="I1909" t="s">
        <v>2961</v>
      </c>
      <c r="J1909" t="s">
        <v>16</v>
      </c>
      <c r="K1909" t="s">
        <v>185</v>
      </c>
      <c r="N1909">
        <v>0</v>
      </c>
      <c r="O1909" t="s">
        <v>222</v>
      </c>
      <c r="P1909">
        <v>0</v>
      </c>
      <c r="U1909" s="15"/>
    </row>
    <row r="1910" spans="1:21" x14ac:dyDescent="0.35">
      <c r="A1910" t="s">
        <v>14</v>
      </c>
      <c r="B1910" t="s">
        <v>2398</v>
      </c>
      <c r="C1910" t="s">
        <v>515</v>
      </c>
      <c r="D1910" t="s">
        <v>516</v>
      </c>
      <c r="E1910" t="s">
        <v>517</v>
      </c>
      <c r="F1910" t="s">
        <v>2399</v>
      </c>
      <c r="G1910" t="s">
        <v>2582</v>
      </c>
      <c r="H1910" s="15">
        <v>46062</v>
      </c>
      <c r="I1910" t="s">
        <v>2583</v>
      </c>
      <c r="J1910" t="s">
        <v>16</v>
      </c>
      <c r="K1910" t="s">
        <v>185</v>
      </c>
      <c r="N1910">
        <v>0</v>
      </c>
      <c r="O1910" t="s">
        <v>222</v>
      </c>
      <c r="P1910">
        <v>0</v>
      </c>
      <c r="U1910" s="15"/>
    </row>
    <row r="1911" spans="1:21" x14ac:dyDescent="0.35">
      <c r="A1911" t="s">
        <v>14</v>
      </c>
      <c r="B1911" t="s">
        <v>2398</v>
      </c>
      <c r="C1911" t="s">
        <v>2413</v>
      </c>
      <c r="D1911" t="s">
        <v>2414</v>
      </c>
      <c r="E1911" t="s">
        <v>2415</v>
      </c>
      <c r="F1911" t="s">
        <v>2399</v>
      </c>
      <c r="G1911" t="s">
        <v>2582</v>
      </c>
      <c r="H1911" s="15">
        <v>46062</v>
      </c>
      <c r="I1911" t="s">
        <v>2584</v>
      </c>
      <c r="J1911" t="s">
        <v>16</v>
      </c>
      <c r="K1911" t="s">
        <v>185</v>
      </c>
      <c r="N1911">
        <v>0</v>
      </c>
      <c r="O1911" t="s">
        <v>222</v>
      </c>
      <c r="P1911">
        <v>0</v>
      </c>
      <c r="U1911" s="15"/>
    </row>
    <row r="1912" spans="1:21" x14ac:dyDescent="0.35">
      <c r="A1912" t="s">
        <v>14</v>
      </c>
      <c r="B1912" t="s">
        <v>3158</v>
      </c>
      <c r="C1912" t="s">
        <v>932</v>
      </c>
      <c r="D1912" t="s">
        <v>933</v>
      </c>
      <c r="E1912" t="s">
        <v>934</v>
      </c>
      <c r="F1912" t="s">
        <v>3159</v>
      </c>
      <c r="G1912" t="s">
        <v>4175</v>
      </c>
      <c r="H1912" s="15">
        <v>46155</v>
      </c>
      <c r="I1912" t="s">
        <v>4176</v>
      </c>
      <c r="J1912" t="s">
        <v>233</v>
      </c>
      <c r="K1912" t="s">
        <v>185</v>
      </c>
      <c r="N1912">
        <v>0</v>
      </c>
      <c r="O1912" t="s">
        <v>222</v>
      </c>
      <c r="P1912">
        <v>0</v>
      </c>
      <c r="U1912" s="15"/>
    </row>
    <row r="1913" spans="1:21" x14ac:dyDescent="0.35">
      <c r="A1913" t="s">
        <v>14</v>
      </c>
      <c r="B1913" t="s">
        <v>3158</v>
      </c>
      <c r="C1913" t="s">
        <v>515</v>
      </c>
      <c r="D1913" t="s">
        <v>516</v>
      </c>
      <c r="E1913" t="s">
        <v>517</v>
      </c>
      <c r="F1913" t="s">
        <v>3159</v>
      </c>
      <c r="G1913" t="s">
        <v>4177</v>
      </c>
      <c r="H1913" s="15">
        <v>46156</v>
      </c>
      <c r="I1913" t="s">
        <v>4178</v>
      </c>
      <c r="J1913" t="s">
        <v>16</v>
      </c>
      <c r="K1913" t="s">
        <v>185</v>
      </c>
      <c r="N1913">
        <v>0</v>
      </c>
      <c r="O1913" t="s">
        <v>222</v>
      </c>
      <c r="P1913">
        <v>0</v>
      </c>
      <c r="U1913" s="15"/>
    </row>
    <row r="1914" spans="1:21" x14ac:dyDescent="0.35">
      <c r="A1914" t="s">
        <v>14</v>
      </c>
      <c r="B1914" t="s">
        <v>2421</v>
      </c>
      <c r="C1914" t="s">
        <v>737</v>
      </c>
      <c r="D1914" t="s">
        <v>738</v>
      </c>
      <c r="E1914" t="s">
        <v>739</v>
      </c>
      <c r="F1914" t="s">
        <v>2422</v>
      </c>
      <c r="G1914" t="s">
        <v>2962</v>
      </c>
      <c r="H1914" s="15">
        <v>46195</v>
      </c>
      <c r="I1914" t="s">
        <v>2963</v>
      </c>
      <c r="J1914" t="s">
        <v>233</v>
      </c>
      <c r="K1914" t="s">
        <v>185</v>
      </c>
      <c r="N1914">
        <v>0</v>
      </c>
      <c r="O1914" t="s">
        <v>222</v>
      </c>
      <c r="P1914">
        <v>0</v>
      </c>
      <c r="U1914" s="15"/>
    </row>
    <row r="1915" spans="1:21" x14ac:dyDescent="0.35">
      <c r="A1915" t="s">
        <v>14</v>
      </c>
      <c r="B1915" t="s">
        <v>3158</v>
      </c>
      <c r="C1915" t="s">
        <v>1255</v>
      </c>
      <c r="D1915" t="s">
        <v>1256</v>
      </c>
      <c r="E1915" t="s">
        <v>1257</v>
      </c>
      <c r="F1915" t="s">
        <v>3159</v>
      </c>
      <c r="G1915" t="s">
        <v>4177</v>
      </c>
      <c r="H1915" s="15">
        <v>46156</v>
      </c>
      <c r="I1915" t="s">
        <v>4179</v>
      </c>
      <c r="J1915" t="s">
        <v>16</v>
      </c>
      <c r="K1915" t="s">
        <v>185</v>
      </c>
      <c r="N1915">
        <v>0</v>
      </c>
      <c r="O1915" t="s">
        <v>222</v>
      </c>
      <c r="P1915">
        <v>0</v>
      </c>
      <c r="U1915" s="15"/>
    </row>
    <row r="1916" spans="1:21" x14ac:dyDescent="0.35">
      <c r="A1916" t="s">
        <v>14</v>
      </c>
      <c r="B1916" t="s">
        <v>2398</v>
      </c>
      <c r="C1916" t="s">
        <v>1255</v>
      </c>
      <c r="D1916" t="s">
        <v>1256</v>
      </c>
      <c r="E1916" t="s">
        <v>1257</v>
      </c>
      <c r="F1916" t="s">
        <v>2399</v>
      </c>
      <c r="G1916" t="s">
        <v>2582</v>
      </c>
      <c r="H1916" s="15">
        <v>46062</v>
      </c>
      <c r="I1916" t="s">
        <v>2589</v>
      </c>
      <c r="J1916" t="s">
        <v>16</v>
      </c>
      <c r="K1916" t="s">
        <v>185</v>
      </c>
      <c r="N1916">
        <v>0</v>
      </c>
      <c r="O1916" t="s">
        <v>222</v>
      </c>
      <c r="P1916">
        <v>0</v>
      </c>
      <c r="U1916" s="15"/>
    </row>
    <row r="1917" spans="1:21" x14ac:dyDescent="0.35">
      <c r="A1917" t="s">
        <v>14</v>
      </c>
      <c r="B1917" t="s">
        <v>2398</v>
      </c>
      <c r="C1917" t="s">
        <v>515</v>
      </c>
      <c r="D1917" t="s">
        <v>516</v>
      </c>
      <c r="E1917" t="s">
        <v>517</v>
      </c>
      <c r="F1917" t="s">
        <v>2399</v>
      </c>
      <c r="G1917" t="s">
        <v>2590</v>
      </c>
      <c r="H1917" s="15">
        <v>46063</v>
      </c>
      <c r="I1917" t="s">
        <v>2591</v>
      </c>
      <c r="J1917" t="s">
        <v>16</v>
      </c>
      <c r="K1917" t="s">
        <v>185</v>
      </c>
      <c r="N1917">
        <v>0</v>
      </c>
      <c r="O1917" t="s">
        <v>222</v>
      </c>
      <c r="P1917">
        <v>0</v>
      </c>
      <c r="U1917" s="15"/>
    </row>
    <row r="1918" spans="1:21" x14ac:dyDescent="0.35">
      <c r="A1918" t="s">
        <v>14</v>
      </c>
      <c r="B1918" t="s">
        <v>3247</v>
      </c>
      <c r="C1918" t="s">
        <v>1255</v>
      </c>
      <c r="D1918" t="s">
        <v>1256</v>
      </c>
      <c r="E1918" t="s">
        <v>1257</v>
      </c>
      <c r="F1918" t="s">
        <v>4305</v>
      </c>
      <c r="G1918" t="s">
        <v>4423</v>
      </c>
      <c r="H1918" s="15">
        <v>46063</v>
      </c>
      <c r="I1918" t="s">
        <v>4424</v>
      </c>
      <c r="J1918" t="s">
        <v>233</v>
      </c>
      <c r="K1918" t="s">
        <v>185</v>
      </c>
      <c r="N1918">
        <v>0</v>
      </c>
      <c r="O1918" t="s">
        <v>222</v>
      </c>
      <c r="P1918">
        <v>0</v>
      </c>
      <c r="U1918" s="15"/>
    </row>
    <row r="1919" spans="1:21" x14ac:dyDescent="0.35">
      <c r="A1919" t="s">
        <v>14</v>
      </c>
      <c r="B1919" t="s">
        <v>3247</v>
      </c>
      <c r="C1919" t="s">
        <v>515</v>
      </c>
      <c r="D1919" t="s">
        <v>516</v>
      </c>
      <c r="E1919" t="s">
        <v>517</v>
      </c>
      <c r="F1919" t="s">
        <v>4305</v>
      </c>
      <c r="G1919" t="s">
        <v>4425</v>
      </c>
      <c r="H1919" s="15">
        <v>46064</v>
      </c>
      <c r="I1919" t="s">
        <v>4426</v>
      </c>
      <c r="J1919" t="s">
        <v>16</v>
      </c>
      <c r="K1919" t="s">
        <v>185</v>
      </c>
      <c r="N1919">
        <v>0</v>
      </c>
      <c r="O1919" t="s">
        <v>222</v>
      </c>
      <c r="P1919">
        <v>0</v>
      </c>
      <c r="U1919" s="15"/>
    </row>
    <row r="1920" spans="1:21" x14ac:dyDescent="0.35">
      <c r="A1920" t="s">
        <v>14</v>
      </c>
      <c r="B1920" t="s">
        <v>3158</v>
      </c>
      <c r="C1920" t="s">
        <v>515</v>
      </c>
      <c r="D1920" t="s">
        <v>516</v>
      </c>
      <c r="E1920" t="s">
        <v>517</v>
      </c>
      <c r="F1920" t="s">
        <v>3159</v>
      </c>
      <c r="G1920" t="s">
        <v>4180</v>
      </c>
      <c r="H1920" s="15">
        <v>46156</v>
      </c>
      <c r="I1920" t="s">
        <v>4181</v>
      </c>
      <c r="J1920" t="s">
        <v>233</v>
      </c>
      <c r="K1920" t="s">
        <v>185</v>
      </c>
      <c r="N1920">
        <v>0</v>
      </c>
      <c r="O1920" t="s">
        <v>222</v>
      </c>
      <c r="P1920">
        <v>0</v>
      </c>
      <c r="U1920" s="15"/>
    </row>
    <row r="1921" spans="1:21" x14ac:dyDescent="0.35">
      <c r="A1921" t="s">
        <v>14</v>
      </c>
      <c r="B1921" t="s">
        <v>3158</v>
      </c>
      <c r="C1921" t="s">
        <v>1255</v>
      </c>
      <c r="D1921" t="s">
        <v>1256</v>
      </c>
      <c r="E1921" t="s">
        <v>1257</v>
      </c>
      <c r="F1921" t="s">
        <v>3159</v>
      </c>
      <c r="G1921" t="s">
        <v>4180</v>
      </c>
      <c r="H1921" s="15">
        <v>46156</v>
      </c>
      <c r="I1921" t="s">
        <v>4184</v>
      </c>
      <c r="J1921" t="s">
        <v>233</v>
      </c>
      <c r="K1921" t="s">
        <v>185</v>
      </c>
      <c r="N1921">
        <v>0</v>
      </c>
      <c r="O1921" t="s">
        <v>222</v>
      </c>
      <c r="P1921">
        <v>0</v>
      </c>
      <c r="U1921" s="15"/>
    </row>
    <row r="1922" spans="1:21" x14ac:dyDescent="0.35">
      <c r="A1922" t="s">
        <v>14</v>
      </c>
      <c r="B1922" t="s">
        <v>2421</v>
      </c>
      <c r="C1922" t="s">
        <v>667</v>
      </c>
      <c r="D1922" t="s">
        <v>668</v>
      </c>
      <c r="E1922" t="s">
        <v>669</v>
      </c>
      <c r="F1922" t="s">
        <v>2422</v>
      </c>
      <c r="G1922" t="s">
        <v>2964</v>
      </c>
      <c r="H1922" s="15">
        <v>46196</v>
      </c>
      <c r="I1922" t="s">
        <v>2965</v>
      </c>
      <c r="J1922" t="s">
        <v>16</v>
      </c>
      <c r="K1922" t="s">
        <v>185</v>
      </c>
      <c r="N1922">
        <v>0</v>
      </c>
      <c r="O1922" t="s">
        <v>222</v>
      </c>
      <c r="P1922">
        <v>0</v>
      </c>
      <c r="U1922" s="15"/>
    </row>
    <row r="1923" spans="1:21" x14ac:dyDescent="0.35">
      <c r="A1923" t="s">
        <v>14</v>
      </c>
      <c r="B1923" t="s">
        <v>2421</v>
      </c>
      <c r="C1923" t="s">
        <v>667</v>
      </c>
      <c r="D1923" t="s">
        <v>668</v>
      </c>
      <c r="E1923" t="s">
        <v>669</v>
      </c>
      <c r="F1923" t="s">
        <v>2422</v>
      </c>
      <c r="G1923" t="s">
        <v>2970</v>
      </c>
      <c r="H1923" s="15">
        <v>46197</v>
      </c>
      <c r="I1923" t="s">
        <v>2971</v>
      </c>
      <c r="J1923" t="s">
        <v>16</v>
      </c>
      <c r="K1923" t="s">
        <v>185</v>
      </c>
      <c r="N1923">
        <v>0</v>
      </c>
      <c r="O1923" t="s">
        <v>222</v>
      </c>
      <c r="P1923">
        <v>0</v>
      </c>
      <c r="U1923" s="15"/>
    </row>
    <row r="1924" spans="1:21" x14ac:dyDescent="0.35">
      <c r="A1924" t="s">
        <v>14</v>
      </c>
      <c r="B1924" t="s">
        <v>2398</v>
      </c>
      <c r="C1924" t="s">
        <v>2413</v>
      </c>
      <c r="D1924" t="s">
        <v>2414</v>
      </c>
      <c r="E1924" t="s">
        <v>2415</v>
      </c>
      <c r="F1924" t="s">
        <v>2399</v>
      </c>
      <c r="G1924" t="s">
        <v>2590</v>
      </c>
      <c r="H1924" s="15">
        <v>46063</v>
      </c>
      <c r="I1924" t="s">
        <v>2596</v>
      </c>
      <c r="J1924" t="s">
        <v>16</v>
      </c>
      <c r="K1924" t="s">
        <v>185</v>
      </c>
      <c r="N1924">
        <v>0</v>
      </c>
      <c r="O1924" t="s">
        <v>222</v>
      </c>
      <c r="P1924">
        <v>0</v>
      </c>
      <c r="U1924" s="15"/>
    </row>
    <row r="1925" spans="1:21" x14ac:dyDescent="0.35">
      <c r="A1925" t="s">
        <v>14</v>
      </c>
      <c r="B1925" t="s">
        <v>2398</v>
      </c>
      <c r="C1925" t="s">
        <v>1255</v>
      </c>
      <c r="D1925" t="s">
        <v>1256</v>
      </c>
      <c r="E1925" t="s">
        <v>1257</v>
      </c>
      <c r="F1925" t="s">
        <v>2399</v>
      </c>
      <c r="G1925" t="s">
        <v>2590</v>
      </c>
      <c r="H1925" s="15">
        <v>46063</v>
      </c>
      <c r="I1925" t="s">
        <v>2597</v>
      </c>
      <c r="J1925" t="s">
        <v>16</v>
      </c>
      <c r="K1925" t="s">
        <v>185</v>
      </c>
      <c r="N1925">
        <v>0</v>
      </c>
      <c r="O1925" t="s">
        <v>222</v>
      </c>
      <c r="P1925">
        <v>0</v>
      </c>
      <c r="U1925" s="15"/>
    </row>
    <row r="1926" spans="1:21" x14ac:dyDescent="0.35">
      <c r="A1926" t="s">
        <v>14</v>
      </c>
      <c r="B1926" t="s">
        <v>3247</v>
      </c>
      <c r="C1926" t="s">
        <v>647</v>
      </c>
      <c r="D1926" t="s">
        <v>648</v>
      </c>
      <c r="E1926" t="s">
        <v>649</v>
      </c>
      <c r="F1926" t="s">
        <v>4305</v>
      </c>
      <c r="G1926" t="s">
        <v>4430</v>
      </c>
      <c r="H1926" s="15">
        <v>46064</v>
      </c>
      <c r="I1926" t="s">
        <v>4431</v>
      </c>
      <c r="J1926" t="s">
        <v>233</v>
      </c>
      <c r="K1926" t="s">
        <v>185</v>
      </c>
      <c r="N1926">
        <v>0</v>
      </c>
      <c r="O1926" t="s">
        <v>222</v>
      </c>
      <c r="P1926">
        <v>0</v>
      </c>
      <c r="U1926" s="15"/>
    </row>
    <row r="1927" spans="1:21" x14ac:dyDescent="0.35">
      <c r="A1927" t="s">
        <v>14</v>
      </c>
      <c r="B1927" t="s">
        <v>3247</v>
      </c>
      <c r="C1927" t="s">
        <v>515</v>
      </c>
      <c r="D1927" t="s">
        <v>516</v>
      </c>
      <c r="E1927" t="s">
        <v>517</v>
      </c>
      <c r="F1927" t="s">
        <v>4305</v>
      </c>
      <c r="G1927" t="s">
        <v>4432</v>
      </c>
      <c r="H1927" s="15">
        <v>46065</v>
      </c>
      <c r="I1927" t="s">
        <v>4433</v>
      </c>
      <c r="J1927" t="s">
        <v>16</v>
      </c>
      <c r="K1927" t="s">
        <v>185</v>
      </c>
      <c r="N1927">
        <v>0</v>
      </c>
      <c r="O1927" t="s">
        <v>222</v>
      </c>
      <c r="P1927">
        <v>0</v>
      </c>
      <c r="U1927" s="15"/>
    </row>
    <row r="1928" spans="1:21" x14ac:dyDescent="0.35">
      <c r="A1928" t="s">
        <v>14</v>
      </c>
      <c r="B1928" t="s">
        <v>3158</v>
      </c>
      <c r="C1928" t="s">
        <v>1255</v>
      </c>
      <c r="D1928" t="s">
        <v>1256</v>
      </c>
      <c r="E1928" t="s">
        <v>1257</v>
      </c>
      <c r="F1928" t="s">
        <v>3159</v>
      </c>
      <c r="G1928" t="s">
        <v>4185</v>
      </c>
      <c r="H1928" s="15">
        <v>46157</v>
      </c>
      <c r="I1928" t="s">
        <v>4186</v>
      </c>
      <c r="J1928" t="s">
        <v>16</v>
      </c>
      <c r="K1928" t="s">
        <v>185</v>
      </c>
      <c r="N1928">
        <v>0</v>
      </c>
      <c r="O1928" t="s">
        <v>222</v>
      </c>
      <c r="P1928">
        <v>0</v>
      </c>
      <c r="U1928" s="15"/>
    </row>
    <row r="1929" spans="1:21" x14ac:dyDescent="0.35">
      <c r="A1929" t="s">
        <v>14</v>
      </c>
      <c r="B1929" t="s">
        <v>2421</v>
      </c>
      <c r="C1929" t="s">
        <v>1255</v>
      </c>
      <c r="D1929" t="s">
        <v>1256</v>
      </c>
      <c r="E1929" t="s">
        <v>1257</v>
      </c>
      <c r="F1929" t="s">
        <v>2422</v>
      </c>
      <c r="G1929" t="s">
        <v>2972</v>
      </c>
      <c r="H1929" s="15">
        <v>46198</v>
      </c>
      <c r="I1929" t="s">
        <v>2973</v>
      </c>
      <c r="J1929" t="s">
        <v>16</v>
      </c>
      <c r="K1929" t="s">
        <v>185</v>
      </c>
      <c r="N1929">
        <v>0</v>
      </c>
      <c r="O1929" t="s">
        <v>222</v>
      </c>
      <c r="P1929">
        <v>0</v>
      </c>
      <c r="U1929" s="15"/>
    </row>
    <row r="1930" spans="1:21" x14ac:dyDescent="0.35">
      <c r="A1930" t="s">
        <v>14</v>
      </c>
      <c r="B1930" t="s">
        <v>2398</v>
      </c>
      <c r="C1930" t="s">
        <v>515</v>
      </c>
      <c r="D1930" t="s">
        <v>516</v>
      </c>
      <c r="E1930" t="s">
        <v>517</v>
      </c>
      <c r="F1930" t="s">
        <v>2399</v>
      </c>
      <c r="G1930" t="s">
        <v>2600</v>
      </c>
      <c r="H1930" s="15">
        <v>46064</v>
      </c>
      <c r="I1930" t="s">
        <v>2601</v>
      </c>
      <c r="J1930" t="s">
        <v>16</v>
      </c>
      <c r="K1930" t="s">
        <v>185</v>
      </c>
      <c r="N1930">
        <v>0</v>
      </c>
      <c r="O1930" t="s">
        <v>222</v>
      </c>
      <c r="P1930">
        <v>0</v>
      </c>
      <c r="U1930" s="15"/>
    </row>
    <row r="1931" spans="1:21" x14ac:dyDescent="0.35">
      <c r="A1931" t="s">
        <v>14</v>
      </c>
      <c r="B1931" t="s">
        <v>2398</v>
      </c>
      <c r="C1931" t="s">
        <v>2413</v>
      </c>
      <c r="D1931" t="s">
        <v>2414</v>
      </c>
      <c r="E1931" t="s">
        <v>2415</v>
      </c>
      <c r="F1931" t="s">
        <v>2399</v>
      </c>
      <c r="G1931" t="s">
        <v>2600</v>
      </c>
      <c r="H1931" s="15">
        <v>46064</v>
      </c>
      <c r="I1931" t="s">
        <v>2602</v>
      </c>
      <c r="J1931" t="s">
        <v>16</v>
      </c>
      <c r="K1931" t="s">
        <v>185</v>
      </c>
      <c r="N1931">
        <v>0</v>
      </c>
      <c r="O1931" t="s">
        <v>222</v>
      </c>
      <c r="P1931">
        <v>0</v>
      </c>
      <c r="U1931" s="15"/>
    </row>
    <row r="1932" spans="1:21" x14ac:dyDescent="0.35">
      <c r="A1932" t="s">
        <v>14</v>
      </c>
      <c r="B1932" t="s">
        <v>2421</v>
      </c>
      <c r="C1932" t="s">
        <v>1255</v>
      </c>
      <c r="D1932" t="s">
        <v>1256</v>
      </c>
      <c r="E1932" t="s">
        <v>1257</v>
      </c>
      <c r="F1932" t="s">
        <v>2422</v>
      </c>
      <c r="G1932" t="s">
        <v>2977</v>
      </c>
      <c r="H1932" s="15">
        <v>46199</v>
      </c>
      <c r="I1932" t="s">
        <v>2978</v>
      </c>
      <c r="J1932" t="s">
        <v>16</v>
      </c>
      <c r="K1932" t="s">
        <v>185</v>
      </c>
      <c r="N1932">
        <v>0</v>
      </c>
      <c r="O1932" t="s">
        <v>222</v>
      </c>
      <c r="P1932">
        <v>0</v>
      </c>
      <c r="U1932" s="15"/>
    </row>
    <row r="1933" spans="1:21" x14ac:dyDescent="0.35">
      <c r="A1933" t="s">
        <v>14</v>
      </c>
      <c r="B1933" t="s">
        <v>3247</v>
      </c>
      <c r="C1933" t="s">
        <v>1255</v>
      </c>
      <c r="D1933" t="s">
        <v>1256</v>
      </c>
      <c r="E1933" t="s">
        <v>1257</v>
      </c>
      <c r="F1933" t="s">
        <v>4305</v>
      </c>
      <c r="G1933" t="s">
        <v>4432</v>
      </c>
      <c r="H1933" s="15">
        <v>46065</v>
      </c>
      <c r="I1933" t="s">
        <v>4436</v>
      </c>
      <c r="J1933" t="s">
        <v>16</v>
      </c>
      <c r="K1933" t="s">
        <v>185</v>
      </c>
      <c r="N1933">
        <v>0</v>
      </c>
      <c r="O1933" t="s">
        <v>222</v>
      </c>
      <c r="P1933">
        <v>0</v>
      </c>
      <c r="U1933" s="15"/>
    </row>
    <row r="1934" spans="1:21" x14ac:dyDescent="0.35">
      <c r="A1934" t="s">
        <v>14</v>
      </c>
      <c r="B1934" t="s">
        <v>3247</v>
      </c>
      <c r="C1934" t="s">
        <v>716</v>
      </c>
      <c r="D1934" t="s">
        <v>717</v>
      </c>
      <c r="E1934" t="s">
        <v>718</v>
      </c>
      <c r="F1934" t="s">
        <v>4305</v>
      </c>
      <c r="G1934" t="s">
        <v>4437</v>
      </c>
      <c r="H1934" s="15">
        <v>46065</v>
      </c>
      <c r="I1934" t="s">
        <v>4438</v>
      </c>
      <c r="J1934" t="s">
        <v>233</v>
      </c>
      <c r="K1934" t="s">
        <v>185</v>
      </c>
      <c r="N1934">
        <v>0</v>
      </c>
      <c r="O1934" t="s">
        <v>222</v>
      </c>
      <c r="P1934">
        <v>0</v>
      </c>
      <c r="U1934" s="15"/>
    </row>
    <row r="1935" spans="1:21" x14ac:dyDescent="0.35">
      <c r="A1935" t="s">
        <v>14</v>
      </c>
      <c r="B1935" t="s">
        <v>3247</v>
      </c>
      <c r="C1935" t="s">
        <v>977</v>
      </c>
      <c r="D1935" t="s">
        <v>978</v>
      </c>
      <c r="E1935" t="s">
        <v>979</v>
      </c>
      <c r="F1935" t="s">
        <v>4305</v>
      </c>
      <c r="G1935" t="s">
        <v>4439</v>
      </c>
      <c r="H1935" s="15">
        <v>46066</v>
      </c>
      <c r="I1935" t="s">
        <v>4440</v>
      </c>
      <c r="J1935" t="s">
        <v>16</v>
      </c>
      <c r="K1935" t="s">
        <v>185</v>
      </c>
      <c r="N1935">
        <v>0</v>
      </c>
      <c r="O1935" t="s">
        <v>222</v>
      </c>
      <c r="P1935">
        <v>0</v>
      </c>
      <c r="U1935" s="15"/>
    </row>
    <row r="1936" spans="1:21" x14ac:dyDescent="0.35">
      <c r="A1936" t="s">
        <v>14</v>
      </c>
      <c r="B1936" t="s">
        <v>3158</v>
      </c>
      <c r="C1936" t="s">
        <v>515</v>
      </c>
      <c r="D1936" t="s">
        <v>516</v>
      </c>
      <c r="E1936" t="s">
        <v>517</v>
      </c>
      <c r="F1936" t="s">
        <v>3159</v>
      </c>
      <c r="G1936" t="s">
        <v>4185</v>
      </c>
      <c r="H1936" s="15">
        <v>46157</v>
      </c>
      <c r="I1936" t="s">
        <v>4187</v>
      </c>
      <c r="J1936" t="s">
        <v>16</v>
      </c>
      <c r="K1936" t="s">
        <v>185</v>
      </c>
      <c r="N1936">
        <v>0</v>
      </c>
      <c r="O1936" t="s">
        <v>222</v>
      </c>
      <c r="P1936">
        <v>0</v>
      </c>
      <c r="U1936" s="15"/>
    </row>
    <row r="1937" spans="1:21" x14ac:dyDescent="0.35">
      <c r="A1937" t="s">
        <v>14</v>
      </c>
      <c r="B1937" t="s">
        <v>3158</v>
      </c>
      <c r="C1937" t="s">
        <v>737</v>
      </c>
      <c r="D1937" t="s">
        <v>738</v>
      </c>
      <c r="E1937" t="s">
        <v>739</v>
      </c>
      <c r="F1937" t="s">
        <v>3159</v>
      </c>
      <c r="G1937" t="s">
        <v>4188</v>
      </c>
      <c r="H1937" s="15">
        <v>46157</v>
      </c>
      <c r="I1937" t="s">
        <v>4189</v>
      </c>
      <c r="J1937" t="s">
        <v>233</v>
      </c>
      <c r="K1937" t="s">
        <v>185</v>
      </c>
      <c r="N1937">
        <v>0</v>
      </c>
      <c r="O1937" t="s">
        <v>222</v>
      </c>
      <c r="P1937">
        <v>0</v>
      </c>
      <c r="U1937" s="15"/>
    </row>
    <row r="1938" spans="1:21" x14ac:dyDescent="0.35">
      <c r="A1938" t="s">
        <v>14</v>
      </c>
      <c r="B1938" t="s">
        <v>2398</v>
      </c>
      <c r="C1938" t="s">
        <v>1255</v>
      </c>
      <c r="D1938" t="s">
        <v>1256</v>
      </c>
      <c r="E1938" t="s">
        <v>1257</v>
      </c>
      <c r="F1938" t="s">
        <v>2399</v>
      </c>
      <c r="G1938" t="s">
        <v>2600</v>
      </c>
      <c r="H1938" s="15">
        <v>46064</v>
      </c>
      <c r="I1938" t="s">
        <v>2607</v>
      </c>
      <c r="J1938" t="s">
        <v>16</v>
      </c>
      <c r="K1938" t="s">
        <v>185</v>
      </c>
      <c r="N1938">
        <v>0</v>
      </c>
      <c r="O1938" t="s">
        <v>222</v>
      </c>
      <c r="P1938">
        <v>0</v>
      </c>
      <c r="U1938" s="15"/>
    </row>
    <row r="1939" spans="1:21" x14ac:dyDescent="0.35">
      <c r="A1939" t="s">
        <v>14</v>
      </c>
      <c r="B1939" t="s">
        <v>2398</v>
      </c>
      <c r="C1939" t="s">
        <v>515</v>
      </c>
      <c r="D1939" t="s">
        <v>516</v>
      </c>
      <c r="E1939" t="s">
        <v>517</v>
      </c>
      <c r="F1939" t="s">
        <v>2399</v>
      </c>
      <c r="G1939" t="s">
        <v>2608</v>
      </c>
      <c r="H1939" s="15">
        <v>46065</v>
      </c>
      <c r="I1939" t="s">
        <v>2609</v>
      </c>
      <c r="J1939" t="s">
        <v>16</v>
      </c>
      <c r="K1939" t="s">
        <v>185</v>
      </c>
      <c r="N1939">
        <v>0</v>
      </c>
      <c r="O1939" t="s">
        <v>222</v>
      </c>
      <c r="P1939">
        <v>0</v>
      </c>
      <c r="U1939" s="15"/>
    </row>
    <row r="1940" spans="1:21" x14ac:dyDescent="0.35">
      <c r="A1940" t="s">
        <v>14</v>
      </c>
      <c r="B1940" t="s">
        <v>2421</v>
      </c>
      <c r="C1940" t="s">
        <v>777</v>
      </c>
      <c r="D1940" t="s">
        <v>778</v>
      </c>
      <c r="E1940" t="s">
        <v>779</v>
      </c>
      <c r="F1940" t="s">
        <v>2422</v>
      </c>
      <c r="G1940" t="s">
        <v>2979</v>
      </c>
      <c r="H1940" s="15">
        <v>46200</v>
      </c>
      <c r="I1940" t="s">
        <v>2980</v>
      </c>
      <c r="J1940" t="s">
        <v>16</v>
      </c>
      <c r="K1940" t="s">
        <v>185</v>
      </c>
      <c r="N1940">
        <v>0</v>
      </c>
      <c r="O1940" t="s">
        <v>222</v>
      </c>
      <c r="P1940">
        <v>0</v>
      </c>
      <c r="U1940" s="15"/>
    </row>
    <row r="1941" spans="1:21" x14ac:dyDescent="0.35">
      <c r="A1941" t="s">
        <v>14</v>
      </c>
      <c r="B1941" t="s">
        <v>2421</v>
      </c>
      <c r="C1941" t="s">
        <v>647</v>
      </c>
      <c r="D1941" t="s">
        <v>648</v>
      </c>
      <c r="E1941" t="s">
        <v>649</v>
      </c>
      <c r="F1941" t="s">
        <v>2422</v>
      </c>
      <c r="G1941" t="s">
        <v>2979</v>
      </c>
      <c r="H1941" s="15">
        <v>46200</v>
      </c>
      <c r="I1941" t="s">
        <v>2985</v>
      </c>
      <c r="J1941" t="s">
        <v>16</v>
      </c>
      <c r="K1941" t="s">
        <v>185</v>
      </c>
      <c r="N1941">
        <v>0</v>
      </c>
      <c r="O1941" t="s">
        <v>222</v>
      </c>
      <c r="P1941">
        <v>0</v>
      </c>
      <c r="U1941" s="15"/>
    </row>
    <row r="1942" spans="1:21" x14ac:dyDescent="0.35">
      <c r="A1942" t="s">
        <v>14</v>
      </c>
      <c r="B1942" t="s">
        <v>3158</v>
      </c>
      <c r="C1942" t="s">
        <v>531</v>
      </c>
      <c r="D1942" t="s">
        <v>532</v>
      </c>
      <c r="E1942" t="s">
        <v>533</v>
      </c>
      <c r="F1942" t="s">
        <v>3159</v>
      </c>
      <c r="G1942" t="s">
        <v>4190</v>
      </c>
      <c r="H1942" s="15">
        <v>46158</v>
      </c>
      <c r="I1942" t="s">
        <v>4191</v>
      </c>
      <c r="J1942" t="s">
        <v>16</v>
      </c>
      <c r="K1942" t="s">
        <v>185</v>
      </c>
      <c r="N1942">
        <v>0</v>
      </c>
      <c r="O1942" t="s">
        <v>222</v>
      </c>
      <c r="P1942">
        <v>0</v>
      </c>
      <c r="U1942" s="15"/>
    </row>
    <row r="1943" spans="1:21" x14ac:dyDescent="0.35">
      <c r="A1943" t="s">
        <v>14</v>
      </c>
      <c r="B1943" t="s">
        <v>3158</v>
      </c>
      <c r="C1943" t="s">
        <v>682</v>
      </c>
      <c r="D1943" t="s">
        <v>683</v>
      </c>
      <c r="E1943" t="s">
        <v>683</v>
      </c>
      <c r="F1943" t="s">
        <v>3159</v>
      </c>
      <c r="G1943" t="s">
        <v>4190</v>
      </c>
      <c r="H1943" s="15">
        <v>46158</v>
      </c>
      <c r="I1943" t="s">
        <v>4192</v>
      </c>
      <c r="J1943" t="s">
        <v>16</v>
      </c>
      <c r="K1943" t="s">
        <v>185</v>
      </c>
      <c r="N1943">
        <v>0</v>
      </c>
      <c r="O1943" t="s">
        <v>222</v>
      </c>
      <c r="P1943">
        <v>0</v>
      </c>
      <c r="U1943" s="15"/>
    </row>
    <row r="1944" spans="1:21" x14ac:dyDescent="0.35">
      <c r="A1944" t="s">
        <v>14</v>
      </c>
      <c r="B1944" t="s">
        <v>2398</v>
      </c>
      <c r="C1944" t="s">
        <v>2413</v>
      </c>
      <c r="D1944" t="s">
        <v>2414</v>
      </c>
      <c r="E1944" t="s">
        <v>2415</v>
      </c>
      <c r="F1944" t="s">
        <v>2399</v>
      </c>
      <c r="G1944" t="s">
        <v>2608</v>
      </c>
      <c r="H1944" s="15">
        <v>46065</v>
      </c>
      <c r="I1944" t="s">
        <v>2614</v>
      </c>
      <c r="J1944" t="s">
        <v>16</v>
      </c>
      <c r="K1944" t="s">
        <v>185</v>
      </c>
      <c r="N1944">
        <v>0</v>
      </c>
      <c r="O1944" t="s">
        <v>222</v>
      </c>
      <c r="P1944">
        <v>0</v>
      </c>
      <c r="U1944" s="15"/>
    </row>
    <row r="1945" spans="1:21" x14ac:dyDescent="0.35">
      <c r="A1945" t="s">
        <v>14</v>
      </c>
      <c r="B1945" t="s">
        <v>2398</v>
      </c>
      <c r="C1945" t="s">
        <v>2461</v>
      </c>
      <c r="D1945" t="s">
        <v>2462</v>
      </c>
      <c r="E1945" t="s">
        <v>2463</v>
      </c>
      <c r="F1945" t="s">
        <v>2399</v>
      </c>
      <c r="G1945" t="s">
        <v>2608</v>
      </c>
      <c r="H1945" s="15">
        <v>46065</v>
      </c>
      <c r="I1945" t="s">
        <v>2615</v>
      </c>
      <c r="J1945" t="s">
        <v>16</v>
      </c>
      <c r="K1945" t="s">
        <v>185</v>
      </c>
      <c r="N1945">
        <v>0</v>
      </c>
      <c r="O1945" t="s">
        <v>222</v>
      </c>
      <c r="P1945">
        <v>0</v>
      </c>
      <c r="U1945" s="15"/>
    </row>
    <row r="1946" spans="1:21" x14ac:dyDescent="0.35">
      <c r="A1946" t="s">
        <v>14</v>
      </c>
      <c r="B1946" t="s">
        <v>2398</v>
      </c>
      <c r="C1946" t="s">
        <v>2461</v>
      </c>
      <c r="D1946" t="s">
        <v>2462</v>
      </c>
      <c r="E1946" t="s">
        <v>2463</v>
      </c>
      <c r="F1946" t="s">
        <v>2399</v>
      </c>
      <c r="G1946" t="s">
        <v>2608</v>
      </c>
      <c r="H1946" s="15">
        <v>46065</v>
      </c>
      <c r="I1946" t="s">
        <v>2615</v>
      </c>
      <c r="J1946" t="s">
        <v>16</v>
      </c>
      <c r="K1946" t="s">
        <v>185</v>
      </c>
      <c r="N1946">
        <v>0</v>
      </c>
      <c r="O1946" t="s">
        <v>222</v>
      </c>
      <c r="P1946">
        <v>0</v>
      </c>
      <c r="U1946" s="15"/>
    </row>
    <row r="1947" spans="1:21" x14ac:dyDescent="0.35">
      <c r="A1947" t="s">
        <v>14</v>
      </c>
      <c r="B1947" t="s">
        <v>3158</v>
      </c>
      <c r="C1947" t="s">
        <v>4193</v>
      </c>
      <c r="D1947" t="s">
        <v>4194</v>
      </c>
      <c r="E1947" t="s">
        <v>4194</v>
      </c>
      <c r="F1947" t="s">
        <v>3159</v>
      </c>
      <c r="G1947" t="s">
        <v>4195</v>
      </c>
      <c r="H1947" s="15">
        <v>46160</v>
      </c>
      <c r="I1947" t="s">
        <v>4196</v>
      </c>
      <c r="J1947" t="s">
        <v>233</v>
      </c>
      <c r="K1947" t="s">
        <v>185</v>
      </c>
      <c r="N1947">
        <v>0</v>
      </c>
      <c r="O1947" t="s">
        <v>222</v>
      </c>
      <c r="P1947">
        <v>0</v>
      </c>
      <c r="U1947" s="15"/>
    </row>
    <row r="1948" spans="1:21" x14ac:dyDescent="0.35">
      <c r="A1948" t="s">
        <v>14</v>
      </c>
      <c r="B1948" t="s">
        <v>2421</v>
      </c>
      <c r="C1948" t="s">
        <v>1255</v>
      </c>
      <c r="D1948" t="s">
        <v>1256</v>
      </c>
      <c r="E1948" t="s">
        <v>1257</v>
      </c>
      <c r="F1948" t="s">
        <v>2422</v>
      </c>
      <c r="G1948" t="s">
        <v>2988</v>
      </c>
      <c r="H1948" s="15">
        <v>46202</v>
      </c>
      <c r="I1948" t="s">
        <v>2989</v>
      </c>
      <c r="J1948" t="s">
        <v>16</v>
      </c>
      <c r="K1948" t="s">
        <v>185</v>
      </c>
      <c r="N1948">
        <v>0</v>
      </c>
      <c r="O1948" t="s">
        <v>222</v>
      </c>
      <c r="P1948">
        <v>0</v>
      </c>
      <c r="U1948" s="15"/>
    </row>
    <row r="1949" spans="1:21" x14ac:dyDescent="0.35">
      <c r="A1949" t="s">
        <v>14</v>
      </c>
      <c r="B1949" t="s">
        <v>2398</v>
      </c>
      <c r="C1949" t="s">
        <v>1255</v>
      </c>
      <c r="D1949" t="s">
        <v>1256</v>
      </c>
      <c r="E1949" t="s">
        <v>1257</v>
      </c>
      <c r="F1949" t="s">
        <v>2399</v>
      </c>
      <c r="G1949" t="s">
        <v>2608</v>
      </c>
      <c r="H1949" s="15">
        <v>46065</v>
      </c>
      <c r="I1949" t="s">
        <v>2618</v>
      </c>
      <c r="J1949" t="s">
        <v>16</v>
      </c>
      <c r="K1949" t="s">
        <v>185</v>
      </c>
      <c r="N1949">
        <v>0</v>
      </c>
      <c r="O1949" t="s">
        <v>222</v>
      </c>
      <c r="P1949">
        <v>0</v>
      </c>
      <c r="U1949" s="15"/>
    </row>
    <row r="1950" spans="1:21" x14ac:dyDescent="0.35">
      <c r="A1950" t="s">
        <v>14</v>
      </c>
      <c r="B1950" t="s">
        <v>3247</v>
      </c>
      <c r="C1950" t="s">
        <v>1255</v>
      </c>
      <c r="D1950" t="s">
        <v>1256</v>
      </c>
      <c r="E1950" t="s">
        <v>1257</v>
      </c>
      <c r="F1950" t="s">
        <v>4305</v>
      </c>
      <c r="G1950" t="s">
        <v>4444</v>
      </c>
      <c r="H1950" s="15">
        <v>46066</v>
      </c>
      <c r="I1950" t="s">
        <v>4445</v>
      </c>
      <c r="J1950" t="s">
        <v>233</v>
      </c>
      <c r="K1950" t="s">
        <v>185</v>
      </c>
      <c r="N1950">
        <v>0</v>
      </c>
      <c r="O1950" t="s">
        <v>222</v>
      </c>
      <c r="P1950">
        <v>0</v>
      </c>
      <c r="U1950" s="15"/>
    </row>
    <row r="1951" spans="1:21" x14ac:dyDescent="0.35">
      <c r="A1951" t="s">
        <v>14</v>
      </c>
      <c r="B1951" t="s">
        <v>2421</v>
      </c>
      <c r="C1951" t="s">
        <v>1255</v>
      </c>
      <c r="D1951" t="s">
        <v>1256</v>
      </c>
      <c r="E1951" t="s">
        <v>1257</v>
      </c>
      <c r="F1951" t="s">
        <v>2422</v>
      </c>
      <c r="G1951" t="s">
        <v>2990</v>
      </c>
      <c r="H1951" s="15">
        <v>46203</v>
      </c>
      <c r="I1951" t="s">
        <v>2991</v>
      </c>
      <c r="J1951" t="s">
        <v>16</v>
      </c>
      <c r="K1951" t="s">
        <v>185</v>
      </c>
      <c r="N1951">
        <v>0</v>
      </c>
      <c r="O1951" t="s">
        <v>222</v>
      </c>
      <c r="P1951">
        <v>0</v>
      </c>
      <c r="U1951" s="15"/>
    </row>
    <row r="1952" spans="1:21" x14ac:dyDescent="0.35">
      <c r="A1952" t="s">
        <v>14</v>
      </c>
      <c r="B1952" t="s">
        <v>2398</v>
      </c>
      <c r="C1952" t="s">
        <v>515</v>
      </c>
      <c r="D1952" t="s">
        <v>516</v>
      </c>
      <c r="E1952" t="s">
        <v>517</v>
      </c>
      <c r="F1952" t="s">
        <v>2399</v>
      </c>
      <c r="G1952" t="s">
        <v>2623</v>
      </c>
      <c r="H1952" s="15">
        <v>46070</v>
      </c>
      <c r="I1952" t="s">
        <v>2624</v>
      </c>
      <c r="J1952" t="s">
        <v>16</v>
      </c>
      <c r="K1952" t="s">
        <v>185</v>
      </c>
      <c r="N1952">
        <v>0</v>
      </c>
      <c r="O1952" t="s">
        <v>222</v>
      </c>
      <c r="P1952">
        <v>0</v>
      </c>
      <c r="U1952" s="15"/>
    </row>
    <row r="1953" spans="1:21" x14ac:dyDescent="0.35">
      <c r="A1953" t="s">
        <v>14</v>
      </c>
      <c r="B1953" t="s">
        <v>2398</v>
      </c>
      <c r="C1953" t="s">
        <v>651</v>
      </c>
      <c r="D1953" t="s">
        <v>652</v>
      </c>
      <c r="E1953" t="s">
        <v>653</v>
      </c>
      <c r="F1953" t="s">
        <v>2399</v>
      </c>
      <c r="G1953" t="s">
        <v>2623</v>
      </c>
      <c r="H1953" s="15">
        <v>46070</v>
      </c>
      <c r="I1953" t="s">
        <v>2625</v>
      </c>
      <c r="J1953" t="s">
        <v>16</v>
      </c>
      <c r="K1953" t="s">
        <v>185</v>
      </c>
      <c r="N1953">
        <v>0</v>
      </c>
      <c r="O1953" t="s">
        <v>222</v>
      </c>
      <c r="P1953">
        <v>0</v>
      </c>
      <c r="U1953" s="15"/>
    </row>
    <row r="1954" spans="1:21" x14ac:dyDescent="0.35">
      <c r="A1954" t="s">
        <v>14</v>
      </c>
      <c r="B1954" t="s">
        <v>2398</v>
      </c>
      <c r="C1954" t="s">
        <v>651</v>
      </c>
      <c r="D1954" t="s">
        <v>652</v>
      </c>
      <c r="E1954" t="s">
        <v>653</v>
      </c>
      <c r="F1954" t="s">
        <v>2399</v>
      </c>
      <c r="G1954" t="s">
        <v>2623</v>
      </c>
      <c r="H1954" s="15">
        <v>46070</v>
      </c>
      <c r="I1954" t="s">
        <v>2625</v>
      </c>
      <c r="J1954" t="s">
        <v>16</v>
      </c>
      <c r="K1954" t="s">
        <v>185</v>
      </c>
      <c r="N1954">
        <v>0</v>
      </c>
      <c r="O1954" t="s">
        <v>222</v>
      </c>
      <c r="P1954">
        <v>0</v>
      </c>
      <c r="U1954" s="15"/>
    </row>
    <row r="1955" spans="1:21" x14ac:dyDescent="0.35">
      <c r="A1955" t="s">
        <v>14</v>
      </c>
      <c r="B1955" t="s">
        <v>2398</v>
      </c>
      <c r="C1955" t="s">
        <v>816</v>
      </c>
      <c r="D1955" t="s">
        <v>817</v>
      </c>
      <c r="E1955" t="s">
        <v>818</v>
      </c>
      <c r="F1955" t="s">
        <v>2399</v>
      </c>
      <c r="G1955" t="s">
        <v>2623</v>
      </c>
      <c r="H1955" s="15">
        <v>46070</v>
      </c>
      <c r="I1955" t="s">
        <v>2626</v>
      </c>
      <c r="J1955" t="s">
        <v>16</v>
      </c>
      <c r="K1955" t="s">
        <v>185</v>
      </c>
      <c r="N1955">
        <v>0</v>
      </c>
      <c r="O1955" t="s">
        <v>222</v>
      </c>
      <c r="P1955">
        <v>0</v>
      </c>
      <c r="U1955" s="15"/>
    </row>
    <row r="1956" spans="1:21" x14ac:dyDescent="0.35">
      <c r="A1956" t="s">
        <v>14</v>
      </c>
      <c r="B1956" t="s">
        <v>3158</v>
      </c>
      <c r="C1956" t="s">
        <v>1255</v>
      </c>
      <c r="D1956" t="s">
        <v>1256</v>
      </c>
      <c r="E1956" t="s">
        <v>1257</v>
      </c>
      <c r="F1956" t="s">
        <v>3159</v>
      </c>
      <c r="G1956" t="s">
        <v>4195</v>
      </c>
      <c r="H1956" s="15">
        <v>46160</v>
      </c>
      <c r="I1956" t="s">
        <v>4197</v>
      </c>
      <c r="J1956" t="s">
        <v>233</v>
      </c>
      <c r="K1956" t="s">
        <v>185</v>
      </c>
      <c r="N1956">
        <v>0</v>
      </c>
      <c r="O1956" t="s">
        <v>222</v>
      </c>
      <c r="P1956">
        <v>0</v>
      </c>
      <c r="U1956" s="15"/>
    </row>
    <row r="1957" spans="1:21" x14ac:dyDescent="0.35">
      <c r="A1957" t="s">
        <v>14</v>
      </c>
      <c r="B1957" t="s">
        <v>3158</v>
      </c>
      <c r="C1957" t="s">
        <v>1255</v>
      </c>
      <c r="D1957" t="s">
        <v>1256</v>
      </c>
      <c r="E1957" t="s">
        <v>1257</v>
      </c>
      <c r="F1957" t="s">
        <v>3159</v>
      </c>
      <c r="G1957" t="s">
        <v>4198</v>
      </c>
      <c r="H1957" s="15">
        <v>46161</v>
      </c>
      <c r="I1957" t="s">
        <v>4199</v>
      </c>
      <c r="J1957" t="s">
        <v>16</v>
      </c>
      <c r="K1957" t="s">
        <v>185</v>
      </c>
      <c r="N1957">
        <v>0</v>
      </c>
      <c r="O1957" t="s">
        <v>222</v>
      </c>
      <c r="P1957">
        <v>0</v>
      </c>
      <c r="U1957" s="15"/>
    </row>
    <row r="1958" spans="1:21" x14ac:dyDescent="0.35">
      <c r="A1958" t="s">
        <v>14</v>
      </c>
      <c r="B1958" t="s">
        <v>3247</v>
      </c>
      <c r="C1958" t="s">
        <v>1388</v>
      </c>
      <c r="D1958" t="s">
        <v>1389</v>
      </c>
      <c r="E1958" t="s">
        <v>1390</v>
      </c>
      <c r="F1958" t="s">
        <v>4305</v>
      </c>
      <c r="G1958" t="s">
        <v>4448</v>
      </c>
      <c r="H1958" s="15">
        <v>46069</v>
      </c>
      <c r="I1958" t="s">
        <v>4449</v>
      </c>
      <c r="J1958" t="s">
        <v>16</v>
      </c>
      <c r="K1958" t="s">
        <v>185</v>
      </c>
      <c r="N1958">
        <v>0</v>
      </c>
      <c r="O1958" t="s">
        <v>222</v>
      </c>
      <c r="P1958">
        <v>0</v>
      </c>
      <c r="U1958" s="15"/>
    </row>
    <row r="1959" spans="1:21" x14ac:dyDescent="0.35">
      <c r="A1959" t="s">
        <v>14</v>
      </c>
      <c r="B1959" t="s">
        <v>3247</v>
      </c>
      <c r="C1959" t="s">
        <v>1255</v>
      </c>
      <c r="D1959" t="s">
        <v>1256</v>
      </c>
      <c r="E1959" t="s">
        <v>1257</v>
      </c>
      <c r="F1959" t="s">
        <v>4305</v>
      </c>
      <c r="G1959" t="s">
        <v>4450</v>
      </c>
      <c r="H1959" s="15">
        <v>46069</v>
      </c>
      <c r="I1959" t="s">
        <v>4451</v>
      </c>
      <c r="J1959" t="s">
        <v>233</v>
      </c>
      <c r="K1959" t="s">
        <v>185</v>
      </c>
      <c r="N1959">
        <v>0</v>
      </c>
      <c r="O1959" t="s">
        <v>222</v>
      </c>
      <c r="P1959">
        <v>0</v>
      </c>
      <c r="U1959" s="15"/>
    </row>
    <row r="1960" spans="1:21" x14ac:dyDescent="0.35">
      <c r="A1960" t="s">
        <v>14</v>
      </c>
      <c r="B1960" t="s">
        <v>3158</v>
      </c>
      <c r="C1960" t="s">
        <v>515</v>
      </c>
      <c r="D1960" t="s">
        <v>516</v>
      </c>
      <c r="E1960" t="s">
        <v>517</v>
      </c>
      <c r="F1960" t="s">
        <v>3159</v>
      </c>
      <c r="G1960" t="s">
        <v>4198</v>
      </c>
      <c r="H1960" s="15">
        <v>46161</v>
      </c>
      <c r="I1960" t="s">
        <v>4200</v>
      </c>
      <c r="J1960" t="s">
        <v>16</v>
      </c>
      <c r="K1960" t="s">
        <v>185</v>
      </c>
      <c r="N1960">
        <v>0</v>
      </c>
      <c r="O1960" t="s">
        <v>222</v>
      </c>
      <c r="P1960">
        <v>0</v>
      </c>
      <c r="U1960" s="15"/>
    </row>
    <row r="1961" spans="1:21" x14ac:dyDescent="0.35">
      <c r="A1961" t="s">
        <v>14</v>
      </c>
      <c r="B1961" t="s">
        <v>2421</v>
      </c>
      <c r="C1961" t="s">
        <v>515</v>
      </c>
      <c r="D1961" t="s">
        <v>516</v>
      </c>
      <c r="E1961" t="s">
        <v>517</v>
      </c>
      <c r="F1961" t="s">
        <v>2422</v>
      </c>
      <c r="G1961" t="s">
        <v>2999</v>
      </c>
      <c r="H1961" s="15">
        <v>46204</v>
      </c>
      <c r="I1961" t="s">
        <v>3000</v>
      </c>
      <c r="J1961" t="s">
        <v>16</v>
      </c>
      <c r="K1961" t="s">
        <v>185</v>
      </c>
      <c r="N1961">
        <v>0</v>
      </c>
      <c r="O1961" t="s">
        <v>222</v>
      </c>
      <c r="P1961">
        <v>0</v>
      </c>
      <c r="U1961" s="15"/>
    </row>
    <row r="1962" spans="1:21" x14ac:dyDescent="0.35">
      <c r="A1962" t="s">
        <v>14</v>
      </c>
      <c r="B1962" t="s">
        <v>2421</v>
      </c>
      <c r="C1962" t="s">
        <v>1255</v>
      </c>
      <c r="D1962" t="s">
        <v>1256</v>
      </c>
      <c r="E1962" t="s">
        <v>1257</v>
      </c>
      <c r="F1962" t="s">
        <v>2422</v>
      </c>
      <c r="G1962" t="s">
        <v>2999</v>
      </c>
      <c r="H1962" s="15">
        <v>46204</v>
      </c>
      <c r="I1962" t="s">
        <v>3001</v>
      </c>
      <c r="J1962" t="s">
        <v>16</v>
      </c>
      <c r="K1962" t="s">
        <v>185</v>
      </c>
      <c r="N1962">
        <v>0</v>
      </c>
      <c r="O1962" t="s">
        <v>222</v>
      </c>
      <c r="P1962">
        <v>0</v>
      </c>
      <c r="U1962" s="15"/>
    </row>
    <row r="1963" spans="1:21" x14ac:dyDescent="0.35">
      <c r="A1963" t="s">
        <v>14</v>
      </c>
      <c r="B1963" t="s">
        <v>2398</v>
      </c>
      <c r="C1963" t="s">
        <v>737</v>
      </c>
      <c r="D1963" t="s">
        <v>738</v>
      </c>
      <c r="E1963" t="s">
        <v>739</v>
      </c>
      <c r="F1963" t="s">
        <v>2399</v>
      </c>
      <c r="G1963" t="s">
        <v>2623</v>
      </c>
      <c r="H1963" s="15">
        <v>46070</v>
      </c>
      <c r="I1963" t="s">
        <v>2631</v>
      </c>
      <c r="J1963" t="s">
        <v>16</v>
      </c>
      <c r="K1963" t="s">
        <v>185</v>
      </c>
      <c r="N1963">
        <v>0</v>
      </c>
      <c r="O1963" t="s">
        <v>222</v>
      </c>
      <c r="P1963">
        <v>0</v>
      </c>
      <c r="U1963" s="15"/>
    </row>
    <row r="1964" spans="1:21" x14ac:dyDescent="0.35">
      <c r="A1964" t="s">
        <v>14</v>
      </c>
      <c r="B1964" t="s">
        <v>2398</v>
      </c>
      <c r="C1964" t="s">
        <v>515</v>
      </c>
      <c r="D1964" t="s">
        <v>516</v>
      </c>
      <c r="E1964" t="s">
        <v>517</v>
      </c>
      <c r="F1964" t="s">
        <v>2399</v>
      </c>
      <c r="G1964" t="s">
        <v>2632</v>
      </c>
      <c r="H1964" s="15">
        <v>46071</v>
      </c>
      <c r="I1964" t="s">
        <v>2633</v>
      </c>
      <c r="J1964" t="s">
        <v>16</v>
      </c>
      <c r="K1964" t="s">
        <v>185</v>
      </c>
      <c r="N1964">
        <v>0</v>
      </c>
      <c r="O1964" t="s">
        <v>222</v>
      </c>
      <c r="P1964">
        <v>0</v>
      </c>
      <c r="U1964" s="15"/>
    </row>
    <row r="1965" spans="1:21" x14ac:dyDescent="0.35">
      <c r="A1965" t="s">
        <v>14</v>
      </c>
      <c r="B1965" t="s">
        <v>3247</v>
      </c>
      <c r="C1965" t="s">
        <v>1388</v>
      </c>
      <c r="D1965" t="s">
        <v>1389</v>
      </c>
      <c r="E1965" t="s">
        <v>1390</v>
      </c>
      <c r="F1965" t="s">
        <v>4305</v>
      </c>
      <c r="G1965" t="s">
        <v>4455</v>
      </c>
      <c r="H1965" s="15">
        <v>46070</v>
      </c>
      <c r="I1965" t="s">
        <v>4456</v>
      </c>
      <c r="J1965" t="s">
        <v>16</v>
      </c>
      <c r="K1965" t="s">
        <v>185</v>
      </c>
      <c r="N1965">
        <v>0</v>
      </c>
      <c r="O1965" t="s">
        <v>222</v>
      </c>
      <c r="P1965">
        <v>0</v>
      </c>
      <c r="U1965" s="15"/>
    </row>
    <row r="1966" spans="1:21" x14ac:dyDescent="0.35">
      <c r="A1966" t="s">
        <v>14</v>
      </c>
      <c r="B1966" t="s">
        <v>3247</v>
      </c>
      <c r="C1966" t="s">
        <v>1255</v>
      </c>
      <c r="D1966" t="s">
        <v>1256</v>
      </c>
      <c r="E1966" t="s">
        <v>1257</v>
      </c>
      <c r="F1966" t="s">
        <v>4305</v>
      </c>
      <c r="G1966" t="s">
        <v>4457</v>
      </c>
      <c r="H1966" s="15">
        <v>46070</v>
      </c>
      <c r="I1966" t="s">
        <v>4458</v>
      </c>
      <c r="J1966" t="s">
        <v>233</v>
      </c>
      <c r="K1966" t="s">
        <v>185</v>
      </c>
      <c r="N1966">
        <v>0</v>
      </c>
      <c r="O1966" t="s">
        <v>222</v>
      </c>
      <c r="P1966">
        <v>0</v>
      </c>
      <c r="U1966" s="15"/>
    </row>
    <row r="1967" spans="1:21" x14ac:dyDescent="0.35">
      <c r="A1967" t="s">
        <v>14</v>
      </c>
      <c r="B1967" t="s">
        <v>3158</v>
      </c>
      <c r="C1967" t="s">
        <v>1255</v>
      </c>
      <c r="D1967" t="s">
        <v>1256</v>
      </c>
      <c r="E1967" t="s">
        <v>1257</v>
      </c>
      <c r="F1967" t="s">
        <v>3159</v>
      </c>
      <c r="G1967" t="s">
        <v>4201</v>
      </c>
      <c r="H1967" s="15">
        <v>46161</v>
      </c>
      <c r="I1967" t="s">
        <v>4202</v>
      </c>
      <c r="J1967" t="s">
        <v>233</v>
      </c>
      <c r="K1967" t="s">
        <v>185</v>
      </c>
      <c r="N1967">
        <v>0</v>
      </c>
      <c r="O1967" t="s">
        <v>222</v>
      </c>
      <c r="P1967">
        <v>0</v>
      </c>
      <c r="U1967" s="15"/>
    </row>
    <row r="1968" spans="1:21" x14ac:dyDescent="0.35">
      <c r="A1968" t="s">
        <v>14</v>
      </c>
      <c r="B1968" t="s">
        <v>3158</v>
      </c>
      <c r="C1968" t="s">
        <v>515</v>
      </c>
      <c r="D1968" t="s">
        <v>516</v>
      </c>
      <c r="E1968" t="s">
        <v>517</v>
      </c>
      <c r="F1968" t="s">
        <v>3159</v>
      </c>
      <c r="G1968" t="s">
        <v>4203</v>
      </c>
      <c r="H1968" s="15">
        <v>46162</v>
      </c>
      <c r="I1968" t="s">
        <v>4204</v>
      </c>
      <c r="J1968" t="s">
        <v>16</v>
      </c>
      <c r="K1968" t="s">
        <v>185</v>
      </c>
      <c r="N1968">
        <v>0</v>
      </c>
      <c r="O1968" t="s">
        <v>222</v>
      </c>
      <c r="P1968">
        <v>0</v>
      </c>
      <c r="U1968" s="15"/>
    </row>
    <row r="1969" spans="1:21" x14ac:dyDescent="0.35">
      <c r="A1969" t="s">
        <v>14</v>
      </c>
      <c r="B1969" t="s">
        <v>3158</v>
      </c>
      <c r="C1969" t="s">
        <v>697</v>
      </c>
      <c r="D1969" t="s">
        <v>698</v>
      </c>
      <c r="E1969" t="s">
        <v>699</v>
      </c>
      <c r="F1969" t="s">
        <v>3159</v>
      </c>
      <c r="G1969" t="s">
        <v>4203</v>
      </c>
      <c r="H1969" s="15">
        <v>46162</v>
      </c>
      <c r="I1969" t="s">
        <v>4205</v>
      </c>
      <c r="J1969" t="s">
        <v>16</v>
      </c>
      <c r="K1969" t="s">
        <v>185</v>
      </c>
      <c r="N1969">
        <v>0</v>
      </c>
      <c r="O1969" t="s">
        <v>222</v>
      </c>
      <c r="P1969">
        <v>0</v>
      </c>
      <c r="U1969" s="15"/>
    </row>
    <row r="1970" spans="1:21" x14ac:dyDescent="0.35">
      <c r="A1970" t="s">
        <v>14</v>
      </c>
      <c r="B1970" t="s">
        <v>2398</v>
      </c>
      <c r="C1970" t="s">
        <v>2413</v>
      </c>
      <c r="D1970" t="s">
        <v>2414</v>
      </c>
      <c r="E1970" t="s">
        <v>2415</v>
      </c>
      <c r="F1970" t="s">
        <v>2399</v>
      </c>
      <c r="G1970" t="s">
        <v>2632</v>
      </c>
      <c r="H1970" s="15">
        <v>46071</v>
      </c>
      <c r="I1970" t="s">
        <v>2636</v>
      </c>
      <c r="J1970" t="s">
        <v>16</v>
      </c>
      <c r="K1970" t="s">
        <v>185</v>
      </c>
      <c r="N1970">
        <v>0</v>
      </c>
      <c r="O1970" t="s">
        <v>222</v>
      </c>
      <c r="P1970">
        <v>0</v>
      </c>
      <c r="U1970" s="15"/>
    </row>
    <row r="1971" spans="1:21" x14ac:dyDescent="0.35">
      <c r="A1971" t="s">
        <v>14</v>
      </c>
      <c r="B1971" t="s">
        <v>2398</v>
      </c>
      <c r="C1971" t="s">
        <v>777</v>
      </c>
      <c r="D1971" t="s">
        <v>778</v>
      </c>
      <c r="E1971" t="s">
        <v>779</v>
      </c>
      <c r="F1971" t="s">
        <v>2399</v>
      </c>
      <c r="G1971" t="s">
        <v>2632</v>
      </c>
      <c r="H1971" s="15">
        <v>46071</v>
      </c>
      <c r="I1971" t="s">
        <v>2637</v>
      </c>
      <c r="J1971" t="s">
        <v>16</v>
      </c>
      <c r="K1971" t="s">
        <v>185</v>
      </c>
      <c r="N1971">
        <v>0</v>
      </c>
      <c r="O1971" t="s">
        <v>222</v>
      </c>
      <c r="P1971">
        <v>0</v>
      </c>
      <c r="U1971" s="15"/>
    </row>
    <row r="1972" spans="1:21" x14ac:dyDescent="0.35">
      <c r="A1972" t="s">
        <v>14</v>
      </c>
      <c r="B1972" t="s">
        <v>2421</v>
      </c>
      <c r="C1972" t="s">
        <v>515</v>
      </c>
      <c r="D1972" t="s">
        <v>516</v>
      </c>
      <c r="E1972" t="s">
        <v>517</v>
      </c>
      <c r="F1972" t="s">
        <v>2422</v>
      </c>
      <c r="G1972" t="s">
        <v>3002</v>
      </c>
      <c r="H1972" s="15">
        <v>46205</v>
      </c>
      <c r="I1972" t="s">
        <v>3003</v>
      </c>
      <c r="J1972" t="s">
        <v>16</v>
      </c>
      <c r="K1972" t="s">
        <v>185</v>
      </c>
      <c r="N1972">
        <v>0</v>
      </c>
      <c r="O1972" t="s">
        <v>222</v>
      </c>
      <c r="P1972">
        <v>0</v>
      </c>
      <c r="U1972" s="15"/>
    </row>
    <row r="1973" spans="1:21" x14ac:dyDescent="0.35">
      <c r="A1973" t="s">
        <v>14</v>
      </c>
      <c r="B1973" t="s">
        <v>2421</v>
      </c>
      <c r="C1973" t="s">
        <v>1255</v>
      </c>
      <c r="D1973" t="s">
        <v>1256</v>
      </c>
      <c r="E1973" t="s">
        <v>1257</v>
      </c>
      <c r="F1973" t="s">
        <v>2422</v>
      </c>
      <c r="G1973" t="s">
        <v>3002</v>
      </c>
      <c r="H1973" s="15">
        <v>46205</v>
      </c>
      <c r="I1973" t="s">
        <v>3004</v>
      </c>
      <c r="J1973" t="s">
        <v>16</v>
      </c>
      <c r="K1973" t="s">
        <v>185</v>
      </c>
      <c r="N1973">
        <v>0</v>
      </c>
      <c r="O1973" t="s">
        <v>222</v>
      </c>
      <c r="P1973">
        <v>0</v>
      </c>
      <c r="U1973" s="15"/>
    </row>
    <row r="1974" spans="1:21" x14ac:dyDescent="0.35">
      <c r="A1974" t="s">
        <v>14</v>
      </c>
      <c r="B1974" t="s">
        <v>2421</v>
      </c>
      <c r="C1974" t="s">
        <v>515</v>
      </c>
      <c r="D1974" t="s">
        <v>516</v>
      </c>
      <c r="E1974" t="s">
        <v>517</v>
      </c>
      <c r="F1974" t="s">
        <v>2422</v>
      </c>
      <c r="G1974" t="s">
        <v>3007</v>
      </c>
      <c r="H1974" s="15">
        <v>46206</v>
      </c>
      <c r="I1974" t="s">
        <v>3008</v>
      </c>
      <c r="J1974" t="s">
        <v>16</v>
      </c>
      <c r="K1974" t="s">
        <v>185</v>
      </c>
      <c r="N1974">
        <v>0</v>
      </c>
      <c r="O1974" t="s">
        <v>222</v>
      </c>
      <c r="P1974">
        <v>0</v>
      </c>
      <c r="U1974" s="15"/>
    </row>
    <row r="1975" spans="1:21" x14ac:dyDescent="0.35">
      <c r="A1975" t="s">
        <v>14</v>
      </c>
      <c r="B1975" t="s">
        <v>3158</v>
      </c>
      <c r="C1975" t="s">
        <v>515</v>
      </c>
      <c r="D1975" t="s">
        <v>516</v>
      </c>
      <c r="E1975" t="s">
        <v>517</v>
      </c>
      <c r="F1975" t="s">
        <v>3159</v>
      </c>
      <c r="G1975" t="s">
        <v>4206</v>
      </c>
      <c r="H1975" s="15">
        <v>46162</v>
      </c>
      <c r="I1975" t="s">
        <v>4207</v>
      </c>
      <c r="J1975" t="s">
        <v>233</v>
      </c>
      <c r="K1975" t="s">
        <v>185</v>
      </c>
      <c r="N1975">
        <v>0</v>
      </c>
      <c r="O1975" t="s">
        <v>222</v>
      </c>
      <c r="P1975">
        <v>0</v>
      </c>
      <c r="U1975" s="15"/>
    </row>
    <row r="1976" spans="1:21" x14ac:dyDescent="0.35">
      <c r="A1976" t="s">
        <v>14</v>
      </c>
      <c r="B1976" t="s">
        <v>3158</v>
      </c>
      <c r="C1976" t="s">
        <v>716</v>
      </c>
      <c r="D1976" t="s">
        <v>717</v>
      </c>
      <c r="E1976" t="s">
        <v>718</v>
      </c>
      <c r="F1976" t="s">
        <v>3159</v>
      </c>
      <c r="G1976" t="s">
        <v>4208</v>
      </c>
      <c r="H1976" s="15">
        <v>46163</v>
      </c>
      <c r="I1976" t="s">
        <v>4209</v>
      </c>
      <c r="J1976" t="s">
        <v>16</v>
      </c>
      <c r="K1976" t="s">
        <v>185</v>
      </c>
      <c r="N1976">
        <v>0</v>
      </c>
      <c r="O1976" t="s">
        <v>222</v>
      </c>
      <c r="P1976">
        <v>0</v>
      </c>
      <c r="U1976" s="15"/>
    </row>
    <row r="1977" spans="1:21" x14ac:dyDescent="0.35">
      <c r="A1977" t="s">
        <v>14</v>
      </c>
      <c r="B1977" t="s">
        <v>2398</v>
      </c>
      <c r="C1977" t="s">
        <v>515</v>
      </c>
      <c r="D1977" t="s">
        <v>516</v>
      </c>
      <c r="E1977" t="s">
        <v>517</v>
      </c>
      <c r="F1977" t="s">
        <v>2399</v>
      </c>
      <c r="G1977" t="s">
        <v>2640</v>
      </c>
      <c r="H1977" s="15">
        <v>46072</v>
      </c>
      <c r="I1977" t="s">
        <v>2641</v>
      </c>
      <c r="J1977" t="s">
        <v>16</v>
      </c>
      <c r="K1977" t="s">
        <v>185</v>
      </c>
      <c r="N1977">
        <v>0</v>
      </c>
      <c r="O1977" t="s">
        <v>222</v>
      </c>
      <c r="P1977">
        <v>0</v>
      </c>
      <c r="U1977" s="15"/>
    </row>
    <row r="1978" spans="1:21" x14ac:dyDescent="0.35">
      <c r="A1978" t="s">
        <v>14</v>
      </c>
      <c r="B1978" t="s">
        <v>2398</v>
      </c>
      <c r="C1978" t="s">
        <v>2413</v>
      </c>
      <c r="D1978" t="s">
        <v>2414</v>
      </c>
      <c r="E1978" t="s">
        <v>2415</v>
      </c>
      <c r="F1978" t="s">
        <v>2399</v>
      </c>
      <c r="G1978" t="s">
        <v>2640</v>
      </c>
      <c r="H1978" s="15">
        <v>46072</v>
      </c>
      <c r="I1978" t="s">
        <v>2642</v>
      </c>
      <c r="J1978" t="s">
        <v>16</v>
      </c>
      <c r="K1978" t="s">
        <v>185</v>
      </c>
      <c r="N1978">
        <v>0</v>
      </c>
      <c r="O1978" t="s">
        <v>222</v>
      </c>
      <c r="P1978">
        <v>0</v>
      </c>
      <c r="U1978" s="15"/>
    </row>
    <row r="1979" spans="1:21" x14ac:dyDescent="0.35">
      <c r="A1979" t="s">
        <v>14</v>
      </c>
      <c r="B1979" t="s">
        <v>2421</v>
      </c>
      <c r="C1979" t="s">
        <v>1255</v>
      </c>
      <c r="D1979" t="s">
        <v>1256</v>
      </c>
      <c r="E1979" t="s">
        <v>1257</v>
      </c>
      <c r="F1979" t="s">
        <v>2422</v>
      </c>
      <c r="G1979" t="s">
        <v>3007</v>
      </c>
      <c r="H1979" s="15">
        <v>46206</v>
      </c>
      <c r="I1979" t="s">
        <v>3009</v>
      </c>
      <c r="J1979" t="s">
        <v>16</v>
      </c>
      <c r="K1979" t="s">
        <v>185</v>
      </c>
      <c r="N1979">
        <v>0</v>
      </c>
      <c r="O1979" t="s">
        <v>222</v>
      </c>
      <c r="P1979">
        <v>0</v>
      </c>
      <c r="U1979" s="15"/>
    </row>
    <row r="1980" spans="1:21" x14ac:dyDescent="0.35">
      <c r="A1980" t="s">
        <v>14</v>
      </c>
      <c r="B1980" t="s">
        <v>3158</v>
      </c>
      <c r="C1980" t="s">
        <v>977</v>
      </c>
      <c r="D1980" t="s">
        <v>978</v>
      </c>
      <c r="E1980" t="s">
        <v>979</v>
      </c>
      <c r="F1980" t="s">
        <v>3159</v>
      </c>
      <c r="G1980" t="s">
        <v>4208</v>
      </c>
      <c r="H1980" s="15">
        <v>46163</v>
      </c>
      <c r="I1980" t="s">
        <v>4210</v>
      </c>
      <c r="J1980" t="s">
        <v>16</v>
      </c>
      <c r="K1980" t="s">
        <v>185</v>
      </c>
      <c r="N1980">
        <v>0</v>
      </c>
      <c r="O1980" t="s">
        <v>222</v>
      </c>
      <c r="P1980">
        <v>0</v>
      </c>
      <c r="U1980" s="15"/>
    </row>
    <row r="1981" spans="1:21" x14ac:dyDescent="0.35">
      <c r="A1981" t="s">
        <v>14</v>
      </c>
      <c r="B1981" t="s">
        <v>3247</v>
      </c>
      <c r="C1981" t="s">
        <v>515</v>
      </c>
      <c r="D1981" t="s">
        <v>516</v>
      </c>
      <c r="E1981" t="s">
        <v>517</v>
      </c>
      <c r="F1981" t="s">
        <v>4305</v>
      </c>
      <c r="G1981" t="s">
        <v>4461</v>
      </c>
      <c r="H1981" s="15">
        <v>46071</v>
      </c>
      <c r="I1981" t="s">
        <v>4462</v>
      </c>
      <c r="J1981" t="s">
        <v>16</v>
      </c>
      <c r="K1981" t="s">
        <v>185</v>
      </c>
      <c r="N1981">
        <v>0</v>
      </c>
      <c r="O1981" t="s">
        <v>222</v>
      </c>
      <c r="P1981">
        <v>0</v>
      </c>
      <c r="U1981" s="15"/>
    </row>
    <row r="1982" spans="1:21" x14ac:dyDescent="0.35">
      <c r="A1982" t="s">
        <v>14</v>
      </c>
      <c r="B1982" t="s">
        <v>3247</v>
      </c>
      <c r="C1982" t="s">
        <v>716</v>
      </c>
      <c r="D1982" t="s">
        <v>717</v>
      </c>
      <c r="E1982" t="s">
        <v>718</v>
      </c>
      <c r="F1982" t="s">
        <v>4305</v>
      </c>
      <c r="G1982" t="s">
        <v>4463</v>
      </c>
      <c r="H1982" s="15">
        <v>46071</v>
      </c>
      <c r="I1982" t="s">
        <v>4464</v>
      </c>
      <c r="J1982" t="s">
        <v>233</v>
      </c>
      <c r="K1982" t="s">
        <v>185</v>
      </c>
      <c r="N1982">
        <v>0</v>
      </c>
      <c r="O1982" t="s">
        <v>222</v>
      </c>
      <c r="P1982">
        <v>0</v>
      </c>
      <c r="U1982" s="15"/>
    </row>
    <row r="1983" spans="1:21" x14ac:dyDescent="0.35">
      <c r="A1983" t="s">
        <v>14</v>
      </c>
      <c r="B1983" t="s">
        <v>3247</v>
      </c>
      <c r="C1983" t="s">
        <v>515</v>
      </c>
      <c r="D1983" t="s">
        <v>516</v>
      </c>
      <c r="E1983" t="s">
        <v>517</v>
      </c>
      <c r="F1983" t="s">
        <v>4305</v>
      </c>
      <c r="G1983" t="s">
        <v>4465</v>
      </c>
      <c r="H1983" s="15">
        <v>46072</v>
      </c>
      <c r="I1983" t="s">
        <v>4466</v>
      </c>
      <c r="J1983" t="s">
        <v>16</v>
      </c>
      <c r="K1983" t="s">
        <v>185</v>
      </c>
      <c r="N1983">
        <v>0</v>
      </c>
      <c r="O1983" t="s">
        <v>222</v>
      </c>
      <c r="P1983">
        <v>0</v>
      </c>
      <c r="U1983" s="15"/>
    </row>
    <row r="1984" spans="1:21" x14ac:dyDescent="0.35">
      <c r="A1984" t="s">
        <v>14</v>
      </c>
      <c r="B1984" t="s">
        <v>2398</v>
      </c>
      <c r="C1984" t="s">
        <v>1255</v>
      </c>
      <c r="D1984" t="s">
        <v>1256</v>
      </c>
      <c r="E1984" t="s">
        <v>1257</v>
      </c>
      <c r="F1984" t="s">
        <v>2399</v>
      </c>
      <c r="G1984" t="s">
        <v>2640</v>
      </c>
      <c r="H1984" s="15">
        <v>46072</v>
      </c>
      <c r="I1984" t="s">
        <v>2647</v>
      </c>
      <c r="J1984" t="s">
        <v>16</v>
      </c>
      <c r="K1984" t="s">
        <v>185</v>
      </c>
      <c r="N1984">
        <v>0</v>
      </c>
      <c r="O1984" t="s">
        <v>222</v>
      </c>
      <c r="P1984">
        <v>0</v>
      </c>
      <c r="U1984" s="15"/>
    </row>
    <row r="1985" spans="1:21" x14ac:dyDescent="0.35">
      <c r="A1985" t="s">
        <v>14</v>
      </c>
      <c r="B1985" t="s">
        <v>2398</v>
      </c>
      <c r="C1985" t="s">
        <v>515</v>
      </c>
      <c r="D1985" t="s">
        <v>516</v>
      </c>
      <c r="E1985" t="s">
        <v>517</v>
      </c>
      <c r="F1985" t="s">
        <v>2399</v>
      </c>
      <c r="G1985" t="s">
        <v>2648</v>
      </c>
      <c r="H1985" s="15">
        <v>46076</v>
      </c>
      <c r="I1985" t="s">
        <v>2649</v>
      </c>
      <c r="J1985" t="s">
        <v>16</v>
      </c>
      <c r="K1985" t="s">
        <v>185</v>
      </c>
      <c r="N1985">
        <v>0</v>
      </c>
      <c r="O1985" t="s">
        <v>222</v>
      </c>
      <c r="P1985">
        <v>0</v>
      </c>
      <c r="U1985" s="15"/>
    </row>
    <row r="1986" spans="1:21" x14ac:dyDescent="0.35">
      <c r="A1986" t="s">
        <v>14</v>
      </c>
      <c r="B1986" t="s">
        <v>2421</v>
      </c>
      <c r="C1986" t="s">
        <v>667</v>
      </c>
      <c r="D1986" t="s">
        <v>668</v>
      </c>
      <c r="E1986" t="s">
        <v>669</v>
      </c>
      <c r="F1986" t="s">
        <v>2422</v>
      </c>
      <c r="G1986" t="s">
        <v>5004</v>
      </c>
      <c r="H1986" s="15">
        <v>46209</v>
      </c>
      <c r="I1986" t="s">
        <v>5005</v>
      </c>
      <c r="J1986" t="s">
        <v>16</v>
      </c>
      <c r="K1986" t="s">
        <v>185</v>
      </c>
      <c r="N1986">
        <v>0</v>
      </c>
      <c r="O1986" t="s">
        <v>222</v>
      </c>
      <c r="P1986">
        <v>0</v>
      </c>
      <c r="U1986" s="15"/>
    </row>
    <row r="1987" spans="1:21" x14ac:dyDescent="0.35">
      <c r="A1987" t="s">
        <v>14</v>
      </c>
      <c r="B1987" t="s">
        <v>2421</v>
      </c>
      <c r="C1987" t="s">
        <v>515</v>
      </c>
      <c r="D1987" t="s">
        <v>516</v>
      </c>
      <c r="E1987" t="s">
        <v>517</v>
      </c>
      <c r="F1987" t="s">
        <v>2422</v>
      </c>
      <c r="G1987" t="s">
        <v>5006</v>
      </c>
      <c r="H1987" s="15">
        <v>46210</v>
      </c>
      <c r="I1987" t="s">
        <v>5007</v>
      </c>
      <c r="J1987" t="s">
        <v>16</v>
      </c>
      <c r="K1987" t="s">
        <v>185</v>
      </c>
      <c r="N1987">
        <v>0</v>
      </c>
      <c r="O1987" t="s">
        <v>222</v>
      </c>
      <c r="P1987">
        <v>0</v>
      </c>
      <c r="U1987" s="15"/>
    </row>
    <row r="1988" spans="1:21" x14ac:dyDescent="0.35">
      <c r="A1988" t="s">
        <v>14</v>
      </c>
      <c r="B1988" t="s">
        <v>3158</v>
      </c>
      <c r="C1988" t="s">
        <v>1255</v>
      </c>
      <c r="D1988" t="s">
        <v>1256</v>
      </c>
      <c r="E1988" t="s">
        <v>1257</v>
      </c>
      <c r="F1988" t="s">
        <v>3159</v>
      </c>
      <c r="G1988" t="s">
        <v>4211</v>
      </c>
      <c r="H1988" s="15">
        <v>46163</v>
      </c>
      <c r="I1988" t="s">
        <v>4212</v>
      </c>
      <c r="J1988" t="s">
        <v>233</v>
      </c>
      <c r="K1988" t="s">
        <v>185</v>
      </c>
      <c r="N1988">
        <v>0</v>
      </c>
      <c r="O1988" t="s">
        <v>222</v>
      </c>
      <c r="P1988">
        <v>0</v>
      </c>
      <c r="U1988" s="15"/>
    </row>
    <row r="1989" spans="1:21" x14ac:dyDescent="0.35">
      <c r="A1989" t="s">
        <v>14</v>
      </c>
      <c r="B1989" t="s">
        <v>3158</v>
      </c>
      <c r="C1989" t="s">
        <v>515</v>
      </c>
      <c r="D1989" t="s">
        <v>516</v>
      </c>
      <c r="E1989" t="s">
        <v>517</v>
      </c>
      <c r="F1989" t="s">
        <v>3159</v>
      </c>
      <c r="G1989" t="s">
        <v>4213</v>
      </c>
      <c r="H1989" s="15">
        <v>46164</v>
      </c>
      <c r="I1989" t="s">
        <v>4214</v>
      </c>
      <c r="J1989" t="s">
        <v>16</v>
      </c>
      <c r="K1989" t="s">
        <v>185</v>
      </c>
      <c r="N1989">
        <v>0</v>
      </c>
      <c r="O1989" t="s">
        <v>222</v>
      </c>
      <c r="P1989">
        <v>0</v>
      </c>
      <c r="U1989" s="15"/>
    </row>
    <row r="1990" spans="1:21" x14ac:dyDescent="0.35">
      <c r="A1990" t="s">
        <v>14</v>
      </c>
      <c r="B1990" t="s">
        <v>3247</v>
      </c>
      <c r="C1990" t="s">
        <v>932</v>
      </c>
      <c r="D1990" t="s">
        <v>933</v>
      </c>
      <c r="E1990" t="s">
        <v>934</v>
      </c>
      <c r="F1990" t="s">
        <v>4305</v>
      </c>
      <c r="G1990" t="s">
        <v>4470</v>
      </c>
      <c r="H1990" s="15">
        <v>46072</v>
      </c>
      <c r="I1990" t="s">
        <v>4471</v>
      </c>
      <c r="J1990" t="s">
        <v>233</v>
      </c>
      <c r="K1990" t="s">
        <v>185</v>
      </c>
      <c r="N1990">
        <v>0</v>
      </c>
      <c r="O1990" t="s">
        <v>222</v>
      </c>
      <c r="P1990">
        <v>0</v>
      </c>
      <c r="U1990" s="15"/>
    </row>
    <row r="1991" spans="1:21" x14ac:dyDescent="0.35">
      <c r="A1991" t="s">
        <v>14</v>
      </c>
      <c r="B1991" t="s">
        <v>3247</v>
      </c>
      <c r="C1991" t="s">
        <v>515</v>
      </c>
      <c r="D1991" t="s">
        <v>516</v>
      </c>
      <c r="E1991" t="s">
        <v>517</v>
      </c>
      <c r="F1991" t="s">
        <v>4305</v>
      </c>
      <c r="G1991" t="s">
        <v>4472</v>
      </c>
      <c r="H1991" s="15">
        <v>46073</v>
      </c>
      <c r="I1991" t="s">
        <v>4473</v>
      </c>
      <c r="J1991" t="s">
        <v>16</v>
      </c>
      <c r="K1991" t="s">
        <v>185</v>
      </c>
      <c r="N1991">
        <v>0</v>
      </c>
      <c r="O1991" t="s">
        <v>222</v>
      </c>
      <c r="P1991">
        <v>0</v>
      </c>
      <c r="U1991" s="15"/>
    </row>
    <row r="1992" spans="1:21" x14ac:dyDescent="0.35">
      <c r="A1992" t="s">
        <v>14</v>
      </c>
      <c r="B1992" t="s">
        <v>2421</v>
      </c>
      <c r="C1992" t="s">
        <v>1255</v>
      </c>
      <c r="D1992" t="s">
        <v>1256</v>
      </c>
      <c r="E1992" t="s">
        <v>1257</v>
      </c>
      <c r="F1992" t="s">
        <v>2422</v>
      </c>
      <c r="G1992" t="s">
        <v>5006</v>
      </c>
      <c r="H1992" s="15">
        <v>46210</v>
      </c>
      <c r="I1992" t="s">
        <v>5008</v>
      </c>
      <c r="J1992" t="s">
        <v>16</v>
      </c>
      <c r="K1992" t="s">
        <v>185</v>
      </c>
      <c r="N1992">
        <v>0</v>
      </c>
      <c r="O1992" t="s">
        <v>222</v>
      </c>
      <c r="P1992">
        <v>0</v>
      </c>
      <c r="U1992" s="15"/>
    </row>
    <row r="1993" spans="1:21" x14ac:dyDescent="0.35">
      <c r="A1993" t="s">
        <v>14</v>
      </c>
      <c r="B1993" t="s">
        <v>3247</v>
      </c>
      <c r="C1993" t="s">
        <v>716</v>
      </c>
      <c r="D1993" t="s">
        <v>717</v>
      </c>
      <c r="E1993" t="s">
        <v>718</v>
      </c>
      <c r="F1993" t="s">
        <v>4305</v>
      </c>
      <c r="G1993" t="s">
        <v>4480</v>
      </c>
      <c r="H1993" s="15">
        <v>46073</v>
      </c>
      <c r="I1993" t="s">
        <v>4481</v>
      </c>
      <c r="J1993" t="s">
        <v>233</v>
      </c>
      <c r="K1993" t="s">
        <v>185</v>
      </c>
      <c r="N1993">
        <v>0</v>
      </c>
      <c r="O1993" t="s">
        <v>222</v>
      </c>
      <c r="P1993">
        <v>0</v>
      </c>
      <c r="U1993" s="15"/>
    </row>
    <row r="1994" spans="1:21" x14ac:dyDescent="0.35">
      <c r="A1994" t="s">
        <v>14</v>
      </c>
      <c r="B1994" t="s">
        <v>3247</v>
      </c>
      <c r="C1994" t="s">
        <v>1255</v>
      </c>
      <c r="D1994" t="s">
        <v>1256</v>
      </c>
      <c r="E1994" t="s">
        <v>1257</v>
      </c>
      <c r="F1994" t="s">
        <v>4305</v>
      </c>
      <c r="G1994" t="s">
        <v>4480</v>
      </c>
      <c r="H1994" s="15">
        <v>46073</v>
      </c>
      <c r="I1994" t="s">
        <v>4482</v>
      </c>
      <c r="J1994" t="s">
        <v>233</v>
      </c>
      <c r="K1994" t="s">
        <v>185</v>
      </c>
      <c r="N1994">
        <v>0</v>
      </c>
      <c r="O1994" t="s">
        <v>222</v>
      </c>
      <c r="P1994">
        <v>0</v>
      </c>
      <c r="U1994" s="15"/>
    </row>
    <row r="1995" spans="1:21" x14ac:dyDescent="0.35">
      <c r="A1995" t="s">
        <v>14</v>
      </c>
      <c r="B1995" t="s">
        <v>3158</v>
      </c>
      <c r="C1995" t="s">
        <v>777</v>
      </c>
      <c r="D1995" t="s">
        <v>778</v>
      </c>
      <c r="E1995" t="s">
        <v>779</v>
      </c>
      <c r="F1995" t="s">
        <v>3159</v>
      </c>
      <c r="G1995" t="s">
        <v>4213</v>
      </c>
      <c r="H1995" s="15">
        <v>46164</v>
      </c>
      <c r="I1995" t="s">
        <v>4215</v>
      </c>
      <c r="J1995" t="s">
        <v>16</v>
      </c>
      <c r="K1995" t="s">
        <v>185</v>
      </c>
      <c r="N1995">
        <v>0</v>
      </c>
      <c r="O1995" t="s">
        <v>222</v>
      </c>
      <c r="P1995">
        <v>0</v>
      </c>
      <c r="U1995" s="15"/>
    </row>
    <row r="1996" spans="1:21" x14ac:dyDescent="0.35">
      <c r="A1996" t="s">
        <v>14</v>
      </c>
      <c r="B1996" t="s">
        <v>2398</v>
      </c>
      <c r="C1996" t="s">
        <v>651</v>
      </c>
      <c r="D1996" t="s">
        <v>652</v>
      </c>
      <c r="E1996" t="s">
        <v>653</v>
      </c>
      <c r="F1996" t="s">
        <v>2399</v>
      </c>
      <c r="G1996" t="s">
        <v>2648</v>
      </c>
      <c r="H1996" s="15">
        <v>46076</v>
      </c>
      <c r="I1996" t="s">
        <v>2652</v>
      </c>
      <c r="J1996" t="s">
        <v>16</v>
      </c>
      <c r="K1996" t="s">
        <v>185</v>
      </c>
      <c r="N1996">
        <v>0</v>
      </c>
      <c r="O1996" t="s">
        <v>222</v>
      </c>
      <c r="P1996">
        <v>0</v>
      </c>
      <c r="U1996" s="15"/>
    </row>
    <row r="1997" spans="1:21" x14ac:dyDescent="0.35">
      <c r="A1997" t="s">
        <v>14</v>
      </c>
      <c r="B1997" t="s">
        <v>2398</v>
      </c>
      <c r="C1997" t="s">
        <v>1255</v>
      </c>
      <c r="D1997" t="s">
        <v>1256</v>
      </c>
      <c r="E1997" t="s">
        <v>1257</v>
      </c>
      <c r="F1997" t="s">
        <v>2399</v>
      </c>
      <c r="G1997" t="s">
        <v>2648</v>
      </c>
      <c r="H1997" s="15">
        <v>46076</v>
      </c>
      <c r="I1997" t="s">
        <v>2653</v>
      </c>
      <c r="J1997" t="s">
        <v>16</v>
      </c>
      <c r="K1997" t="s">
        <v>185</v>
      </c>
      <c r="N1997">
        <v>0</v>
      </c>
      <c r="O1997" t="s">
        <v>222</v>
      </c>
      <c r="P1997">
        <v>0</v>
      </c>
      <c r="U1997" s="15"/>
    </row>
    <row r="1998" spans="1:21" x14ac:dyDescent="0.35">
      <c r="A1998" t="s">
        <v>14</v>
      </c>
      <c r="B1998" t="s">
        <v>3247</v>
      </c>
      <c r="C1998" t="s">
        <v>765</v>
      </c>
      <c r="D1998" t="s">
        <v>766</v>
      </c>
      <c r="E1998" t="s">
        <v>767</v>
      </c>
      <c r="F1998" t="s">
        <v>4305</v>
      </c>
      <c r="G1998" t="s">
        <v>4485</v>
      </c>
      <c r="H1998" s="15">
        <v>46076</v>
      </c>
      <c r="I1998" t="s">
        <v>4486</v>
      </c>
      <c r="J1998" t="s">
        <v>233</v>
      </c>
      <c r="K1998" t="s">
        <v>185</v>
      </c>
      <c r="N1998">
        <v>0</v>
      </c>
      <c r="O1998" t="s">
        <v>222</v>
      </c>
      <c r="P1998">
        <v>0</v>
      </c>
      <c r="U1998" s="15"/>
    </row>
    <row r="1999" spans="1:21" x14ac:dyDescent="0.35">
      <c r="A1999" t="s">
        <v>14</v>
      </c>
      <c r="B1999" t="s">
        <v>3247</v>
      </c>
      <c r="C1999" t="s">
        <v>1255</v>
      </c>
      <c r="D1999" t="s">
        <v>1256</v>
      </c>
      <c r="E1999" t="s">
        <v>1257</v>
      </c>
      <c r="F1999" t="s">
        <v>4305</v>
      </c>
      <c r="G1999" t="s">
        <v>4485</v>
      </c>
      <c r="H1999" s="15">
        <v>46076</v>
      </c>
      <c r="I1999" t="s">
        <v>4487</v>
      </c>
      <c r="J1999" t="s">
        <v>233</v>
      </c>
      <c r="K1999" t="s">
        <v>185</v>
      </c>
      <c r="N1999">
        <v>0</v>
      </c>
      <c r="O1999" t="s">
        <v>222</v>
      </c>
      <c r="P1999">
        <v>0</v>
      </c>
      <c r="U1999" s="15"/>
    </row>
    <row r="2000" spans="1:21" x14ac:dyDescent="0.35">
      <c r="A2000" t="s">
        <v>14</v>
      </c>
      <c r="B2000" t="s">
        <v>2398</v>
      </c>
      <c r="C2000" t="s">
        <v>515</v>
      </c>
      <c r="D2000" t="s">
        <v>516</v>
      </c>
      <c r="E2000" t="s">
        <v>517</v>
      </c>
      <c r="F2000" t="s">
        <v>2399</v>
      </c>
      <c r="G2000" t="s">
        <v>2656</v>
      </c>
      <c r="H2000" s="15">
        <v>46077</v>
      </c>
      <c r="I2000" t="s">
        <v>2657</v>
      </c>
      <c r="J2000" t="s">
        <v>16</v>
      </c>
      <c r="K2000" t="s">
        <v>185</v>
      </c>
      <c r="N2000">
        <v>0</v>
      </c>
      <c r="O2000" t="s">
        <v>222</v>
      </c>
      <c r="P2000">
        <v>0</v>
      </c>
      <c r="U2000" s="15"/>
    </row>
    <row r="2001" spans="1:21" x14ac:dyDescent="0.35">
      <c r="A2001" t="s">
        <v>14</v>
      </c>
      <c r="B2001" t="s">
        <v>2398</v>
      </c>
      <c r="C2001" t="s">
        <v>651</v>
      </c>
      <c r="D2001" t="s">
        <v>652</v>
      </c>
      <c r="E2001" t="s">
        <v>653</v>
      </c>
      <c r="F2001" t="s">
        <v>2399</v>
      </c>
      <c r="G2001" t="s">
        <v>2656</v>
      </c>
      <c r="H2001" s="15">
        <v>46077</v>
      </c>
      <c r="I2001" t="s">
        <v>2658</v>
      </c>
      <c r="J2001" t="s">
        <v>16</v>
      </c>
      <c r="K2001" t="s">
        <v>185</v>
      </c>
      <c r="N2001">
        <v>0</v>
      </c>
      <c r="O2001" t="s">
        <v>222</v>
      </c>
      <c r="P2001">
        <v>0</v>
      </c>
      <c r="U2001" s="15"/>
    </row>
    <row r="2002" spans="1:21" x14ac:dyDescent="0.35">
      <c r="A2002" t="s">
        <v>14</v>
      </c>
      <c r="B2002" t="s">
        <v>3158</v>
      </c>
      <c r="C2002" t="s">
        <v>515</v>
      </c>
      <c r="D2002" t="s">
        <v>516</v>
      </c>
      <c r="E2002" t="s">
        <v>517</v>
      </c>
      <c r="F2002" t="s">
        <v>3159</v>
      </c>
      <c r="G2002" t="s">
        <v>4216</v>
      </c>
      <c r="H2002" s="15">
        <v>46164</v>
      </c>
      <c r="I2002" t="s">
        <v>4217</v>
      </c>
      <c r="J2002" t="s">
        <v>233</v>
      </c>
      <c r="K2002" t="s">
        <v>185</v>
      </c>
      <c r="N2002">
        <v>0</v>
      </c>
      <c r="O2002" t="s">
        <v>222</v>
      </c>
      <c r="P2002">
        <v>0</v>
      </c>
      <c r="U2002" s="15"/>
    </row>
    <row r="2003" spans="1:21" x14ac:dyDescent="0.35">
      <c r="A2003" t="s">
        <v>14</v>
      </c>
      <c r="B2003" t="s">
        <v>3158</v>
      </c>
      <c r="C2003" t="s">
        <v>658</v>
      </c>
      <c r="D2003" t="s">
        <v>659</v>
      </c>
      <c r="E2003" t="s">
        <v>660</v>
      </c>
      <c r="F2003" t="s">
        <v>3159</v>
      </c>
      <c r="G2003" t="s">
        <v>4216</v>
      </c>
      <c r="H2003" s="15">
        <v>46164</v>
      </c>
      <c r="I2003" t="s">
        <v>4218</v>
      </c>
      <c r="J2003" t="s">
        <v>233</v>
      </c>
      <c r="K2003" t="s">
        <v>185</v>
      </c>
      <c r="N2003">
        <v>0</v>
      </c>
      <c r="O2003" t="s">
        <v>222</v>
      </c>
      <c r="P2003">
        <v>0</v>
      </c>
      <c r="U2003" s="15"/>
    </row>
    <row r="2004" spans="1:21" x14ac:dyDescent="0.35">
      <c r="A2004" t="s">
        <v>14</v>
      </c>
      <c r="B2004" t="s">
        <v>2421</v>
      </c>
      <c r="C2004" t="s">
        <v>515</v>
      </c>
      <c r="D2004" t="s">
        <v>516</v>
      </c>
      <c r="E2004" t="s">
        <v>517</v>
      </c>
      <c r="F2004" t="s">
        <v>2422</v>
      </c>
      <c r="G2004" t="s">
        <v>5009</v>
      </c>
      <c r="H2004" s="15">
        <v>46211</v>
      </c>
      <c r="I2004" t="s">
        <v>5010</v>
      </c>
      <c r="J2004" t="s">
        <v>16</v>
      </c>
      <c r="K2004" t="s">
        <v>185</v>
      </c>
      <c r="N2004">
        <v>0</v>
      </c>
      <c r="O2004" t="s">
        <v>222</v>
      </c>
      <c r="P2004">
        <v>0</v>
      </c>
      <c r="U2004" s="15"/>
    </row>
    <row r="2005" spans="1:21" x14ac:dyDescent="0.35">
      <c r="A2005" t="s">
        <v>14</v>
      </c>
      <c r="B2005" t="s">
        <v>2421</v>
      </c>
      <c r="C2005" t="s">
        <v>647</v>
      </c>
      <c r="D2005" t="s">
        <v>648</v>
      </c>
      <c r="E2005" t="s">
        <v>649</v>
      </c>
      <c r="F2005" t="s">
        <v>2422</v>
      </c>
      <c r="G2005" t="s">
        <v>5009</v>
      </c>
      <c r="H2005" s="15">
        <v>46211</v>
      </c>
      <c r="I2005" t="s">
        <v>5011</v>
      </c>
      <c r="J2005" t="s">
        <v>16</v>
      </c>
      <c r="K2005" t="s">
        <v>185</v>
      </c>
      <c r="N2005">
        <v>0</v>
      </c>
      <c r="O2005" t="s">
        <v>222</v>
      </c>
      <c r="P2005">
        <v>0</v>
      </c>
      <c r="U2005" s="15"/>
    </row>
    <row r="2006" spans="1:21" x14ac:dyDescent="0.35">
      <c r="A2006" t="s">
        <v>14</v>
      </c>
      <c r="B2006" t="s">
        <v>2398</v>
      </c>
      <c r="C2006" t="s">
        <v>1255</v>
      </c>
      <c r="D2006" t="s">
        <v>1256</v>
      </c>
      <c r="E2006" t="s">
        <v>1257</v>
      </c>
      <c r="F2006" t="s">
        <v>2399</v>
      </c>
      <c r="G2006" t="s">
        <v>2656</v>
      </c>
      <c r="H2006" s="15">
        <v>46077</v>
      </c>
      <c r="I2006" t="s">
        <v>2661</v>
      </c>
      <c r="J2006" t="s">
        <v>16</v>
      </c>
      <c r="K2006" t="s">
        <v>185</v>
      </c>
      <c r="N2006">
        <v>0</v>
      </c>
      <c r="O2006" t="s">
        <v>222</v>
      </c>
      <c r="P2006">
        <v>0</v>
      </c>
      <c r="U2006" s="15"/>
    </row>
    <row r="2007" spans="1:21" x14ac:dyDescent="0.35">
      <c r="A2007" t="s">
        <v>14</v>
      </c>
      <c r="B2007" t="s">
        <v>3247</v>
      </c>
      <c r="C2007" t="s">
        <v>515</v>
      </c>
      <c r="D2007" t="s">
        <v>516</v>
      </c>
      <c r="E2007" t="s">
        <v>517</v>
      </c>
      <c r="F2007" t="s">
        <v>4305</v>
      </c>
      <c r="G2007" t="s">
        <v>4493</v>
      </c>
      <c r="H2007" s="15">
        <v>46077</v>
      </c>
      <c r="I2007" t="s">
        <v>4494</v>
      </c>
      <c r="J2007" t="s">
        <v>16</v>
      </c>
      <c r="K2007" t="s">
        <v>185</v>
      </c>
      <c r="N2007">
        <v>0</v>
      </c>
      <c r="O2007" t="s">
        <v>222</v>
      </c>
      <c r="P2007">
        <v>0</v>
      </c>
      <c r="U2007" s="15"/>
    </row>
    <row r="2008" spans="1:21" x14ac:dyDescent="0.35">
      <c r="A2008" t="s">
        <v>14</v>
      </c>
      <c r="B2008" t="s">
        <v>3247</v>
      </c>
      <c r="C2008" t="s">
        <v>658</v>
      </c>
      <c r="D2008" t="s">
        <v>659</v>
      </c>
      <c r="E2008" t="s">
        <v>660</v>
      </c>
      <c r="F2008" t="s">
        <v>4305</v>
      </c>
      <c r="G2008" t="s">
        <v>4495</v>
      </c>
      <c r="H2008" s="15">
        <v>46077</v>
      </c>
      <c r="I2008" t="s">
        <v>4496</v>
      </c>
      <c r="J2008" t="s">
        <v>233</v>
      </c>
      <c r="K2008" t="s">
        <v>185</v>
      </c>
      <c r="N2008">
        <v>0</v>
      </c>
      <c r="O2008" t="s">
        <v>222</v>
      </c>
      <c r="P2008">
        <v>0</v>
      </c>
      <c r="U2008" s="15"/>
    </row>
    <row r="2009" spans="1:21" x14ac:dyDescent="0.35">
      <c r="A2009" t="s">
        <v>14</v>
      </c>
      <c r="B2009" t="s">
        <v>3247</v>
      </c>
      <c r="C2009" t="s">
        <v>682</v>
      </c>
      <c r="D2009" t="s">
        <v>683</v>
      </c>
      <c r="E2009" t="s">
        <v>683</v>
      </c>
      <c r="F2009" t="s">
        <v>4305</v>
      </c>
      <c r="G2009" t="s">
        <v>4495</v>
      </c>
      <c r="H2009" s="15">
        <v>46077</v>
      </c>
      <c r="I2009" t="s">
        <v>4497</v>
      </c>
      <c r="J2009" t="s">
        <v>233</v>
      </c>
      <c r="K2009" t="s">
        <v>185</v>
      </c>
      <c r="N2009">
        <v>0</v>
      </c>
      <c r="O2009" t="s">
        <v>222</v>
      </c>
      <c r="P2009">
        <v>0</v>
      </c>
      <c r="U2009" s="15"/>
    </row>
    <row r="2010" spans="1:21" x14ac:dyDescent="0.35">
      <c r="A2010" t="s">
        <v>14</v>
      </c>
      <c r="B2010" t="s">
        <v>3158</v>
      </c>
      <c r="C2010" t="s">
        <v>498</v>
      </c>
      <c r="D2010" t="s">
        <v>499</v>
      </c>
      <c r="E2010" t="s">
        <v>500</v>
      </c>
      <c r="F2010" t="s">
        <v>3159</v>
      </c>
      <c r="G2010" t="s">
        <v>4219</v>
      </c>
      <c r="H2010" s="15">
        <v>46165</v>
      </c>
      <c r="I2010" t="s">
        <v>4220</v>
      </c>
      <c r="J2010" t="s">
        <v>16</v>
      </c>
      <c r="K2010" t="s">
        <v>185</v>
      </c>
      <c r="N2010">
        <v>0</v>
      </c>
      <c r="O2010" t="s">
        <v>222</v>
      </c>
      <c r="P2010">
        <v>0</v>
      </c>
      <c r="U2010" s="15"/>
    </row>
    <row r="2011" spans="1:21" x14ac:dyDescent="0.35">
      <c r="A2011" t="s">
        <v>14</v>
      </c>
      <c r="B2011" t="s">
        <v>3158</v>
      </c>
      <c r="C2011" t="s">
        <v>977</v>
      </c>
      <c r="D2011" t="s">
        <v>978</v>
      </c>
      <c r="E2011" t="s">
        <v>979</v>
      </c>
      <c r="F2011" t="s">
        <v>3159</v>
      </c>
      <c r="G2011" t="s">
        <v>4221</v>
      </c>
      <c r="H2011" s="15">
        <v>46167</v>
      </c>
      <c r="I2011" t="s">
        <v>4222</v>
      </c>
      <c r="J2011" t="s">
        <v>16</v>
      </c>
      <c r="K2011" t="s">
        <v>185</v>
      </c>
      <c r="N2011">
        <v>0</v>
      </c>
      <c r="O2011" t="s">
        <v>222</v>
      </c>
      <c r="P2011">
        <v>0</v>
      </c>
      <c r="U2011" s="15"/>
    </row>
    <row r="2012" spans="1:21" x14ac:dyDescent="0.35">
      <c r="A2012" t="s">
        <v>14</v>
      </c>
      <c r="B2012" t="s">
        <v>3247</v>
      </c>
      <c r="C2012" t="s">
        <v>515</v>
      </c>
      <c r="D2012" t="s">
        <v>516</v>
      </c>
      <c r="E2012" t="s">
        <v>517</v>
      </c>
      <c r="F2012" t="s">
        <v>4305</v>
      </c>
      <c r="G2012" t="s">
        <v>4500</v>
      </c>
      <c r="H2012" s="15">
        <v>46078</v>
      </c>
      <c r="I2012" t="s">
        <v>4501</v>
      </c>
      <c r="J2012" t="s">
        <v>16</v>
      </c>
      <c r="K2012" t="s">
        <v>185</v>
      </c>
      <c r="N2012">
        <v>0</v>
      </c>
      <c r="O2012" t="s">
        <v>222</v>
      </c>
      <c r="P2012">
        <v>0</v>
      </c>
      <c r="U2012" s="15"/>
    </row>
    <row r="2013" spans="1:21" x14ac:dyDescent="0.35">
      <c r="A2013" t="s">
        <v>14</v>
      </c>
      <c r="B2013" t="s">
        <v>3247</v>
      </c>
      <c r="C2013" t="s">
        <v>667</v>
      </c>
      <c r="D2013" t="s">
        <v>668</v>
      </c>
      <c r="E2013" t="s">
        <v>669</v>
      </c>
      <c r="F2013" t="s">
        <v>4305</v>
      </c>
      <c r="G2013" t="s">
        <v>4502</v>
      </c>
      <c r="H2013" s="15">
        <v>46078</v>
      </c>
      <c r="I2013" t="s">
        <v>4503</v>
      </c>
      <c r="J2013" t="s">
        <v>233</v>
      </c>
      <c r="K2013" t="s">
        <v>185</v>
      </c>
      <c r="N2013">
        <v>0</v>
      </c>
      <c r="O2013" t="s">
        <v>222</v>
      </c>
      <c r="P2013">
        <v>0</v>
      </c>
      <c r="U2013" s="15"/>
    </row>
    <row r="2014" spans="1:21" x14ac:dyDescent="0.35">
      <c r="A2014" t="s">
        <v>14</v>
      </c>
      <c r="B2014" t="s">
        <v>3247</v>
      </c>
      <c r="C2014" t="s">
        <v>515</v>
      </c>
      <c r="D2014" t="s">
        <v>516</v>
      </c>
      <c r="E2014" t="s">
        <v>517</v>
      </c>
      <c r="F2014" t="s">
        <v>4305</v>
      </c>
      <c r="G2014" t="s">
        <v>4504</v>
      </c>
      <c r="H2014" s="15">
        <v>46079</v>
      </c>
      <c r="I2014" t="s">
        <v>4505</v>
      </c>
      <c r="J2014" t="s">
        <v>16</v>
      </c>
      <c r="K2014" t="s">
        <v>185</v>
      </c>
      <c r="N2014">
        <v>0</v>
      </c>
      <c r="O2014" t="s">
        <v>222</v>
      </c>
      <c r="P2014">
        <v>0</v>
      </c>
      <c r="U2014" s="15"/>
    </row>
    <row r="2015" spans="1:21" x14ac:dyDescent="0.35">
      <c r="A2015" t="s">
        <v>14</v>
      </c>
      <c r="B2015" t="s">
        <v>3158</v>
      </c>
      <c r="C2015" t="s">
        <v>667</v>
      </c>
      <c r="D2015" t="s">
        <v>668</v>
      </c>
      <c r="E2015" t="s">
        <v>669</v>
      </c>
      <c r="F2015" t="s">
        <v>3159</v>
      </c>
      <c r="G2015" t="s">
        <v>4221</v>
      </c>
      <c r="H2015" s="15">
        <v>46167</v>
      </c>
      <c r="I2015" t="s">
        <v>4223</v>
      </c>
      <c r="J2015" t="s">
        <v>16</v>
      </c>
      <c r="K2015" t="s">
        <v>185</v>
      </c>
      <c r="N2015">
        <v>0</v>
      </c>
      <c r="O2015" t="s">
        <v>222</v>
      </c>
      <c r="P2015">
        <v>0</v>
      </c>
      <c r="U2015" s="15"/>
    </row>
    <row r="2016" spans="1:21" x14ac:dyDescent="0.35">
      <c r="A2016" t="s">
        <v>14</v>
      </c>
      <c r="B2016" t="s">
        <v>3158</v>
      </c>
      <c r="C2016" t="s">
        <v>515</v>
      </c>
      <c r="D2016" t="s">
        <v>516</v>
      </c>
      <c r="E2016" t="s">
        <v>517</v>
      </c>
      <c r="F2016" t="s">
        <v>3159</v>
      </c>
      <c r="G2016" t="s">
        <v>4224</v>
      </c>
      <c r="H2016" s="15">
        <v>46167</v>
      </c>
      <c r="I2016" t="s">
        <v>4225</v>
      </c>
      <c r="J2016" t="s">
        <v>233</v>
      </c>
      <c r="K2016" t="s">
        <v>185</v>
      </c>
      <c r="N2016">
        <v>0</v>
      </c>
      <c r="O2016" t="s">
        <v>222</v>
      </c>
      <c r="P2016">
        <v>0</v>
      </c>
      <c r="U2016" s="15"/>
    </row>
    <row r="2017" spans="1:21" x14ac:dyDescent="0.35">
      <c r="A2017" t="s">
        <v>14</v>
      </c>
      <c r="B2017" t="s">
        <v>2421</v>
      </c>
      <c r="C2017" t="s">
        <v>667</v>
      </c>
      <c r="D2017" t="s">
        <v>668</v>
      </c>
      <c r="E2017" t="s">
        <v>669</v>
      </c>
      <c r="F2017" t="s">
        <v>2422</v>
      </c>
      <c r="G2017" t="s">
        <v>5009</v>
      </c>
      <c r="H2017" s="15">
        <v>46211</v>
      </c>
      <c r="I2017" t="s">
        <v>5012</v>
      </c>
      <c r="J2017" t="s">
        <v>16</v>
      </c>
      <c r="K2017" t="s">
        <v>185</v>
      </c>
      <c r="N2017">
        <v>0</v>
      </c>
      <c r="O2017" t="s">
        <v>222</v>
      </c>
      <c r="P2017">
        <v>0</v>
      </c>
      <c r="U2017" s="15"/>
    </row>
    <row r="2018" spans="1:21" x14ac:dyDescent="0.35">
      <c r="A2018" t="s">
        <v>14</v>
      </c>
      <c r="B2018" t="s">
        <v>2421</v>
      </c>
      <c r="C2018" t="s">
        <v>515</v>
      </c>
      <c r="D2018" t="s">
        <v>516</v>
      </c>
      <c r="E2018" t="s">
        <v>517</v>
      </c>
      <c r="F2018" t="s">
        <v>2422</v>
      </c>
      <c r="G2018" t="s">
        <v>5013</v>
      </c>
      <c r="H2018" s="15">
        <v>46212</v>
      </c>
      <c r="I2018" t="s">
        <v>5014</v>
      </c>
      <c r="J2018" t="s">
        <v>16</v>
      </c>
      <c r="K2018" t="s">
        <v>185</v>
      </c>
      <c r="N2018">
        <v>0</v>
      </c>
      <c r="O2018" t="s">
        <v>222</v>
      </c>
      <c r="P2018">
        <v>0</v>
      </c>
      <c r="U2018" s="15"/>
    </row>
    <row r="2019" spans="1:21" x14ac:dyDescent="0.35">
      <c r="A2019" t="s">
        <v>14</v>
      </c>
      <c r="B2019" t="s">
        <v>2398</v>
      </c>
      <c r="C2019" t="s">
        <v>515</v>
      </c>
      <c r="D2019" t="s">
        <v>516</v>
      </c>
      <c r="E2019" t="s">
        <v>517</v>
      </c>
      <c r="F2019" t="s">
        <v>2399</v>
      </c>
      <c r="G2019" t="s">
        <v>2672</v>
      </c>
      <c r="H2019" s="15">
        <v>46078</v>
      </c>
      <c r="I2019" t="s">
        <v>2673</v>
      </c>
      <c r="J2019" t="s">
        <v>16</v>
      </c>
      <c r="K2019" t="s">
        <v>185</v>
      </c>
      <c r="N2019">
        <v>0</v>
      </c>
      <c r="O2019" t="s">
        <v>222</v>
      </c>
      <c r="P2019">
        <v>0</v>
      </c>
      <c r="U2019" s="15"/>
    </row>
    <row r="2020" spans="1:21" x14ac:dyDescent="0.35">
      <c r="A2020" t="s">
        <v>14</v>
      </c>
      <c r="B2020" t="s">
        <v>2398</v>
      </c>
      <c r="C2020" t="s">
        <v>651</v>
      </c>
      <c r="D2020" t="s">
        <v>652</v>
      </c>
      <c r="E2020" t="s">
        <v>653</v>
      </c>
      <c r="F2020" t="s">
        <v>2399</v>
      </c>
      <c r="G2020" t="s">
        <v>2672</v>
      </c>
      <c r="H2020" s="15">
        <v>46078</v>
      </c>
      <c r="I2020" t="s">
        <v>2674</v>
      </c>
      <c r="J2020" t="s">
        <v>16</v>
      </c>
      <c r="K2020" t="s">
        <v>185</v>
      </c>
      <c r="N2020">
        <v>0</v>
      </c>
      <c r="O2020" t="s">
        <v>222</v>
      </c>
      <c r="P2020">
        <v>0</v>
      </c>
      <c r="U2020" s="15"/>
    </row>
    <row r="2021" spans="1:21" x14ac:dyDescent="0.35">
      <c r="A2021" t="s">
        <v>14</v>
      </c>
      <c r="B2021" t="s">
        <v>2398</v>
      </c>
      <c r="C2021" t="s">
        <v>1255</v>
      </c>
      <c r="D2021" t="s">
        <v>1256</v>
      </c>
      <c r="E2021" t="s">
        <v>1257</v>
      </c>
      <c r="F2021" t="s">
        <v>2399</v>
      </c>
      <c r="G2021" t="s">
        <v>2672</v>
      </c>
      <c r="H2021" s="15">
        <v>46078</v>
      </c>
      <c r="I2021" t="s">
        <v>2675</v>
      </c>
      <c r="J2021" t="s">
        <v>16</v>
      </c>
      <c r="K2021" t="s">
        <v>185</v>
      </c>
      <c r="N2021">
        <v>0</v>
      </c>
      <c r="O2021" t="s">
        <v>222</v>
      </c>
      <c r="P2021">
        <v>0</v>
      </c>
      <c r="U2021" s="15"/>
    </row>
    <row r="2022" spans="1:21" x14ac:dyDescent="0.35">
      <c r="A2022" t="s">
        <v>14</v>
      </c>
      <c r="B2022" t="s">
        <v>3158</v>
      </c>
      <c r="C2022" t="s">
        <v>1255</v>
      </c>
      <c r="D2022" t="s">
        <v>1256</v>
      </c>
      <c r="E2022" t="s">
        <v>1257</v>
      </c>
      <c r="F2022" t="s">
        <v>3159</v>
      </c>
      <c r="G2022" t="s">
        <v>4226</v>
      </c>
      <c r="H2022" s="15">
        <v>46168</v>
      </c>
      <c r="I2022" t="s">
        <v>4227</v>
      </c>
      <c r="J2022" t="s">
        <v>16</v>
      </c>
      <c r="K2022" t="s">
        <v>185</v>
      </c>
      <c r="N2022">
        <v>0</v>
      </c>
      <c r="O2022" t="s">
        <v>222</v>
      </c>
      <c r="P2022">
        <v>0</v>
      </c>
      <c r="U2022" s="15"/>
    </row>
    <row r="2023" spans="1:21" x14ac:dyDescent="0.35">
      <c r="A2023" t="s">
        <v>14</v>
      </c>
      <c r="B2023" t="s">
        <v>3158</v>
      </c>
      <c r="C2023" t="s">
        <v>515</v>
      </c>
      <c r="D2023" t="s">
        <v>516</v>
      </c>
      <c r="E2023" t="s">
        <v>517</v>
      </c>
      <c r="F2023" t="s">
        <v>3159</v>
      </c>
      <c r="G2023" t="s">
        <v>4226</v>
      </c>
      <c r="H2023" s="15">
        <v>46168</v>
      </c>
      <c r="I2023" t="s">
        <v>4228</v>
      </c>
      <c r="J2023" t="s">
        <v>16</v>
      </c>
      <c r="K2023" t="s">
        <v>185</v>
      </c>
      <c r="N2023">
        <v>0</v>
      </c>
      <c r="O2023" t="s">
        <v>222</v>
      </c>
      <c r="P2023">
        <v>0</v>
      </c>
      <c r="U2023" s="15"/>
    </row>
    <row r="2024" spans="1:21" x14ac:dyDescent="0.35">
      <c r="A2024" t="s">
        <v>14</v>
      </c>
      <c r="B2024" t="s">
        <v>2398</v>
      </c>
      <c r="C2024" t="s">
        <v>515</v>
      </c>
      <c r="D2024" t="s">
        <v>516</v>
      </c>
      <c r="E2024" t="s">
        <v>517</v>
      </c>
      <c r="F2024" t="s">
        <v>2399</v>
      </c>
      <c r="G2024" t="s">
        <v>2681</v>
      </c>
      <c r="H2024" s="15">
        <v>46079</v>
      </c>
      <c r="I2024" t="s">
        <v>2682</v>
      </c>
      <c r="J2024" t="s">
        <v>16</v>
      </c>
      <c r="K2024" t="s">
        <v>185</v>
      </c>
      <c r="N2024">
        <v>0</v>
      </c>
      <c r="O2024" t="s">
        <v>222</v>
      </c>
      <c r="P2024">
        <v>0</v>
      </c>
      <c r="U2024" s="15"/>
    </row>
    <row r="2025" spans="1:21" x14ac:dyDescent="0.35">
      <c r="A2025" t="s">
        <v>14</v>
      </c>
      <c r="B2025" t="s">
        <v>2398</v>
      </c>
      <c r="C2025" t="s">
        <v>651</v>
      </c>
      <c r="D2025" t="s">
        <v>652</v>
      </c>
      <c r="E2025" t="s">
        <v>653</v>
      </c>
      <c r="F2025" t="s">
        <v>2399</v>
      </c>
      <c r="G2025" t="s">
        <v>2681</v>
      </c>
      <c r="H2025" s="15">
        <v>46079</v>
      </c>
      <c r="I2025" t="s">
        <v>2683</v>
      </c>
      <c r="J2025" t="s">
        <v>16</v>
      </c>
      <c r="K2025" t="s">
        <v>185</v>
      </c>
      <c r="N2025">
        <v>0</v>
      </c>
      <c r="O2025" t="s">
        <v>222</v>
      </c>
      <c r="P2025">
        <v>0</v>
      </c>
      <c r="U2025" s="15"/>
    </row>
    <row r="2026" spans="1:21" x14ac:dyDescent="0.35">
      <c r="A2026" t="s">
        <v>14</v>
      </c>
      <c r="B2026" t="s">
        <v>2398</v>
      </c>
      <c r="C2026" t="s">
        <v>651</v>
      </c>
      <c r="D2026" t="s">
        <v>652</v>
      </c>
      <c r="E2026" t="s">
        <v>653</v>
      </c>
      <c r="F2026" t="s">
        <v>2399</v>
      </c>
      <c r="G2026" t="s">
        <v>2681</v>
      </c>
      <c r="H2026" s="15">
        <v>46079</v>
      </c>
      <c r="I2026" t="s">
        <v>2683</v>
      </c>
      <c r="J2026" t="s">
        <v>16</v>
      </c>
      <c r="K2026" t="s">
        <v>185</v>
      </c>
      <c r="N2026">
        <v>0</v>
      </c>
      <c r="O2026" t="s">
        <v>222</v>
      </c>
      <c r="P2026">
        <v>0</v>
      </c>
      <c r="U2026" s="15"/>
    </row>
    <row r="2027" spans="1:21" x14ac:dyDescent="0.35">
      <c r="A2027" t="s">
        <v>14</v>
      </c>
      <c r="B2027" t="s">
        <v>2421</v>
      </c>
      <c r="C2027" t="s">
        <v>1255</v>
      </c>
      <c r="D2027" t="s">
        <v>1256</v>
      </c>
      <c r="E2027" t="s">
        <v>1257</v>
      </c>
      <c r="F2027" t="s">
        <v>2422</v>
      </c>
      <c r="G2027" t="s">
        <v>5013</v>
      </c>
      <c r="H2027" s="15">
        <v>46212</v>
      </c>
      <c r="I2027" t="s">
        <v>5015</v>
      </c>
      <c r="J2027" t="s">
        <v>16</v>
      </c>
      <c r="K2027" t="s">
        <v>185</v>
      </c>
      <c r="N2027">
        <v>0</v>
      </c>
      <c r="O2027" t="s">
        <v>222</v>
      </c>
      <c r="P2027">
        <v>0</v>
      </c>
      <c r="U2027" s="15"/>
    </row>
    <row r="2028" spans="1:21" x14ac:dyDescent="0.35">
      <c r="A2028" t="s">
        <v>14</v>
      </c>
      <c r="B2028" t="s">
        <v>2421</v>
      </c>
      <c r="C2028" t="s">
        <v>515</v>
      </c>
      <c r="D2028" t="s">
        <v>516</v>
      </c>
      <c r="E2028" t="s">
        <v>517</v>
      </c>
      <c r="F2028" t="s">
        <v>2422</v>
      </c>
      <c r="G2028" t="s">
        <v>5016</v>
      </c>
      <c r="H2028" s="15">
        <v>46213</v>
      </c>
      <c r="I2028" t="s">
        <v>5017</v>
      </c>
      <c r="J2028" t="s">
        <v>16</v>
      </c>
      <c r="K2028" t="s">
        <v>185</v>
      </c>
      <c r="N2028">
        <v>0</v>
      </c>
      <c r="O2028" t="s">
        <v>222</v>
      </c>
      <c r="P2028">
        <v>0</v>
      </c>
      <c r="U2028" s="15"/>
    </row>
    <row r="2029" spans="1:21" x14ac:dyDescent="0.35">
      <c r="A2029" t="s">
        <v>14</v>
      </c>
      <c r="B2029" t="s">
        <v>3158</v>
      </c>
      <c r="C2029" t="s">
        <v>737</v>
      </c>
      <c r="D2029" t="s">
        <v>738</v>
      </c>
      <c r="E2029" t="s">
        <v>739</v>
      </c>
      <c r="F2029" t="s">
        <v>3159</v>
      </c>
      <c r="G2029" t="s">
        <v>4229</v>
      </c>
      <c r="H2029" s="15">
        <v>46168</v>
      </c>
      <c r="I2029" t="s">
        <v>4230</v>
      </c>
      <c r="J2029" t="s">
        <v>233</v>
      </c>
      <c r="K2029" t="s">
        <v>185</v>
      </c>
      <c r="N2029">
        <v>0</v>
      </c>
      <c r="O2029" t="s">
        <v>222</v>
      </c>
      <c r="P2029">
        <v>0</v>
      </c>
      <c r="U2029" s="15"/>
    </row>
    <row r="2030" spans="1:21" x14ac:dyDescent="0.35">
      <c r="A2030" t="s">
        <v>14</v>
      </c>
      <c r="B2030" t="s">
        <v>3158</v>
      </c>
      <c r="C2030" t="s">
        <v>515</v>
      </c>
      <c r="D2030" t="s">
        <v>516</v>
      </c>
      <c r="E2030" t="s">
        <v>517</v>
      </c>
      <c r="F2030" t="s">
        <v>3159</v>
      </c>
      <c r="G2030" t="s">
        <v>4231</v>
      </c>
      <c r="H2030" s="15">
        <v>46169</v>
      </c>
      <c r="I2030" t="s">
        <v>4232</v>
      </c>
      <c r="J2030" t="s">
        <v>16</v>
      </c>
      <c r="K2030" t="s">
        <v>185</v>
      </c>
      <c r="N2030">
        <v>0</v>
      </c>
      <c r="O2030" t="s">
        <v>222</v>
      </c>
      <c r="P2030">
        <v>0</v>
      </c>
      <c r="U2030" s="15"/>
    </row>
    <row r="2031" spans="1:21" x14ac:dyDescent="0.35">
      <c r="A2031" t="s">
        <v>14</v>
      </c>
      <c r="B2031" t="s">
        <v>3247</v>
      </c>
      <c r="C2031" t="s">
        <v>1255</v>
      </c>
      <c r="D2031" t="s">
        <v>1256</v>
      </c>
      <c r="E2031" t="s">
        <v>1257</v>
      </c>
      <c r="F2031" t="s">
        <v>4305</v>
      </c>
      <c r="G2031" t="s">
        <v>4509</v>
      </c>
      <c r="H2031" s="15">
        <v>46079</v>
      </c>
      <c r="I2031" t="s">
        <v>4510</v>
      </c>
      <c r="J2031" t="s">
        <v>233</v>
      </c>
      <c r="K2031" t="s">
        <v>185</v>
      </c>
      <c r="N2031">
        <v>0</v>
      </c>
      <c r="O2031" t="s">
        <v>222</v>
      </c>
      <c r="P2031">
        <v>0</v>
      </c>
      <c r="U2031" s="15"/>
    </row>
    <row r="2032" spans="1:21" x14ac:dyDescent="0.35">
      <c r="A2032" t="s">
        <v>14</v>
      </c>
      <c r="B2032" t="s">
        <v>3247</v>
      </c>
      <c r="C2032" t="s">
        <v>515</v>
      </c>
      <c r="D2032" t="s">
        <v>516</v>
      </c>
      <c r="E2032" t="s">
        <v>517</v>
      </c>
      <c r="F2032" t="s">
        <v>4305</v>
      </c>
      <c r="G2032" t="s">
        <v>4511</v>
      </c>
      <c r="H2032" s="15">
        <v>46080</v>
      </c>
      <c r="I2032" t="s">
        <v>4512</v>
      </c>
      <c r="J2032" t="s">
        <v>16</v>
      </c>
      <c r="K2032" t="s">
        <v>185</v>
      </c>
      <c r="N2032">
        <v>0</v>
      </c>
      <c r="O2032" t="s">
        <v>222</v>
      </c>
      <c r="P2032">
        <v>0</v>
      </c>
      <c r="U2032" s="15"/>
    </row>
    <row r="2033" spans="1:21" x14ac:dyDescent="0.35">
      <c r="A2033" t="s">
        <v>14</v>
      </c>
      <c r="B2033" t="s">
        <v>2398</v>
      </c>
      <c r="C2033" t="s">
        <v>737</v>
      </c>
      <c r="D2033" t="s">
        <v>738</v>
      </c>
      <c r="E2033" t="s">
        <v>739</v>
      </c>
      <c r="F2033" t="s">
        <v>2399</v>
      </c>
      <c r="G2033" t="s">
        <v>2681</v>
      </c>
      <c r="H2033" s="15">
        <v>46079</v>
      </c>
      <c r="I2033" t="s">
        <v>2694</v>
      </c>
      <c r="J2033" t="s">
        <v>16</v>
      </c>
      <c r="K2033" t="s">
        <v>185</v>
      </c>
      <c r="N2033">
        <v>0</v>
      </c>
      <c r="O2033" t="s">
        <v>222</v>
      </c>
      <c r="P2033">
        <v>0</v>
      </c>
      <c r="U2033" s="15"/>
    </row>
    <row r="2034" spans="1:21" x14ac:dyDescent="0.35">
      <c r="A2034" t="s">
        <v>14</v>
      </c>
      <c r="B2034" t="s">
        <v>2398</v>
      </c>
      <c r="C2034" t="s">
        <v>1255</v>
      </c>
      <c r="D2034" t="s">
        <v>1256</v>
      </c>
      <c r="E2034" t="s">
        <v>1257</v>
      </c>
      <c r="F2034" t="s">
        <v>2399</v>
      </c>
      <c r="G2034" t="s">
        <v>2681</v>
      </c>
      <c r="H2034" s="15">
        <v>46079</v>
      </c>
      <c r="I2034" t="s">
        <v>2695</v>
      </c>
      <c r="J2034" t="s">
        <v>16</v>
      </c>
      <c r="K2034" t="s">
        <v>185</v>
      </c>
      <c r="N2034">
        <v>0</v>
      </c>
      <c r="O2034" t="s">
        <v>222</v>
      </c>
      <c r="P2034">
        <v>0</v>
      </c>
      <c r="U2034" s="15"/>
    </row>
    <row r="2035" spans="1:21" x14ac:dyDescent="0.35">
      <c r="A2035" t="s">
        <v>14</v>
      </c>
      <c r="B2035" t="s">
        <v>3158</v>
      </c>
      <c r="C2035" t="s">
        <v>1255</v>
      </c>
      <c r="D2035" t="s">
        <v>1256</v>
      </c>
      <c r="E2035" t="s">
        <v>1257</v>
      </c>
      <c r="F2035" t="s">
        <v>3159</v>
      </c>
      <c r="G2035" t="s">
        <v>4231</v>
      </c>
      <c r="H2035" s="15">
        <v>46169</v>
      </c>
      <c r="I2035" t="s">
        <v>4233</v>
      </c>
      <c r="J2035" t="s">
        <v>16</v>
      </c>
      <c r="K2035" t="s">
        <v>185</v>
      </c>
      <c r="N2035">
        <v>0</v>
      </c>
      <c r="O2035" t="s">
        <v>222</v>
      </c>
      <c r="P2035">
        <v>0</v>
      </c>
      <c r="U2035" s="15"/>
    </row>
    <row r="2036" spans="1:21" x14ac:dyDescent="0.35">
      <c r="A2036" t="s">
        <v>14</v>
      </c>
      <c r="B2036" t="s">
        <v>3158</v>
      </c>
      <c r="C2036" t="s">
        <v>515</v>
      </c>
      <c r="D2036" t="s">
        <v>516</v>
      </c>
      <c r="E2036" t="s">
        <v>517</v>
      </c>
      <c r="F2036" t="s">
        <v>3159</v>
      </c>
      <c r="G2036" t="s">
        <v>4234</v>
      </c>
      <c r="H2036" s="15">
        <v>46169</v>
      </c>
      <c r="I2036" t="s">
        <v>4235</v>
      </c>
      <c r="J2036" t="s">
        <v>233</v>
      </c>
      <c r="K2036" t="s">
        <v>185</v>
      </c>
      <c r="N2036">
        <v>0</v>
      </c>
      <c r="O2036" t="s">
        <v>222</v>
      </c>
      <c r="P2036">
        <v>0</v>
      </c>
      <c r="U2036" s="15"/>
    </row>
    <row r="2037" spans="1:21" x14ac:dyDescent="0.35">
      <c r="A2037" t="s">
        <v>14</v>
      </c>
      <c r="B2037" t="s">
        <v>2421</v>
      </c>
      <c r="C2037" t="s">
        <v>1255</v>
      </c>
      <c r="D2037" t="s">
        <v>1256</v>
      </c>
      <c r="E2037" t="s">
        <v>1257</v>
      </c>
      <c r="F2037" t="s">
        <v>2422</v>
      </c>
      <c r="G2037" t="s">
        <v>5016</v>
      </c>
      <c r="H2037" s="15">
        <v>46213</v>
      </c>
      <c r="I2037" t="s">
        <v>5018</v>
      </c>
      <c r="J2037" t="s">
        <v>16</v>
      </c>
      <c r="K2037" t="s">
        <v>185</v>
      </c>
      <c r="N2037">
        <v>0</v>
      </c>
      <c r="O2037" t="s">
        <v>222</v>
      </c>
      <c r="P2037">
        <v>0</v>
      </c>
      <c r="U2037" s="15"/>
    </row>
    <row r="2038" spans="1:21" x14ac:dyDescent="0.35">
      <c r="A2038" t="s">
        <v>14</v>
      </c>
      <c r="B2038" t="s">
        <v>3247</v>
      </c>
      <c r="C2038" t="s">
        <v>1255</v>
      </c>
      <c r="D2038" t="s">
        <v>1256</v>
      </c>
      <c r="E2038" t="s">
        <v>1257</v>
      </c>
      <c r="F2038" t="s">
        <v>4305</v>
      </c>
      <c r="G2038" t="s">
        <v>4516</v>
      </c>
      <c r="H2038" s="15">
        <v>46080</v>
      </c>
      <c r="I2038" t="s">
        <v>4517</v>
      </c>
      <c r="J2038" t="s">
        <v>233</v>
      </c>
      <c r="K2038" t="s">
        <v>185</v>
      </c>
      <c r="N2038">
        <v>0</v>
      </c>
      <c r="O2038" t="s">
        <v>222</v>
      </c>
      <c r="P2038">
        <v>0</v>
      </c>
      <c r="U2038" s="15"/>
    </row>
    <row r="2039" spans="1:21" x14ac:dyDescent="0.35">
      <c r="A2039" t="s">
        <v>14</v>
      </c>
      <c r="B2039" t="s">
        <v>3247</v>
      </c>
      <c r="C2039" t="s">
        <v>515</v>
      </c>
      <c r="D2039" t="s">
        <v>516</v>
      </c>
      <c r="E2039" t="s">
        <v>517</v>
      </c>
      <c r="F2039" t="s">
        <v>4305</v>
      </c>
      <c r="G2039" t="s">
        <v>4518</v>
      </c>
      <c r="H2039" s="15">
        <v>46081</v>
      </c>
      <c r="I2039" t="s">
        <v>4519</v>
      </c>
      <c r="J2039" t="s">
        <v>16</v>
      </c>
      <c r="K2039" t="s">
        <v>185</v>
      </c>
      <c r="N2039">
        <v>0</v>
      </c>
      <c r="O2039" t="s">
        <v>222</v>
      </c>
      <c r="P2039">
        <v>0</v>
      </c>
      <c r="U2039" s="15"/>
    </row>
    <row r="2040" spans="1:21" x14ac:dyDescent="0.35">
      <c r="A2040" t="s">
        <v>14</v>
      </c>
      <c r="B2040" t="s">
        <v>3158</v>
      </c>
      <c r="C2040" t="s">
        <v>1255</v>
      </c>
      <c r="D2040" t="s">
        <v>1256</v>
      </c>
      <c r="E2040" t="s">
        <v>1257</v>
      </c>
      <c r="F2040" t="s">
        <v>3159</v>
      </c>
      <c r="G2040" t="s">
        <v>4236</v>
      </c>
      <c r="H2040" s="15">
        <v>46170</v>
      </c>
      <c r="I2040" t="s">
        <v>4237</v>
      </c>
      <c r="J2040" t="s">
        <v>16</v>
      </c>
      <c r="K2040" t="s">
        <v>185</v>
      </c>
      <c r="N2040">
        <v>0</v>
      </c>
      <c r="O2040" t="s">
        <v>222</v>
      </c>
      <c r="P2040">
        <v>0</v>
      </c>
      <c r="U2040" s="15"/>
    </row>
    <row r="2041" spans="1:21" x14ac:dyDescent="0.35">
      <c r="A2041" t="s">
        <v>14</v>
      </c>
      <c r="B2041" t="s">
        <v>2398</v>
      </c>
      <c r="C2041" t="s">
        <v>515</v>
      </c>
      <c r="D2041" t="s">
        <v>516</v>
      </c>
      <c r="E2041" t="s">
        <v>517</v>
      </c>
      <c r="F2041" t="s">
        <v>2399</v>
      </c>
      <c r="G2041" t="s">
        <v>2700</v>
      </c>
      <c r="H2041" s="15">
        <v>46080</v>
      </c>
      <c r="I2041" t="s">
        <v>2701</v>
      </c>
      <c r="J2041" t="s">
        <v>16</v>
      </c>
      <c r="K2041" t="s">
        <v>185</v>
      </c>
      <c r="N2041">
        <v>0</v>
      </c>
      <c r="O2041" t="s">
        <v>222</v>
      </c>
      <c r="P2041">
        <v>0</v>
      </c>
      <c r="U2041" s="15"/>
    </row>
    <row r="2042" spans="1:21" x14ac:dyDescent="0.35">
      <c r="A2042" t="s">
        <v>14</v>
      </c>
      <c r="B2042" t="s">
        <v>2398</v>
      </c>
      <c r="C2042" t="s">
        <v>651</v>
      </c>
      <c r="D2042" t="s">
        <v>652</v>
      </c>
      <c r="E2042" t="s">
        <v>653</v>
      </c>
      <c r="F2042" t="s">
        <v>2399</v>
      </c>
      <c r="G2042" t="s">
        <v>2700</v>
      </c>
      <c r="H2042" s="15">
        <v>46080</v>
      </c>
      <c r="I2042" t="s">
        <v>2702</v>
      </c>
      <c r="J2042" t="s">
        <v>16</v>
      </c>
      <c r="K2042" t="s">
        <v>185</v>
      </c>
      <c r="N2042">
        <v>0</v>
      </c>
      <c r="O2042" t="s">
        <v>222</v>
      </c>
      <c r="P2042">
        <v>0</v>
      </c>
      <c r="U2042" s="15"/>
    </row>
    <row r="2043" spans="1:21" x14ac:dyDescent="0.35">
      <c r="A2043" t="s">
        <v>14</v>
      </c>
      <c r="B2043" t="s">
        <v>2398</v>
      </c>
      <c r="C2043" t="s">
        <v>1255</v>
      </c>
      <c r="D2043" t="s">
        <v>1256</v>
      </c>
      <c r="E2043" t="s">
        <v>1257</v>
      </c>
      <c r="F2043" t="s">
        <v>2399</v>
      </c>
      <c r="G2043" t="s">
        <v>2700</v>
      </c>
      <c r="H2043" s="15">
        <v>46080</v>
      </c>
      <c r="I2043" t="s">
        <v>2703</v>
      </c>
      <c r="J2043" t="s">
        <v>16</v>
      </c>
      <c r="K2043" t="s">
        <v>185</v>
      </c>
      <c r="N2043">
        <v>0</v>
      </c>
      <c r="O2043" t="s">
        <v>222</v>
      </c>
      <c r="P2043">
        <v>0</v>
      </c>
      <c r="U2043" s="15"/>
    </row>
    <row r="2044" spans="1:21" x14ac:dyDescent="0.35">
      <c r="A2044" t="s">
        <v>14</v>
      </c>
      <c r="B2044" t="s">
        <v>3247</v>
      </c>
      <c r="C2044" t="s">
        <v>1255</v>
      </c>
      <c r="D2044" t="s">
        <v>1256</v>
      </c>
      <c r="E2044" t="s">
        <v>1257</v>
      </c>
      <c r="F2044" t="s">
        <v>4305</v>
      </c>
      <c r="G2044" t="s">
        <v>4524</v>
      </c>
      <c r="H2044" s="15">
        <v>46081</v>
      </c>
      <c r="I2044" t="s">
        <v>4525</v>
      </c>
      <c r="J2044" t="s">
        <v>233</v>
      </c>
      <c r="K2044" t="s">
        <v>185</v>
      </c>
      <c r="N2044">
        <v>0</v>
      </c>
      <c r="O2044" t="s">
        <v>222</v>
      </c>
      <c r="P2044">
        <v>0</v>
      </c>
      <c r="U2044" s="15"/>
    </row>
    <row r="2045" spans="1:21" x14ac:dyDescent="0.35">
      <c r="A2045" t="s">
        <v>14</v>
      </c>
      <c r="B2045" t="s">
        <v>3247</v>
      </c>
      <c r="C2045" t="s">
        <v>880</v>
      </c>
      <c r="D2045" t="s">
        <v>881</v>
      </c>
      <c r="E2045" t="s">
        <v>882</v>
      </c>
      <c r="F2045" t="s">
        <v>4305</v>
      </c>
      <c r="G2045" t="s">
        <v>4526</v>
      </c>
      <c r="H2045" s="15">
        <v>46083</v>
      </c>
      <c r="I2045" t="s">
        <v>4527</v>
      </c>
      <c r="J2045" t="s">
        <v>16</v>
      </c>
      <c r="K2045" t="s">
        <v>185</v>
      </c>
      <c r="N2045">
        <v>0</v>
      </c>
      <c r="O2045" t="s">
        <v>222</v>
      </c>
      <c r="P2045">
        <v>0</v>
      </c>
      <c r="U2045" s="15"/>
    </row>
    <row r="2046" spans="1:21" x14ac:dyDescent="0.35">
      <c r="A2046" t="s">
        <v>14</v>
      </c>
      <c r="B2046" t="s">
        <v>3158</v>
      </c>
      <c r="C2046" t="s">
        <v>515</v>
      </c>
      <c r="D2046" t="s">
        <v>516</v>
      </c>
      <c r="E2046" t="s">
        <v>517</v>
      </c>
      <c r="F2046" t="s">
        <v>3159</v>
      </c>
      <c r="G2046" t="s">
        <v>4236</v>
      </c>
      <c r="H2046" s="15">
        <v>46170</v>
      </c>
      <c r="I2046" t="s">
        <v>4238</v>
      </c>
      <c r="J2046" t="s">
        <v>16</v>
      </c>
      <c r="K2046" t="s">
        <v>185</v>
      </c>
      <c r="N2046">
        <v>0</v>
      </c>
      <c r="O2046" t="s">
        <v>222</v>
      </c>
      <c r="P2046">
        <v>0</v>
      </c>
      <c r="U2046" s="15"/>
    </row>
    <row r="2047" spans="1:21" x14ac:dyDescent="0.35">
      <c r="A2047" t="s">
        <v>14</v>
      </c>
      <c r="B2047" t="s">
        <v>3158</v>
      </c>
      <c r="C2047" t="s">
        <v>682</v>
      </c>
      <c r="D2047" t="s">
        <v>683</v>
      </c>
      <c r="E2047" t="s">
        <v>683</v>
      </c>
      <c r="F2047" t="s">
        <v>3159</v>
      </c>
      <c r="G2047" t="s">
        <v>4239</v>
      </c>
      <c r="H2047" s="15">
        <v>46170</v>
      </c>
      <c r="I2047" t="s">
        <v>4240</v>
      </c>
      <c r="J2047" t="s">
        <v>233</v>
      </c>
      <c r="K2047" t="s">
        <v>185</v>
      </c>
      <c r="N2047">
        <v>0</v>
      </c>
      <c r="O2047" t="s">
        <v>222</v>
      </c>
      <c r="P2047">
        <v>0</v>
      </c>
      <c r="U2047" s="15"/>
    </row>
    <row r="2048" spans="1:21" x14ac:dyDescent="0.35">
      <c r="A2048" t="s">
        <v>14</v>
      </c>
      <c r="B2048" t="s">
        <v>3158</v>
      </c>
      <c r="C2048" t="s">
        <v>515</v>
      </c>
      <c r="D2048" t="s">
        <v>516</v>
      </c>
      <c r="E2048" t="s">
        <v>517</v>
      </c>
      <c r="F2048" t="s">
        <v>3159</v>
      </c>
      <c r="G2048" t="s">
        <v>4241</v>
      </c>
      <c r="H2048" s="15">
        <v>46171</v>
      </c>
      <c r="I2048" t="s">
        <v>4242</v>
      </c>
      <c r="J2048" t="s">
        <v>16</v>
      </c>
      <c r="K2048" t="s">
        <v>185</v>
      </c>
      <c r="N2048">
        <v>0</v>
      </c>
      <c r="O2048" t="s">
        <v>222</v>
      </c>
      <c r="P2048">
        <v>0</v>
      </c>
      <c r="U2048" s="15"/>
    </row>
    <row r="2049" spans="1:21" x14ac:dyDescent="0.35">
      <c r="A2049" t="s">
        <v>14</v>
      </c>
      <c r="B2049" t="s">
        <v>2398</v>
      </c>
      <c r="C2049" t="s">
        <v>1255</v>
      </c>
      <c r="D2049" t="s">
        <v>1256</v>
      </c>
      <c r="E2049" t="s">
        <v>1257</v>
      </c>
      <c r="F2049" t="s">
        <v>2399</v>
      </c>
      <c r="G2049" t="s">
        <v>2707</v>
      </c>
      <c r="H2049" s="15">
        <v>46083</v>
      </c>
      <c r="I2049" t="s">
        <v>2708</v>
      </c>
      <c r="J2049" t="s">
        <v>16</v>
      </c>
      <c r="K2049" t="s">
        <v>185</v>
      </c>
      <c r="N2049">
        <v>0</v>
      </c>
      <c r="O2049" t="s">
        <v>222</v>
      </c>
      <c r="P2049">
        <v>0</v>
      </c>
      <c r="U2049" s="15"/>
    </row>
    <row r="2050" spans="1:21" x14ac:dyDescent="0.35">
      <c r="A2050" t="s">
        <v>14</v>
      </c>
      <c r="B2050" t="s">
        <v>2421</v>
      </c>
      <c r="C2050" t="s">
        <v>1255</v>
      </c>
      <c r="D2050" t="s">
        <v>1256</v>
      </c>
      <c r="E2050" t="s">
        <v>1257</v>
      </c>
      <c r="F2050" t="s">
        <v>2422</v>
      </c>
      <c r="G2050" t="s">
        <v>5019</v>
      </c>
      <c r="H2050" s="15">
        <v>46214</v>
      </c>
      <c r="I2050" t="s">
        <v>5020</v>
      </c>
      <c r="J2050" t="s">
        <v>16</v>
      </c>
      <c r="K2050" t="s">
        <v>185</v>
      </c>
      <c r="N2050">
        <v>0</v>
      </c>
      <c r="O2050" t="s">
        <v>222</v>
      </c>
      <c r="P2050">
        <v>0</v>
      </c>
      <c r="U2050" s="15"/>
    </row>
    <row r="2051" spans="1:21" x14ac:dyDescent="0.35">
      <c r="A2051" t="s">
        <v>14</v>
      </c>
      <c r="B2051" t="s">
        <v>2421</v>
      </c>
      <c r="C2051" t="s">
        <v>515</v>
      </c>
      <c r="D2051" t="s">
        <v>516</v>
      </c>
      <c r="E2051" t="s">
        <v>517</v>
      </c>
      <c r="F2051" t="s">
        <v>2422</v>
      </c>
      <c r="G2051" t="s">
        <v>5021</v>
      </c>
      <c r="H2051" s="15">
        <v>46216</v>
      </c>
      <c r="I2051" t="s">
        <v>5022</v>
      </c>
      <c r="J2051" t="s">
        <v>16</v>
      </c>
      <c r="K2051" t="s">
        <v>185</v>
      </c>
      <c r="N2051">
        <v>4800</v>
      </c>
      <c r="O2051" t="s">
        <v>222</v>
      </c>
      <c r="P2051">
        <v>21.400312</v>
      </c>
      <c r="U2051" s="15"/>
    </row>
    <row r="2052" spans="1:21" x14ac:dyDescent="0.35">
      <c r="A2052" t="s">
        <v>14</v>
      </c>
      <c r="B2052" t="s">
        <v>2421</v>
      </c>
      <c r="C2052" t="s">
        <v>1255</v>
      </c>
      <c r="D2052" t="s">
        <v>1256</v>
      </c>
      <c r="E2052" t="s">
        <v>1257</v>
      </c>
      <c r="F2052" t="s">
        <v>2422</v>
      </c>
      <c r="G2052" t="s">
        <v>5021</v>
      </c>
      <c r="H2052" s="15">
        <v>46216</v>
      </c>
      <c r="I2052" t="s">
        <v>5023</v>
      </c>
      <c r="J2052" t="s">
        <v>16</v>
      </c>
      <c r="K2052" t="s">
        <v>185</v>
      </c>
      <c r="N2052">
        <v>0</v>
      </c>
      <c r="O2052" t="s">
        <v>222</v>
      </c>
      <c r="P2052">
        <v>0</v>
      </c>
      <c r="U2052" s="15"/>
    </row>
    <row r="2053" spans="1:21" x14ac:dyDescent="0.35">
      <c r="A2053" t="s">
        <v>14</v>
      </c>
      <c r="B2053" t="s">
        <v>3247</v>
      </c>
      <c r="C2053" t="s">
        <v>777</v>
      </c>
      <c r="D2053" t="s">
        <v>778</v>
      </c>
      <c r="E2053" t="s">
        <v>779</v>
      </c>
      <c r="F2053" t="s">
        <v>4305</v>
      </c>
      <c r="G2053" t="s">
        <v>4531</v>
      </c>
      <c r="H2053" s="15">
        <v>46083</v>
      </c>
      <c r="I2053" t="s">
        <v>4532</v>
      </c>
      <c r="J2053" t="s">
        <v>233</v>
      </c>
      <c r="K2053" t="s">
        <v>185</v>
      </c>
      <c r="N2053">
        <v>0</v>
      </c>
      <c r="O2053" t="s">
        <v>222</v>
      </c>
      <c r="P2053">
        <v>0</v>
      </c>
      <c r="U2053" s="15"/>
    </row>
    <row r="2054" spans="1:21" x14ac:dyDescent="0.35">
      <c r="A2054" t="s">
        <v>14</v>
      </c>
      <c r="B2054" t="s">
        <v>3247</v>
      </c>
      <c r="C2054" t="s">
        <v>542</v>
      </c>
      <c r="D2054" t="s">
        <v>543</v>
      </c>
      <c r="E2054" t="s">
        <v>544</v>
      </c>
      <c r="F2054" t="s">
        <v>4305</v>
      </c>
      <c r="G2054" t="s">
        <v>4533</v>
      </c>
      <c r="H2054" s="15">
        <v>46085</v>
      </c>
      <c r="I2054" t="s">
        <v>4534</v>
      </c>
      <c r="J2054" t="s">
        <v>16</v>
      </c>
      <c r="K2054" t="s">
        <v>185</v>
      </c>
      <c r="N2054">
        <v>0</v>
      </c>
      <c r="O2054" t="s">
        <v>222</v>
      </c>
      <c r="P2054">
        <v>0</v>
      </c>
      <c r="U2054" s="15"/>
    </row>
    <row r="2055" spans="1:21" x14ac:dyDescent="0.35">
      <c r="A2055" t="s">
        <v>14</v>
      </c>
      <c r="B2055" t="s">
        <v>3158</v>
      </c>
      <c r="C2055" t="s">
        <v>1255</v>
      </c>
      <c r="D2055" t="s">
        <v>1256</v>
      </c>
      <c r="E2055" t="s">
        <v>1257</v>
      </c>
      <c r="F2055" t="s">
        <v>3159</v>
      </c>
      <c r="G2055" t="s">
        <v>4241</v>
      </c>
      <c r="H2055" s="15">
        <v>46171</v>
      </c>
      <c r="I2055" t="s">
        <v>4243</v>
      </c>
      <c r="J2055" t="s">
        <v>16</v>
      </c>
      <c r="K2055" t="s">
        <v>185</v>
      </c>
      <c r="N2055">
        <v>0</v>
      </c>
      <c r="O2055" t="s">
        <v>222</v>
      </c>
      <c r="P2055">
        <v>0</v>
      </c>
      <c r="U2055" s="15"/>
    </row>
    <row r="2056" spans="1:21" x14ac:dyDescent="0.35">
      <c r="A2056" t="s">
        <v>14</v>
      </c>
      <c r="B2056" t="s">
        <v>3158</v>
      </c>
      <c r="C2056" t="s">
        <v>515</v>
      </c>
      <c r="D2056" t="s">
        <v>516</v>
      </c>
      <c r="E2056" t="s">
        <v>517</v>
      </c>
      <c r="F2056" t="s">
        <v>3159</v>
      </c>
      <c r="G2056" t="s">
        <v>4244</v>
      </c>
      <c r="H2056" s="15">
        <v>46171</v>
      </c>
      <c r="I2056" t="s">
        <v>4245</v>
      </c>
      <c r="J2056" t="s">
        <v>233</v>
      </c>
      <c r="K2056" t="s">
        <v>185</v>
      </c>
      <c r="N2056">
        <v>0</v>
      </c>
      <c r="O2056" t="s">
        <v>222</v>
      </c>
      <c r="P2056">
        <v>0</v>
      </c>
      <c r="U2056" s="15"/>
    </row>
    <row r="2057" spans="1:21" x14ac:dyDescent="0.35">
      <c r="A2057" t="s">
        <v>14</v>
      </c>
      <c r="B2057" t="s">
        <v>2398</v>
      </c>
      <c r="C2057" t="s">
        <v>977</v>
      </c>
      <c r="D2057" t="s">
        <v>978</v>
      </c>
      <c r="E2057" t="s">
        <v>979</v>
      </c>
      <c r="F2057" t="s">
        <v>2399</v>
      </c>
      <c r="G2057" t="s">
        <v>2711</v>
      </c>
      <c r="H2057" s="15">
        <v>46085</v>
      </c>
      <c r="I2057" t="s">
        <v>2712</v>
      </c>
      <c r="J2057" t="s">
        <v>16</v>
      </c>
      <c r="K2057" t="s">
        <v>185</v>
      </c>
      <c r="N2057">
        <v>0</v>
      </c>
      <c r="O2057" t="s">
        <v>222</v>
      </c>
      <c r="P2057">
        <v>0</v>
      </c>
      <c r="U2057" s="15"/>
    </row>
    <row r="2058" spans="1:21" x14ac:dyDescent="0.35">
      <c r="A2058" t="s">
        <v>14</v>
      </c>
      <c r="B2058" t="s">
        <v>2398</v>
      </c>
      <c r="C2058" t="s">
        <v>2413</v>
      </c>
      <c r="D2058" t="s">
        <v>2414</v>
      </c>
      <c r="E2058" t="s">
        <v>2415</v>
      </c>
      <c r="F2058" t="s">
        <v>2399</v>
      </c>
      <c r="G2058" t="s">
        <v>2711</v>
      </c>
      <c r="H2058" s="15">
        <v>46085</v>
      </c>
      <c r="I2058" t="s">
        <v>2713</v>
      </c>
      <c r="J2058" t="s">
        <v>16</v>
      </c>
      <c r="K2058" t="s">
        <v>185</v>
      </c>
      <c r="N2058">
        <v>0</v>
      </c>
      <c r="O2058" t="s">
        <v>222</v>
      </c>
      <c r="P2058">
        <v>0</v>
      </c>
      <c r="U2058" s="15"/>
    </row>
    <row r="2059" spans="1:21" x14ac:dyDescent="0.35">
      <c r="A2059" t="s">
        <v>14</v>
      </c>
      <c r="B2059" t="s">
        <v>2421</v>
      </c>
      <c r="C2059" t="s">
        <v>1255</v>
      </c>
      <c r="D2059" t="s">
        <v>1256</v>
      </c>
      <c r="E2059" t="s">
        <v>1257</v>
      </c>
      <c r="F2059" t="s">
        <v>2422</v>
      </c>
      <c r="G2059" t="s">
        <v>5024</v>
      </c>
      <c r="H2059" s="15">
        <v>46217</v>
      </c>
      <c r="I2059" t="s">
        <v>5025</v>
      </c>
      <c r="J2059" t="s">
        <v>16</v>
      </c>
      <c r="K2059" t="s">
        <v>185</v>
      </c>
      <c r="N2059">
        <v>61880</v>
      </c>
      <c r="O2059" t="s">
        <v>222</v>
      </c>
      <c r="P2059">
        <v>228.65875299999999</v>
      </c>
      <c r="U2059" s="15"/>
    </row>
    <row r="2060" spans="1:21" x14ac:dyDescent="0.35">
      <c r="A2060" t="s">
        <v>14</v>
      </c>
      <c r="B2060" t="s">
        <v>2398</v>
      </c>
      <c r="C2060" t="s">
        <v>1255</v>
      </c>
      <c r="D2060" t="s">
        <v>1256</v>
      </c>
      <c r="E2060" t="s">
        <v>1257</v>
      </c>
      <c r="F2060" t="s">
        <v>2399</v>
      </c>
      <c r="G2060" t="s">
        <v>2711</v>
      </c>
      <c r="H2060" s="15">
        <v>46085</v>
      </c>
      <c r="I2060" t="s">
        <v>2716</v>
      </c>
      <c r="J2060" t="s">
        <v>16</v>
      </c>
      <c r="K2060" t="s">
        <v>185</v>
      </c>
      <c r="N2060">
        <v>0</v>
      </c>
      <c r="O2060" t="s">
        <v>222</v>
      </c>
      <c r="P2060">
        <v>0</v>
      </c>
      <c r="U2060" s="15"/>
    </row>
    <row r="2061" spans="1:21" x14ac:dyDescent="0.35">
      <c r="A2061" t="s">
        <v>14</v>
      </c>
      <c r="B2061" t="s">
        <v>3158</v>
      </c>
      <c r="C2061" t="s">
        <v>816</v>
      </c>
      <c r="D2061" t="s">
        <v>817</v>
      </c>
      <c r="E2061" t="s">
        <v>818</v>
      </c>
      <c r="F2061" t="s">
        <v>3159</v>
      </c>
      <c r="G2061" t="s">
        <v>4246</v>
      </c>
      <c r="H2061" s="15">
        <v>46172</v>
      </c>
      <c r="I2061" t="s">
        <v>4247</v>
      </c>
      <c r="J2061" t="s">
        <v>16</v>
      </c>
      <c r="K2061" t="s">
        <v>185</v>
      </c>
      <c r="N2061">
        <v>0</v>
      </c>
      <c r="O2061" t="s">
        <v>222</v>
      </c>
      <c r="P2061">
        <v>0</v>
      </c>
      <c r="U2061" s="15"/>
    </row>
    <row r="2062" spans="1:21" x14ac:dyDescent="0.35">
      <c r="A2062" t="s">
        <v>14</v>
      </c>
      <c r="B2062" t="s">
        <v>3158</v>
      </c>
      <c r="C2062" t="s">
        <v>1255</v>
      </c>
      <c r="D2062" t="s">
        <v>1256</v>
      </c>
      <c r="E2062" t="s">
        <v>1257</v>
      </c>
      <c r="F2062" t="s">
        <v>3159</v>
      </c>
      <c r="G2062" t="s">
        <v>4246</v>
      </c>
      <c r="H2062" s="15">
        <v>46172</v>
      </c>
      <c r="I2062" t="s">
        <v>4248</v>
      </c>
      <c r="J2062" t="s">
        <v>16</v>
      </c>
      <c r="K2062" t="s">
        <v>185</v>
      </c>
      <c r="N2062">
        <v>0</v>
      </c>
      <c r="O2062" t="s">
        <v>222</v>
      </c>
      <c r="P2062">
        <v>0</v>
      </c>
      <c r="U2062" s="15"/>
    </row>
    <row r="2063" spans="1:21" x14ac:dyDescent="0.35">
      <c r="A2063" t="s">
        <v>14</v>
      </c>
      <c r="B2063" t="s">
        <v>2421</v>
      </c>
      <c r="C2063" t="s">
        <v>821</v>
      </c>
      <c r="D2063" t="s">
        <v>822</v>
      </c>
      <c r="E2063" t="s">
        <v>823</v>
      </c>
      <c r="F2063" t="s">
        <v>2422</v>
      </c>
      <c r="G2063" t="s">
        <v>5145</v>
      </c>
      <c r="H2063" s="15">
        <v>46218</v>
      </c>
      <c r="I2063" t="s">
        <v>5146</v>
      </c>
      <c r="J2063" t="s">
        <v>16</v>
      </c>
      <c r="K2063" t="s">
        <v>185</v>
      </c>
      <c r="N2063">
        <v>7880</v>
      </c>
      <c r="O2063" t="s">
        <v>222</v>
      </c>
      <c r="P2063">
        <v>29.103739999999998</v>
      </c>
      <c r="U2063" s="15"/>
    </row>
    <row r="2064" spans="1:21" x14ac:dyDescent="0.35">
      <c r="A2064" t="s">
        <v>14</v>
      </c>
      <c r="B2064" t="s">
        <v>2398</v>
      </c>
      <c r="C2064" t="s">
        <v>977</v>
      </c>
      <c r="D2064" t="s">
        <v>978</v>
      </c>
      <c r="E2064" t="s">
        <v>979</v>
      </c>
      <c r="F2064" t="s">
        <v>2399</v>
      </c>
      <c r="G2064" t="s">
        <v>2719</v>
      </c>
      <c r="H2064" s="15">
        <v>46086</v>
      </c>
      <c r="I2064" t="s">
        <v>2720</v>
      </c>
      <c r="J2064" t="s">
        <v>16</v>
      </c>
      <c r="K2064" t="s">
        <v>185</v>
      </c>
      <c r="N2064">
        <v>0</v>
      </c>
      <c r="O2064" t="s">
        <v>222</v>
      </c>
      <c r="P2064">
        <v>0</v>
      </c>
      <c r="U2064" s="15"/>
    </row>
    <row r="2065" spans="1:21" x14ac:dyDescent="0.35">
      <c r="A2065" t="s">
        <v>14</v>
      </c>
      <c r="B2065" t="s">
        <v>2398</v>
      </c>
      <c r="C2065" t="s">
        <v>2413</v>
      </c>
      <c r="D2065" t="s">
        <v>2414</v>
      </c>
      <c r="E2065" t="s">
        <v>2415</v>
      </c>
      <c r="F2065" t="s">
        <v>2399</v>
      </c>
      <c r="G2065" t="s">
        <v>2719</v>
      </c>
      <c r="H2065" s="15">
        <v>46086</v>
      </c>
      <c r="I2065" t="s">
        <v>2721</v>
      </c>
      <c r="J2065" t="s">
        <v>16</v>
      </c>
      <c r="K2065" t="s">
        <v>185</v>
      </c>
      <c r="N2065">
        <v>0</v>
      </c>
      <c r="O2065" t="s">
        <v>222</v>
      </c>
      <c r="P2065">
        <v>0</v>
      </c>
      <c r="U2065" s="15"/>
    </row>
    <row r="2066" spans="1:21" x14ac:dyDescent="0.35">
      <c r="A2066" t="s">
        <v>14</v>
      </c>
      <c r="B2066" t="s">
        <v>3247</v>
      </c>
      <c r="C2066" t="s">
        <v>1255</v>
      </c>
      <c r="D2066" t="s">
        <v>1256</v>
      </c>
      <c r="E2066" t="s">
        <v>1257</v>
      </c>
      <c r="F2066" t="s">
        <v>4305</v>
      </c>
      <c r="G2066" t="s">
        <v>4537</v>
      </c>
      <c r="H2066" s="15">
        <v>46085</v>
      </c>
      <c r="I2066" t="s">
        <v>4538</v>
      </c>
      <c r="J2066" t="s">
        <v>233</v>
      </c>
      <c r="K2066" t="s">
        <v>185</v>
      </c>
      <c r="N2066">
        <v>0</v>
      </c>
      <c r="O2066" t="s">
        <v>222</v>
      </c>
      <c r="P2066">
        <v>0</v>
      </c>
      <c r="U2066" s="15"/>
    </row>
    <row r="2067" spans="1:21" x14ac:dyDescent="0.35">
      <c r="A2067" t="s">
        <v>14</v>
      </c>
      <c r="B2067" t="s">
        <v>3247</v>
      </c>
      <c r="C2067" t="s">
        <v>977</v>
      </c>
      <c r="D2067" t="s">
        <v>978</v>
      </c>
      <c r="E2067" t="s">
        <v>979</v>
      </c>
      <c r="F2067" t="s">
        <v>4305</v>
      </c>
      <c r="G2067" t="s">
        <v>4539</v>
      </c>
      <c r="H2067" s="15">
        <v>46086</v>
      </c>
      <c r="I2067" t="s">
        <v>4540</v>
      </c>
      <c r="J2067" t="s">
        <v>16</v>
      </c>
      <c r="K2067" t="s">
        <v>185</v>
      </c>
      <c r="N2067">
        <v>0</v>
      </c>
      <c r="O2067" t="s">
        <v>222</v>
      </c>
      <c r="P2067">
        <v>0</v>
      </c>
      <c r="U2067" s="15"/>
    </row>
    <row r="2068" spans="1:21" x14ac:dyDescent="0.35">
      <c r="A2068" t="s">
        <v>14</v>
      </c>
      <c r="B2068" t="s">
        <v>3158</v>
      </c>
      <c r="C2068" t="s">
        <v>498</v>
      </c>
      <c r="D2068" t="s">
        <v>499</v>
      </c>
      <c r="E2068" t="s">
        <v>500</v>
      </c>
      <c r="F2068" t="s">
        <v>3159</v>
      </c>
      <c r="G2068" t="s">
        <v>4249</v>
      </c>
      <c r="H2068" s="15">
        <v>46174</v>
      </c>
      <c r="I2068" t="s">
        <v>4250</v>
      </c>
      <c r="J2068" t="s">
        <v>16</v>
      </c>
      <c r="K2068" t="s">
        <v>185</v>
      </c>
      <c r="N2068">
        <v>0</v>
      </c>
      <c r="O2068" t="s">
        <v>222</v>
      </c>
      <c r="P2068">
        <v>0</v>
      </c>
      <c r="U2068" s="15"/>
    </row>
    <row r="2069" spans="1:21" x14ac:dyDescent="0.35">
      <c r="A2069" t="s">
        <v>14</v>
      </c>
      <c r="B2069" t="s">
        <v>3158</v>
      </c>
      <c r="C2069" t="s">
        <v>1255</v>
      </c>
      <c r="D2069" t="s">
        <v>1256</v>
      </c>
      <c r="E2069" t="s">
        <v>1257</v>
      </c>
      <c r="F2069" t="s">
        <v>3159</v>
      </c>
      <c r="G2069" t="s">
        <v>4249</v>
      </c>
      <c r="H2069" s="15">
        <v>46174</v>
      </c>
      <c r="I2069" t="s">
        <v>4251</v>
      </c>
      <c r="J2069" t="s">
        <v>16</v>
      </c>
      <c r="K2069" t="s">
        <v>185</v>
      </c>
      <c r="N2069">
        <v>0</v>
      </c>
      <c r="O2069" t="s">
        <v>222</v>
      </c>
      <c r="P2069">
        <v>0</v>
      </c>
      <c r="U2069" s="15"/>
    </row>
    <row r="2070" spans="1:21" x14ac:dyDescent="0.35">
      <c r="A2070" t="s">
        <v>14</v>
      </c>
      <c r="B2070" t="s">
        <v>3158</v>
      </c>
      <c r="C2070" t="s">
        <v>1255</v>
      </c>
      <c r="D2070" t="s">
        <v>1256</v>
      </c>
      <c r="E2070" t="s">
        <v>1257</v>
      </c>
      <c r="F2070" t="s">
        <v>3159</v>
      </c>
      <c r="G2070" t="s">
        <v>4252</v>
      </c>
      <c r="H2070" s="15">
        <v>46175</v>
      </c>
      <c r="I2070" t="s">
        <v>4253</v>
      </c>
      <c r="J2070" t="s">
        <v>16</v>
      </c>
      <c r="K2070" t="s">
        <v>185</v>
      </c>
      <c r="N2070">
        <v>0</v>
      </c>
      <c r="O2070" t="s">
        <v>222</v>
      </c>
      <c r="P2070">
        <v>0</v>
      </c>
      <c r="U2070" s="15"/>
    </row>
    <row r="2071" spans="1:21" x14ac:dyDescent="0.35">
      <c r="A2071" t="s">
        <v>14</v>
      </c>
      <c r="B2071" t="s">
        <v>2398</v>
      </c>
      <c r="C2071" t="s">
        <v>1255</v>
      </c>
      <c r="D2071" t="s">
        <v>1256</v>
      </c>
      <c r="E2071" t="s">
        <v>1257</v>
      </c>
      <c r="F2071" t="s">
        <v>2399</v>
      </c>
      <c r="G2071" t="s">
        <v>2719</v>
      </c>
      <c r="H2071" s="15">
        <v>46086</v>
      </c>
      <c r="I2071" t="s">
        <v>2728</v>
      </c>
      <c r="J2071" t="s">
        <v>16</v>
      </c>
      <c r="K2071" t="s">
        <v>185</v>
      </c>
      <c r="N2071">
        <v>0</v>
      </c>
      <c r="O2071" t="s">
        <v>222</v>
      </c>
      <c r="P2071">
        <v>0</v>
      </c>
      <c r="U2071" s="15"/>
    </row>
    <row r="2072" spans="1:21" x14ac:dyDescent="0.35">
      <c r="A2072" t="s">
        <v>14</v>
      </c>
      <c r="B2072" t="s">
        <v>2398</v>
      </c>
      <c r="C2072" t="s">
        <v>515</v>
      </c>
      <c r="D2072" t="s">
        <v>516</v>
      </c>
      <c r="E2072" t="s">
        <v>517</v>
      </c>
      <c r="F2072" t="s">
        <v>2399</v>
      </c>
      <c r="G2072" t="s">
        <v>2729</v>
      </c>
      <c r="H2072" s="15">
        <v>46087</v>
      </c>
      <c r="I2072" t="s">
        <v>2730</v>
      </c>
      <c r="J2072" t="s">
        <v>16</v>
      </c>
      <c r="K2072" t="s">
        <v>185</v>
      </c>
      <c r="N2072">
        <v>0</v>
      </c>
      <c r="O2072" t="s">
        <v>222</v>
      </c>
      <c r="P2072">
        <v>0</v>
      </c>
      <c r="U2072" s="15"/>
    </row>
    <row r="2073" spans="1:21" x14ac:dyDescent="0.35">
      <c r="A2073" t="s">
        <v>14</v>
      </c>
      <c r="B2073" t="s">
        <v>3158</v>
      </c>
      <c r="C2073" t="s">
        <v>515</v>
      </c>
      <c r="D2073" t="s">
        <v>516</v>
      </c>
      <c r="E2073" t="s">
        <v>517</v>
      </c>
      <c r="F2073" t="s">
        <v>3159</v>
      </c>
      <c r="G2073" t="s">
        <v>4254</v>
      </c>
      <c r="H2073" s="15">
        <v>46176</v>
      </c>
      <c r="I2073" t="s">
        <v>4255</v>
      </c>
      <c r="J2073" t="s">
        <v>16</v>
      </c>
      <c r="K2073" t="s">
        <v>185</v>
      </c>
      <c r="N2073">
        <v>0</v>
      </c>
      <c r="O2073" t="s">
        <v>222</v>
      </c>
      <c r="P2073">
        <v>0</v>
      </c>
      <c r="U2073" s="15"/>
    </row>
    <row r="2074" spans="1:21" x14ac:dyDescent="0.35">
      <c r="A2074" t="s">
        <v>14</v>
      </c>
      <c r="B2074" t="s">
        <v>3247</v>
      </c>
      <c r="C2074" t="s">
        <v>1255</v>
      </c>
      <c r="D2074" t="s">
        <v>1256</v>
      </c>
      <c r="E2074" t="s">
        <v>1257</v>
      </c>
      <c r="F2074" t="s">
        <v>4305</v>
      </c>
      <c r="G2074" t="s">
        <v>4541</v>
      </c>
      <c r="H2074" s="15">
        <v>46086</v>
      </c>
      <c r="I2074" t="s">
        <v>4542</v>
      </c>
      <c r="J2074" t="s">
        <v>233</v>
      </c>
      <c r="K2074" t="s">
        <v>185</v>
      </c>
      <c r="N2074">
        <v>0</v>
      </c>
      <c r="O2074" t="s">
        <v>222</v>
      </c>
      <c r="P2074">
        <v>0</v>
      </c>
      <c r="U2074" s="15"/>
    </row>
    <row r="2075" spans="1:21" x14ac:dyDescent="0.35">
      <c r="A2075" t="s">
        <v>14</v>
      </c>
      <c r="B2075" t="s">
        <v>3247</v>
      </c>
      <c r="C2075" t="s">
        <v>515</v>
      </c>
      <c r="D2075" t="s">
        <v>516</v>
      </c>
      <c r="E2075" t="s">
        <v>517</v>
      </c>
      <c r="F2075" t="s">
        <v>4305</v>
      </c>
      <c r="G2075" t="s">
        <v>4543</v>
      </c>
      <c r="H2075" s="15">
        <v>46087</v>
      </c>
      <c r="I2075" t="s">
        <v>4544</v>
      </c>
      <c r="J2075" t="s">
        <v>16</v>
      </c>
      <c r="K2075" t="s">
        <v>185</v>
      </c>
      <c r="N2075">
        <v>0</v>
      </c>
      <c r="O2075" t="s">
        <v>222</v>
      </c>
      <c r="P2075">
        <v>0</v>
      </c>
      <c r="U2075" s="15"/>
    </row>
    <row r="2076" spans="1:21" x14ac:dyDescent="0.35">
      <c r="A2076" t="s">
        <v>14</v>
      </c>
      <c r="B2076" t="s">
        <v>2398</v>
      </c>
      <c r="C2076" t="s">
        <v>2413</v>
      </c>
      <c r="D2076" t="s">
        <v>2414</v>
      </c>
      <c r="E2076" t="s">
        <v>2415</v>
      </c>
      <c r="F2076" t="s">
        <v>2399</v>
      </c>
      <c r="G2076" t="s">
        <v>2729</v>
      </c>
      <c r="H2076" s="15">
        <v>46087</v>
      </c>
      <c r="I2076" t="s">
        <v>2735</v>
      </c>
      <c r="J2076" t="s">
        <v>16</v>
      </c>
      <c r="K2076" t="s">
        <v>185</v>
      </c>
      <c r="N2076">
        <v>0</v>
      </c>
      <c r="O2076" t="s">
        <v>222</v>
      </c>
      <c r="P2076">
        <v>0</v>
      </c>
      <c r="U2076" s="15"/>
    </row>
    <row r="2077" spans="1:21" x14ac:dyDescent="0.35">
      <c r="A2077" t="s">
        <v>14</v>
      </c>
      <c r="B2077" t="s">
        <v>2398</v>
      </c>
      <c r="C2077" t="s">
        <v>1255</v>
      </c>
      <c r="D2077" t="s">
        <v>1256</v>
      </c>
      <c r="E2077" t="s">
        <v>1257</v>
      </c>
      <c r="F2077" t="s">
        <v>2399</v>
      </c>
      <c r="G2077" t="s">
        <v>2729</v>
      </c>
      <c r="H2077" s="15">
        <v>46087</v>
      </c>
      <c r="I2077" t="s">
        <v>2736</v>
      </c>
      <c r="J2077" t="s">
        <v>16</v>
      </c>
      <c r="K2077" t="s">
        <v>185</v>
      </c>
      <c r="N2077">
        <v>0</v>
      </c>
      <c r="O2077" t="s">
        <v>222</v>
      </c>
      <c r="P2077">
        <v>0</v>
      </c>
      <c r="U2077" s="15"/>
    </row>
    <row r="2078" spans="1:21" x14ac:dyDescent="0.35">
      <c r="A2078" t="s">
        <v>14</v>
      </c>
      <c r="B2078" t="s">
        <v>2398</v>
      </c>
      <c r="C2078" t="s">
        <v>2413</v>
      </c>
      <c r="D2078" t="s">
        <v>2414</v>
      </c>
      <c r="E2078" t="s">
        <v>2415</v>
      </c>
      <c r="F2078" t="s">
        <v>2399</v>
      </c>
      <c r="G2078" t="s">
        <v>2739</v>
      </c>
      <c r="H2078" s="15">
        <v>46090</v>
      </c>
      <c r="I2078" t="s">
        <v>2740</v>
      </c>
      <c r="J2078" t="s">
        <v>16</v>
      </c>
      <c r="K2078" t="s">
        <v>185</v>
      </c>
      <c r="N2078">
        <v>0</v>
      </c>
      <c r="O2078" t="s">
        <v>222</v>
      </c>
      <c r="P2078">
        <v>0</v>
      </c>
      <c r="U2078" s="15"/>
    </row>
    <row r="2079" spans="1:21" x14ac:dyDescent="0.35">
      <c r="A2079" t="s">
        <v>14</v>
      </c>
      <c r="B2079" t="s">
        <v>3158</v>
      </c>
      <c r="C2079" t="s">
        <v>1255</v>
      </c>
      <c r="D2079" t="s">
        <v>1256</v>
      </c>
      <c r="E2079" t="s">
        <v>1257</v>
      </c>
      <c r="F2079" t="s">
        <v>3159</v>
      </c>
      <c r="G2079" t="s">
        <v>4254</v>
      </c>
      <c r="H2079" s="15">
        <v>46176</v>
      </c>
      <c r="I2079" t="s">
        <v>4256</v>
      </c>
      <c r="J2079" t="s">
        <v>16</v>
      </c>
      <c r="K2079" t="s">
        <v>185</v>
      </c>
      <c r="N2079">
        <v>0</v>
      </c>
      <c r="O2079" t="s">
        <v>222</v>
      </c>
      <c r="P2079">
        <v>0</v>
      </c>
      <c r="U2079" s="15"/>
    </row>
    <row r="2080" spans="1:21" x14ac:dyDescent="0.35">
      <c r="A2080" t="s">
        <v>14</v>
      </c>
      <c r="B2080" t="s">
        <v>3158</v>
      </c>
      <c r="C2080" t="s">
        <v>1255</v>
      </c>
      <c r="D2080" t="s">
        <v>1256</v>
      </c>
      <c r="E2080" t="s">
        <v>1257</v>
      </c>
      <c r="F2080" t="s">
        <v>3159</v>
      </c>
      <c r="G2080" t="s">
        <v>4257</v>
      </c>
      <c r="H2080" s="15">
        <v>46177</v>
      </c>
      <c r="I2080" t="s">
        <v>4258</v>
      </c>
      <c r="J2080" t="s">
        <v>16</v>
      </c>
      <c r="K2080" t="s">
        <v>185</v>
      </c>
      <c r="N2080">
        <v>0</v>
      </c>
      <c r="O2080" t="s">
        <v>222</v>
      </c>
      <c r="P2080">
        <v>0</v>
      </c>
      <c r="U2080" s="15"/>
    </row>
    <row r="2081" spans="1:21" x14ac:dyDescent="0.35">
      <c r="A2081" t="s">
        <v>14</v>
      </c>
      <c r="B2081" t="s">
        <v>3247</v>
      </c>
      <c r="C2081" t="s">
        <v>716</v>
      </c>
      <c r="D2081" t="s">
        <v>717</v>
      </c>
      <c r="E2081" t="s">
        <v>718</v>
      </c>
      <c r="F2081" t="s">
        <v>4305</v>
      </c>
      <c r="G2081" t="s">
        <v>4545</v>
      </c>
      <c r="H2081" s="15">
        <v>46087</v>
      </c>
      <c r="I2081" t="s">
        <v>4546</v>
      </c>
      <c r="J2081" t="s">
        <v>233</v>
      </c>
      <c r="K2081" t="s">
        <v>185</v>
      </c>
      <c r="N2081">
        <v>0</v>
      </c>
      <c r="O2081" t="s">
        <v>222</v>
      </c>
      <c r="P2081">
        <v>0</v>
      </c>
      <c r="U2081" s="15"/>
    </row>
    <row r="2082" spans="1:21" x14ac:dyDescent="0.35">
      <c r="A2082" t="s">
        <v>14</v>
      </c>
      <c r="B2082" t="s">
        <v>3247</v>
      </c>
      <c r="C2082" t="s">
        <v>1255</v>
      </c>
      <c r="D2082" t="s">
        <v>1256</v>
      </c>
      <c r="E2082" t="s">
        <v>1257</v>
      </c>
      <c r="F2082" t="s">
        <v>4305</v>
      </c>
      <c r="G2082" t="s">
        <v>4545</v>
      </c>
      <c r="H2082" s="15">
        <v>46087</v>
      </c>
      <c r="I2082" t="s">
        <v>4547</v>
      </c>
      <c r="J2082" t="s">
        <v>233</v>
      </c>
      <c r="K2082" t="s">
        <v>185</v>
      </c>
      <c r="N2082">
        <v>0</v>
      </c>
      <c r="O2082" t="s">
        <v>222</v>
      </c>
      <c r="P2082">
        <v>0</v>
      </c>
      <c r="U2082" s="15"/>
    </row>
    <row r="2083" spans="1:21" x14ac:dyDescent="0.35">
      <c r="A2083" t="s">
        <v>14</v>
      </c>
      <c r="B2083" t="s">
        <v>2398</v>
      </c>
      <c r="C2083" t="s">
        <v>777</v>
      </c>
      <c r="D2083" t="s">
        <v>778</v>
      </c>
      <c r="E2083" t="s">
        <v>779</v>
      </c>
      <c r="F2083" t="s">
        <v>2399</v>
      </c>
      <c r="G2083" t="s">
        <v>2739</v>
      </c>
      <c r="H2083" s="15">
        <v>46090</v>
      </c>
      <c r="I2083" t="s">
        <v>2745</v>
      </c>
      <c r="J2083" t="s">
        <v>16</v>
      </c>
      <c r="K2083" t="s">
        <v>185</v>
      </c>
      <c r="N2083">
        <v>0</v>
      </c>
      <c r="O2083" t="s">
        <v>222</v>
      </c>
      <c r="P2083">
        <v>0</v>
      </c>
      <c r="U2083" s="15"/>
    </row>
    <row r="2084" spans="1:21" x14ac:dyDescent="0.35">
      <c r="A2084" t="s">
        <v>14</v>
      </c>
      <c r="B2084" t="s">
        <v>2398</v>
      </c>
      <c r="C2084" t="s">
        <v>2413</v>
      </c>
      <c r="D2084" t="s">
        <v>2414</v>
      </c>
      <c r="E2084" t="s">
        <v>2415</v>
      </c>
      <c r="F2084" t="s">
        <v>2399</v>
      </c>
      <c r="G2084" t="s">
        <v>2746</v>
      </c>
      <c r="H2084" s="15">
        <v>46091</v>
      </c>
      <c r="I2084" t="s">
        <v>2747</v>
      </c>
      <c r="J2084" t="s">
        <v>16</v>
      </c>
      <c r="K2084" t="s">
        <v>185</v>
      </c>
      <c r="N2084">
        <v>0</v>
      </c>
      <c r="O2084" t="s">
        <v>222</v>
      </c>
      <c r="P2084">
        <v>0</v>
      </c>
      <c r="U2084" s="15"/>
    </row>
    <row r="2085" spans="1:21" x14ac:dyDescent="0.35">
      <c r="A2085" t="s">
        <v>14</v>
      </c>
      <c r="B2085" t="s">
        <v>3158</v>
      </c>
      <c r="C2085" t="s">
        <v>531</v>
      </c>
      <c r="D2085" t="s">
        <v>532</v>
      </c>
      <c r="E2085" t="s">
        <v>533</v>
      </c>
      <c r="F2085" t="s">
        <v>3159</v>
      </c>
      <c r="G2085" t="s">
        <v>4257</v>
      </c>
      <c r="H2085" s="15">
        <v>46177</v>
      </c>
      <c r="I2085" t="s">
        <v>4259</v>
      </c>
      <c r="J2085" t="s">
        <v>16</v>
      </c>
      <c r="K2085" t="s">
        <v>185</v>
      </c>
      <c r="N2085">
        <v>0</v>
      </c>
      <c r="O2085" t="s">
        <v>222</v>
      </c>
      <c r="P2085">
        <v>0</v>
      </c>
      <c r="U2085" s="15"/>
    </row>
    <row r="2086" spans="1:21" x14ac:dyDescent="0.35">
      <c r="A2086" t="s">
        <v>14</v>
      </c>
      <c r="B2086" t="s">
        <v>2398</v>
      </c>
      <c r="C2086" t="s">
        <v>1255</v>
      </c>
      <c r="D2086" t="s">
        <v>1256</v>
      </c>
      <c r="E2086" t="s">
        <v>1257</v>
      </c>
      <c r="F2086" t="s">
        <v>2399</v>
      </c>
      <c r="G2086" t="s">
        <v>2746</v>
      </c>
      <c r="H2086" s="15">
        <v>46091</v>
      </c>
      <c r="I2086" t="s">
        <v>2750</v>
      </c>
      <c r="J2086" t="s">
        <v>16</v>
      </c>
      <c r="K2086" t="s">
        <v>185</v>
      </c>
      <c r="N2086">
        <v>0</v>
      </c>
      <c r="O2086" t="s">
        <v>222</v>
      </c>
      <c r="P2086">
        <v>0</v>
      </c>
      <c r="U2086" s="15"/>
    </row>
    <row r="2087" spans="1:21" x14ac:dyDescent="0.35">
      <c r="A2087" t="s">
        <v>14</v>
      </c>
      <c r="B2087" t="s">
        <v>2398</v>
      </c>
      <c r="C2087" t="s">
        <v>2413</v>
      </c>
      <c r="D2087" t="s">
        <v>2414</v>
      </c>
      <c r="E2087" t="s">
        <v>2415</v>
      </c>
      <c r="F2087" t="s">
        <v>2399</v>
      </c>
      <c r="G2087" t="s">
        <v>2751</v>
      </c>
      <c r="H2087" s="15">
        <v>46092</v>
      </c>
      <c r="I2087" t="s">
        <v>2752</v>
      </c>
      <c r="J2087" t="s">
        <v>16</v>
      </c>
      <c r="K2087" t="s">
        <v>185</v>
      </c>
      <c r="N2087">
        <v>0</v>
      </c>
      <c r="O2087" t="s">
        <v>222</v>
      </c>
      <c r="P2087">
        <v>0</v>
      </c>
      <c r="U2087" s="15"/>
    </row>
    <row r="2088" spans="1:21" x14ac:dyDescent="0.35">
      <c r="A2088" t="s">
        <v>14</v>
      </c>
      <c r="B2088" t="s">
        <v>3247</v>
      </c>
      <c r="C2088" t="s">
        <v>821</v>
      </c>
      <c r="D2088" t="s">
        <v>822</v>
      </c>
      <c r="E2088" t="s">
        <v>823</v>
      </c>
      <c r="F2088" t="s">
        <v>4305</v>
      </c>
      <c r="G2088" t="s">
        <v>4548</v>
      </c>
      <c r="H2088" s="15">
        <v>46090</v>
      </c>
      <c r="I2088" t="s">
        <v>4549</v>
      </c>
      <c r="J2088" t="s">
        <v>233</v>
      </c>
      <c r="K2088" t="s">
        <v>185</v>
      </c>
      <c r="N2088">
        <v>0</v>
      </c>
      <c r="O2088" t="s">
        <v>222</v>
      </c>
      <c r="P2088">
        <v>0</v>
      </c>
      <c r="U2088" s="15"/>
    </row>
    <row r="2089" spans="1:21" x14ac:dyDescent="0.35">
      <c r="A2089" t="s">
        <v>14</v>
      </c>
      <c r="B2089" t="s">
        <v>3247</v>
      </c>
      <c r="C2089" t="s">
        <v>977</v>
      </c>
      <c r="D2089" t="s">
        <v>978</v>
      </c>
      <c r="E2089" t="s">
        <v>979</v>
      </c>
      <c r="F2089" t="s">
        <v>4305</v>
      </c>
      <c r="G2089" t="s">
        <v>4550</v>
      </c>
      <c r="H2089" s="15">
        <v>46091</v>
      </c>
      <c r="I2089" t="s">
        <v>4551</v>
      </c>
      <c r="J2089" t="s">
        <v>16</v>
      </c>
      <c r="K2089" t="s">
        <v>185</v>
      </c>
      <c r="N2089">
        <v>0</v>
      </c>
      <c r="O2089" t="s">
        <v>222</v>
      </c>
      <c r="P2089">
        <v>0</v>
      </c>
      <c r="U2089" s="15"/>
    </row>
    <row r="2090" spans="1:21" x14ac:dyDescent="0.35">
      <c r="A2090" t="s">
        <v>14</v>
      </c>
      <c r="B2090" t="s">
        <v>3158</v>
      </c>
      <c r="C2090" t="s">
        <v>1255</v>
      </c>
      <c r="D2090" t="s">
        <v>1256</v>
      </c>
      <c r="E2090" t="s">
        <v>1257</v>
      </c>
      <c r="F2090" t="s">
        <v>3159</v>
      </c>
      <c r="G2090" t="s">
        <v>4260</v>
      </c>
      <c r="H2090" s="15">
        <v>46177</v>
      </c>
      <c r="I2090" t="s">
        <v>4261</v>
      </c>
      <c r="J2090" t="s">
        <v>233</v>
      </c>
      <c r="K2090" t="s">
        <v>185</v>
      </c>
      <c r="N2090">
        <v>0</v>
      </c>
      <c r="O2090" t="s">
        <v>222</v>
      </c>
      <c r="P2090">
        <v>0</v>
      </c>
      <c r="U2090" s="15"/>
    </row>
    <row r="2091" spans="1:21" x14ac:dyDescent="0.35">
      <c r="A2091" t="s">
        <v>14</v>
      </c>
      <c r="B2091" t="s">
        <v>3158</v>
      </c>
      <c r="C2091" t="s">
        <v>1255</v>
      </c>
      <c r="D2091" t="s">
        <v>1256</v>
      </c>
      <c r="E2091" t="s">
        <v>1257</v>
      </c>
      <c r="F2091" t="s">
        <v>3159</v>
      </c>
      <c r="G2091" t="s">
        <v>4262</v>
      </c>
      <c r="H2091" s="15">
        <v>46178</v>
      </c>
      <c r="I2091" t="s">
        <v>4263</v>
      </c>
      <c r="J2091" t="s">
        <v>16</v>
      </c>
      <c r="K2091" t="s">
        <v>185</v>
      </c>
      <c r="N2091">
        <v>0</v>
      </c>
      <c r="O2091" t="s">
        <v>222</v>
      </c>
      <c r="P2091">
        <v>0</v>
      </c>
      <c r="U2091" s="15"/>
    </row>
    <row r="2092" spans="1:21" x14ac:dyDescent="0.35">
      <c r="A2092" t="s">
        <v>14</v>
      </c>
      <c r="B2092" t="s">
        <v>2398</v>
      </c>
      <c r="C2092" t="s">
        <v>1255</v>
      </c>
      <c r="D2092" t="s">
        <v>1256</v>
      </c>
      <c r="E2092" t="s">
        <v>1257</v>
      </c>
      <c r="F2092" t="s">
        <v>2399</v>
      </c>
      <c r="G2092" t="s">
        <v>2751</v>
      </c>
      <c r="H2092" s="15">
        <v>46092</v>
      </c>
      <c r="I2092" t="s">
        <v>2755</v>
      </c>
      <c r="J2092" t="s">
        <v>16</v>
      </c>
      <c r="K2092" t="s">
        <v>185</v>
      </c>
      <c r="N2092">
        <v>0</v>
      </c>
      <c r="O2092" t="s">
        <v>222</v>
      </c>
      <c r="P2092">
        <v>0</v>
      </c>
      <c r="U2092" s="15"/>
    </row>
    <row r="2093" spans="1:21" x14ac:dyDescent="0.35">
      <c r="A2093" t="s">
        <v>14</v>
      </c>
      <c r="B2093" t="s">
        <v>2398</v>
      </c>
      <c r="C2093" t="s">
        <v>2413</v>
      </c>
      <c r="D2093" t="s">
        <v>2414</v>
      </c>
      <c r="E2093" t="s">
        <v>2415</v>
      </c>
      <c r="F2093" t="s">
        <v>2399</v>
      </c>
      <c r="G2093" t="s">
        <v>2756</v>
      </c>
      <c r="H2093" s="15">
        <v>46093</v>
      </c>
      <c r="I2093" t="s">
        <v>2757</v>
      </c>
      <c r="J2093" t="s">
        <v>16</v>
      </c>
      <c r="K2093" t="s">
        <v>185</v>
      </c>
      <c r="N2093">
        <v>0</v>
      </c>
      <c r="O2093" t="s">
        <v>222</v>
      </c>
      <c r="P2093">
        <v>0</v>
      </c>
      <c r="U2093" s="15"/>
    </row>
    <row r="2094" spans="1:21" x14ac:dyDescent="0.35">
      <c r="A2094" t="s">
        <v>14</v>
      </c>
      <c r="B2094" t="s">
        <v>2398</v>
      </c>
      <c r="C2094" t="s">
        <v>1255</v>
      </c>
      <c r="D2094" t="s">
        <v>1256</v>
      </c>
      <c r="E2094" t="s">
        <v>1257</v>
      </c>
      <c r="F2094" t="s">
        <v>2399</v>
      </c>
      <c r="G2094" t="s">
        <v>2756</v>
      </c>
      <c r="H2094" s="15">
        <v>46093</v>
      </c>
      <c r="I2094" t="s">
        <v>2758</v>
      </c>
      <c r="J2094" t="s">
        <v>16</v>
      </c>
      <c r="K2094" t="s">
        <v>185</v>
      </c>
      <c r="N2094">
        <v>0</v>
      </c>
      <c r="O2094" t="s">
        <v>222</v>
      </c>
      <c r="P2094">
        <v>0</v>
      </c>
      <c r="U2094" s="15"/>
    </row>
    <row r="2095" spans="1:21" x14ac:dyDescent="0.35">
      <c r="A2095" t="s">
        <v>14</v>
      </c>
      <c r="B2095" t="s">
        <v>2398</v>
      </c>
      <c r="C2095" t="s">
        <v>2413</v>
      </c>
      <c r="D2095" t="s">
        <v>2414</v>
      </c>
      <c r="E2095" t="s">
        <v>2415</v>
      </c>
      <c r="F2095" t="s">
        <v>2399</v>
      </c>
      <c r="G2095" t="s">
        <v>2762</v>
      </c>
      <c r="H2095" s="15">
        <v>46097</v>
      </c>
      <c r="I2095" t="s">
        <v>2763</v>
      </c>
      <c r="J2095" t="s">
        <v>16</v>
      </c>
      <c r="K2095" t="s">
        <v>185</v>
      </c>
      <c r="N2095">
        <v>0</v>
      </c>
      <c r="O2095" t="s">
        <v>222</v>
      </c>
      <c r="P2095">
        <v>0</v>
      </c>
      <c r="U2095" s="15"/>
    </row>
    <row r="2096" spans="1:21" x14ac:dyDescent="0.35">
      <c r="A2096" t="s">
        <v>14</v>
      </c>
      <c r="B2096" t="s">
        <v>3158</v>
      </c>
      <c r="C2096" t="s">
        <v>667</v>
      </c>
      <c r="D2096" t="s">
        <v>668</v>
      </c>
      <c r="E2096" t="s">
        <v>669</v>
      </c>
      <c r="F2096" t="s">
        <v>3159</v>
      </c>
      <c r="G2096" t="s">
        <v>4264</v>
      </c>
      <c r="H2096" s="15">
        <v>46178</v>
      </c>
      <c r="I2096" t="s">
        <v>4265</v>
      </c>
      <c r="J2096" t="s">
        <v>233</v>
      </c>
      <c r="K2096" t="s">
        <v>185</v>
      </c>
      <c r="N2096">
        <v>0</v>
      </c>
      <c r="O2096" t="s">
        <v>222</v>
      </c>
      <c r="P2096">
        <v>0</v>
      </c>
      <c r="U2096" s="15"/>
    </row>
    <row r="2097" spans="1:21" x14ac:dyDescent="0.35">
      <c r="A2097" t="s">
        <v>14</v>
      </c>
      <c r="B2097" t="s">
        <v>3247</v>
      </c>
      <c r="C2097" t="s">
        <v>777</v>
      </c>
      <c r="D2097" t="s">
        <v>778</v>
      </c>
      <c r="E2097" t="s">
        <v>779</v>
      </c>
      <c r="F2097" t="s">
        <v>4305</v>
      </c>
      <c r="G2097" t="s">
        <v>4552</v>
      </c>
      <c r="H2097" s="15">
        <v>46091</v>
      </c>
      <c r="I2097" t="s">
        <v>4553</v>
      </c>
      <c r="J2097" t="s">
        <v>233</v>
      </c>
      <c r="K2097" t="s">
        <v>185</v>
      </c>
      <c r="N2097">
        <v>0</v>
      </c>
      <c r="O2097" t="s">
        <v>222</v>
      </c>
      <c r="P2097">
        <v>0</v>
      </c>
      <c r="U2097" s="15"/>
    </row>
    <row r="2098" spans="1:21" x14ac:dyDescent="0.35">
      <c r="A2098" t="s">
        <v>14</v>
      </c>
      <c r="B2098" t="s">
        <v>3247</v>
      </c>
      <c r="C2098" t="s">
        <v>1255</v>
      </c>
      <c r="D2098" t="s">
        <v>1256</v>
      </c>
      <c r="E2098" t="s">
        <v>1257</v>
      </c>
      <c r="F2098" t="s">
        <v>4305</v>
      </c>
      <c r="G2098" t="s">
        <v>4554</v>
      </c>
      <c r="H2098" s="15">
        <v>46092</v>
      </c>
      <c r="I2098" t="s">
        <v>4555</v>
      </c>
      <c r="J2098" t="s">
        <v>233</v>
      </c>
      <c r="K2098" t="s">
        <v>185</v>
      </c>
      <c r="N2098">
        <v>0</v>
      </c>
      <c r="O2098" t="s">
        <v>222</v>
      </c>
      <c r="P2098">
        <v>0</v>
      </c>
      <c r="U2098" s="15"/>
    </row>
    <row r="2099" spans="1:21" x14ac:dyDescent="0.35">
      <c r="A2099" t="s">
        <v>14</v>
      </c>
      <c r="B2099" t="s">
        <v>3247</v>
      </c>
      <c r="C2099" t="s">
        <v>515</v>
      </c>
      <c r="D2099" t="s">
        <v>516</v>
      </c>
      <c r="E2099" t="s">
        <v>517</v>
      </c>
      <c r="F2099" t="s">
        <v>4305</v>
      </c>
      <c r="G2099" t="s">
        <v>4556</v>
      </c>
      <c r="H2099" s="15">
        <v>46093</v>
      </c>
      <c r="I2099" t="s">
        <v>4557</v>
      </c>
      <c r="J2099" t="s">
        <v>16</v>
      </c>
      <c r="K2099" t="s">
        <v>185</v>
      </c>
      <c r="N2099">
        <v>0</v>
      </c>
      <c r="O2099" t="s">
        <v>222</v>
      </c>
      <c r="P2099">
        <v>0</v>
      </c>
      <c r="U2099" s="15"/>
    </row>
    <row r="2100" spans="1:21" x14ac:dyDescent="0.35">
      <c r="A2100" t="s">
        <v>14</v>
      </c>
      <c r="B2100" t="s">
        <v>2398</v>
      </c>
      <c r="C2100" t="s">
        <v>667</v>
      </c>
      <c r="D2100" t="s">
        <v>668</v>
      </c>
      <c r="E2100" t="s">
        <v>669</v>
      </c>
      <c r="F2100" t="s">
        <v>2399</v>
      </c>
      <c r="G2100" t="s">
        <v>2762</v>
      </c>
      <c r="H2100" s="15">
        <v>46097</v>
      </c>
      <c r="I2100" t="s">
        <v>2766</v>
      </c>
      <c r="J2100" t="s">
        <v>16</v>
      </c>
      <c r="K2100" t="s">
        <v>185</v>
      </c>
      <c r="N2100">
        <v>0</v>
      </c>
      <c r="O2100" t="s">
        <v>222</v>
      </c>
      <c r="P2100">
        <v>0</v>
      </c>
      <c r="U2100" s="15"/>
    </row>
    <row r="2101" spans="1:21" x14ac:dyDescent="0.35">
      <c r="A2101" t="s">
        <v>14</v>
      </c>
      <c r="B2101" t="s">
        <v>2398</v>
      </c>
      <c r="C2101" t="s">
        <v>2413</v>
      </c>
      <c r="D2101" t="s">
        <v>2414</v>
      </c>
      <c r="E2101" t="s">
        <v>2415</v>
      </c>
      <c r="F2101" t="s">
        <v>2399</v>
      </c>
      <c r="G2101" t="s">
        <v>2767</v>
      </c>
      <c r="H2101" s="15">
        <v>46098</v>
      </c>
      <c r="I2101" t="s">
        <v>2768</v>
      </c>
      <c r="J2101" t="s">
        <v>16</v>
      </c>
      <c r="K2101" t="s">
        <v>185</v>
      </c>
      <c r="N2101">
        <v>0</v>
      </c>
      <c r="O2101" t="s">
        <v>222</v>
      </c>
      <c r="P2101">
        <v>0</v>
      </c>
      <c r="U2101" s="15"/>
    </row>
    <row r="2102" spans="1:21" x14ac:dyDescent="0.35">
      <c r="A2102" t="s">
        <v>14</v>
      </c>
      <c r="B2102" t="s">
        <v>3158</v>
      </c>
      <c r="C2102" t="s">
        <v>1388</v>
      </c>
      <c r="D2102" t="s">
        <v>1389</v>
      </c>
      <c r="E2102" t="s">
        <v>1390</v>
      </c>
      <c r="F2102" t="s">
        <v>3159</v>
      </c>
      <c r="G2102" t="s">
        <v>4266</v>
      </c>
      <c r="H2102" s="15">
        <v>46179</v>
      </c>
      <c r="I2102" t="s">
        <v>4267</v>
      </c>
      <c r="J2102" t="s">
        <v>16</v>
      </c>
      <c r="K2102" t="s">
        <v>185</v>
      </c>
      <c r="N2102">
        <v>0</v>
      </c>
      <c r="O2102" t="s">
        <v>222</v>
      </c>
      <c r="P2102">
        <v>0</v>
      </c>
      <c r="U2102" s="15"/>
    </row>
    <row r="2103" spans="1:21" x14ac:dyDescent="0.35">
      <c r="A2103" t="s">
        <v>14</v>
      </c>
      <c r="B2103" t="s">
        <v>3158</v>
      </c>
      <c r="C2103" t="s">
        <v>697</v>
      </c>
      <c r="D2103" t="s">
        <v>698</v>
      </c>
      <c r="E2103" t="s">
        <v>699</v>
      </c>
      <c r="F2103" t="s">
        <v>3159</v>
      </c>
      <c r="G2103" t="s">
        <v>4266</v>
      </c>
      <c r="H2103" s="15">
        <v>46179</v>
      </c>
      <c r="I2103" t="s">
        <v>4268</v>
      </c>
      <c r="J2103" t="s">
        <v>16</v>
      </c>
      <c r="K2103" t="s">
        <v>185</v>
      </c>
      <c r="N2103">
        <v>0</v>
      </c>
      <c r="O2103" t="s">
        <v>222</v>
      </c>
      <c r="P2103">
        <v>0</v>
      </c>
      <c r="U2103" s="15"/>
    </row>
    <row r="2104" spans="1:21" x14ac:dyDescent="0.35">
      <c r="A2104" t="s">
        <v>14</v>
      </c>
      <c r="B2104" t="s">
        <v>3247</v>
      </c>
      <c r="C2104" t="s">
        <v>1255</v>
      </c>
      <c r="D2104" t="s">
        <v>1256</v>
      </c>
      <c r="E2104" t="s">
        <v>1257</v>
      </c>
      <c r="F2104" t="s">
        <v>4305</v>
      </c>
      <c r="G2104" t="s">
        <v>4558</v>
      </c>
      <c r="H2104" s="15">
        <v>46093</v>
      </c>
      <c r="I2104" t="s">
        <v>4559</v>
      </c>
      <c r="J2104" t="s">
        <v>233</v>
      </c>
      <c r="K2104" t="s">
        <v>185</v>
      </c>
      <c r="N2104">
        <v>0</v>
      </c>
      <c r="O2104" t="s">
        <v>222</v>
      </c>
      <c r="P2104">
        <v>0</v>
      </c>
      <c r="U2104" s="15"/>
    </row>
    <row r="2105" spans="1:21" x14ac:dyDescent="0.35">
      <c r="A2105" t="s">
        <v>14</v>
      </c>
      <c r="B2105" t="s">
        <v>3247</v>
      </c>
      <c r="C2105" t="s">
        <v>515</v>
      </c>
      <c r="D2105" t="s">
        <v>516</v>
      </c>
      <c r="E2105" t="s">
        <v>517</v>
      </c>
      <c r="F2105" t="s">
        <v>4305</v>
      </c>
      <c r="G2105" t="s">
        <v>4560</v>
      </c>
      <c r="H2105" s="15">
        <v>46094</v>
      </c>
      <c r="I2105" t="s">
        <v>4561</v>
      </c>
      <c r="J2105" t="s">
        <v>16</v>
      </c>
      <c r="K2105" t="s">
        <v>185</v>
      </c>
      <c r="N2105">
        <v>0</v>
      </c>
      <c r="O2105" t="s">
        <v>222</v>
      </c>
      <c r="P2105">
        <v>0</v>
      </c>
      <c r="U2105" s="15"/>
    </row>
    <row r="2106" spans="1:21" x14ac:dyDescent="0.35">
      <c r="A2106" t="s">
        <v>14</v>
      </c>
      <c r="B2106" t="s">
        <v>2398</v>
      </c>
      <c r="C2106" t="s">
        <v>1255</v>
      </c>
      <c r="D2106" t="s">
        <v>1256</v>
      </c>
      <c r="E2106" t="s">
        <v>1257</v>
      </c>
      <c r="F2106" t="s">
        <v>2399</v>
      </c>
      <c r="G2106" t="s">
        <v>2767</v>
      </c>
      <c r="H2106" s="15">
        <v>46098</v>
      </c>
      <c r="I2106" t="s">
        <v>2771</v>
      </c>
      <c r="J2106" t="s">
        <v>16</v>
      </c>
      <c r="K2106" t="s">
        <v>185</v>
      </c>
      <c r="N2106">
        <v>0</v>
      </c>
      <c r="O2106" t="s">
        <v>222</v>
      </c>
      <c r="P2106">
        <v>0</v>
      </c>
      <c r="U2106" s="15"/>
    </row>
    <row r="2107" spans="1:21" x14ac:dyDescent="0.35">
      <c r="A2107" t="s">
        <v>14</v>
      </c>
      <c r="B2107" t="s">
        <v>2398</v>
      </c>
      <c r="C2107" t="s">
        <v>2413</v>
      </c>
      <c r="D2107" t="s">
        <v>2414</v>
      </c>
      <c r="E2107" t="s">
        <v>2415</v>
      </c>
      <c r="F2107" t="s">
        <v>2399</v>
      </c>
      <c r="G2107" t="s">
        <v>2772</v>
      </c>
      <c r="H2107" s="15">
        <v>46099</v>
      </c>
      <c r="I2107" t="s">
        <v>2773</v>
      </c>
      <c r="J2107" t="s">
        <v>16</v>
      </c>
      <c r="K2107" t="s">
        <v>185</v>
      </c>
      <c r="N2107">
        <v>0</v>
      </c>
      <c r="O2107" t="s">
        <v>222</v>
      </c>
      <c r="P2107">
        <v>0</v>
      </c>
      <c r="U2107" s="15"/>
    </row>
    <row r="2108" spans="1:21" x14ac:dyDescent="0.35">
      <c r="A2108" t="s">
        <v>14</v>
      </c>
      <c r="B2108" t="s">
        <v>3158</v>
      </c>
      <c r="C2108" t="s">
        <v>1255</v>
      </c>
      <c r="D2108" t="s">
        <v>1256</v>
      </c>
      <c r="E2108" t="s">
        <v>1257</v>
      </c>
      <c r="F2108" t="s">
        <v>3159</v>
      </c>
      <c r="G2108" t="s">
        <v>4266</v>
      </c>
      <c r="H2108" s="15">
        <v>46179</v>
      </c>
      <c r="I2108" t="s">
        <v>4269</v>
      </c>
      <c r="J2108" t="s">
        <v>16</v>
      </c>
      <c r="K2108" t="s">
        <v>185</v>
      </c>
      <c r="N2108">
        <v>0</v>
      </c>
      <c r="O2108" t="s">
        <v>222</v>
      </c>
      <c r="P2108">
        <v>0</v>
      </c>
      <c r="U2108" s="15"/>
    </row>
    <row r="2109" spans="1:21" x14ac:dyDescent="0.35">
      <c r="A2109" t="s">
        <v>14</v>
      </c>
      <c r="B2109" t="s">
        <v>3158</v>
      </c>
      <c r="C2109" t="s">
        <v>1255</v>
      </c>
      <c r="D2109" t="s">
        <v>1256</v>
      </c>
      <c r="E2109" t="s">
        <v>1257</v>
      </c>
      <c r="F2109" t="s">
        <v>3159</v>
      </c>
      <c r="G2109" t="s">
        <v>4270</v>
      </c>
      <c r="H2109" s="15">
        <v>46181</v>
      </c>
      <c r="I2109" t="s">
        <v>4271</v>
      </c>
      <c r="J2109" t="s">
        <v>16</v>
      </c>
      <c r="K2109" t="s">
        <v>185</v>
      </c>
      <c r="N2109">
        <v>0</v>
      </c>
      <c r="O2109" t="s">
        <v>222</v>
      </c>
      <c r="P2109">
        <v>0</v>
      </c>
      <c r="U2109" s="15"/>
    </row>
    <row r="2110" spans="1:21" x14ac:dyDescent="0.35">
      <c r="A2110" t="s">
        <v>14</v>
      </c>
      <c r="B2110" t="s">
        <v>3158</v>
      </c>
      <c r="C2110" t="s">
        <v>1255</v>
      </c>
      <c r="D2110" t="s">
        <v>1256</v>
      </c>
      <c r="E2110" t="s">
        <v>1257</v>
      </c>
      <c r="F2110" t="s">
        <v>3159</v>
      </c>
      <c r="G2110" t="s">
        <v>4272</v>
      </c>
      <c r="H2110" s="15">
        <v>46181</v>
      </c>
      <c r="I2110" t="s">
        <v>4273</v>
      </c>
      <c r="J2110" t="s">
        <v>233</v>
      </c>
      <c r="K2110" t="s">
        <v>185</v>
      </c>
      <c r="N2110">
        <v>0</v>
      </c>
      <c r="O2110" t="s">
        <v>222</v>
      </c>
      <c r="P2110">
        <v>0</v>
      </c>
      <c r="U2110" s="15"/>
    </row>
    <row r="2111" spans="1:21" x14ac:dyDescent="0.35">
      <c r="A2111" t="s">
        <v>14</v>
      </c>
      <c r="B2111" t="s">
        <v>2398</v>
      </c>
      <c r="C2111" t="s">
        <v>1255</v>
      </c>
      <c r="D2111" t="s">
        <v>1256</v>
      </c>
      <c r="E2111" t="s">
        <v>1257</v>
      </c>
      <c r="F2111" t="s">
        <v>2399</v>
      </c>
      <c r="G2111" t="s">
        <v>2772</v>
      </c>
      <c r="H2111" s="15">
        <v>46099</v>
      </c>
      <c r="I2111" t="s">
        <v>2774</v>
      </c>
      <c r="J2111" t="s">
        <v>16</v>
      </c>
      <c r="K2111" t="s">
        <v>185</v>
      </c>
      <c r="N2111">
        <v>0</v>
      </c>
      <c r="O2111" t="s">
        <v>222</v>
      </c>
      <c r="P2111">
        <v>0</v>
      </c>
      <c r="U2111" s="15"/>
    </row>
    <row r="2112" spans="1:21" x14ac:dyDescent="0.35">
      <c r="A2112" t="s">
        <v>14</v>
      </c>
      <c r="B2112" t="s">
        <v>2398</v>
      </c>
      <c r="C2112" t="s">
        <v>2413</v>
      </c>
      <c r="D2112" t="s">
        <v>2414</v>
      </c>
      <c r="E2112" t="s">
        <v>2415</v>
      </c>
      <c r="F2112" t="s">
        <v>2399</v>
      </c>
      <c r="G2112" t="s">
        <v>2775</v>
      </c>
      <c r="H2112" s="15">
        <v>46100</v>
      </c>
      <c r="I2112" t="s">
        <v>2776</v>
      </c>
      <c r="J2112" t="s">
        <v>16</v>
      </c>
      <c r="K2112" t="s">
        <v>185</v>
      </c>
      <c r="N2112">
        <v>0</v>
      </c>
      <c r="O2112" t="s">
        <v>222</v>
      </c>
      <c r="P2112">
        <v>0</v>
      </c>
      <c r="U2112" s="15"/>
    </row>
    <row r="2113" spans="1:21" x14ac:dyDescent="0.35">
      <c r="A2113" t="s">
        <v>14</v>
      </c>
      <c r="B2113" t="s">
        <v>3247</v>
      </c>
      <c r="C2113" t="s">
        <v>1255</v>
      </c>
      <c r="D2113" t="s">
        <v>1256</v>
      </c>
      <c r="E2113" t="s">
        <v>1257</v>
      </c>
      <c r="F2113" t="s">
        <v>4305</v>
      </c>
      <c r="G2113" t="s">
        <v>4562</v>
      </c>
      <c r="H2113" s="15">
        <v>46094</v>
      </c>
      <c r="I2113" t="s">
        <v>4563</v>
      </c>
      <c r="J2113" t="s">
        <v>233</v>
      </c>
      <c r="K2113" t="s">
        <v>185</v>
      </c>
      <c r="N2113">
        <v>0</v>
      </c>
      <c r="O2113" t="s">
        <v>222</v>
      </c>
      <c r="P2113">
        <v>0</v>
      </c>
      <c r="U2113" s="15"/>
    </row>
    <row r="2114" spans="1:21" x14ac:dyDescent="0.35">
      <c r="A2114" t="s">
        <v>14</v>
      </c>
      <c r="B2114" t="s">
        <v>3247</v>
      </c>
      <c r="C2114" t="s">
        <v>880</v>
      </c>
      <c r="D2114" t="s">
        <v>881</v>
      </c>
      <c r="E2114" t="s">
        <v>882</v>
      </c>
      <c r="F2114" t="s">
        <v>4305</v>
      </c>
      <c r="G2114" t="s">
        <v>4564</v>
      </c>
      <c r="H2114" s="15">
        <v>46097</v>
      </c>
      <c r="I2114" t="s">
        <v>4565</v>
      </c>
      <c r="J2114" t="s">
        <v>16</v>
      </c>
      <c r="K2114" t="s">
        <v>185</v>
      </c>
      <c r="N2114">
        <v>0</v>
      </c>
      <c r="O2114" t="s">
        <v>222</v>
      </c>
      <c r="P2114">
        <v>0</v>
      </c>
      <c r="U2114" s="15"/>
    </row>
    <row r="2115" spans="1:21" x14ac:dyDescent="0.35">
      <c r="A2115" t="s">
        <v>14</v>
      </c>
      <c r="B2115" t="s">
        <v>3158</v>
      </c>
      <c r="C2115" t="s">
        <v>1255</v>
      </c>
      <c r="D2115" t="s">
        <v>1256</v>
      </c>
      <c r="E2115" t="s">
        <v>1257</v>
      </c>
      <c r="F2115" t="s">
        <v>3159</v>
      </c>
      <c r="G2115" t="s">
        <v>4274</v>
      </c>
      <c r="H2115" s="15">
        <v>46182</v>
      </c>
      <c r="I2115" t="s">
        <v>4275</v>
      </c>
      <c r="J2115" t="s">
        <v>16</v>
      </c>
      <c r="K2115" t="s">
        <v>185</v>
      </c>
      <c r="N2115">
        <v>0</v>
      </c>
      <c r="O2115" t="s">
        <v>222</v>
      </c>
      <c r="P2115">
        <v>0</v>
      </c>
      <c r="U2115" s="15"/>
    </row>
    <row r="2116" spans="1:21" x14ac:dyDescent="0.35">
      <c r="A2116" t="s">
        <v>14</v>
      </c>
      <c r="B2116" t="s">
        <v>3158</v>
      </c>
      <c r="C2116" t="s">
        <v>1255</v>
      </c>
      <c r="D2116" t="s">
        <v>1256</v>
      </c>
      <c r="E2116" t="s">
        <v>1257</v>
      </c>
      <c r="F2116" t="s">
        <v>3159</v>
      </c>
      <c r="G2116" t="s">
        <v>4276</v>
      </c>
      <c r="H2116" s="15">
        <v>46182</v>
      </c>
      <c r="I2116" t="s">
        <v>4277</v>
      </c>
      <c r="J2116" t="s">
        <v>233</v>
      </c>
      <c r="K2116" t="s">
        <v>185</v>
      </c>
      <c r="N2116">
        <v>0</v>
      </c>
      <c r="O2116" t="s">
        <v>222</v>
      </c>
      <c r="P2116">
        <v>0</v>
      </c>
      <c r="U2116" s="15"/>
    </row>
    <row r="2117" spans="1:21" x14ac:dyDescent="0.35">
      <c r="A2117" t="s">
        <v>14</v>
      </c>
      <c r="B2117" t="s">
        <v>2398</v>
      </c>
      <c r="C2117" t="s">
        <v>1255</v>
      </c>
      <c r="D2117" t="s">
        <v>1256</v>
      </c>
      <c r="E2117" t="s">
        <v>1257</v>
      </c>
      <c r="F2117" t="s">
        <v>2399</v>
      </c>
      <c r="G2117" t="s">
        <v>2775</v>
      </c>
      <c r="H2117" s="15">
        <v>46100</v>
      </c>
      <c r="I2117" t="s">
        <v>2777</v>
      </c>
      <c r="J2117" t="s">
        <v>16</v>
      </c>
      <c r="K2117" t="s">
        <v>185</v>
      </c>
      <c r="N2117">
        <v>0</v>
      </c>
      <c r="O2117" t="s">
        <v>222</v>
      </c>
      <c r="P2117">
        <v>0</v>
      </c>
      <c r="U2117" s="15"/>
    </row>
    <row r="2118" spans="1:21" x14ac:dyDescent="0.35">
      <c r="A2118" t="s">
        <v>14</v>
      </c>
      <c r="B2118" t="s">
        <v>2398</v>
      </c>
      <c r="C2118" t="s">
        <v>2413</v>
      </c>
      <c r="D2118" t="s">
        <v>2414</v>
      </c>
      <c r="E2118" t="s">
        <v>2415</v>
      </c>
      <c r="F2118" t="s">
        <v>2399</v>
      </c>
      <c r="G2118" t="s">
        <v>2778</v>
      </c>
      <c r="H2118" s="15">
        <v>46101</v>
      </c>
      <c r="I2118" t="s">
        <v>2779</v>
      </c>
      <c r="J2118" t="s">
        <v>16</v>
      </c>
      <c r="K2118" t="s">
        <v>185</v>
      </c>
      <c r="N2118">
        <v>0</v>
      </c>
      <c r="O2118" t="s">
        <v>222</v>
      </c>
      <c r="P2118">
        <v>0</v>
      </c>
      <c r="U2118" s="15"/>
    </row>
    <row r="2119" spans="1:21" x14ac:dyDescent="0.35">
      <c r="A2119" t="s">
        <v>14</v>
      </c>
      <c r="B2119" t="s">
        <v>2398</v>
      </c>
      <c r="C2119" t="s">
        <v>1255</v>
      </c>
      <c r="D2119" t="s">
        <v>1256</v>
      </c>
      <c r="E2119" t="s">
        <v>1257</v>
      </c>
      <c r="F2119" t="s">
        <v>2399</v>
      </c>
      <c r="G2119" t="s">
        <v>2778</v>
      </c>
      <c r="H2119" s="15">
        <v>46101</v>
      </c>
      <c r="I2119" t="s">
        <v>2780</v>
      </c>
      <c r="J2119" t="s">
        <v>16</v>
      </c>
      <c r="K2119" t="s">
        <v>185</v>
      </c>
      <c r="N2119">
        <v>0</v>
      </c>
      <c r="O2119" t="s">
        <v>222</v>
      </c>
      <c r="P2119">
        <v>0</v>
      </c>
      <c r="U2119" s="15"/>
    </row>
    <row r="2120" spans="1:21" x14ac:dyDescent="0.35">
      <c r="A2120" t="s">
        <v>14</v>
      </c>
      <c r="B2120" t="s">
        <v>3158</v>
      </c>
      <c r="C2120" t="s">
        <v>1255</v>
      </c>
      <c r="D2120" t="s">
        <v>1256</v>
      </c>
      <c r="E2120" t="s">
        <v>1257</v>
      </c>
      <c r="F2120" t="s">
        <v>3159</v>
      </c>
      <c r="G2120" t="s">
        <v>4278</v>
      </c>
      <c r="H2120" s="15">
        <v>46183</v>
      </c>
      <c r="I2120" t="s">
        <v>4279</v>
      </c>
      <c r="J2120" t="s">
        <v>16</v>
      </c>
      <c r="K2120" t="s">
        <v>185</v>
      </c>
      <c r="N2120">
        <v>0</v>
      </c>
      <c r="O2120" t="s">
        <v>222</v>
      </c>
      <c r="P2120">
        <v>0</v>
      </c>
      <c r="U2120" s="15"/>
    </row>
    <row r="2121" spans="1:21" x14ac:dyDescent="0.35">
      <c r="A2121" t="s">
        <v>14</v>
      </c>
      <c r="B2121" t="s">
        <v>3158</v>
      </c>
      <c r="C2121" t="s">
        <v>1255</v>
      </c>
      <c r="D2121" t="s">
        <v>1256</v>
      </c>
      <c r="E2121" t="s">
        <v>1257</v>
      </c>
      <c r="F2121" t="s">
        <v>3159</v>
      </c>
      <c r="G2121" t="s">
        <v>4280</v>
      </c>
      <c r="H2121" s="15">
        <v>46183</v>
      </c>
      <c r="I2121" t="s">
        <v>4281</v>
      </c>
      <c r="J2121" t="s">
        <v>233</v>
      </c>
      <c r="K2121" t="s">
        <v>185</v>
      </c>
      <c r="N2121">
        <v>0</v>
      </c>
      <c r="O2121" t="s">
        <v>222</v>
      </c>
      <c r="P2121">
        <v>0</v>
      </c>
      <c r="U2121" s="15"/>
    </row>
    <row r="2122" spans="1:21" x14ac:dyDescent="0.35">
      <c r="A2122" t="s">
        <v>14</v>
      </c>
      <c r="B2122" t="s">
        <v>3247</v>
      </c>
      <c r="C2122" t="s">
        <v>682</v>
      </c>
      <c r="D2122" t="s">
        <v>683</v>
      </c>
      <c r="E2122" t="s">
        <v>683</v>
      </c>
      <c r="F2122" t="s">
        <v>4305</v>
      </c>
      <c r="G2122" t="s">
        <v>4566</v>
      </c>
      <c r="H2122" s="15">
        <v>46097</v>
      </c>
      <c r="I2122" t="s">
        <v>4567</v>
      </c>
      <c r="J2122" t="s">
        <v>233</v>
      </c>
      <c r="K2122" t="s">
        <v>185</v>
      </c>
      <c r="N2122">
        <v>0</v>
      </c>
      <c r="O2122" t="s">
        <v>222</v>
      </c>
      <c r="P2122">
        <v>0</v>
      </c>
      <c r="U2122" s="15"/>
    </row>
    <row r="2123" spans="1:21" x14ac:dyDescent="0.35">
      <c r="A2123" t="s">
        <v>14</v>
      </c>
      <c r="B2123" t="s">
        <v>3247</v>
      </c>
      <c r="C2123" t="s">
        <v>515</v>
      </c>
      <c r="D2123" t="s">
        <v>516</v>
      </c>
      <c r="E2123" t="s">
        <v>517</v>
      </c>
      <c r="F2123" t="s">
        <v>4305</v>
      </c>
      <c r="G2123" t="s">
        <v>4568</v>
      </c>
      <c r="H2123" s="15">
        <v>46098</v>
      </c>
      <c r="I2123" t="s">
        <v>4569</v>
      </c>
      <c r="J2123" t="s">
        <v>16</v>
      </c>
      <c r="K2123" t="s">
        <v>185</v>
      </c>
      <c r="N2123">
        <v>0</v>
      </c>
      <c r="O2123" t="s">
        <v>222</v>
      </c>
      <c r="P2123">
        <v>0</v>
      </c>
      <c r="U2123" s="15"/>
    </row>
    <row r="2124" spans="1:21" x14ac:dyDescent="0.35">
      <c r="A2124" t="s">
        <v>14</v>
      </c>
      <c r="B2124" t="s">
        <v>2398</v>
      </c>
      <c r="C2124" t="s">
        <v>2413</v>
      </c>
      <c r="D2124" t="s">
        <v>2414</v>
      </c>
      <c r="E2124" t="s">
        <v>2415</v>
      </c>
      <c r="F2124" t="s">
        <v>2399</v>
      </c>
      <c r="G2124" t="s">
        <v>2781</v>
      </c>
      <c r="H2124" s="15">
        <v>46104</v>
      </c>
      <c r="I2124" t="s">
        <v>2782</v>
      </c>
      <c r="J2124" t="s">
        <v>16</v>
      </c>
      <c r="K2124" t="s">
        <v>185</v>
      </c>
      <c r="N2124">
        <v>0</v>
      </c>
      <c r="O2124" t="s">
        <v>222</v>
      </c>
      <c r="P2124">
        <v>0</v>
      </c>
      <c r="U2124" s="15"/>
    </row>
    <row r="2125" spans="1:21" x14ac:dyDescent="0.35">
      <c r="A2125" t="s">
        <v>14</v>
      </c>
      <c r="B2125" t="s">
        <v>2398</v>
      </c>
      <c r="C2125" t="s">
        <v>816</v>
      </c>
      <c r="D2125" t="s">
        <v>817</v>
      </c>
      <c r="E2125" t="s">
        <v>818</v>
      </c>
      <c r="F2125" t="s">
        <v>2399</v>
      </c>
      <c r="G2125" t="s">
        <v>2781</v>
      </c>
      <c r="H2125" s="15">
        <v>46104</v>
      </c>
      <c r="I2125" t="s">
        <v>2783</v>
      </c>
      <c r="J2125" t="s">
        <v>16</v>
      </c>
      <c r="K2125" t="s">
        <v>185</v>
      </c>
      <c r="N2125">
        <v>0</v>
      </c>
      <c r="O2125" t="s">
        <v>222</v>
      </c>
      <c r="P2125">
        <v>0</v>
      </c>
      <c r="U2125" s="15"/>
    </row>
    <row r="2126" spans="1:21" x14ac:dyDescent="0.35">
      <c r="A2126" t="s">
        <v>14</v>
      </c>
      <c r="B2126" t="s">
        <v>3158</v>
      </c>
      <c r="C2126" t="s">
        <v>667</v>
      </c>
      <c r="D2126" t="s">
        <v>668</v>
      </c>
      <c r="E2126" t="s">
        <v>669</v>
      </c>
      <c r="F2126" t="s">
        <v>3159</v>
      </c>
      <c r="G2126" t="s">
        <v>4282</v>
      </c>
      <c r="H2126" s="15">
        <v>46184</v>
      </c>
      <c r="I2126" t="s">
        <v>4283</v>
      </c>
      <c r="J2126" t="s">
        <v>16</v>
      </c>
      <c r="K2126" t="s">
        <v>185</v>
      </c>
      <c r="N2126">
        <v>0</v>
      </c>
      <c r="O2126" t="s">
        <v>222</v>
      </c>
      <c r="P2126">
        <v>0</v>
      </c>
      <c r="U2126" s="15"/>
    </row>
    <row r="2127" spans="1:21" x14ac:dyDescent="0.35">
      <c r="A2127" t="s">
        <v>14</v>
      </c>
      <c r="B2127" t="s">
        <v>3158</v>
      </c>
      <c r="C2127" t="s">
        <v>667</v>
      </c>
      <c r="D2127" t="s">
        <v>668</v>
      </c>
      <c r="E2127" t="s">
        <v>669</v>
      </c>
      <c r="F2127" t="s">
        <v>3159</v>
      </c>
      <c r="G2127" t="s">
        <v>4284</v>
      </c>
      <c r="H2127" s="15">
        <v>46184</v>
      </c>
      <c r="I2127" t="s">
        <v>4285</v>
      </c>
      <c r="J2127" t="s">
        <v>233</v>
      </c>
      <c r="K2127" t="s">
        <v>185</v>
      </c>
      <c r="N2127">
        <v>0</v>
      </c>
      <c r="O2127" t="s">
        <v>222</v>
      </c>
      <c r="P2127">
        <v>0</v>
      </c>
      <c r="U2127" s="15"/>
    </row>
    <row r="2128" spans="1:21" x14ac:dyDescent="0.35">
      <c r="A2128" t="s">
        <v>14</v>
      </c>
      <c r="B2128" t="s">
        <v>2398</v>
      </c>
      <c r="C2128" t="s">
        <v>1255</v>
      </c>
      <c r="D2128" t="s">
        <v>1256</v>
      </c>
      <c r="E2128" t="s">
        <v>1257</v>
      </c>
      <c r="F2128" t="s">
        <v>2399</v>
      </c>
      <c r="G2128" t="s">
        <v>2781</v>
      </c>
      <c r="H2128" s="15">
        <v>46104</v>
      </c>
      <c r="I2128" t="s">
        <v>2784</v>
      </c>
      <c r="J2128" t="s">
        <v>16</v>
      </c>
      <c r="K2128" t="s">
        <v>185</v>
      </c>
      <c r="N2128">
        <v>0</v>
      </c>
      <c r="O2128" t="s">
        <v>222</v>
      </c>
      <c r="P2128">
        <v>0</v>
      </c>
      <c r="U2128" s="15"/>
    </row>
    <row r="2129" spans="1:21" x14ac:dyDescent="0.35">
      <c r="A2129" t="s">
        <v>14</v>
      </c>
      <c r="B2129" t="s">
        <v>2398</v>
      </c>
      <c r="C2129" t="s">
        <v>2413</v>
      </c>
      <c r="D2129" t="s">
        <v>2414</v>
      </c>
      <c r="E2129" t="s">
        <v>2415</v>
      </c>
      <c r="F2129" t="s">
        <v>2399</v>
      </c>
      <c r="G2129" t="s">
        <v>2785</v>
      </c>
      <c r="H2129" s="15">
        <v>46107</v>
      </c>
      <c r="I2129" t="s">
        <v>2786</v>
      </c>
      <c r="J2129" t="s">
        <v>16</v>
      </c>
      <c r="K2129" t="s">
        <v>185</v>
      </c>
      <c r="N2129">
        <v>0</v>
      </c>
      <c r="O2129" t="s">
        <v>222</v>
      </c>
      <c r="P2129">
        <v>0</v>
      </c>
      <c r="U2129" s="15"/>
    </row>
    <row r="2130" spans="1:21" x14ac:dyDescent="0.35">
      <c r="A2130" t="s">
        <v>14</v>
      </c>
      <c r="B2130" t="s">
        <v>3247</v>
      </c>
      <c r="C2130" t="s">
        <v>765</v>
      </c>
      <c r="D2130" t="s">
        <v>766</v>
      </c>
      <c r="E2130" t="s">
        <v>767</v>
      </c>
      <c r="F2130" t="s">
        <v>4305</v>
      </c>
      <c r="G2130" t="s">
        <v>4570</v>
      </c>
      <c r="H2130" s="15">
        <v>46098</v>
      </c>
      <c r="I2130" t="s">
        <v>4571</v>
      </c>
      <c r="J2130" t="s">
        <v>233</v>
      </c>
      <c r="K2130" t="s">
        <v>185</v>
      </c>
      <c r="N2130">
        <v>0</v>
      </c>
      <c r="O2130" t="s">
        <v>222</v>
      </c>
      <c r="P2130">
        <v>0</v>
      </c>
      <c r="U2130" s="15"/>
    </row>
    <row r="2131" spans="1:21" x14ac:dyDescent="0.35">
      <c r="A2131" t="s">
        <v>14</v>
      </c>
      <c r="B2131" t="s">
        <v>3247</v>
      </c>
      <c r="C2131" t="s">
        <v>1255</v>
      </c>
      <c r="D2131" t="s">
        <v>1256</v>
      </c>
      <c r="E2131" t="s">
        <v>1257</v>
      </c>
      <c r="F2131" t="s">
        <v>4305</v>
      </c>
      <c r="G2131" t="s">
        <v>4570</v>
      </c>
      <c r="H2131" s="15">
        <v>46098</v>
      </c>
      <c r="I2131" t="s">
        <v>4572</v>
      </c>
      <c r="J2131" t="s">
        <v>233</v>
      </c>
      <c r="K2131" t="s">
        <v>185</v>
      </c>
      <c r="N2131">
        <v>0</v>
      </c>
      <c r="O2131" t="s">
        <v>222</v>
      </c>
      <c r="P2131">
        <v>0</v>
      </c>
      <c r="U2131" s="15"/>
    </row>
    <row r="2132" spans="1:21" x14ac:dyDescent="0.35">
      <c r="A2132" t="s">
        <v>14</v>
      </c>
      <c r="B2132" t="s">
        <v>3158</v>
      </c>
      <c r="C2132" t="s">
        <v>1255</v>
      </c>
      <c r="D2132" t="s">
        <v>1256</v>
      </c>
      <c r="E2132" t="s">
        <v>1257</v>
      </c>
      <c r="F2132" t="s">
        <v>3159</v>
      </c>
      <c r="G2132" t="s">
        <v>4286</v>
      </c>
      <c r="H2132" s="15">
        <v>46185</v>
      </c>
      <c r="I2132" t="s">
        <v>4287</v>
      </c>
      <c r="J2132" t="s">
        <v>16</v>
      </c>
      <c r="K2132" t="s">
        <v>185</v>
      </c>
      <c r="N2132">
        <v>0</v>
      </c>
      <c r="O2132" t="s">
        <v>222</v>
      </c>
      <c r="P2132">
        <v>0</v>
      </c>
      <c r="U2132" s="15"/>
    </row>
    <row r="2133" spans="1:21" x14ac:dyDescent="0.35">
      <c r="A2133" t="s">
        <v>14</v>
      </c>
      <c r="B2133" t="s">
        <v>3158</v>
      </c>
      <c r="C2133" t="s">
        <v>2461</v>
      </c>
      <c r="D2133" t="s">
        <v>2462</v>
      </c>
      <c r="E2133" t="s">
        <v>2463</v>
      </c>
      <c r="F2133" t="s">
        <v>3159</v>
      </c>
      <c r="G2133" t="s">
        <v>4288</v>
      </c>
      <c r="H2133" s="15">
        <v>46185</v>
      </c>
      <c r="I2133" t="s">
        <v>4289</v>
      </c>
      <c r="J2133" t="s">
        <v>233</v>
      </c>
      <c r="K2133" t="s">
        <v>185</v>
      </c>
      <c r="N2133">
        <v>0</v>
      </c>
      <c r="O2133" t="s">
        <v>222</v>
      </c>
      <c r="P2133">
        <v>0</v>
      </c>
      <c r="U2133" s="15"/>
    </row>
    <row r="2134" spans="1:21" x14ac:dyDescent="0.35">
      <c r="A2134" t="s">
        <v>14</v>
      </c>
      <c r="B2134" t="s">
        <v>3158</v>
      </c>
      <c r="C2134" t="s">
        <v>2461</v>
      </c>
      <c r="D2134" t="s">
        <v>2462</v>
      </c>
      <c r="E2134" t="s">
        <v>2463</v>
      </c>
      <c r="F2134" t="s">
        <v>3159</v>
      </c>
      <c r="G2134" t="s">
        <v>4288</v>
      </c>
      <c r="H2134" s="15">
        <v>46185</v>
      </c>
      <c r="I2134" t="s">
        <v>4289</v>
      </c>
      <c r="J2134" t="s">
        <v>233</v>
      </c>
      <c r="K2134" t="s">
        <v>185</v>
      </c>
      <c r="N2134">
        <v>0</v>
      </c>
      <c r="O2134" t="s">
        <v>222</v>
      </c>
      <c r="P2134">
        <v>0</v>
      </c>
      <c r="U2134" s="15"/>
    </row>
    <row r="2135" spans="1:21" x14ac:dyDescent="0.35">
      <c r="A2135" t="s">
        <v>14</v>
      </c>
      <c r="B2135" t="s">
        <v>2398</v>
      </c>
      <c r="C2135" t="s">
        <v>1255</v>
      </c>
      <c r="D2135" t="s">
        <v>1256</v>
      </c>
      <c r="E2135" t="s">
        <v>1257</v>
      </c>
      <c r="F2135" t="s">
        <v>2399</v>
      </c>
      <c r="G2135" t="s">
        <v>2785</v>
      </c>
      <c r="H2135" s="15">
        <v>46107</v>
      </c>
      <c r="I2135" t="s">
        <v>2787</v>
      </c>
      <c r="J2135" t="s">
        <v>16</v>
      </c>
      <c r="K2135" t="s">
        <v>185</v>
      </c>
      <c r="N2135">
        <v>0</v>
      </c>
      <c r="O2135" t="s">
        <v>222</v>
      </c>
      <c r="P2135">
        <v>0</v>
      </c>
      <c r="U2135" s="15"/>
    </row>
    <row r="2136" spans="1:21" x14ac:dyDescent="0.35">
      <c r="A2136" t="s">
        <v>14</v>
      </c>
      <c r="B2136" t="s">
        <v>2398</v>
      </c>
      <c r="C2136" t="s">
        <v>1255</v>
      </c>
      <c r="D2136" t="s">
        <v>1256</v>
      </c>
      <c r="E2136" t="s">
        <v>1257</v>
      </c>
      <c r="F2136" t="s">
        <v>2399</v>
      </c>
      <c r="G2136" t="s">
        <v>2785</v>
      </c>
      <c r="H2136" s="15">
        <v>46107</v>
      </c>
      <c r="I2136" t="s">
        <v>2787</v>
      </c>
      <c r="J2136" t="s">
        <v>16</v>
      </c>
      <c r="K2136" t="s">
        <v>185</v>
      </c>
      <c r="N2136">
        <v>0</v>
      </c>
      <c r="O2136" t="s">
        <v>222</v>
      </c>
      <c r="P2136">
        <v>0</v>
      </c>
      <c r="U2136" s="15"/>
    </row>
    <row r="2137" spans="1:21" x14ac:dyDescent="0.35">
      <c r="A2137" t="s">
        <v>14</v>
      </c>
      <c r="B2137" t="s">
        <v>3158</v>
      </c>
      <c r="C2137" t="s">
        <v>531</v>
      </c>
      <c r="D2137" t="s">
        <v>532</v>
      </c>
      <c r="E2137" t="s">
        <v>533</v>
      </c>
      <c r="F2137" t="s">
        <v>3159</v>
      </c>
      <c r="G2137" t="s">
        <v>4290</v>
      </c>
      <c r="H2137" s="15">
        <v>46186</v>
      </c>
      <c r="I2137" t="s">
        <v>4291</v>
      </c>
      <c r="J2137" t="s">
        <v>16</v>
      </c>
      <c r="K2137" t="s">
        <v>185</v>
      </c>
      <c r="N2137">
        <v>0</v>
      </c>
      <c r="O2137" t="s">
        <v>222</v>
      </c>
      <c r="P2137">
        <v>0</v>
      </c>
      <c r="U2137" s="15"/>
    </row>
    <row r="2138" spans="1:21" x14ac:dyDescent="0.35">
      <c r="A2138" t="s">
        <v>14</v>
      </c>
      <c r="B2138" t="s">
        <v>3158</v>
      </c>
      <c r="C2138" t="s">
        <v>1255</v>
      </c>
      <c r="D2138" t="s">
        <v>1256</v>
      </c>
      <c r="E2138" t="s">
        <v>1257</v>
      </c>
      <c r="F2138" t="s">
        <v>3159</v>
      </c>
      <c r="G2138" t="s">
        <v>4290</v>
      </c>
      <c r="H2138" s="15">
        <v>46186</v>
      </c>
      <c r="I2138" t="s">
        <v>4292</v>
      </c>
      <c r="J2138" t="s">
        <v>16</v>
      </c>
      <c r="K2138" t="s">
        <v>185</v>
      </c>
      <c r="N2138">
        <v>0</v>
      </c>
      <c r="O2138" t="s">
        <v>222</v>
      </c>
      <c r="P2138">
        <v>0</v>
      </c>
      <c r="U2138" s="15"/>
    </row>
    <row r="2139" spans="1:21" x14ac:dyDescent="0.35">
      <c r="A2139" t="s">
        <v>14</v>
      </c>
      <c r="B2139" t="s">
        <v>3247</v>
      </c>
      <c r="C2139" t="s">
        <v>880</v>
      </c>
      <c r="D2139" t="s">
        <v>881</v>
      </c>
      <c r="E2139" t="s">
        <v>882</v>
      </c>
      <c r="F2139" t="s">
        <v>4305</v>
      </c>
      <c r="G2139" t="s">
        <v>4573</v>
      </c>
      <c r="H2139" s="15">
        <v>46099</v>
      </c>
      <c r="I2139" t="s">
        <v>4574</v>
      </c>
      <c r="J2139" t="s">
        <v>16</v>
      </c>
      <c r="K2139" t="s">
        <v>185</v>
      </c>
      <c r="N2139">
        <v>0</v>
      </c>
      <c r="O2139" t="s">
        <v>222</v>
      </c>
      <c r="P2139">
        <v>0</v>
      </c>
      <c r="U2139" s="15"/>
    </row>
    <row r="2140" spans="1:21" x14ac:dyDescent="0.35">
      <c r="A2140" t="s">
        <v>14</v>
      </c>
      <c r="B2140" t="s">
        <v>3247</v>
      </c>
      <c r="C2140" t="s">
        <v>716</v>
      </c>
      <c r="D2140" t="s">
        <v>717</v>
      </c>
      <c r="E2140" t="s">
        <v>718</v>
      </c>
      <c r="F2140" t="s">
        <v>4305</v>
      </c>
      <c r="G2140" t="s">
        <v>4575</v>
      </c>
      <c r="H2140" s="15">
        <v>46099</v>
      </c>
      <c r="I2140" t="s">
        <v>4576</v>
      </c>
      <c r="J2140" t="s">
        <v>233</v>
      </c>
      <c r="K2140" t="s">
        <v>185</v>
      </c>
      <c r="N2140">
        <v>0</v>
      </c>
      <c r="O2140" t="s">
        <v>222</v>
      </c>
      <c r="P2140">
        <v>0</v>
      </c>
      <c r="U2140" s="15"/>
    </row>
    <row r="2141" spans="1:21" x14ac:dyDescent="0.35">
      <c r="A2141" t="s">
        <v>14</v>
      </c>
      <c r="B2141" t="s">
        <v>2398</v>
      </c>
      <c r="C2141" t="s">
        <v>2413</v>
      </c>
      <c r="D2141" t="s">
        <v>2414</v>
      </c>
      <c r="E2141" t="s">
        <v>2415</v>
      </c>
      <c r="F2141" t="s">
        <v>2399</v>
      </c>
      <c r="G2141" t="s">
        <v>2788</v>
      </c>
      <c r="H2141" s="15">
        <v>46108</v>
      </c>
      <c r="I2141" t="s">
        <v>2789</v>
      </c>
      <c r="J2141" t="s">
        <v>16</v>
      </c>
      <c r="K2141" t="s">
        <v>185</v>
      </c>
      <c r="N2141">
        <v>0</v>
      </c>
      <c r="O2141" t="s">
        <v>222</v>
      </c>
      <c r="P2141">
        <v>0</v>
      </c>
      <c r="U2141" s="15"/>
    </row>
    <row r="2142" spans="1:21" x14ac:dyDescent="0.35">
      <c r="A2142" t="s">
        <v>14</v>
      </c>
      <c r="B2142" t="s">
        <v>2398</v>
      </c>
      <c r="C2142" t="s">
        <v>2461</v>
      </c>
      <c r="D2142" t="s">
        <v>2462</v>
      </c>
      <c r="E2142" t="s">
        <v>2463</v>
      </c>
      <c r="F2142" t="s">
        <v>2399</v>
      </c>
      <c r="G2142" t="s">
        <v>2788</v>
      </c>
      <c r="H2142" s="15">
        <v>46108</v>
      </c>
      <c r="I2142" t="s">
        <v>2790</v>
      </c>
      <c r="J2142" t="s">
        <v>16</v>
      </c>
      <c r="K2142" t="s">
        <v>185</v>
      </c>
      <c r="N2142">
        <v>0</v>
      </c>
      <c r="O2142" t="s">
        <v>222</v>
      </c>
      <c r="P2142">
        <v>0</v>
      </c>
      <c r="U2142" s="15"/>
    </row>
    <row r="2143" spans="1:21" x14ac:dyDescent="0.35">
      <c r="A2143" t="s">
        <v>14</v>
      </c>
      <c r="B2143" t="s">
        <v>2398</v>
      </c>
      <c r="C2143" t="s">
        <v>1255</v>
      </c>
      <c r="D2143" t="s">
        <v>1256</v>
      </c>
      <c r="E2143" t="s">
        <v>1257</v>
      </c>
      <c r="F2143" t="s">
        <v>2399</v>
      </c>
      <c r="G2143" t="s">
        <v>2788</v>
      </c>
      <c r="H2143" s="15">
        <v>46108</v>
      </c>
      <c r="I2143" t="s">
        <v>2791</v>
      </c>
      <c r="J2143" t="s">
        <v>16</v>
      </c>
      <c r="K2143" t="s">
        <v>185</v>
      </c>
      <c r="N2143">
        <v>0</v>
      </c>
      <c r="O2143" t="s">
        <v>222</v>
      </c>
      <c r="P2143">
        <v>0</v>
      </c>
      <c r="U2143" s="15"/>
    </row>
    <row r="2144" spans="1:21" x14ac:dyDescent="0.35">
      <c r="A2144" t="s">
        <v>14</v>
      </c>
      <c r="B2144" t="s">
        <v>3247</v>
      </c>
      <c r="C2144" t="s">
        <v>1255</v>
      </c>
      <c r="D2144" t="s">
        <v>1256</v>
      </c>
      <c r="E2144" t="s">
        <v>1257</v>
      </c>
      <c r="F2144" t="s">
        <v>4305</v>
      </c>
      <c r="G2144" t="s">
        <v>4575</v>
      </c>
      <c r="H2144" s="15">
        <v>46099</v>
      </c>
      <c r="I2144" t="s">
        <v>4577</v>
      </c>
      <c r="J2144" t="s">
        <v>233</v>
      </c>
      <c r="K2144" t="s">
        <v>185</v>
      </c>
      <c r="N2144">
        <v>0</v>
      </c>
      <c r="O2144" t="s">
        <v>222</v>
      </c>
      <c r="P2144">
        <v>0</v>
      </c>
      <c r="U2144" s="15"/>
    </row>
    <row r="2145" spans="1:21" x14ac:dyDescent="0.35">
      <c r="A2145" t="s">
        <v>14</v>
      </c>
      <c r="B2145" t="s">
        <v>3158</v>
      </c>
      <c r="C2145" t="s">
        <v>1255</v>
      </c>
      <c r="D2145" t="s">
        <v>1256</v>
      </c>
      <c r="E2145" t="s">
        <v>1257</v>
      </c>
      <c r="F2145" t="s">
        <v>3159</v>
      </c>
      <c r="G2145" t="s">
        <v>4293</v>
      </c>
      <c r="H2145" s="15">
        <v>46188</v>
      </c>
      <c r="I2145" t="s">
        <v>4294</v>
      </c>
      <c r="J2145" t="s">
        <v>233</v>
      </c>
      <c r="K2145" t="s">
        <v>185</v>
      </c>
      <c r="N2145">
        <v>0</v>
      </c>
      <c r="O2145" t="s">
        <v>222</v>
      </c>
      <c r="P2145">
        <v>0</v>
      </c>
      <c r="U2145" s="15"/>
    </row>
    <row r="2146" spans="1:21" x14ac:dyDescent="0.35">
      <c r="A2146" t="s">
        <v>14</v>
      </c>
      <c r="B2146" t="s">
        <v>3158</v>
      </c>
      <c r="C2146" t="s">
        <v>1255</v>
      </c>
      <c r="D2146" t="s">
        <v>1256</v>
      </c>
      <c r="E2146" t="s">
        <v>1257</v>
      </c>
      <c r="F2146" t="s">
        <v>3159</v>
      </c>
      <c r="G2146" t="s">
        <v>4295</v>
      </c>
      <c r="H2146" s="15">
        <v>46189</v>
      </c>
      <c r="I2146" t="s">
        <v>4296</v>
      </c>
      <c r="J2146" t="s">
        <v>16</v>
      </c>
      <c r="K2146" t="s">
        <v>185</v>
      </c>
      <c r="N2146">
        <v>0</v>
      </c>
      <c r="O2146" t="s">
        <v>222</v>
      </c>
      <c r="P2146">
        <v>0</v>
      </c>
      <c r="U2146" s="15"/>
    </row>
    <row r="2147" spans="1:21" x14ac:dyDescent="0.35">
      <c r="A2147" t="s">
        <v>14</v>
      </c>
      <c r="B2147" t="s">
        <v>2398</v>
      </c>
      <c r="C2147" t="s">
        <v>1255</v>
      </c>
      <c r="D2147" t="s">
        <v>1256</v>
      </c>
      <c r="E2147" t="s">
        <v>1257</v>
      </c>
      <c r="F2147" t="s">
        <v>2399</v>
      </c>
      <c r="G2147" t="s">
        <v>2792</v>
      </c>
      <c r="H2147" s="15">
        <v>46109</v>
      </c>
      <c r="I2147" t="s">
        <v>2793</v>
      </c>
      <c r="J2147" t="s">
        <v>16</v>
      </c>
      <c r="K2147" t="s">
        <v>185</v>
      </c>
      <c r="N2147">
        <v>0</v>
      </c>
      <c r="O2147" t="s">
        <v>222</v>
      </c>
      <c r="P2147">
        <v>0</v>
      </c>
      <c r="U2147" s="15"/>
    </row>
    <row r="2148" spans="1:21" x14ac:dyDescent="0.35">
      <c r="A2148" t="s">
        <v>14</v>
      </c>
      <c r="B2148" t="s">
        <v>2398</v>
      </c>
      <c r="C2148" t="s">
        <v>2413</v>
      </c>
      <c r="D2148" t="s">
        <v>2414</v>
      </c>
      <c r="E2148" t="s">
        <v>2415</v>
      </c>
      <c r="F2148" t="s">
        <v>2399</v>
      </c>
      <c r="G2148" t="s">
        <v>2794</v>
      </c>
      <c r="H2148" s="15">
        <v>46111</v>
      </c>
      <c r="I2148" t="s">
        <v>2795</v>
      </c>
      <c r="J2148" t="s">
        <v>16</v>
      </c>
      <c r="K2148" t="s">
        <v>185</v>
      </c>
      <c r="N2148">
        <v>0</v>
      </c>
      <c r="O2148" t="s">
        <v>222</v>
      </c>
      <c r="P2148">
        <v>0</v>
      </c>
      <c r="U2148" s="15"/>
    </row>
    <row r="2149" spans="1:21" x14ac:dyDescent="0.35">
      <c r="A2149" t="s">
        <v>14</v>
      </c>
      <c r="B2149" t="s">
        <v>3158</v>
      </c>
      <c r="C2149" t="s">
        <v>531</v>
      </c>
      <c r="D2149" t="s">
        <v>532</v>
      </c>
      <c r="E2149" t="s">
        <v>533</v>
      </c>
      <c r="F2149" t="s">
        <v>3159</v>
      </c>
      <c r="G2149" t="s">
        <v>4295</v>
      </c>
      <c r="H2149" s="15">
        <v>46189</v>
      </c>
      <c r="I2149" t="s">
        <v>4297</v>
      </c>
      <c r="J2149" t="s">
        <v>16</v>
      </c>
      <c r="K2149" t="s">
        <v>185</v>
      </c>
      <c r="N2149">
        <v>0</v>
      </c>
      <c r="O2149" t="s">
        <v>222</v>
      </c>
      <c r="P2149">
        <v>0</v>
      </c>
      <c r="U2149" s="15"/>
    </row>
    <row r="2150" spans="1:21" x14ac:dyDescent="0.35">
      <c r="A2150" t="s">
        <v>14</v>
      </c>
      <c r="B2150" t="s">
        <v>2398</v>
      </c>
      <c r="C2150" t="s">
        <v>1255</v>
      </c>
      <c r="D2150" t="s">
        <v>1256</v>
      </c>
      <c r="E2150" t="s">
        <v>1257</v>
      </c>
      <c r="F2150" t="s">
        <v>2399</v>
      </c>
      <c r="G2150" t="s">
        <v>2794</v>
      </c>
      <c r="H2150" s="15">
        <v>46111</v>
      </c>
      <c r="I2150" t="s">
        <v>2796</v>
      </c>
      <c r="J2150" t="s">
        <v>16</v>
      </c>
      <c r="K2150" t="s">
        <v>185</v>
      </c>
      <c r="N2150">
        <v>0</v>
      </c>
      <c r="O2150" t="s">
        <v>222</v>
      </c>
      <c r="P2150">
        <v>0</v>
      </c>
      <c r="U2150" s="15"/>
    </row>
    <row r="2151" spans="1:21" x14ac:dyDescent="0.35">
      <c r="A2151" t="s">
        <v>14</v>
      </c>
      <c r="B2151" t="s">
        <v>2398</v>
      </c>
      <c r="C2151" t="s">
        <v>2413</v>
      </c>
      <c r="D2151" t="s">
        <v>2414</v>
      </c>
      <c r="E2151" t="s">
        <v>2415</v>
      </c>
      <c r="F2151" t="s">
        <v>2399</v>
      </c>
      <c r="G2151" t="s">
        <v>2797</v>
      </c>
      <c r="H2151" s="15">
        <v>46112</v>
      </c>
      <c r="I2151" t="s">
        <v>2798</v>
      </c>
      <c r="J2151" t="s">
        <v>16</v>
      </c>
      <c r="K2151" t="s">
        <v>185</v>
      </c>
      <c r="N2151">
        <v>0</v>
      </c>
      <c r="O2151" t="s">
        <v>222</v>
      </c>
      <c r="P2151">
        <v>0</v>
      </c>
      <c r="U2151" s="15"/>
    </row>
    <row r="2152" spans="1:21" x14ac:dyDescent="0.35">
      <c r="A2152" t="s">
        <v>14</v>
      </c>
      <c r="B2152" t="s">
        <v>3158</v>
      </c>
      <c r="C2152" t="s">
        <v>1255</v>
      </c>
      <c r="D2152" t="s">
        <v>1256</v>
      </c>
      <c r="E2152" t="s">
        <v>1257</v>
      </c>
      <c r="F2152" t="s">
        <v>3159</v>
      </c>
      <c r="G2152" t="s">
        <v>4298</v>
      </c>
      <c r="H2152" s="15">
        <v>46189</v>
      </c>
      <c r="I2152" t="s">
        <v>4299</v>
      </c>
      <c r="J2152" t="s">
        <v>233</v>
      </c>
      <c r="K2152" t="s">
        <v>185</v>
      </c>
      <c r="N2152">
        <v>0</v>
      </c>
      <c r="O2152" t="s">
        <v>222</v>
      </c>
      <c r="P2152">
        <v>0</v>
      </c>
      <c r="U2152" s="15"/>
    </row>
    <row r="2153" spans="1:21" x14ac:dyDescent="0.35">
      <c r="A2153" t="s">
        <v>14</v>
      </c>
      <c r="B2153" t="s">
        <v>3158</v>
      </c>
      <c r="C2153" t="s">
        <v>1255</v>
      </c>
      <c r="D2153" t="s">
        <v>1256</v>
      </c>
      <c r="E2153" t="s">
        <v>1257</v>
      </c>
      <c r="F2153" t="s">
        <v>3159</v>
      </c>
      <c r="G2153" t="s">
        <v>4300</v>
      </c>
      <c r="H2153" s="15">
        <v>46190</v>
      </c>
      <c r="I2153" t="s">
        <v>4301</v>
      </c>
      <c r="J2153" t="s">
        <v>16</v>
      </c>
      <c r="K2153" t="s">
        <v>185</v>
      </c>
      <c r="N2153">
        <v>0</v>
      </c>
      <c r="O2153" t="s">
        <v>222</v>
      </c>
      <c r="P2153">
        <v>0</v>
      </c>
      <c r="U2153" s="15"/>
    </row>
    <row r="2154" spans="1:21" x14ac:dyDescent="0.35">
      <c r="A2154" t="s">
        <v>14</v>
      </c>
      <c r="B2154" t="s">
        <v>3158</v>
      </c>
      <c r="C2154" t="s">
        <v>515</v>
      </c>
      <c r="D2154" t="s">
        <v>516</v>
      </c>
      <c r="E2154" t="s">
        <v>517</v>
      </c>
      <c r="F2154" t="s">
        <v>3159</v>
      </c>
      <c r="G2154" t="s">
        <v>4300</v>
      </c>
      <c r="H2154" s="15">
        <v>46190</v>
      </c>
      <c r="I2154" t="s">
        <v>4302</v>
      </c>
      <c r="J2154" t="s">
        <v>16</v>
      </c>
      <c r="K2154" t="s">
        <v>185</v>
      </c>
      <c r="N2154">
        <v>0</v>
      </c>
      <c r="O2154" t="s">
        <v>222</v>
      </c>
      <c r="P2154">
        <v>0</v>
      </c>
      <c r="U2154" s="15"/>
    </row>
    <row r="2155" spans="1:21" x14ac:dyDescent="0.35">
      <c r="A2155" t="s">
        <v>14</v>
      </c>
      <c r="B2155" t="s">
        <v>2398</v>
      </c>
      <c r="C2155" t="s">
        <v>1255</v>
      </c>
      <c r="D2155" t="s">
        <v>1256</v>
      </c>
      <c r="E2155" t="s">
        <v>1257</v>
      </c>
      <c r="F2155" t="s">
        <v>2399</v>
      </c>
      <c r="G2155" t="s">
        <v>2797</v>
      </c>
      <c r="H2155" s="15">
        <v>46112</v>
      </c>
      <c r="I2155" t="s">
        <v>2799</v>
      </c>
      <c r="J2155" t="s">
        <v>16</v>
      </c>
      <c r="K2155" t="s">
        <v>185</v>
      </c>
      <c r="N2155">
        <v>0</v>
      </c>
      <c r="O2155" t="s">
        <v>222</v>
      </c>
      <c r="P2155">
        <v>0</v>
      </c>
      <c r="U2155" s="15"/>
    </row>
    <row r="2156" spans="1:21" x14ac:dyDescent="0.35">
      <c r="A2156" t="s">
        <v>14</v>
      </c>
      <c r="B2156" t="s">
        <v>2398</v>
      </c>
      <c r="C2156" t="s">
        <v>2413</v>
      </c>
      <c r="D2156" t="s">
        <v>2414</v>
      </c>
      <c r="E2156" t="s">
        <v>2415</v>
      </c>
      <c r="F2156" t="s">
        <v>2399</v>
      </c>
      <c r="G2156" t="s">
        <v>2800</v>
      </c>
      <c r="H2156" s="15">
        <v>46113</v>
      </c>
      <c r="I2156" t="s">
        <v>2801</v>
      </c>
      <c r="J2156" t="s">
        <v>16</v>
      </c>
      <c r="K2156" t="s">
        <v>185</v>
      </c>
      <c r="N2156">
        <v>0</v>
      </c>
      <c r="O2156" t="s">
        <v>222</v>
      </c>
      <c r="P2156">
        <v>0</v>
      </c>
      <c r="U2156" s="15"/>
    </row>
    <row r="2157" spans="1:21" x14ac:dyDescent="0.35">
      <c r="A2157" t="s">
        <v>14</v>
      </c>
      <c r="B2157" t="s">
        <v>3247</v>
      </c>
      <c r="C2157" t="s">
        <v>880</v>
      </c>
      <c r="D2157" t="s">
        <v>881</v>
      </c>
      <c r="E2157" t="s">
        <v>882</v>
      </c>
      <c r="F2157" t="s">
        <v>4305</v>
      </c>
      <c r="G2157" t="s">
        <v>4578</v>
      </c>
      <c r="H2157" s="15">
        <v>46100</v>
      </c>
      <c r="I2157" t="s">
        <v>4579</v>
      </c>
      <c r="J2157" t="s">
        <v>16</v>
      </c>
      <c r="K2157" t="s">
        <v>185</v>
      </c>
      <c r="N2157">
        <v>0</v>
      </c>
      <c r="O2157" t="s">
        <v>222</v>
      </c>
      <c r="P2157">
        <v>0</v>
      </c>
      <c r="U2157" s="15"/>
    </row>
    <row r="2158" spans="1:21" x14ac:dyDescent="0.35">
      <c r="A2158" t="s">
        <v>14</v>
      </c>
      <c r="B2158" t="s">
        <v>3247</v>
      </c>
      <c r="C2158" t="s">
        <v>1255</v>
      </c>
      <c r="D2158" t="s">
        <v>1256</v>
      </c>
      <c r="E2158" t="s">
        <v>1257</v>
      </c>
      <c r="F2158" t="s">
        <v>4305</v>
      </c>
      <c r="G2158" t="s">
        <v>4580</v>
      </c>
      <c r="H2158" s="15">
        <v>46100</v>
      </c>
      <c r="I2158" t="s">
        <v>4581</v>
      </c>
      <c r="J2158" t="s">
        <v>233</v>
      </c>
      <c r="K2158" t="s">
        <v>185</v>
      </c>
      <c r="N2158">
        <v>0</v>
      </c>
      <c r="O2158" t="s">
        <v>222</v>
      </c>
      <c r="P2158">
        <v>0</v>
      </c>
      <c r="U2158" s="15"/>
    </row>
    <row r="2159" spans="1:21" x14ac:dyDescent="0.35">
      <c r="A2159" t="s">
        <v>14</v>
      </c>
      <c r="B2159" t="s">
        <v>3158</v>
      </c>
      <c r="C2159" t="s">
        <v>1255</v>
      </c>
      <c r="D2159" t="s">
        <v>1256</v>
      </c>
      <c r="E2159" t="s">
        <v>1257</v>
      </c>
      <c r="F2159" t="s">
        <v>3159</v>
      </c>
      <c r="G2159" t="s">
        <v>4303</v>
      </c>
      <c r="H2159" s="15">
        <v>46190</v>
      </c>
      <c r="I2159" t="s">
        <v>4304</v>
      </c>
      <c r="J2159" t="s">
        <v>233</v>
      </c>
      <c r="K2159" t="s">
        <v>185</v>
      </c>
      <c r="N2159">
        <v>0</v>
      </c>
      <c r="O2159" t="s">
        <v>222</v>
      </c>
      <c r="P2159">
        <v>0</v>
      </c>
      <c r="U2159" s="15"/>
    </row>
    <row r="2160" spans="1:21" x14ac:dyDescent="0.35">
      <c r="A2160" t="s">
        <v>14</v>
      </c>
      <c r="B2160" t="s">
        <v>3158</v>
      </c>
      <c r="C2160" t="s">
        <v>1255</v>
      </c>
      <c r="D2160" t="s">
        <v>1256</v>
      </c>
      <c r="E2160" t="s">
        <v>1257</v>
      </c>
      <c r="F2160" t="s">
        <v>3159</v>
      </c>
      <c r="G2160" t="s">
        <v>4391</v>
      </c>
      <c r="H2160" s="15">
        <v>46191</v>
      </c>
      <c r="I2160" t="s">
        <v>4392</v>
      </c>
      <c r="J2160" t="s">
        <v>16</v>
      </c>
      <c r="K2160" t="s">
        <v>185</v>
      </c>
      <c r="N2160">
        <v>0</v>
      </c>
      <c r="O2160" t="s">
        <v>222</v>
      </c>
      <c r="P2160">
        <v>0</v>
      </c>
      <c r="U2160" s="15"/>
    </row>
    <row r="2161" spans="1:21" x14ac:dyDescent="0.35">
      <c r="A2161" t="s">
        <v>14</v>
      </c>
      <c r="B2161" t="s">
        <v>3247</v>
      </c>
      <c r="C2161" t="s">
        <v>515</v>
      </c>
      <c r="D2161" t="s">
        <v>516</v>
      </c>
      <c r="E2161" t="s">
        <v>517</v>
      </c>
      <c r="F2161" t="s">
        <v>4305</v>
      </c>
      <c r="G2161" t="s">
        <v>4582</v>
      </c>
      <c r="H2161" s="15">
        <v>46101</v>
      </c>
      <c r="I2161" t="s">
        <v>4583</v>
      </c>
      <c r="J2161" t="s">
        <v>16</v>
      </c>
      <c r="K2161" t="s">
        <v>185</v>
      </c>
      <c r="N2161">
        <v>0</v>
      </c>
      <c r="O2161" t="s">
        <v>222</v>
      </c>
      <c r="P2161">
        <v>0</v>
      </c>
      <c r="U2161" s="15"/>
    </row>
    <row r="2162" spans="1:21" x14ac:dyDescent="0.35">
      <c r="A2162" t="s">
        <v>14</v>
      </c>
      <c r="B2162" t="s">
        <v>3247</v>
      </c>
      <c r="C2162" t="s">
        <v>667</v>
      </c>
      <c r="D2162" t="s">
        <v>668</v>
      </c>
      <c r="E2162" t="s">
        <v>669</v>
      </c>
      <c r="F2162" t="s">
        <v>4305</v>
      </c>
      <c r="G2162" t="s">
        <v>4584</v>
      </c>
      <c r="H2162" s="15">
        <v>46101</v>
      </c>
      <c r="I2162" t="s">
        <v>4585</v>
      </c>
      <c r="J2162" t="s">
        <v>233</v>
      </c>
      <c r="K2162" t="s">
        <v>185</v>
      </c>
      <c r="N2162">
        <v>0</v>
      </c>
      <c r="O2162" t="s">
        <v>222</v>
      </c>
      <c r="P2162">
        <v>0</v>
      </c>
      <c r="U2162" s="15"/>
    </row>
    <row r="2163" spans="1:21" x14ac:dyDescent="0.35">
      <c r="A2163" t="s">
        <v>14</v>
      </c>
      <c r="B2163" t="s">
        <v>2398</v>
      </c>
      <c r="C2163" t="s">
        <v>667</v>
      </c>
      <c r="D2163" t="s">
        <v>668</v>
      </c>
      <c r="E2163" t="s">
        <v>669</v>
      </c>
      <c r="F2163" t="s">
        <v>2399</v>
      </c>
      <c r="G2163" t="s">
        <v>2800</v>
      </c>
      <c r="H2163" s="15">
        <v>46113</v>
      </c>
      <c r="I2163" t="s">
        <v>2802</v>
      </c>
      <c r="J2163" t="s">
        <v>16</v>
      </c>
      <c r="K2163" t="s">
        <v>185</v>
      </c>
      <c r="N2163">
        <v>0</v>
      </c>
      <c r="O2163" t="s">
        <v>222</v>
      </c>
      <c r="P2163">
        <v>0</v>
      </c>
      <c r="U2163" s="15"/>
    </row>
    <row r="2164" spans="1:21" x14ac:dyDescent="0.35">
      <c r="A2164" t="s">
        <v>14</v>
      </c>
      <c r="B2164" t="s">
        <v>2398</v>
      </c>
      <c r="C2164" t="s">
        <v>2413</v>
      </c>
      <c r="D2164" t="s">
        <v>2414</v>
      </c>
      <c r="E2164" t="s">
        <v>2415</v>
      </c>
      <c r="F2164" t="s">
        <v>2399</v>
      </c>
      <c r="G2164" t="s">
        <v>2803</v>
      </c>
      <c r="H2164" s="15">
        <v>46114</v>
      </c>
      <c r="I2164" t="s">
        <v>2804</v>
      </c>
      <c r="J2164" t="s">
        <v>16</v>
      </c>
      <c r="K2164" t="s">
        <v>185</v>
      </c>
      <c r="N2164">
        <v>0</v>
      </c>
      <c r="O2164" t="s">
        <v>222</v>
      </c>
      <c r="P2164">
        <v>0</v>
      </c>
      <c r="U2164" s="15"/>
    </row>
    <row r="2165" spans="1:21" x14ac:dyDescent="0.35">
      <c r="A2165" t="s">
        <v>14</v>
      </c>
      <c r="B2165" t="s">
        <v>3158</v>
      </c>
      <c r="C2165" t="s">
        <v>531</v>
      </c>
      <c r="D2165" t="s">
        <v>532</v>
      </c>
      <c r="E2165" t="s">
        <v>533</v>
      </c>
      <c r="F2165" t="s">
        <v>3159</v>
      </c>
      <c r="G2165" t="s">
        <v>4391</v>
      </c>
      <c r="H2165" s="15">
        <v>46191</v>
      </c>
      <c r="I2165" t="s">
        <v>4397</v>
      </c>
      <c r="J2165" t="s">
        <v>16</v>
      </c>
      <c r="K2165" t="s">
        <v>185</v>
      </c>
      <c r="N2165">
        <v>0</v>
      </c>
      <c r="O2165" t="s">
        <v>222</v>
      </c>
      <c r="P2165">
        <v>0</v>
      </c>
      <c r="U2165" s="15"/>
    </row>
    <row r="2166" spans="1:21" x14ac:dyDescent="0.35">
      <c r="A2166" t="s">
        <v>14</v>
      </c>
      <c r="B2166" t="s">
        <v>2398</v>
      </c>
      <c r="C2166" t="s">
        <v>1255</v>
      </c>
      <c r="D2166" t="s">
        <v>1256</v>
      </c>
      <c r="E2166" t="s">
        <v>1257</v>
      </c>
      <c r="F2166" t="s">
        <v>2399</v>
      </c>
      <c r="G2166" t="s">
        <v>2803</v>
      </c>
      <c r="H2166" s="15">
        <v>46114</v>
      </c>
      <c r="I2166" t="s">
        <v>2805</v>
      </c>
      <c r="J2166" t="s">
        <v>16</v>
      </c>
      <c r="K2166" t="s">
        <v>185</v>
      </c>
      <c r="N2166">
        <v>0</v>
      </c>
      <c r="O2166" t="s">
        <v>222</v>
      </c>
      <c r="P2166">
        <v>0</v>
      </c>
      <c r="U2166" s="15"/>
    </row>
    <row r="2167" spans="1:21" x14ac:dyDescent="0.35">
      <c r="A2167" t="s">
        <v>14</v>
      </c>
      <c r="B2167" t="s">
        <v>2398</v>
      </c>
      <c r="C2167" t="s">
        <v>811</v>
      </c>
      <c r="D2167" t="s">
        <v>812</v>
      </c>
      <c r="E2167" t="s">
        <v>813</v>
      </c>
      <c r="F2167" t="s">
        <v>2399</v>
      </c>
      <c r="G2167" t="s">
        <v>2806</v>
      </c>
      <c r="H2167" s="15">
        <v>46115</v>
      </c>
      <c r="I2167" t="s">
        <v>2807</v>
      </c>
      <c r="J2167" t="s">
        <v>16</v>
      </c>
      <c r="K2167" t="s">
        <v>185</v>
      </c>
      <c r="N2167">
        <v>0</v>
      </c>
      <c r="O2167" t="s">
        <v>222</v>
      </c>
      <c r="P2167">
        <v>0</v>
      </c>
      <c r="U2167" s="15"/>
    </row>
    <row r="2168" spans="1:21" x14ac:dyDescent="0.35">
      <c r="A2168" t="s">
        <v>14</v>
      </c>
      <c r="B2168" t="s">
        <v>3247</v>
      </c>
      <c r="C2168" t="s">
        <v>515</v>
      </c>
      <c r="D2168" t="s">
        <v>516</v>
      </c>
      <c r="E2168" t="s">
        <v>517</v>
      </c>
      <c r="F2168" t="s">
        <v>4305</v>
      </c>
      <c r="G2168" t="s">
        <v>4586</v>
      </c>
      <c r="H2168" s="15">
        <v>46102</v>
      </c>
      <c r="I2168" t="s">
        <v>4587</v>
      </c>
      <c r="J2168" t="s">
        <v>16</v>
      </c>
      <c r="K2168" t="s">
        <v>185</v>
      </c>
      <c r="N2168">
        <v>0</v>
      </c>
      <c r="O2168" t="s">
        <v>222</v>
      </c>
      <c r="P2168">
        <v>0</v>
      </c>
      <c r="U2168" s="15"/>
    </row>
    <row r="2169" spans="1:21" x14ac:dyDescent="0.35">
      <c r="A2169" t="s">
        <v>14</v>
      </c>
      <c r="B2169" t="s">
        <v>3247</v>
      </c>
      <c r="C2169" t="s">
        <v>1255</v>
      </c>
      <c r="D2169" t="s">
        <v>1256</v>
      </c>
      <c r="E2169" t="s">
        <v>1257</v>
      </c>
      <c r="F2169" t="s">
        <v>4305</v>
      </c>
      <c r="G2169" t="s">
        <v>4588</v>
      </c>
      <c r="H2169" s="15">
        <v>46102</v>
      </c>
      <c r="I2169" t="s">
        <v>4589</v>
      </c>
      <c r="J2169" t="s">
        <v>233</v>
      </c>
      <c r="K2169" t="s">
        <v>185</v>
      </c>
      <c r="N2169">
        <v>0</v>
      </c>
      <c r="O2169" t="s">
        <v>222</v>
      </c>
      <c r="P2169">
        <v>0</v>
      </c>
      <c r="U2169" s="15"/>
    </row>
    <row r="2170" spans="1:21" x14ac:dyDescent="0.35">
      <c r="A2170" t="s">
        <v>14</v>
      </c>
      <c r="B2170" t="s">
        <v>3158</v>
      </c>
      <c r="C2170" t="s">
        <v>1255</v>
      </c>
      <c r="D2170" t="s">
        <v>1256</v>
      </c>
      <c r="E2170" t="s">
        <v>1257</v>
      </c>
      <c r="F2170" t="s">
        <v>3159</v>
      </c>
      <c r="G2170" t="s">
        <v>4402</v>
      </c>
      <c r="H2170" s="15">
        <v>46191</v>
      </c>
      <c r="I2170" t="s">
        <v>4403</v>
      </c>
      <c r="J2170" t="s">
        <v>233</v>
      </c>
      <c r="K2170" t="s">
        <v>185</v>
      </c>
      <c r="N2170">
        <v>0</v>
      </c>
      <c r="O2170" t="s">
        <v>222</v>
      </c>
      <c r="P2170">
        <v>0</v>
      </c>
      <c r="U2170" s="15"/>
    </row>
    <row r="2171" spans="1:21" x14ac:dyDescent="0.35">
      <c r="A2171" t="s">
        <v>14</v>
      </c>
      <c r="B2171" t="s">
        <v>3158</v>
      </c>
      <c r="C2171" t="s">
        <v>1255</v>
      </c>
      <c r="D2171" t="s">
        <v>1256</v>
      </c>
      <c r="E2171" t="s">
        <v>1257</v>
      </c>
      <c r="F2171" t="s">
        <v>3159</v>
      </c>
      <c r="G2171" t="s">
        <v>4404</v>
      </c>
      <c r="H2171" s="15">
        <v>46192</v>
      </c>
      <c r="I2171" t="s">
        <v>4405</v>
      </c>
      <c r="J2171" t="s">
        <v>16</v>
      </c>
      <c r="K2171" t="s">
        <v>185</v>
      </c>
      <c r="N2171">
        <v>0</v>
      </c>
      <c r="O2171" t="s">
        <v>222</v>
      </c>
      <c r="P2171">
        <v>0</v>
      </c>
      <c r="U2171" s="15"/>
    </row>
    <row r="2172" spans="1:21" x14ac:dyDescent="0.35">
      <c r="A2172" t="s">
        <v>14</v>
      </c>
      <c r="B2172" t="s">
        <v>3158</v>
      </c>
      <c r="C2172" t="s">
        <v>1255</v>
      </c>
      <c r="D2172" t="s">
        <v>1256</v>
      </c>
      <c r="E2172" t="s">
        <v>1257</v>
      </c>
      <c r="F2172" t="s">
        <v>3159</v>
      </c>
      <c r="G2172" t="s">
        <v>4404</v>
      </c>
      <c r="H2172" s="15">
        <v>46192</v>
      </c>
      <c r="I2172" t="s">
        <v>4405</v>
      </c>
      <c r="J2172" t="s">
        <v>16</v>
      </c>
      <c r="K2172" t="s">
        <v>185</v>
      </c>
      <c r="N2172">
        <v>0</v>
      </c>
      <c r="O2172" t="s">
        <v>222</v>
      </c>
      <c r="P2172">
        <v>0</v>
      </c>
      <c r="U2172" s="15"/>
    </row>
    <row r="2173" spans="1:21" x14ac:dyDescent="0.35">
      <c r="A2173" t="s">
        <v>14</v>
      </c>
      <c r="B2173" t="s">
        <v>2398</v>
      </c>
      <c r="C2173" t="s">
        <v>1255</v>
      </c>
      <c r="D2173" t="s">
        <v>1256</v>
      </c>
      <c r="E2173" t="s">
        <v>1257</v>
      </c>
      <c r="F2173" t="s">
        <v>2399</v>
      </c>
      <c r="G2173" t="s">
        <v>2806</v>
      </c>
      <c r="H2173" s="15">
        <v>46115</v>
      </c>
      <c r="I2173" t="s">
        <v>2808</v>
      </c>
      <c r="J2173" t="s">
        <v>16</v>
      </c>
      <c r="K2173" t="s">
        <v>185</v>
      </c>
      <c r="N2173">
        <v>0</v>
      </c>
      <c r="O2173" t="s">
        <v>222</v>
      </c>
      <c r="P2173">
        <v>0</v>
      </c>
      <c r="U2173" s="15"/>
    </row>
    <row r="2174" spans="1:21" x14ac:dyDescent="0.35">
      <c r="A2174" t="s">
        <v>14</v>
      </c>
      <c r="B2174" t="s">
        <v>2398</v>
      </c>
      <c r="C2174" t="s">
        <v>1255</v>
      </c>
      <c r="D2174" t="s">
        <v>1256</v>
      </c>
      <c r="E2174" t="s">
        <v>1257</v>
      </c>
      <c r="F2174" t="s">
        <v>2399</v>
      </c>
      <c r="G2174" t="s">
        <v>2809</v>
      </c>
      <c r="H2174" s="15">
        <v>46116</v>
      </c>
      <c r="I2174" t="s">
        <v>2810</v>
      </c>
      <c r="J2174" t="s">
        <v>16</v>
      </c>
      <c r="K2174" t="s">
        <v>185</v>
      </c>
      <c r="N2174">
        <v>0</v>
      </c>
      <c r="O2174" t="s">
        <v>222</v>
      </c>
      <c r="P2174">
        <v>0</v>
      </c>
      <c r="U2174" s="15"/>
    </row>
    <row r="2175" spans="1:21" x14ac:dyDescent="0.35">
      <c r="A2175" t="s">
        <v>14</v>
      </c>
      <c r="B2175" t="s">
        <v>3247</v>
      </c>
      <c r="C2175" t="s">
        <v>515</v>
      </c>
      <c r="D2175" t="s">
        <v>516</v>
      </c>
      <c r="E2175" t="s">
        <v>517</v>
      </c>
      <c r="F2175" t="s">
        <v>4305</v>
      </c>
      <c r="G2175" t="s">
        <v>4590</v>
      </c>
      <c r="H2175" s="15">
        <v>46104</v>
      </c>
      <c r="I2175" t="s">
        <v>4591</v>
      </c>
      <c r="J2175" t="s">
        <v>16</v>
      </c>
      <c r="K2175" t="s">
        <v>185</v>
      </c>
      <c r="N2175">
        <v>0</v>
      </c>
      <c r="O2175" t="s">
        <v>222</v>
      </c>
      <c r="P2175">
        <v>0</v>
      </c>
      <c r="U2175" s="15"/>
    </row>
    <row r="2176" spans="1:21" x14ac:dyDescent="0.35">
      <c r="A2176" t="s">
        <v>14</v>
      </c>
      <c r="B2176" t="s">
        <v>3247</v>
      </c>
      <c r="C2176" t="s">
        <v>1255</v>
      </c>
      <c r="D2176" t="s">
        <v>1256</v>
      </c>
      <c r="E2176" t="s">
        <v>1257</v>
      </c>
      <c r="F2176" t="s">
        <v>4305</v>
      </c>
      <c r="G2176" t="s">
        <v>4592</v>
      </c>
      <c r="H2176" s="15">
        <v>46104</v>
      </c>
      <c r="I2176" t="s">
        <v>4593</v>
      </c>
      <c r="J2176" t="s">
        <v>233</v>
      </c>
      <c r="K2176" t="s">
        <v>185</v>
      </c>
      <c r="N2176">
        <v>0</v>
      </c>
      <c r="O2176" t="s">
        <v>222</v>
      </c>
      <c r="P2176">
        <v>0</v>
      </c>
      <c r="U2176" s="15"/>
    </row>
    <row r="2177" spans="1:21" x14ac:dyDescent="0.35">
      <c r="A2177" t="s">
        <v>14</v>
      </c>
      <c r="B2177" t="s">
        <v>2398</v>
      </c>
      <c r="C2177" t="s">
        <v>1255</v>
      </c>
      <c r="D2177" t="s">
        <v>1256</v>
      </c>
      <c r="E2177" t="s">
        <v>1257</v>
      </c>
      <c r="F2177" t="s">
        <v>2399</v>
      </c>
      <c r="G2177" t="s">
        <v>2811</v>
      </c>
      <c r="H2177" s="15">
        <v>46118</v>
      </c>
      <c r="I2177" t="s">
        <v>2812</v>
      </c>
      <c r="J2177" t="s">
        <v>16</v>
      </c>
      <c r="K2177" t="s">
        <v>185</v>
      </c>
      <c r="N2177">
        <v>0</v>
      </c>
      <c r="O2177" t="s">
        <v>222</v>
      </c>
      <c r="P2177">
        <v>0</v>
      </c>
      <c r="U2177" s="15"/>
    </row>
    <row r="2178" spans="1:21" x14ac:dyDescent="0.35">
      <c r="A2178" t="s">
        <v>14</v>
      </c>
      <c r="B2178" t="s">
        <v>3158</v>
      </c>
      <c r="C2178" t="s">
        <v>880</v>
      </c>
      <c r="D2178" t="s">
        <v>881</v>
      </c>
      <c r="E2178" t="s">
        <v>882</v>
      </c>
      <c r="F2178" t="s">
        <v>3159</v>
      </c>
      <c r="G2178" t="s">
        <v>4404</v>
      </c>
      <c r="H2178" s="15">
        <v>46192</v>
      </c>
      <c r="I2178" t="s">
        <v>4406</v>
      </c>
      <c r="J2178" t="s">
        <v>16</v>
      </c>
      <c r="K2178" t="s">
        <v>185</v>
      </c>
      <c r="N2178">
        <v>0</v>
      </c>
      <c r="O2178" t="s">
        <v>222</v>
      </c>
      <c r="P2178">
        <v>0</v>
      </c>
      <c r="U2178" s="15"/>
    </row>
    <row r="2179" spans="1:21" x14ac:dyDescent="0.35">
      <c r="A2179" t="s">
        <v>14</v>
      </c>
      <c r="B2179" t="s">
        <v>2398</v>
      </c>
      <c r="C2179" t="s">
        <v>2413</v>
      </c>
      <c r="D2179" t="s">
        <v>2414</v>
      </c>
      <c r="E2179" t="s">
        <v>2415</v>
      </c>
      <c r="F2179" t="s">
        <v>2399</v>
      </c>
      <c r="G2179" t="s">
        <v>2813</v>
      </c>
      <c r="H2179" s="15">
        <v>46119</v>
      </c>
      <c r="I2179" t="s">
        <v>2814</v>
      </c>
      <c r="J2179" t="s">
        <v>16</v>
      </c>
      <c r="K2179" t="s">
        <v>185</v>
      </c>
      <c r="N2179">
        <v>0</v>
      </c>
      <c r="O2179" t="s">
        <v>222</v>
      </c>
      <c r="P2179">
        <v>0</v>
      </c>
      <c r="U2179" s="15"/>
    </row>
    <row r="2180" spans="1:21" x14ac:dyDescent="0.35">
      <c r="A2180" t="s">
        <v>14</v>
      </c>
      <c r="B2180" t="s">
        <v>2398</v>
      </c>
      <c r="C2180" t="s">
        <v>1255</v>
      </c>
      <c r="D2180" t="s">
        <v>1256</v>
      </c>
      <c r="E2180" t="s">
        <v>1257</v>
      </c>
      <c r="F2180" t="s">
        <v>2399</v>
      </c>
      <c r="G2180" t="s">
        <v>2813</v>
      </c>
      <c r="H2180" s="15">
        <v>46119</v>
      </c>
      <c r="I2180" t="s">
        <v>2815</v>
      </c>
      <c r="J2180" t="s">
        <v>16</v>
      </c>
      <c r="K2180" t="s">
        <v>185</v>
      </c>
      <c r="N2180">
        <v>0</v>
      </c>
      <c r="O2180" t="s">
        <v>222</v>
      </c>
      <c r="P2180">
        <v>0</v>
      </c>
      <c r="U2180" s="15"/>
    </row>
    <row r="2181" spans="1:21" x14ac:dyDescent="0.35">
      <c r="A2181" t="s">
        <v>14</v>
      </c>
      <c r="B2181" t="s">
        <v>3158</v>
      </c>
      <c r="C2181" t="s">
        <v>1255</v>
      </c>
      <c r="D2181" t="s">
        <v>1256</v>
      </c>
      <c r="E2181" t="s">
        <v>1257</v>
      </c>
      <c r="F2181" t="s">
        <v>3159</v>
      </c>
      <c r="G2181" t="s">
        <v>4417</v>
      </c>
      <c r="H2181" s="15">
        <v>46192</v>
      </c>
      <c r="I2181" t="s">
        <v>4418</v>
      </c>
      <c r="J2181" t="s">
        <v>233</v>
      </c>
      <c r="K2181" t="s">
        <v>185</v>
      </c>
      <c r="N2181">
        <v>0</v>
      </c>
      <c r="O2181" t="s">
        <v>222</v>
      </c>
      <c r="P2181">
        <v>0</v>
      </c>
      <c r="U2181" s="15"/>
    </row>
    <row r="2182" spans="1:21" x14ac:dyDescent="0.35">
      <c r="A2182" t="s">
        <v>14</v>
      </c>
      <c r="B2182" t="s">
        <v>3158</v>
      </c>
      <c r="C2182" t="s">
        <v>777</v>
      </c>
      <c r="D2182" t="s">
        <v>778</v>
      </c>
      <c r="E2182" t="s">
        <v>779</v>
      </c>
      <c r="F2182" t="s">
        <v>3159</v>
      </c>
      <c r="G2182" t="s">
        <v>4419</v>
      </c>
      <c r="H2182" s="15">
        <v>46193</v>
      </c>
      <c r="I2182" t="s">
        <v>4420</v>
      </c>
      <c r="J2182" t="s">
        <v>16</v>
      </c>
      <c r="K2182" t="s">
        <v>185</v>
      </c>
      <c r="N2182">
        <v>0</v>
      </c>
      <c r="O2182" t="s">
        <v>222</v>
      </c>
      <c r="P2182">
        <v>0</v>
      </c>
      <c r="U2182" s="15"/>
    </row>
    <row r="2183" spans="1:21" x14ac:dyDescent="0.35">
      <c r="A2183" t="s">
        <v>14</v>
      </c>
      <c r="B2183" t="s">
        <v>2398</v>
      </c>
      <c r="C2183" t="s">
        <v>2413</v>
      </c>
      <c r="D2183" t="s">
        <v>2414</v>
      </c>
      <c r="E2183" t="s">
        <v>2415</v>
      </c>
      <c r="F2183" t="s">
        <v>2399</v>
      </c>
      <c r="G2183" t="s">
        <v>2816</v>
      </c>
      <c r="H2183" s="15">
        <v>46120</v>
      </c>
      <c r="I2183" t="s">
        <v>2817</v>
      </c>
      <c r="J2183" t="s">
        <v>16</v>
      </c>
      <c r="K2183" t="s">
        <v>185</v>
      </c>
      <c r="N2183">
        <v>0</v>
      </c>
      <c r="O2183" t="s">
        <v>222</v>
      </c>
      <c r="P2183">
        <v>0</v>
      </c>
      <c r="U2183" s="15"/>
    </row>
    <row r="2184" spans="1:21" x14ac:dyDescent="0.35">
      <c r="A2184" t="s">
        <v>14</v>
      </c>
      <c r="B2184" t="s">
        <v>2398</v>
      </c>
      <c r="C2184" t="s">
        <v>777</v>
      </c>
      <c r="D2184" t="s">
        <v>778</v>
      </c>
      <c r="E2184" t="s">
        <v>779</v>
      </c>
      <c r="F2184" t="s">
        <v>2399</v>
      </c>
      <c r="G2184" t="s">
        <v>2816</v>
      </c>
      <c r="H2184" s="15">
        <v>46120</v>
      </c>
      <c r="I2184" t="s">
        <v>2818</v>
      </c>
      <c r="J2184" t="s">
        <v>16</v>
      </c>
      <c r="K2184" t="s">
        <v>185</v>
      </c>
      <c r="N2184">
        <v>0</v>
      </c>
      <c r="O2184" t="s">
        <v>222</v>
      </c>
      <c r="P2184">
        <v>0</v>
      </c>
      <c r="U2184" s="15"/>
    </row>
    <row r="2185" spans="1:21" x14ac:dyDescent="0.35">
      <c r="A2185" t="s">
        <v>14</v>
      </c>
      <c r="B2185" t="s">
        <v>3158</v>
      </c>
      <c r="C2185" t="s">
        <v>1255</v>
      </c>
      <c r="D2185" t="s">
        <v>1256</v>
      </c>
      <c r="E2185" t="s">
        <v>1257</v>
      </c>
      <c r="F2185" t="s">
        <v>3159</v>
      </c>
      <c r="G2185" t="s">
        <v>4421</v>
      </c>
      <c r="H2185" s="15">
        <v>46195</v>
      </c>
      <c r="I2185" t="s">
        <v>4422</v>
      </c>
      <c r="J2185" t="s">
        <v>16</v>
      </c>
      <c r="K2185" t="s">
        <v>185</v>
      </c>
      <c r="N2185">
        <v>0</v>
      </c>
      <c r="O2185" t="s">
        <v>222</v>
      </c>
      <c r="P2185">
        <v>0</v>
      </c>
      <c r="U2185" s="15"/>
    </row>
    <row r="2186" spans="1:21" x14ac:dyDescent="0.35">
      <c r="A2186" t="s">
        <v>14</v>
      </c>
      <c r="B2186" t="s">
        <v>3247</v>
      </c>
      <c r="C2186" t="s">
        <v>515</v>
      </c>
      <c r="D2186" t="s">
        <v>516</v>
      </c>
      <c r="E2186" t="s">
        <v>517</v>
      </c>
      <c r="F2186" t="s">
        <v>4305</v>
      </c>
      <c r="G2186" t="s">
        <v>4594</v>
      </c>
      <c r="H2186" s="15">
        <v>46105</v>
      </c>
      <c r="I2186" t="s">
        <v>4595</v>
      </c>
      <c r="J2186" t="s">
        <v>16</v>
      </c>
      <c r="K2186" t="s">
        <v>185</v>
      </c>
      <c r="N2186">
        <v>0</v>
      </c>
      <c r="O2186" t="s">
        <v>222</v>
      </c>
      <c r="P2186">
        <v>0</v>
      </c>
      <c r="U2186" s="15"/>
    </row>
    <row r="2187" spans="1:21" x14ac:dyDescent="0.35">
      <c r="A2187" t="s">
        <v>14</v>
      </c>
      <c r="B2187" t="s">
        <v>3247</v>
      </c>
      <c r="C2187" t="s">
        <v>1255</v>
      </c>
      <c r="D2187" t="s">
        <v>1256</v>
      </c>
      <c r="E2187" t="s">
        <v>1257</v>
      </c>
      <c r="F2187" t="s">
        <v>4305</v>
      </c>
      <c r="G2187" t="s">
        <v>4596</v>
      </c>
      <c r="H2187" s="15">
        <v>46105</v>
      </c>
      <c r="I2187" t="s">
        <v>4597</v>
      </c>
      <c r="J2187" t="s">
        <v>233</v>
      </c>
      <c r="K2187" t="s">
        <v>185</v>
      </c>
      <c r="N2187">
        <v>0</v>
      </c>
      <c r="O2187" t="s">
        <v>222</v>
      </c>
      <c r="P2187">
        <v>0</v>
      </c>
      <c r="U2187" s="15"/>
    </row>
    <row r="2188" spans="1:21" x14ac:dyDescent="0.35">
      <c r="A2188" t="s">
        <v>14</v>
      </c>
      <c r="B2188" t="s">
        <v>2398</v>
      </c>
      <c r="C2188" t="s">
        <v>2413</v>
      </c>
      <c r="D2188" t="s">
        <v>2414</v>
      </c>
      <c r="E2188" t="s">
        <v>2415</v>
      </c>
      <c r="F2188" t="s">
        <v>2399</v>
      </c>
      <c r="G2188" t="s">
        <v>2819</v>
      </c>
      <c r="H2188" s="15">
        <v>46121</v>
      </c>
      <c r="I2188" t="s">
        <v>2820</v>
      </c>
      <c r="J2188" t="s">
        <v>16</v>
      </c>
      <c r="K2188" t="s">
        <v>185</v>
      </c>
      <c r="N2188">
        <v>0</v>
      </c>
      <c r="O2188" t="s">
        <v>222</v>
      </c>
      <c r="P2188">
        <v>0</v>
      </c>
      <c r="U2188" s="15"/>
    </row>
    <row r="2189" spans="1:21" x14ac:dyDescent="0.35">
      <c r="A2189" t="s">
        <v>14</v>
      </c>
      <c r="B2189" t="s">
        <v>2398</v>
      </c>
      <c r="C2189" t="s">
        <v>1255</v>
      </c>
      <c r="D2189" t="s">
        <v>1256</v>
      </c>
      <c r="E2189" t="s">
        <v>1257</v>
      </c>
      <c r="F2189" t="s">
        <v>2399</v>
      </c>
      <c r="G2189" t="s">
        <v>2819</v>
      </c>
      <c r="H2189" s="15">
        <v>46121</v>
      </c>
      <c r="I2189" t="s">
        <v>2821</v>
      </c>
      <c r="J2189" t="s">
        <v>16</v>
      </c>
      <c r="K2189" t="s">
        <v>185</v>
      </c>
      <c r="N2189">
        <v>0</v>
      </c>
      <c r="O2189" t="s">
        <v>222</v>
      </c>
      <c r="P2189">
        <v>0</v>
      </c>
      <c r="U2189" s="15"/>
    </row>
    <row r="2190" spans="1:21" x14ac:dyDescent="0.35">
      <c r="A2190" t="s">
        <v>14</v>
      </c>
      <c r="B2190" t="s">
        <v>3158</v>
      </c>
      <c r="C2190" t="s">
        <v>515</v>
      </c>
      <c r="D2190" t="s">
        <v>516</v>
      </c>
      <c r="E2190" t="s">
        <v>517</v>
      </c>
      <c r="F2190" t="s">
        <v>3159</v>
      </c>
      <c r="G2190" t="s">
        <v>4421</v>
      </c>
      <c r="H2190" s="15">
        <v>46195</v>
      </c>
      <c r="I2190" t="s">
        <v>4427</v>
      </c>
      <c r="J2190" t="s">
        <v>16</v>
      </c>
      <c r="K2190" t="s">
        <v>185</v>
      </c>
      <c r="N2190">
        <v>0</v>
      </c>
      <c r="O2190" t="s">
        <v>222</v>
      </c>
      <c r="P2190">
        <v>0</v>
      </c>
      <c r="U2190" s="15"/>
    </row>
    <row r="2191" spans="1:21" x14ac:dyDescent="0.35">
      <c r="A2191" t="s">
        <v>14</v>
      </c>
      <c r="B2191" t="s">
        <v>3158</v>
      </c>
      <c r="C2191" t="s">
        <v>1255</v>
      </c>
      <c r="D2191" t="s">
        <v>1256</v>
      </c>
      <c r="E2191" t="s">
        <v>1257</v>
      </c>
      <c r="F2191" t="s">
        <v>3159</v>
      </c>
      <c r="G2191" t="s">
        <v>4428</v>
      </c>
      <c r="H2191" s="15">
        <v>46195</v>
      </c>
      <c r="I2191" t="s">
        <v>4429</v>
      </c>
      <c r="J2191" t="s">
        <v>233</v>
      </c>
      <c r="K2191" t="s">
        <v>185</v>
      </c>
      <c r="N2191">
        <v>0</v>
      </c>
      <c r="O2191" t="s">
        <v>222</v>
      </c>
      <c r="P2191">
        <v>0</v>
      </c>
      <c r="U2191" s="15"/>
    </row>
    <row r="2192" spans="1:21" x14ac:dyDescent="0.35">
      <c r="A2192" t="s">
        <v>14</v>
      </c>
      <c r="B2192" t="s">
        <v>2398</v>
      </c>
      <c r="C2192" t="s">
        <v>2413</v>
      </c>
      <c r="D2192" t="s">
        <v>2414</v>
      </c>
      <c r="E2192" t="s">
        <v>2415</v>
      </c>
      <c r="F2192" t="s">
        <v>2399</v>
      </c>
      <c r="G2192" t="s">
        <v>2822</v>
      </c>
      <c r="H2192" s="15">
        <v>46122</v>
      </c>
      <c r="I2192" t="s">
        <v>2823</v>
      </c>
      <c r="J2192" t="s">
        <v>16</v>
      </c>
      <c r="K2192" t="s">
        <v>185</v>
      </c>
      <c r="N2192">
        <v>0</v>
      </c>
      <c r="O2192" t="s">
        <v>222</v>
      </c>
      <c r="P2192">
        <v>0</v>
      </c>
      <c r="U2192" s="15"/>
    </row>
    <row r="2193" spans="1:21" x14ac:dyDescent="0.35">
      <c r="A2193" t="s">
        <v>14</v>
      </c>
      <c r="B2193" t="s">
        <v>2398</v>
      </c>
      <c r="C2193" t="s">
        <v>697</v>
      </c>
      <c r="D2193" t="s">
        <v>698</v>
      </c>
      <c r="E2193" t="s">
        <v>699</v>
      </c>
      <c r="F2193" t="s">
        <v>2399</v>
      </c>
      <c r="G2193" t="s">
        <v>2822</v>
      </c>
      <c r="H2193" s="15">
        <v>46122</v>
      </c>
      <c r="I2193" t="s">
        <v>2824</v>
      </c>
      <c r="J2193" t="s">
        <v>16</v>
      </c>
      <c r="K2193" t="s">
        <v>185</v>
      </c>
      <c r="N2193">
        <v>0</v>
      </c>
      <c r="O2193" t="s">
        <v>222</v>
      </c>
      <c r="P2193">
        <v>0</v>
      </c>
      <c r="U2193" s="15"/>
    </row>
    <row r="2194" spans="1:21" x14ac:dyDescent="0.35">
      <c r="A2194" t="s">
        <v>14</v>
      </c>
      <c r="B2194" t="s">
        <v>3247</v>
      </c>
      <c r="C2194" t="s">
        <v>1388</v>
      </c>
      <c r="D2194" t="s">
        <v>1389</v>
      </c>
      <c r="E2194" t="s">
        <v>1390</v>
      </c>
      <c r="F2194" t="s">
        <v>4305</v>
      </c>
      <c r="G2194" t="s">
        <v>4598</v>
      </c>
      <c r="H2194" s="15">
        <v>46106</v>
      </c>
      <c r="I2194" t="s">
        <v>4599</v>
      </c>
      <c r="J2194" t="s">
        <v>16</v>
      </c>
      <c r="K2194" t="s">
        <v>185</v>
      </c>
      <c r="N2194">
        <v>0</v>
      </c>
      <c r="O2194" t="s">
        <v>222</v>
      </c>
      <c r="P2194">
        <v>0</v>
      </c>
      <c r="U2194" s="15"/>
    </row>
    <row r="2195" spans="1:21" x14ac:dyDescent="0.35">
      <c r="A2195" t="s">
        <v>14</v>
      </c>
      <c r="B2195" t="s">
        <v>3247</v>
      </c>
      <c r="C2195" t="s">
        <v>1255</v>
      </c>
      <c r="D2195" t="s">
        <v>1256</v>
      </c>
      <c r="E2195" t="s">
        <v>1257</v>
      </c>
      <c r="F2195" t="s">
        <v>4305</v>
      </c>
      <c r="G2195" t="s">
        <v>4600</v>
      </c>
      <c r="H2195" s="15">
        <v>46106</v>
      </c>
      <c r="I2195" t="s">
        <v>4601</v>
      </c>
      <c r="J2195" t="s">
        <v>233</v>
      </c>
      <c r="K2195" t="s">
        <v>185</v>
      </c>
      <c r="N2195">
        <v>0</v>
      </c>
      <c r="O2195" t="s">
        <v>222</v>
      </c>
      <c r="P2195">
        <v>0</v>
      </c>
      <c r="U2195" s="15"/>
    </row>
    <row r="2196" spans="1:21" x14ac:dyDescent="0.35">
      <c r="A2196" t="s">
        <v>14</v>
      </c>
      <c r="B2196" t="s">
        <v>2398</v>
      </c>
      <c r="C2196" t="s">
        <v>667</v>
      </c>
      <c r="D2196" t="s">
        <v>668</v>
      </c>
      <c r="E2196" t="s">
        <v>669</v>
      </c>
      <c r="F2196" t="s">
        <v>2399</v>
      </c>
      <c r="G2196" t="s">
        <v>2825</v>
      </c>
      <c r="H2196" s="15">
        <v>46123</v>
      </c>
      <c r="I2196" t="s">
        <v>2826</v>
      </c>
      <c r="J2196" t="s">
        <v>16</v>
      </c>
      <c r="K2196" t="s">
        <v>185</v>
      </c>
      <c r="N2196">
        <v>0</v>
      </c>
      <c r="O2196" t="s">
        <v>222</v>
      </c>
      <c r="P2196">
        <v>0</v>
      </c>
      <c r="U2196" s="15"/>
    </row>
    <row r="2197" spans="1:21" x14ac:dyDescent="0.35">
      <c r="A2197" t="s">
        <v>14</v>
      </c>
      <c r="B2197" t="s">
        <v>2398</v>
      </c>
      <c r="C2197" t="s">
        <v>667</v>
      </c>
      <c r="D2197" t="s">
        <v>668</v>
      </c>
      <c r="E2197" t="s">
        <v>669</v>
      </c>
      <c r="F2197" t="s">
        <v>2399</v>
      </c>
      <c r="G2197" t="s">
        <v>2827</v>
      </c>
      <c r="H2197" s="15">
        <v>46128</v>
      </c>
      <c r="I2197" t="s">
        <v>2828</v>
      </c>
      <c r="J2197" t="s">
        <v>16</v>
      </c>
      <c r="K2197" t="s">
        <v>185</v>
      </c>
      <c r="N2197">
        <v>0</v>
      </c>
      <c r="O2197" t="s">
        <v>222</v>
      </c>
      <c r="P2197">
        <v>0</v>
      </c>
      <c r="U2197" s="15"/>
    </row>
    <row r="2198" spans="1:21" x14ac:dyDescent="0.35">
      <c r="A2198" t="s">
        <v>14</v>
      </c>
      <c r="B2198" t="s">
        <v>3158</v>
      </c>
      <c r="C2198" t="s">
        <v>1255</v>
      </c>
      <c r="D2198" t="s">
        <v>1256</v>
      </c>
      <c r="E2198" t="s">
        <v>1257</v>
      </c>
      <c r="F2198" t="s">
        <v>3159</v>
      </c>
      <c r="G2198" t="s">
        <v>4434</v>
      </c>
      <c r="H2198" s="15">
        <v>46196</v>
      </c>
      <c r="I2198" t="s">
        <v>4435</v>
      </c>
      <c r="J2198" t="s">
        <v>16</v>
      </c>
      <c r="K2198" t="s">
        <v>185</v>
      </c>
      <c r="N2198">
        <v>0</v>
      </c>
      <c r="O2198" t="s">
        <v>222</v>
      </c>
      <c r="P2198">
        <v>0</v>
      </c>
      <c r="U2198" s="15"/>
    </row>
    <row r="2199" spans="1:21" x14ac:dyDescent="0.35">
      <c r="A2199" t="s">
        <v>14</v>
      </c>
      <c r="B2199" t="s">
        <v>3247</v>
      </c>
      <c r="C2199" t="s">
        <v>515</v>
      </c>
      <c r="D2199" t="s">
        <v>516</v>
      </c>
      <c r="E2199" t="s">
        <v>517</v>
      </c>
      <c r="F2199" t="s">
        <v>4305</v>
      </c>
      <c r="G2199" t="s">
        <v>4602</v>
      </c>
      <c r="H2199" s="15">
        <v>46107</v>
      </c>
      <c r="I2199" t="s">
        <v>4603</v>
      </c>
      <c r="J2199" t="s">
        <v>16</v>
      </c>
      <c r="K2199" t="s">
        <v>185</v>
      </c>
      <c r="N2199">
        <v>0</v>
      </c>
      <c r="O2199" t="s">
        <v>222</v>
      </c>
      <c r="P2199">
        <v>0</v>
      </c>
      <c r="U2199" s="15"/>
    </row>
    <row r="2200" spans="1:21" x14ac:dyDescent="0.35">
      <c r="A2200" t="s">
        <v>14</v>
      </c>
      <c r="B2200" t="s">
        <v>3247</v>
      </c>
      <c r="C2200" t="s">
        <v>1255</v>
      </c>
      <c r="D2200" t="s">
        <v>1256</v>
      </c>
      <c r="E2200" t="s">
        <v>1257</v>
      </c>
      <c r="F2200" t="s">
        <v>4305</v>
      </c>
      <c r="G2200" t="s">
        <v>4604</v>
      </c>
      <c r="H2200" s="15">
        <v>46107</v>
      </c>
      <c r="I2200" t="s">
        <v>4605</v>
      </c>
      <c r="J2200" t="s">
        <v>233</v>
      </c>
      <c r="K2200" t="s">
        <v>185</v>
      </c>
      <c r="N2200">
        <v>0</v>
      </c>
      <c r="O2200" t="s">
        <v>222</v>
      </c>
      <c r="P2200">
        <v>0</v>
      </c>
      <c r="U2200" s="15"/>
    </row>
    <row r="2201" spans="1:21" x14ac:dyDescent="0.35">
      <c r="A2201" t="s">
        <v>14</v>
      </c>
      <c r="B2201" t="s">
        <v>2398</v>
      </c>
      <c r="C2201" t="s">
        <v>2413</v>
      </c>
      <c r="D2201" t="s">
        <v>2414</v>
      </c>
      <c r="E2201" t="s">
        <v>2415</v>
      </c>
      <c r="F2201" t="s">
        <v>2399</v>
      </c>
      <c r="G2201" t="s">
        <v>2831</v>
      </c>
      <c r="H2201" s="15">
        <v>46129</v>
      </c>
      <c r="I2201" t="s">
        <v>2832</v>
      </c>
      <c r="J2201" t="s">
        <v>16</v>
      </c>
      <c r="K2201" t="s">
        <v>185</v>
      </c>
      <c r="N2201">
        <v>0</v>
      </c>
      <c r="O2201" t="s">
        <v>222</v>
      </c>
      <c r="P2201">
        <v>0</v>
      </c>
      <c r="U2201" s="15"/>
    </row>
    <row r="2202" spans="1:21" x14ac:dyDescent="0.35">
      <c r="A2202" t="s">
        <v>14</v>
      </c>
      <c r="B2202" t="s">
        <v>3158</v>
      </c>
      <c r="C2202" t="s">
        <v>498</v>
      </c>
      <c r="D2202" t="s">
        <v>499</v>
      </c>
      <c r="E2202" t="s">
        <v>500</v>
      </c>
      <c r="F2202" t="s">
        <v>3159</v>
      </c>
      <c r="G2202" t="s">
        <v>4434</v>
      </c>
      <c r="H2202" s="15">
        <v>46196</v>
      </c>
      <c r="I2202" t="s">
        <v>4441</v>
      </c>
      <c r="J2202" t="s">
        <v>16</v>
      </c>
      <c r="K2202" t="s">
        <v>185</v>
      </c>
      <c r="N2202">
        <v>0</v>
      </c>
      <c r="O2202" t="s">
        <v>222</v>
      </c>
      <c r="P2202">
        <v>0</v>
      </c>
      <c r="U2202" s="15"/>
    </row>
    <row r="2203" spans="1:21" x14ac:dyDescent="0.35">
      <c r="A2203" t="s">
        <v>14</v>
      </c>
      <c r="B2203" t="s">
        <v>3158</v>
      </c>
      <c r="C2203" t="s">
        <v>1255</v>
      </c>
      <c r="D2203" t="s">
        <v>1256</v>
      </c>
      <c r="E2203" t="s">
        <v>1257</v>
      </c>
      <c r="F2203" t="s">
        <v>3159</v>
      </c>
      <c r="G2203" t="s">
        <v>4442</v>
      </c>
      <c r="H2203" s="15">
        <v>46196</v>
      </c>
      <c r="I2203" t="s">
        <v>4443</v>
      </c>
      <c r="J2203" t="s">
        <v>233</v>
      </c>
      <c r="K2203" t="s">
        <v>185</v>
      </c>
      <c r="N2203">
        <v>0</v>
      </c>
      <c r="O2203" t="s">
        <v>222</v>
      </c>
      <c r="P2203">
        <v>0</v>
      </c>
      <c r="U2203" s="15"/>
    </row>
    <row r="2204" spans="1:21" x14ac:dyDescent="0.35">
      <c r="A2204" t="s">
        <v>14</v>
      </c>
      <c r="B2204" t="s">
        <v>3247</v>
      </c>
      <c r="C2204" t="s">
        <v>1388</v>
      </c>
      <c r="D2204" t="s">
        <v>1389</v>
      </c>
      <c r="E2204" t="s">
        <v>1390</v>
      </c>
      <c r="F2204" t="s">
        <v>4305</v>
      </c>
      <c r="G2204" t="s">
        <v>4606</v>
      </c>
      <c r="H2204" s="15">
        <v>46108</v>
      </c>
      <c r="I2204" t="s">
        <v>4607</v>
      </c>
      <c r="J2204" t="s">
        <v>16</v>
      </c>
      <c r="K2204" t="s">
        <v>185</v>
      </c>
      <c r="N2204">
        <v>0</v>
      </c>
      <c r="O2204" t="s">
        <v>222</v>
      </c>
      <c r="P2204">
        <v>0</v>
      </c>
      <c r="U2204" s="15"/>
    </row>
    <row r="2205" spans="1:21" x14ac:dyDescent="0.35">
      <c r="A2205" t="s">
        <v>14</v>
      </c>
      <c r="B2205" t="s">
        <v>3247</v>
      </c>
      <c r="C2205" t="s">
        <v>1255</v>
      </c>
      <c r="D2205" t="s">
        <v>1256</v>
      </c>
      <c r="E2205" t="s">
        <v>1257</v>
      </c>
      <c r="F2205" t="s">
        <v>4305</v>
      </c>
      <c r="G2205" t="s">
        <v>4608</v>
      </c>
      <c r="H2205" s="15">
        <v>46108</v>
      </c>
      <c r="I2205" t="s">
        <v>4609</v>
      </c>
      <c r="J2205" t="s">
        <v>233</v>
      </c>
      <c r="K2205" t="s">
        <v>185</v>
      </c>
      <c r="N2205">
        <v>0</v>
      </c>
      <c r="O2205" t="s">
        <v>222</v>
      </c>
      <c r="P2205">
        <v>0</v>
      </c>
      <c r="U2205" s="15"/>
    </row>
    <row r="2206" spans="1:21" x14ac:dyDescent="0.35">
      <c r="A2206" t="s">
        <v>14</v>
      </c>
      <c r="B2206" t="s">
        <v>2398</v>
      </c>
      <c r="C2206" t="s">
        <v>737</v>
      </c>
      <c r="D2206" t="s">
        <v>738</v>
      </c>
      <c r="E2206" t="s">
        <v>739</v>
      </c>
      <c r="F2206" t="s">
        <v>2399</v>
      </c>
      <c r="G2206" t="s">
        <v>2831</v>
      </c>
      <c r="H2206" s="15">
        <v>46129</v>
      </c>
      <c r="I2206" t="s">
        <v>2833</v>
      </c>
      <c r="J2206" t="s">
        <v>16</v>
      </c>
      <c r="K2206" t="s">
        <v>185</v>
      </c>
      <c r="N2206">
        <v>0</v>
      </c>
      <c r="O2206" t="s">
        <v>222</v>
      </c>
      <c r="P2206">
        <v>0</v>
      </c>
      <c r="U2206" s="15"/>
    </row>
    <row r="2207" spans="1:21" x14ac:dyDescent="0.35">
      <c r="A2207" t="s">
        <v>14</v>
      </c>
      <c r="B2207" t="s">
        <v>2398</v>
      </c>
      <c r="C2207" t="s">
        <v>667</v>
      </c>
      <c r="D2207" t="s">
        <v>668</v>
      </c>
      <c r="E2207" t="s">
        <v>669</v>
      </c>
      <c r="F2207" t="s">
        <v>2399</v>
      </c>
      <c r="G2207" t="s">
        <v>2831</v>
      </c>
      <c r="H2207" s="15">
        <v>46129</v>
      </c>
      <c r="I2207" t="s">
        <v>2834</v>
      </c>
      <c r="J2207" t="s">
        <v>16</v>
      </c>
      <c r="K2207" t="s">
        <v>185</v>
      </c>
      <c r="N2207">
        <v>0</v>
      </c>
      <c r="O2207" t="s">
        <v>222</v>
      </c>
      <c r="P2207">
        <v>0</v>
      </c>
      <c r="U2207" s="15"/>
    </row>
    <row r="2208" spans="1:21" x14ac:dyDescent="0.35">
      <c r="A2208" t="s">
        <v>14</v>
      </c>
      <c r="B2208" t="s">
        <v>2398</v>
      </c>
      <c r="C2208" t="s">
        <v>667</v>
      </c>
      <c r="D2208" t="s">
        <v>668</v>
      </c>
      <c r="E2208" t="s">
        <v>669</v>
      </c>
      <c r="F2208" t="s">
        <v>2399</v>
      </c>
      <c r="G2208" t="s">
        <v>2831</v>
      </c>
      <c r="H2208" s="15">
        <v>46129</v>
      </c>
      <c r="I2208" t="s">
        <v>2834</v>
      </c>
      <c r="J2208" t="s">
        <v>16</v>
      </c>
      <c r="K2208" t="s">
        <v>185</v>
      </c>
      <c r="N2208">
        <v>0</v>
      </c>
      <c r="O2208" t="s">
        <v>222</v>
      </c>
      <c r="P2208">
        <v>0</v>
      </c>
      <c r="U2208" s="15"/>
    </row>
    <row r="2209" spans="1:21" x14ac:dyDescent="0.35">
      <c r="A2209" t="s">
        <v>14</v>
      </c>
      <c r="B2209" t="s">
        <v>3158</v>
      </c>
      <c r="C2209" t="s">
        <v>1255</v>
      </c>
      <c r="D2209" t="s">
        <v>1256</v>
      </c>
      <c r="E2209" t="s">
        <v>1257</v>
      </c>
      <c r="F2209" t="s">
        <v>3159</v>
      </c>
      <c r="G2209" t="s">
        <v>4446</v>
      </c>
      <c r="H2209" s="15">
        <v>46197</v>
      </c>
      <c r="I2209" t="s">
        <v>4447</v>
      </c>
      <c r="J2209" t="s">
        <v>16</v>
      </c>
      <c r="K2209" t="s">
        <v>185</v>
      </c>
      <c r="N2209">
        <v>0</v>
      </c>
      <c r="O2209" t="s">
        <v>222</v>
      </c>
      <c r="P2209">
        <v>0</v>
      </c>
      <c r="U2209" s="15"/>
    </row>
    <row r="2210" spans="1:21" x14ac:dyDescent="0.35">
      <c r="A2210" t="s">
        <v>14</v>
      </c>
      <c r="B2210" t="s">
        <v>2398</v>
      </c>
      <c r="C2210" t="s">
        <v>1255</v>
      </c>
      <c r="D2210" t="s">
        <v>1256</v>
      </c>
      <c r="E2210" t="s">
        <v>1257</v>
      </c>
      <c r="F2210" t="s">
        <v>2399</v>
      </c>
      <c r="G2210" t="s">
        <v>2839</v>
      </c>
      <c r="H2210" s="15">
        <v>46130</v>
      </c>
      <c r="I2210" t="s">
        <v>2840</v>
      </c>
      <c r="J2210" t="s">
        <v>16</v>
      </c>
      <c r="K2210" t="s">
        <v>185</v>
      </c>
      <c r="N2210">
        <v>0</v>
      </c>
      <c r="O2210" t="s">
        <v>222</v>
      </c>
      <c r="P2210">
        <v>0</v>
      </c>
      <c r="U2210" s="15"/>
    </row>
    <row r="2211" spans="1:21" x14ac:dyDescent="0.35">
      <c r="A2211" t="s">
        <v>14</v>
      </c>
      <c r="B2211" t="s">
        <v>2398</v>
      </c>
      <c r="C2211" t="s">
        <v>2413</v>
      </c>
      <c r="D2211" t="s">
        <v>2414</v>
      </c>
      <c r="E2211" t="s">
        <v>2415</v>
      </c>
      <c r="F2211" t="s">
        <v>2399</v>
      </c>
      <c r="G2211" t="s">
        <v>2841</v>
      </c>
      <c r="H2211" s="15">
        <v>46132</v>
      </c>
      <c r="I2211" t="s">
        <v>2842</v>
      </c>
      <c r="J2211" t="s">
        <v>16</v>
      </c>
      <c r="K2211" t="s">
        <v>185</v>
      </c>
      <c r="N2211">
        <v>0</v>
      </c>
      <c r="O2211" t="s">
        <v>222</v>
      </c>
      <c r="P2211">
        <v>0</v>
      </c>
      <c r="U2211" s="15"/>
    </row>
    <row r="2212" spans="1:21" x14ac:dyDescent="0.35">
      <c r="A2212" t="s">
        <v>14</v>
      </c>
      <c r="B2212" t="s">
        <v>3247</v>
      </c>
      <c r="C2212" t="s">
        <v>515</v>
      </c>
      <c r="D2212" t="s">
        <v>516</v>
      </c>
      <c r="E2212" t="s">
        <v>517</v>
      </c>
      <c r="F2212" t="s">
        <v>4305</v>
      </c>
      <c r="G2212" t="s">
        <v>4610</v>
      </c>
      <c r="H2212" s="15">
        <v>46109</v>
      </c>
      <c r="I2212" t="s">
        <v>4611</v>
      </c>
      <c r="J2212" t="s">
        <v>16</v>
      </c>
      <c r="K2212" t="s">
        <v>185</v>
      </c>
      <c r="N2212">
        <v>0</v>
      </c>
      <c r="O2212" t="s">
        <v>222</v>
      </c>
      <c r="P2212">
        <v>0</v>
      </c>
      <c r="U2212" s="15"/>
    </row>
    <row r="2213" spans="1:21" x14ac:dyDescent="0.35">
      <c r="A2213" t="s">
        <v>14</v>
      </c>
      <c r="B2213" t="s">
        <v>3247</v>
      </c>
      <c r="C2213" t="s">
        <v>1255</v>
      </c>
      <c r="D2213" t="s">
        <v>1256</v>
      </c>
      <c r="E2213" t="s">
        <v>1257</v>
      </c>
      <c r="F2213" t="s">
        <v>4305</v>
      </c>
      <c r="G2213" t="s">
        <v>4612</v>
      </c>
      <c r="H2213" s="15">
        <v>46109</v>
      </c>
      <c r="I2213" t="s">
        <v>4613</v>
      </c>
      <c r="J2213" t="s">
        <v>233</v>
      </c>
      <c r="K2213" t="s">
        <v>185</v>
      </c>
      <c r="N2213">
        <v>0</v>
      </c>
      <c r="O2213" t="s">
        <v>222</v>
      </c>
      <c r="P2213">
        <v>0</v>
      </c>
      <c r="U2213" s="15"/>
    </row>
    <row r="2214" spans="1:21" x14ac:dyDescent="0.35">
      <c r="A2214" t="s">
        <v>14</v>
      </c>
      <c r="B2214" t="s">
        <v>2398</v>
      </c>
      <c r="C2214" t="s">
        <v>932</v>
      </c>
      <c r="D2214" t="s">
        <v>933</v>
      </c>
      <c r="E2214" t="s">
        <v>934</v>
      </c>
      <c r="F2214" t="s">
        <v>2399</v>
      </c>
      <c r="G2214" t="s">
        <v>2841</v>
      </c>
      <c r="H2214" s="15">
        <v>46132</v>
      </c>
      <c r="I2214" t="s">
        <v>2845</v>
      </c>
      <c r="J2214" t="s">
        <v>16</v>
      </c>
      <c r="K2214" t="s">
        <v>185</v>
      </c>
      <c r="N2214">
        <v>0</v>
      </c>
      <c r="O2214" t="s">
        <v>222</v>
      </c>
      <c r="P2214">
        <v>0</v>
      </c>
      <c r="U2214" s="15"/>
    </row>
    <row r="2215" spans="1:21" x14ac:dyDescent="0.35">
      <c r="A2215" t="s">
        <v>14</v>
      </c>
      <c r="B2215" t="s">
        <v>2398</v>
      </c>
      <c r="C2215" t="s">
        <v>1255</v>
      </c>
      <c r="D2215" t="s">
        <v>1256</v>
      </c>
      <c r="E2215" t="s">
        <v>1257</v>
      </c>
      <c r="F2215" t="s">
        <v>2399</v>
      </c>
      <c r="G2215" t="s">
        <v>2841</v>
      </c>
      <c r="H2215" s="15">
        <v>46132</v>
      </c>
      <c r="I2215" t="s">
        <v>2846</v>
      </c>
      <c r="J2215" t="s">
        <v>16</v>
      </c>
      <c r="K2215" t="s">
        <v>185</v>
      </c>
      <c r="N2215">
        <v>0</v>
      </c>
      <c r="O2215" t="s">
        <v>222</v>
      </c>
      <c r="P2215">
        <v>0</v>
      </c>
      <c r="U2215" s="15"/>
    </row>
    <row r="2216" spans="1:21" x14ac:dyDescent="0.35">
      <c r="A2216" t="s">
        <v>14</v>
      </c>
      <c r="B2216" t="s">
        <v>3158</v>
      </c>
      <c r="C2216" t="s">
        <v>515</v>
      </c>
      <c r="D2216" t="s">
        <v>516</v>
      </c>
      <c r="E2216" t="s">
        <v>517</v>
      </c>
      <c r="F2216" t="s">
        <v>3159</v>
      </c>
      <c r="G2216" t="s">
        <v>4446</v>
      </c>
      <c r="H2216" s="15">
        <v>46197</v>
      </c>
      <c r="I2216" t="s">
        <v>4452</v>
      </c>
      <c r="J2216" t="s">
        <v>16</v>
      </c>
      <c r="K2216" t="s">
        <v>185</v>
      </c>
      <c r="N2216">
        <v>0</v>
      </c>
      <c r="O2216" t="s">
        <v>222</v>
      </c>
      <c r="P2216">
        <v>0</v>
      </c>
      <c r="U2216" s="15"/>
    </row>
    <row r="2217" spans="1:21" x14ac:dyDescent="0.35">
      <c r="A2217" t="s">
        <v>14</v>
      </c>
      <c r="B2217" t="s">
        <v>3158</v>
      </c>
      <c r="C2217" t="s">
        <v>1255</v>
      </c>
      <c r="D2217" t="s">
        <v>1256</v>
      </c>
      <c r="E2217" t="s">
        <v>1257</v>
      </c>
      <c r="F2217" t="s">
        <v>3159</v>
      </c>
      <c r="G2217" t="s">
        <v>4453</v>
      </c>
      <c r="H2217" s="15">
        <v>46197</v>
      </c>
      <c r="I2217" t="s">
        <v>4454</v>
      </c>
      <c r="J2217" t="s">
        <v>233</v>
      </c>
      <c r="K2217" t="s">
        <v>185</v>
      </c>
      <c r="N2217">
        <v>0</v>
      </c>
      <c r="O2217" t="s">
        <v>222</v>
      </c>
      <c r="P2217">
        <v>0</v>
      </c>
      <c r="U2217" s="15"/>
    </row>
    <row r="2218" spans="1:21" x14ac:dyDescent="0.35">
      <c r="A2218" t="s">
        <v>14</v>
      </c>
      <c r="B2218" t="s">
        <v>3247</v>
      </c>
      <c r="C2218" t="s">
        <v>515</v>
      </c>
      <c r="D2218" t="s">
        <v>516</v>
      </c>
      <c r="E2218" t="s">
        <v>517</v>
      </c>
      <c r="F2218" t="s">
        <v>4305</v>
      </c>
      <c r="G2218" t="s">
        <v>4614</v>
      </c>
      <c r="H2218" s="15">
        <v>46111</v>
      </c>
      <c r="I2218" t="s">
        <v>4615</v>
      </c>
      <c r="J2218" t="s">
        <v>16</v>
      </c>
      <c r="K2218" t="s">
        <v>185</v>
      </c>
      <c r="N2218">
        <v>0</v>
      </c>
      <c r="O2218" t="s">
        <v>222</v>
      </c>
      <c r="P2218">
        <v>0</v>
      </c>
      <c r="U2218" s="15"/>
    </row>
    <row r="2219" spans="1:21" x14ac:dyDescent="0.35">
      <c r="A2219" t="s">
        <v>14</v>
      </c>
      <c r="B2219" t="s">
        <v>3247</v>
      </c>
      <c r="C2219" t="s">
        <v>1255</v>
      </c>
      <c r="D2219" t="s">
        <v>1256</v>
      </c>
      <c r="E2219" t="s">
        <v>1257</v>
      </c>
      <c r="F2219" t="s">
        <v>4305</v>
      </c>
      <c r="G2219" t="s">
        <v>4616</v>
      </c>
      <c r="H2219" s="15">
        <v>46111</v>
      </c>
      <c r="I2219" t="s">
        <v>4617</v>
      </c>
      <c r="J2219" t="s">
        <v>233</v>
      </c>
      <c r="K2219" t="s">
        <v>185</v>
      </c>
      <c r="N2219">
        <v>0</v>
      </c>
      <c r="O2219" t="s">
        <v>222</v>
      </c>
      <c r="P2219">
        <v>0</v>
      </c>
      <c r="U2219" s="15"/>
    </row>
    <row r="2220" spans="1:21" x14ac:dyDescent="0.35">
      <c r="A2220" t="s">
        <v>14</v>
      </c>
      <c r="B2220" t="s">
        <v>3247</v>
      </c>
      <c r="C2220" t="s">
        <v>515</v>
      </c>
      <c r="D2220" t="s">
        <v>516</v>
      </c>
      <c r="E2220" t="s">
        <v>517</v>
      </c>
      <c r="F2220" t="s">
        <v>4305</v>
      </c>
      <c r="G2220" t="s">
        <v>4618</v>
      </c>
      <c r="H2220" s="15">
        <v>46112</v>
      </c>
      <c r="I2220" t="s">
        <v>4619</v>
      </c>
      <c r="J2220" t="s">
        <v>16</v>
      </c>
      <c r="K2220" t="s">
        <v>185</v>
      </c>
      <c r="N2220">
        <v>0</v>
      </c>
      <c r="O2220" t="s">
        <v>222</v>
      </c>
      <c r="P2220">
        <v>0</v>
      </c>
      <c r="U2220" s="15"/>
    </row>
    <row r="2221" spans="1:21" x14ac:dyDescent="0.35">
      <c r="A2221" t="s">
        <v>14</v>
      </c>
      <c r="B2221" t="s">
        <v>3158</v>
      </c>
      <c r="C2221" t="s">
        <v>667</v>
      </c>
      <c r="D2221" t="s">
        <v>668</v>
      </c>
      <c r="E2221" t="s">
        <v>669</v>
      </c>
      <c r="F2221" t="s">
        <v>3159</v>
      </c>
      <c r="G2221" t="s">
        <v>4459</v>
      </c>
      <c r="H2221" s="15">
        <v>46198</v>
      </c>
      <c r="I2221" t="s">
        <v>4460</v>
      </c>
      <c r="J2221" t="s">
        <v>16</v>
      </c>
      <c r="K2221" t="s">
        <v>185</v>
      </c>
      <c r="N2221">
        <v>0</v>
      </c>
      <c r="O2221" t="s">
        <v>222</v>
      </c>
      <c r="P2221">
        <v>0</v>
      </c>
      <c r="U2221" s="15"/>
    </row>
    <row r="2222" spans="1:21" x14ac:dyDescent="0.35">
      <c r="A2222" t="s">
        <v>14</v>
      </c>
      <c r="B2222" t="s">
        <v>2398</v>
      </c>
      <c r="C2222" t="s">
        <v>2413</v>
      </c>
      <c r="D2222" t="s">
        <v>2414</v>
      </c>
      <c r="E2222" t="s">
        <v>2415</v>
      </c>
      <c r="F2222" t="s">
        <v>2399</v>
      </c>
      <c r="G2222" t="s">
        <v>2851</v>
      </c>
      <c r="H2222" s="15">
        <v>46133</v>
      </c>
      <c r="I2222" t="s">
        <v>2852</v>
      </c>
      <c r="J2222" t="s">
        <v>16</v>
      </c>
      <c r="K2222" t="s">
        <v>185</v>
      </c>
      <c r="N2222">
        <v>0</v>
      </c>
      <c r="O2222" t="s">
        <v>222</v>
      </c>
      <c r="P2222">
        <v>0</v>
      </c>
      <c r="U2222" s="15"/>
    </row>
    <row r="2223" spans="1:21" x14ac:dyDescent="0.35">
      <c r="A2223" t="s">
        <v>14</v>
      </c>
      <c r="B2223" t="s">
        <v>2398</v>
      </c>
      <c r="C2223" t="s">
        <v>2413</v>
      </c>
      <c r="D2223" t="s">
        <v>2414</v>
      </c>
      <c r="E2223" t="s">
        <v>2415</v>
      </c>
      <c r="F2223" t="s">
        <v>2399</v>
      </c>
      <c r="G2223" t="s">
        <v>2851</v>
      </c>
      <c r="H2223" s="15">
        <v>46133</v>
      </c>
      <c r="I2223" t="s">
        <v>2852</v>
      </c>
      <c r="J2223" t="s">
        <v>16</v>
      </c>
      <c r="K2223" t="s">
        <v>185</v>
      </c>
      <c r="N2223">
        <v>0</v>
      </c>
      <c r="O2223" t="s">
        <v>222</v>
      </c>
      <c r="P2223">
        <v>0</v>
      </c>
      <c r="U2223" s="15"/>
    </row>
    <row r="2224" spans="1:21" x14ac:dyDescent="0.35">
      <c r="A2224" t="s">
        <v>14</v>
      </c>
      <c r="B2224" t="s">
        <v>2398</v>
      </c>
      <c r="C2224" t="s">
        <v>816</v>
      </c>
      <c r="D2224" t="s">
        <v>817</v>
      </c>
      <c r="E2224" t="s">
        <v>818</v>
      </c>
      <c r="F2224" t="s">
        <v>2399</v>
      </c>
      <c r="G2224" t="s">
        <v>2851</v>
      </c>
      <c r="H2224" s="15">
        <v>46133</v>
      </c>
      <c r="I2224" t="s">
        <v>2853</v>
      </c>
      <c r="J2224" t="s">
        <v>16</v>
      </c>
      <c r="K2224" t="s">
        <v>185</v>
      </c>
      <c r="N2224">
        <v>0</v>
      </c>
      <c r="O2224" t="s">
        <v>222</v>
      </c>
      <c r="P2224">
        <v>0</v>
      </c>
      <c r="U2224" s="15"/>
    </row>
    <row r="2225" spans="1:21" x14ac:dyDescent="0.35">
      <c r="A2225" t="s">
        <v>14</v>
      </c>
      <c r="B2225" t="s">
        <v>2398</v>
      </c>
      <c r="C2225" t="s">
        <v>1255</v>
      </c>
      <c r="D2225" t="s">
        <v>1256</v>
      </c>
      <c r="E2225" t="s">
        <v>1257</v>
      </c>
      <c r="F2225" t="s">
        <v>2399</v>
      </c>
      <c r="G2225" t="s">
        <v>2851</v>
      </c>
      <c r="H2225" s="15">
        <v>46133</v>
      </c>
      <c r="I2225" t="s">
        <v>2854</v>
      </c>
      <c r="J2225" t="s">
        <v>16</v>
      </c>
      <c r="K2225" t="s">
        <v>185</v>
      </c>
      <c r="N2225">
        <v>0</v>
      </c>
      <c r="O2225" t="s">
        <v>222</v>
      </c>
      <c r="P2225">
        <v>0</v>
      </c>
      <c r="U2225" s="15"/>
    </row>
    <row r="2226" spans="1:21" x14ac:dyDescent="0.35">
      <c r="A2226" t="s">
        <v>14</v>
      </c>
      <c r="B2226" t="s">
        <v>3247</v>
      </c>
      <c r="C2226" t="s">
        <v>1255</v>
      </c>
      <c r="D2226" t="s">
        <v>1256</v>
      </c>
      <c r="E2226" t="s">
        <v>1257</v>
      </c>
      <c r="F2226" t="s">
        <v>4305</v>
      </c>
      <c r="G2226" t="s">
        <v>4620</v>
      </c>
      <c r="H2226" s="15">
        <v>46112</v>
      </c>
      <c r="I2226" t="s">
        <v>4621</v>
      </c>
      <c r="J2226" t="s">
        <v>233</v>
      </c>
      <c r="K2226" t="s">
        <v>185</v>
      </c>
      <c r="N2226">
        <v>0</v>
      </c>
      <c r="O2226" t="s">
        <v>222</v>
      </c>
      <c r="P2226">
        <v>0</v>
      </c>
      <c r="U2226" s="15"/>
    </row>
    <row r="2227" spans="1:21" x14ac:dyDescent="0.35">
      <c r="A2227" t="s">
        <v>14</v>
      </c>
      <c r="B2227" t="s">
        <v>3247</v>
      </c>
      <c r="C2227" t="s">
        <v>1255</v>
      </c>
      <c r="D2227" t="s">
        <v>1256</v>
      </c>
      <c r="E2227" t="s">
        <v>1257</v>
      </c>
      <c r="F2227" t="s">
        <v>4305</v>
      </c>
      <c r="G2227" t="s">
        <v>4622</v>
      </c>
      <c r="H2227" s="15">
        <v>46113</v>
      </c>
      <c r="I2227" t="s">
        <v>4623</v>
      </c>
      <c r="J2227" t="s">
        <v>16</v>
      </c>
      <c r="K2227" t="s">
        <v>185</v>
      </c>
      <c r="N2227">
        <v>0</v>
      </c>
      <c r="O2227" t="s">
        <v>222</v>
      </c>
      <c r="P2227">
        <v>0</v>
      </c>
      <c r="U2227" s="15"/>
    </row>
    <row r="2228" spans="1:21" x14ac:dyDescent="0.35">
      <c r="A2228" t="s">
        <v>14</v>
      </c>
      <c r="B2228" t="s">
        <v>3158</v>
      </c>
      <c r="C2228" t="s">
        <v>515</v>
      </c>
      <c r="D2228" t="s">
        <v>516</v>
      </c>
      <c r="E2228" t="s">
        <v>517</v>
      </c>
      <c r="F2228" t="s">
        <v>3159</v>
      </c>
      <c r="G2228" t="s">
        <v>4459</v>
      </c>
      <c r="H2228" s="15">
        <v>46198</v>
      </c>
      <c r="I2228" t="s">
        <v>4467</v>
      </c>
      <c r="J2228" t="s">
        <v>16</v>
      </c>
      <c r="K2228" t="s">
        <v>185</v>
      </c>
      <c r="N2228">
        <v>0</v>
      </c>
      <c r="O2228" t="s">
        <v>222</v>
      </c>
      <c r="P2228">
        <v>0</v>
      </c>
      <c r="U2228" s="15"/>
    </row>
    <row r="2229" spans="1:21" x14ac:dyDescent="0.35">
      <c r="A2229" t="s">
        <v>14</v>
      </c>
      <c r="B2229" t="s">
        <v>3158</v>
      </c>
      <c r="C2229" t="s">
        <v>697</v>
      </c>
      <c r="D2229" t="s">
        <v>698</v>
      </c>
      <c r="E2229" t="s">
        <v>699</v>
      </c>
      <c r="F2229" t="s">
        <v>3159</v>
      </c>
      <c r="G2229" t="s">
        <v>4468</v>
      </c>
      <c r="H2229" s="15">
        <v>46198</v>
      </c>
      <c r="I2229" t="s">
        <v>4469</v>
      </c>
      <c r="J2229" t="s">
        <v>233</v>
      </c>
      <c r="K2229" t="s">
        <v>185</v>
      </c>
      <c r="N2229">
        <v>0</v>
      </c>
      <c r="O2229" t="s">
        <v>222</v>
      </c>
      <c r="P2229">
        <v>0</v>
      </c>
      <c r="U2229" s="15"/>
    </row>
    <row r="2230" spans="1:21" x14ac:dyDescent="0.35">
      <c r="A2230" t="s">
        <v>14</v>
      </c>
      <c r="B2230" t="s">
        <v>3247</v>
      </c>
      <c r="C2230" t="s">
        <v>1255</v>
      </c>
      <c r="D2230" t="s">
        <v>1256</v>
      </c>
      <c r="E2230" t="s">
        <v>1257</v>
      </c>
      <c r="F2230" t="s">
        <v>4305</v>
      </c>
      <c r="G2230" t="s">
        <v>4624</v>
      </c>
      <c r="H2230" s="15">
        <v>46114</v>
      </c>
      <c r="I2230" t="s">
        <v>4625</v>
      </c>
      <c r="J2230" t="s">
        <v>16</v>
      </c>
      <c r="K2230" t="s">
        <v>185</v>
      </c>
      <c r="N2230">
        <v>0</v>
      </c>
      <c r="O2230" t="s">
        <v>222</v>
      </c>
      <c r="P2230">
        <v>0</v>
      </c>
      <c r="U2230" s="15"/>
    </row>
    <row r="2231" spans="1:21" x14ac:dyDescent="0.35">
      <c r="A2231" t="s">
        <v>14</v>
      </c>
      <c r="B2231" t="s">
        <v>3247</v>
      </c>
      <c r="C2231" t="s">
        <v>667</v>
      </c>
      <c r="D2231" t="s">
        <v>668</v>
      </c>
      <c r="E2231" t="s">
        <v>669</v>
      </c>
      <c r="F2231" t="s">
        <v>4305</v>
      </c>
      <c r="G2231" t="s">
        <v>4626</v>
      </c>
      <c r="H2231" s="15">
        <v>46115</v>
      </c>
      <c r="I2231" t="s">
        <v>4627</v>
      </c>
      <c r="J2231" t="s">
        <v>16</v>
      </c>
      <c r="K2231" t="s">
        <v>185</v>
      </c>
      <c r="N2231">
        <v>0</v>
      </c>
      <c r="O2231" t="s">
        <v>222</v>
      </c>
      <c r="P2231">
        <v>0</v>
      </c>
      <c r="U2231" s="15"/>
    </row>
    <row r="2232" spans="1:21" x14ac:dyDescent="0.35">
      <c r="A2232" t="s">
        <v>14</v>
      </c>
      <c r="B2232" t="s">
        <v>2398</v>
      </c>
      <c r="C2232" t="s">
        <v>2413</v>
      </c>
      <c r="D2232" t="s">
        <v>2414</v>
      </c>
      <c r="E2232" t="s">
        <v>2415</v>
      </c>
      <c r="F2232" t="s">
        <v>2399</v>
      </c>
      <c r="G2232" t="s">
        <v>2861</v>
      </c>
      <c r="H2232" s="15">
        <v>46134</v>
      </c>
      <c r="I2232" t="s">
        <v>2862</v>
      </c>
      <c r="J2232" t="s">
        <v>16</v>
      </c>
      <c r="K2232" t="s">
        <v>185</v>
      </c>
      <c r="N2232">
        <v>0</v>
      </c>
      <c r="O2232" t="s">
        <v>222</v>
      </c>
      <c r="P2232">
        <v>0</v>
      </c>
      <c r="U2232" s="15"/>
    </row>
    <row r="2233" spans="1:21" x14ac:dyDescent="0.35">
      <c r="A2233" t="s">
        <v>14</v>
      </c>
      <c r="B2233" t="s">
        <v>2398</v>
      </c>
      <c r="C2233" t="s">
        <v>2461</v>
      </c>
      <c r="D2233" t="s">
        <v>2462</v>
      </c>
      <c r="E2233" t="s">
        <v>2463</v>
      </c>
      <c r="F2233" t="s">
        <v>2399</v>
      </c>
      <c r="G2233" t="s">
        <v>2861</v>
      </c>
      <c r="H2233" s="15">
        <v>46134</v>
      </c>
      <c r="I2233" t="s">
        <v>2863</v>
      </c>
      <c r="J2233" t="s">
        <v>16</v>
      </c>
      <c r="K2233" t="s">
        <v>185</v>
      </c>
      <c r="N2233">
        <v>0</v>
      </c>
      <c r="O2233" t="s">
        <v>222</v>
      </c>
      <c r="P2233">
        <v>0</v>
      </c>
      <c r="U2233" s="15"/>
    </row>
    <row r="2234" spans="1:21" x14ac:dyDescent="0.35">
      <c r="A2234" t="s">
        <v>14</v>
      </c>
      <c r="B2234" t="s">
        <v>2398</v>
      </c>
      <c r="C2234" t="s">
        <v>2461</v>
      </c>
      <c r="D2234" t="s">
        <v>2462</v>
      </c>
      <c r="E2234" t="s">
        <v>2463</v>
      </c>
      <c r="F2234" t="s">
        <v>2399</v>
      </c>
      <c r="G2234" t="s">
        <v>2861</v>
      </c>
      <c r="H2234" s="15">
        <v>46134</v>
      </c>
      <c r="I2234" t="s">
        <v>2863</v>
      </c>
      <c r="J2234" t="s">
        <v>16</v>
      </c>
      <c r="K2234" t="s">
        <v>185</v>
      </c>
      <c r="N2234">
        <v>0</v>
      </c>
      <c r="O2234" t="s">
        <v>222</v>
      </c>
      <c r="P2234">
        <v>0</v>
      </c>
      <c r="U2234" s="15"/>
    </row>
    <row r="2235" spans="1:21" x14ac:dyDescent="0.35">
      <c r="A2235" t="s">
        <v>14</v>
      </c>
      <c r="B2235" t="s">
        <v>3158</v>
      </c>
      <c r="C2235" t="s">
        <v>4193</v>
      </c>
      <c r="D2235" t="s">
        <v>4194</v>
      </c>
      <c r="E2235" t="s">
        <v>4194</v>
      </c>
      <c r="F2235" t="s">
        <v>3159</v>
      </c>
      <c r="G2235" t="s">
        <v>4474</v>
      </c>
      <c r="H2235" s="15">
        <v>46199</v>
      </c>
      <c r="I2235" t="s">
        <v>4475</v>
      </c>
      <c r="J2235" t="s">
        <v>16</v>
      </c>
      <c r="K2235" t="s">
        <v>185</v>
      </c>
      <c r="N2235">
        <v>0</v>
      </c>
      <c r="O2235" t="s">
        <v>222</v>
      </c>
      <c r="P2235">
        <v>0</v>
      </c>
      <c r="U2235" s="15"/>
    </row>
    <row r="2236" spans="1:21" x14ac:dyDescent="0.35">
      <c r="A2236" t="s">
        <v>14</v>
      </c>
      <c r="B2236" t="s">
        <v>3158</v>
      </c>
      <c r="C2236" t="s">
        <v>1255</v>
      </c>
      <c r="D2236" t="s">
        <v>1256</v>
      </c>
      <c r="E2236" t="s">
        <v>1257</v>
      </c>
      <c r="F2236" t="s">
        <v>3159</v>
      </c>
      <c r="G2236" t="s">
        <v>4474</v>
      </c>
      <c r="H2236" s="15">
        <v>46199</v>
      </c>
      <c r="I2236" t="s">
        <v>4476</v>
      </c>
      <c r="J2236" t="s">
        <v>16</v>
      </c>
      <c r="K2236" t="s">
        <v>185</v>
      </c>
      <c r="N2236">
        <v>0</v>
      </c>
      <c r="O2236" t="s">
        <v>222</v>
      </c>
      <c r="P2236">
        <v>0</v>
      </c>
      <c r="U2236" s="15"/>
    </row>
    <row r="2237" spans="1:21" x14ac:dyDescent="0.35">
      <c r="A2237" t="s">
        <v>14</v>
      </c>
      <c r="B2237" t="s">
        <v>2398</v>
      </c>
      <c r="C2237" t="s">
        <v>1255</v>
      </c>
      <c r="D2237" t="s">
        <v>1256</v>
      </c>
      <c r="E2237" t="s">
        <v>1257</v>
      </c>
      <c r="F2237" t="s">
        <v>2399</v>
      </c>
      <c r="G2237" t="s">
        <v>2861</v>
      </c>
      <c r="H2237" s="15">
        <v>46134</v>
      </c>
      <c r="I2237" t="s">
        <v>2867</v>
      </c>
      <c r="J2237" t="s">
        <v>16</v>
      </c>
      <c r="K2237" t="s">
        <v>185</v>
      </c>
      <c r="N2237">
        <v>0</v>
      </c>
      <c r="O2237" t="s">
        <v>222</v>
      </c>
      <c r="P2237">
        <v>0</v>
      </c>
      <c r="U2237" s="15"/>
    </row>
    <row r="2238" spans="1:21" x14ac:dyDescent="0.35">
      <c r="A2238" t="s">
        <v>14</v>
      </c>
      <c r="B2238" t="s">
        <v>2398</v>
      </c>
      <c r="C2238" t="s">
        <v>2413</v>
      </c>
      <c r="D2238" t="s">
        <v>2414</v>
      </c>
      <c r="E2238" t="s">
        <v>2415</v>
      </c>
      <c r="F2238" t="s">
        <v>2399</v>
      </c>
      <c r="G2238" t="s">
        <v>2868</v>
      </c>
      <c r="H2238" s="15">
        <v>46135</v>
      </c>
      <c r="I2238" t="s">
        <v>2869</v>
      </c>
      <c r="J2238" t="s">
        <v>16</v>
      </c>
      <c r="K2238" t="s">
        <v>185</v>
      </c>
      <c r="N2238">
        <v>0</v>
      </c>
      <c r="O2238" t="s">
        <v>222</v>
      </c>
      <c r="P2238">
        <v>0</v>
      </c>
      <c r="U2238" s="15"/>
    </row>
    <row r="2239" spans="1:21" x14ac:dyDescent="0.35">
      <c r="A2239" t="s">
        <v>14</v>
      </c>
      <c r="B2239" t="s">
        <v>3247</v>
      </c>
      <c r="C2239" t="s">
        <v>667</v>
      </c>
      <c r="D2239" t="s">
        <v>668</v>
      </c>
      <c r="E2239" t="s">
        <v>669</v>
      </c>
      <c r="F2239" t="s">
        <v>4305</v>
      </c>
      <c r="G2239" t="s">
        <v>4628</v>
      </c>
      <c r="H2239" s="15">
        <v>46116</v>
      </c>
      <c r="I2239" t="s">
        <v>4629</v>
      </c>
      <c r="J2239" t="s">
        <v>16</v>
      </c>
      <c r="K2239" t="s">
        <v>185</v>
      </c>
      <c r="N2239">
        <v>0</v>
      </c>
      <c r="O2239" t="s">
        <v>222</v>
      </c>
      <c r="P2239">
        <v>0</v>
      </c>
      <c r="U2239" s="15"/>
    </row>
    <row r="2240" spans="1:21" x14ac:dyDescent="0.35">
      <c r="A2240" t="s">
        <v>14</v>
      </c>
      <c r="B2240" t="s">
        <v>3247</v>
      </c>
      <c r="C2240" t="s">
        <v>1255</v>
      </c>
      <c r="D2240" t="s">
        <v>1256</v>
      </c>
      <c r="E2240" t="s">
        <v>1257</v>
      </c>
      <c r="F2240" t="s">
        <v>4305</v>
      </c>
      <c r="G2240" t="s">
        <v>4630</v>
      </c>
      <c r="H2240" s="15">
        <v>46118</v>
      </c>
      <c r="I2240" t="s">
        <v>4631</v>
      </c>
      <c r="J2240" t="s">
        <v>16</v>
      </c>
      <c r="K2240" t="s">
        <v>185</v>
      </c>
      <c r="N2240">
        <v>0</v>
      </c>
      <c r="O2240" t="s">
        <v>222</v>
      </c>
      <c r="P2240">
        <v>0</v>
      </c>
      <c r="U2240" s="15"/>
    </row>
    <row r="2241" spans="1:21" x14ac:dyDescent="0.35">
      <c r="A2241" t="s">
        <v>14</v>
      </c>
      <c r="B2241" t="s">
        <v>3247</v>
      </c>
      <c r="C2241" t="s">
        <v>1255</v>
      </c>
      <c r="D2241" t="s">
        <v>1256</v>
      </c>
      <c r="E2241" t="s">
        <v>1257</v>
      </c>
      <c r="F2241" t="s">
        <v>4305</v>
      </c>
      <c r="G2241" t="s">
        <v>4632</v>
      </c>
      <c r="H2241" s="15">
        <v>46119</v>
      </c>
      <c r="I2241" t="s">
        <v>4633</v>
      </c>
      <c r="J2241" t="s">
        <v>16</v>
      </c>
      <c r="K2241" t="s">
        <v>185</v>
      </c>
      <c r="N2241">
        <v>0</v>
      </c>
      <c r="O2241" t="s">
        <v>222</v>
      </c>
      <c r="P2241">
        <v>0</v>
      </c>
      <c r="U2241" s="15"/>
    </row>
    <row r="2242" spans="1:21" x14ac:dyDescent="0.35">
      <c r="A2242" t="s">
        <v>14</v>
      </c>
      <c r="B2242" t="s">
        <v>3158</v>
      </c>
      <c r="C2242" t="s">
        <v>552</v>
      </c>
      <c r="D2242" t="s">
        <v>553</v>
      </c>
      <c r="E2242" t="s">
        <v>554</v>
      </c>
      <c r="F2242" t="s">
        <v>3159</v>
      </c>
      <c r="G2242" t="s">
        <v>4474</v>
      </c>
      <c r="H2242" s="15">
        <v>46199</v>
      </c>
      <c r="I2242" t="s">
        <v>4477</v>
      </c>
      <c r="J2242" t="s">
        <v>16</v>
      </c>
      <c r="K2242" t="s">
        <v>185</v>
      </c>
      <c r="N2242">
        <v>0</v>
      </c>
      <c r="O2242" t="s">
        <v>222</v>
      </c>
      <c r="P2242">
        <v>0</v>
      </c>
      <c r="U2242" s="15"/>
    </row>
    <row r="2243" spans="1:21" x14ac:dyDescent="0.35">
      <c r="A2243" t="s">
        <v>14</v>
      </c>
      <c r="B2243" t="s">
        <v>3158</v>
      </c>
      <c r="C2243" t="s">
        <v>1255</v>
      </c>
      <c r="D2243" t="s">
        <v>1256</v>
      </c>
      <c r="E2243" t="s">
        <v>1257</v>
      </c>
      <c r="F2243" t="s">
        <v>3159</v>
      </c>
      <c r="G2243" t="s">
        <v>4478</v>
      </c>
      <c r="H2243" s="15">
        <v>46199</v>
      </c>
      <c r="I2243" t="s">
        <v>4479</v>
      </c>
      <c r="J2243" t="s">
        <v>233</v>
      </c>
      <c r="K2243" t="s">
        <v>185</v>
      </c>
      <c r="N2243">
        <v>0</v>
      </c>
      <c r="O2243" t="s">
        <v>222</v>
      </c>
      <c r="P2243">
        <v>0</v>
      </c>
      <c r="U2243" s="15"/>
    </row>
    <row r="2244" spans="1:21" x14ac:dyDescent="0.35">
      <c r="A2244" t="s">
        <v>14</v>
      </c>
      <c r="B2244" t="s">
        <v>2398</v>
      </c>
      <c r="C2244" t="s">
        <v>1255</v>
      </c>
      <c r="D2244" t="s">
        <v>1256</v>
      </c>
      <c r="E2244" t="s">
        <v>1257</v>
      </c>
      <c r="F2244" t="s">
        <v>2399</v>
      </c>
      <c r="G2244" t="s">
        <v>2868</v>
      </c>
      <c r="H2244" s="15">
        <v>46135</v>
      </c>
      <c r="I2244" t="s">
        <v>2872</v>
      </c>
      <c r="J2244" t="s">
        <v>16</v>
      </c>
      <c r="K2244" t="s">
        <v>185</v>
      </c>
      <c r="N2244">
        <v>0</v>
      </c>
      <c r="O2244" t="s">
        <v>222</v>
      </c>
      <c r="P2244">
        <v>0</v>
      </c>
      <c r="U2244" s="15"/>
    </row>
    <row r="2245" spans="1:21" x14ac:dyDescent="0.35">
      <c r="A2245" t="s">
        <v>14</v>
      </c>
      <c r="B2245" t="s">
        <v>3247</v>
      </c>
      <c r="C2245" t="s">
        <v>1255</v>
      </c>
      <c r="D2245" t="s">
        <v>1256</v>
      </c>
      <c r="E2245" t="s">
        <v>1257</v>
      </c>
      <c r="F2245" t="s">
        <v>4305</v>
      </c>
      <c r="G2245" t="s">
        <v>4634</v>
      </c>
      <c r="H2245" s="15">
        <v>46121</v>
      </c>
      <c r="I2245" t="s">
        <v>4635</v>
      </c>
      <c r="J2245" t="s">
        <v>16</v>
      </c>
      <c r="K2245" t="s">
        <v>185</v>
      </c>
      <c r="N2245">
        <v>0</v>
      </c>
      <c r="O2245" t="s">
        <v>222</v>
      </c>
      <c r="P2245">
        <v>0</v>
      </c>
      <c r="U2245" s="15"/>
    </row>
    <row r="2246" spans="1:21" x14ac:dyDescent="0.35">
      <c r="A2246" t="s">
        <v>14</v>
      </c>
      <c r="B2246" t="s">
        <v>3247</v>
      </c>
      <c r="C2246" t="s">
        <v>1255</v>
      </c>
      <c r="D2246" t="s">
        <v>1256</v>
      </c>
      <c r="E2246" t="s">
        <v>1257</v>
      </c>
      <c r="F2246" t="s">
        <v>4305</v>
      </c>
      <c r="G2246" t="s">
        <v>4636</v>
      </c>
      <c r="H2246" s="15">
        <v>46120</v>
      </c>
      <c r="I2246" t="s">
        <v>4637</v>
      </c>
      <c r="J2246" t="s">
        <v>16</v>
      </c>
      <c r="K2246" t="s">
        <v>185</v>
      </c>
      <c r="N2246">
        <v>0</v>
      </c>
      <c r="O2246" t="s">
        <v>222</v>
      </c>
      <c r="P2246">
        <v>0</v>
      </c>
      <c r="U2246" s="15"/>
    </row>
    <row r="2247" spans="1:21" x14ac:dyDescent="0.35">
      <c r="A2247" t="s">
        <v>14</v>
      </c>
      <c r="B2247" t="s">
        <v>3158</v>
      </c>
      <c r="C2247" t="s">
        <v>2461</v>
      </c>
      <c r="D2247" t="s">
        <v>2462</v>
      </c>
      <c r="E2247" t="s">
        <v>2463</v>
      </c>
      <c r="F2247" t="s">
        <v>3159</v>
      </c>
      <c r="G2247" t="s">
        <v>4483</v>
      </c>
      <c r="H2247" s="15">
        <v>46202</v>
      </c>
      <c r="I2247" t="s">
        <v>4484</v>
      </c>
      <c r="J2247" t="s">
        <v>233</v>
      </c>
      <c r="K2247" t="s">
        <v>185</v>
      </c>
      <c r="N2247">
        <v>0</v>
      </c>
      <c r="O2247" t="s">
        <v>222</v>
      </c>
      <c r="P2247">
        <v>0</v>
      </c>
      <c r="U2247" s="15"/>
    </row>
    <row r="2248" spans="1:21" x14ac:dyDescent="0.35">
      <c r="A2248" t="s">
        <v>14</v>
      </c>
      <c r="B2248" t="s">
        <v>2398</v>
      </c>
      <c r="C2248" t="s">
        <v>667</v>
      </c>
      <c r="D2248" t="s">
        <v>668</v>
      </c>
      <c r="E2248" t="s">
        <v>669</v>
      </c>
      <c r="F2248" t="s">
        <v>2399</v>
      </c>
      <c r="G2248" t="s">
        <v>2875</v>
      </c>
      <c r="H2248" s="15">
        <v>46136</v>
      </c>
      <c r="I2248" t="s">
        <v>2876</v>
      </c>
      <c r="J2248" t="s">
        <v>16</v>
      </c>
      <c r="K2248" t="s">
        <v>185</v>
      </c>
      <c r="N2248">
        <v>0</v>
      </c>
      <c r="O2248" t="s">
        <v>222</v>
      </c>
      <c r="P2248">
        <v>0</v>
      </c>
      <c r="U2248" s="15"/>
    </row>
    <row r="2249" spans="1:21" x14ac:dyDescent="0.35">
      <c r="A2249" t="s">
        <v>14</v>
      </c>
      <c r="B2249" t="s">
        <v>2398</v>
      </c>
      <c r="C2249" t="s">
        <v>1255</v>
      </c>
      <c r="D2249" t="s">
        <v>1256</v>
      </c>
      <c r="E2249" t="s">
        <v>1257</v>
      </c>
      <c r="F2249" t="s">
        <v>2399</v>
      </c>
      <c r="G2249" t="s">
        <v>2877</v>
      </c>
      <c r="H2249" s="15">
        <v>46137</v>
      </c>
      <c r="I2249" t="s">
        <v>2878</v>
      </c>
      <c r="J2249" t="s">
        <v>16</v>
      </c>
      <c r="K2249" t="s">
        <v>185</v>
      </c>
      <c r="N2249">
        <v>0</v>
      </c>
      <c r="O2249" t="s">
        <v>222</v>
      </c>
      <c r="P2249">
        <v>0</v>
      </c>
      <c r="U2249" s="15"/>
    </row>
    <row r="2250" spans="1:21" x14ac:dyDescent="0.35">
      <c r="A2250" t="s">
        <v>14</v>
      </c>
      <c r="B2250" t="s">
        <v>3158</v>
      </c>
      <c r="C2250" t="s">
        <v>1255</v>
      </c>
      <c r="D2250" t="s">
        <v>1256</v>
      </c>
      <c r="E2250" t="s">
        <v>1257</v>
      </c>
      <c r="F2250" t="s">
        <v>3159</v>
      </c>
      <c r="G2250" t="s">
        <v>4488</v>
      </c>
      <c r="H2250" s="15">
        <v>46203</v>
      </c>
      <c r="I2250" t="s">
        <v>4489</v>
      </c>
      <c r="J2250" t="s">
        <v>16</v>
      </c>
      <c r="K2250" t="s">
        <v>185</v>
      </c>
      <c r="N2250">
        <v>0</v>
      </c>
      <c r="O2250" t="s">
        <v>222</v>
      </c>
      <c r="P2250">
        <v>0</v>
      </c>
      <c r="U2250" s="15"/>
    </row>
    <row r="2251" spans="1:21" x14ac:dyDescent="0.35">
      <c r="A2251" t="s">
        <v>14</v>
      </c>
      <c r="B2251" t="s">
        <v>3247</v>
      </c>
      <c r="C2251" t="s">
        <v>1388</v>
      </c>
      <c r="D2251" t="s">
        <v>1389</v>
      </c>
      <c r="E2251" t="s">
        <v>1390</v>
      </c>
      <c r="F2251" t="s">
        <v>4305</v>
      </c>
      <c r="G2251" t="s">
        <v>4638</v>
      </c>
      <c r="H2251" s="15">
        <v>46129</v>
      </c>
      <c r="I2251" t="s">
        <v>4639</v>
      </c>
      <c r="J2251" t="s">
        <v>16</v>
      </c>
      <c r="K2251" t="s">
        <v>185</v>
      </c>
      <c r="N2251">
        <v>0</v>
      </c>
      <c r="O2251" t="s">
        <v>222</v>
      </c>
      <c r="P2251">
        <v>0</v>
      </c>
      <c r="U2251" s="15"/>
    </row>
    <row r="2252" spans="1:21" x14ac:dyDescent="0.35">
      <c r="A2252" t="s">
        <v>14</v>
      </c>
      <c r="B2252" t="s">
        <v>3247</v>
      </c>
      <c r="C2252" t="s">
        <v>682</v>
      </c>
      <c r="D2252" t="s">
        <v>683</v>
      </c>
      <c r="E2252" t="s">
        <v>683</v>
      </c>
      <c r="F2252" t="s">
        <v>4305</v>
      </c>
      <c r="G2252" t="s">
        <v>4638</v>
      </c>
      <c r="H2252" s="15">
        <v>46129</v>
      </c>
      <c r="I2252" t="s">
        <v>4640</v>
      </c>
      <c r="J2252" t="s">
        <v>16</v>
      </c>
      <c r="K2252" t="s">
        <v>185</v>
      </c>
      <c r="N2252">
        <v>0</v>
      </c>
      <c r="O2252" t="s">
        <v>222</v>
      </c>
      <c r="P2252">
        <v>0</v>
      </c>
      <c r="U2252" s="15"/>
    </row>
    <row r="2253" spans="1:21" x14ac:dyDescent="0.35">
      <c r="A2253" t="s">
        <v>14</v>
      </c>
      <c r="B2253" t="s">
        <v>2398</v>
      </c>
      <c r="C2253" t="s">
        <v>1255</v>
      </c>
      <c r="D2253" t="s">
        <v>1256</v>
      </c>
      <c r="E2253" t="s">
        <v>1257</v>
      </c>
      <c r="F2253" t="s">
        <v>2399</v>
      </c>
      <c r="G2253" t="s">
        <v>2881</v>
      </c>
      <c r="H2253" s="15">
        <v>46139</v>
      </c>
      <c r="I2253" t="s">
        <v>2882</v>
      </c>
      <c r="J2253" t="s">
        <v>16</v>
      </c>
      <c r="K2253" t="s">
        <v>185</v>
      </c>
      <c r="N2253">
        <v>0</v>
      </c>
      <c r="O2253" t="s">
        <v>222</v>
      </c>
      <c r="P2253">
        <v>0</v>
      </c>
      <c r="U2253" s="15"/>
    </row>
    <row r="2254" spans="1:21" x14ac:dyDescent="0.35">
      <c r="A2254" t="s">
        <v>14</v>
      </c>
      <c r="B2254" t="s">
        <v>2398</v>
      </c>
      <c r="C2254" t="s">
        <v>1255</v>
      </c>
      <c r="D2254" t="s">
        <v>1256</v>
      </c>
      <c r="E2254" t="s">
        <v>1257</v>
      </c>
      <c r="F2254" t="s">
        <v>2399</v>
      </c>
      <c r="G2254" t="s">
        <v>2883</v>
      </c>
      <c r="H2254" s="15">
        <v>46140</v>
      </c>
      <c r="I2254" t="s">
        <v>2884</v>
      </c>
      <c r="J2254" t="s">
        <v>16</v>
      </c>
      <c r="K2254" t="s">
        <v>185</v>
      </c>
      <c r="N2254">
        <v>0</v>
      </c>
      <c r="O2254" t="s">
        <v>222</v>
      </c>
      <c r="P2254">
        <v>0</v>
      </c>
      <c r="U2254" s="15"/>
    </row>
    <row r="2255" spans="1:21" x14ac:dyDescent="0.35">
      <c r="A2255" t="s">
        <v>14</v>
      </c>
      <c r="B2255" t="s">
        <v>3158</v>
      </c>
      <c r="C2255" t="s">
        <v>515</v>
      </c>
      <c r="D2255" t="s">
        <v>516</v>
      </c>
      <c r="E2255" t="s">
        <v>517</v>
      </c>
      <c r="F2255" t="s">
        <v>3159</v>
      </c>
      <c r="G2255" t="s">
        <v>4488</v>
      </c>
      <c r="H2255" s="15">
        <v>46203</v>
      </c>
      <c r="I2255" t="s">
        <v>4490</v>
      </c>
      <c r="J2255" t="s">
        <v>16</v>
      </c>
      <c r="K2255" t="s">
        <v>185</v>
      </c>
      <c r="N2255">
        <v>0</v>
      </c>
      <c r="O2255" t="s">
        <v>222</v>
      </c>
      <c r="P2255">
        <v>0</v>
      </c>
      <c r="U2255" s="15"/>
    </row>
    <row r="2256" spans="1:21" x14ac:dyDescent="0.35">
      <c r="A2256" t="s">
        <v>14</v>
      </c>
      <c r="B2256" t="s">
        <v>3158</v>
      </c>
      <c r="C2256" t="s">
        <v>1255</v>
      </c>
      <c r="D2256" t="s">
        <v>1256</v>
      </c>
      <c r="E2256" t="s">
        <v>1257</v>
      </c>
      <c r="F2256" t="s">
        <v>3159</v>
      </c>
      <c r="G2256" t="s">
        <v>4491</v>
      </c>
      <c r="H2256" s="15">
        <v>46203</v>
      </c>
      <c r="I2256" t="s">
        <v>4492</v>
      </c>
      <c r="J2256" t="s">
        <v>233</v>
      </c>
      <c r="K2256" t="s">
        <v>185</v>
      </c>
      <c r="N2256">
        <v>0</v>
      </c>
      <c r="O2256" t="s">
        <v>222</v>
      </c>
      <c r="P2256">
        <v>0</v>
      </c>
      <c r="U2256" s="15"/>
    </row>
    <row r="2257" spans="1:21" x14ac:dyDescent="0.35">
      <c r="A2257" t="s">
        <v>14</v>
      </c>
      <c r="B2257" t="s">
        <v>3247</v>
      </c>
      <c r="C2257" t="s">
        <v>737</v>
      </c>
      <c r="D2257" t="s">
        <v>738</v>
      </c>
      <c r="E2257" t="s">
        <v>739</v>
      </c>
      <c r="F2257" t="s">
        <v>4305</v>
      </c>
      <c r="G2257" t="s">
        <v>4641</v>
      </c>
      <c r="H2257" s="15">
        <v>46130</v>
      </c>
      <c r="I2257" t="s">
        <v>4642</v>
      </c>
      <c r="J2257" t="s">
        <v>16</v>
      </c>
      <c r="K2257" t="s">
        <v>185</v>
      </c>
      <c r="N2257">
        <v>0</v>
      </c>
      <c r="O2257" t="s">
        <v>222</v>
      </c>
      <c r="P2257">
        <v>0</v>
      </c>
      <c r="U2257" s="15"/>
    </row>
    <row r="2258" spans="1:21" x14ac:dyDescent="0.35">
      <c r="A2258" t="s">
        <v>14</v>
      </c>
      <c r="B2258" t="s">
        <v>2398</v>
      </c>
      <c r="C2258" t="s">
        <v>1255</v>
      </c>
      <c r="D2258" t="s">
        <v>1256</v>
      </c>
      <c r="E2258" t="s">
        <v>1257</v>
      </c>
      <c r="F2258" t="s">
        <v>2399</v>
      </c>
      <c r="G2258" t="s">
        <v>2889</v>
      </c>
      <c r="H2258" s="15">
        <v>46141</v>
      </c>
      <c r="I2258" t="s">
        <v>2890</v>
      </c>
      <c r="J2258" t="s">
        <v>16</v>
      </c>
      <c r="K2258" t="s">
        <v>185</v>
      </c>
      <c r="N2258">
        <v>0</v>
      </c>
      <c r="O2258" t="s">
        <v>222</v>
      </c>
      <c r="P2258">
        <v>0</v>
      </c>
      <c r="U2258" s="15"/>
    </row>
    <row r="2259" spans="1:21" x14ac:dyDescent="0.35">
      <c r="A2259" t="s">
        <v>14</v>
      </c>
      <c r="B2259" t="s">
        <v>2398</v>
      </c>
      <c r="C2259" t="s">
        <v>1255</v>
      </c>
      <c r="D2259" t="s">
        <v>1256</v>
      </c>
      <c r="E2259" t="s">
        <v>1257</v>
      </c>
      <c r="F2259" t="s">
        <v>2399</v>
      </c>
      <c r="G2259" t="s">
        <v>2889</v>
      </c>
      <c r="H2259" s="15">
        <v>46141</v>
      </c>
      <c r="I2259" t="s">
        <v>2890</v>
      </c>
      <c r="J2259" t="s">
        <v>16</v>
      </c>
      <c r="K2259" t="s">
        <v>185</v>
      </c>
      <c r="N2259">
        <v>0</v>
      </c>
      <c r="O2259" t="s">
        <v>222</v>
      </c>
      <c r="P2259">
        <v>0</v>
      </c>
      <c r="U2259" s="15"/>
    </row>
    <row r="2260" spans="1:21" x14ac:dyDescent="0.35">
      <c r="A2260" t="s">
        <v>14</v>
      </c>
      <c r="B2260" t="s">
        <v>3247</v>
      </c>
      <c r="C2260" t="s">
        <v>515</v>
      </c>
      <c r="D2260" t="s">
        <v>516</v>
      </c>
      <c r="E2260" t="s">
        <v>517</v>
      </c>
      <c r="F2260" t="s">
        <v>4305</v>
      </c>
      <c r="G2260" t="s">
        <v>4643</v>
      </c>
      <c r="H2260" s="15">
        <v>46132</v>
      </c>
      <c r="I2260" t="s">
        <v>4644</v>
      </c>
      <c r="J2260" t="s">
        <v>16</v>
      </c>
      <c r="K2260" t="s">
        <v>185</v>
      </c>
      <c r="N2260">
        <v>0</v>
      </c>
      <c r="O2260" t="s">
        <v>222</v>
      </c>
      <c r="P2260">
        <v>0</v>
      </c>
      <c r="U2260" s="15"/>
    </row>
    <row r="2261" spans="1:21" x14ac:dyDescent="0.35">
      <c r="A2261" t="s">
        <v>14</v>
      </c>
      <c r="B2261" t="s">
        <v>3247</v>
      </c>
      <c r="C2261" t="s">
        <v>1255</v>
      </c>
      <c r="D2261" t="s">
        <v>1256</v>
      </c>
      <c r="E2261" t="s">
        <v>1257</v>
      </c>
      <c r="F2261" t="s">
        <v>4305</v>
      </c>
      <c r="G2261" t="s">
        <v>4643</v>
      </c>
      <c r="H2261" s="15">
        <v>46132</v>
      </c>
      <c r="I2261" t="s">
        <v>4645</v>
      </c>
      <c r="J2261" t="s">
        <v>16</v>
      </c>
      <c r="K2261" t="s">
        <v>185</v>
      </c>
      <c r="N2261">
        <v>0</v>
      </c>
      <c r="O2261" t="s">
        <v>222</v>
      </c>
      <c r="P2261">
        <v>0</v>
      </c>
      <c r="U2261" s="15"/>
    </row>
    <row r="2262" spans="1:21" x14ac:dyDescent="0.35">
      <c r="A2262" t="s">
        <v>14</v>
      </c>
      <c r="B2262" t="s">
        <v>2398</v>
      </c>
      <c r="C2262" t="s">
        <v>1255</v>
      </c>
      <c r="D2262" t="s">
        <v>1256</v>
      </c>
      <c r="E2262" t="s">
        <v>1257</v>
      </c>
      <c r="F2262" t="s">
        <v>2399</v>
      </c>
      <c r="G2262" t="s">
        <v>2893</v>
      </c>
      <c r="H2262" s="15">
        <v>46142</v>
      </c>
      <c r="I2262" t="s">
        <v>2894</v>
      </c>
      <c r="J2262" t="s">
        <v>16</v>
      </c>
      <c r="K2262" t="s">
        <v>185</v>
      </c>
      <c r="N2262">
        <v>0</v>
      </c>
      <c r="O2262" t="s">
        <v>222</v>
      </c>
      <c r="P2262">
        <v>0</v>
      </c>
      <c r="U2262" s="15"/>
    </row>
    <row r="2263" spans="1:21" x14ac:dyDescent="0.35">
      <c r="A2263" t="s">
        <v>14</v>
      </c>
      <c r="B2263" t="s">
        <v>2398</v>
      </c>
      <c r="C2263" t="s">
        <v>658</v>
      </c>
      <c r="D2263" t="s">
        <v>659</v>
      </c>
      <c r="E2263" t="s">
        <v>660</v>
      </c>
      <c r="F2263" t="s">
        <v>2399</v>
      </c>
      <c r="G2263" t="s">
        <v>2895</v>
      </c>
      <c r="H2263" s="15">
        <v>46146</v>
      </c>
      <c r="I2263" t="s">
        <v>2896</v>
      </c>
      <c r="J2263" t="s">
        <v>16</v>
      </c>
      <c r="K2263" t="s">
        <v>185</v>
      </c>
      <c r="N2263">
        <v>0</v>
      </c>
      <c r="O2263" t="s">
        <v>222</v>
      </c>
      <c r="P2263">
        <v>0</v>
      </c>
      <c r="U2263" s="15"/>
    </row>
    <row r="2264" spans="1:21" x14ac:dyDescent="0.35">
      <c r="A2264" t="s">
        <v>14</v>
      </c>
      <c r="B2264" t="s">
        <v>2398</v>
      </c>
      <c r="C2264" t="s">
        <v>658</v>
      </c>
      <c r="D2264" t="s">
        <v>659</v>
      </c>
      <c r="E2264" t="s">
        <v>660</v>
      </c>
      <c r="F2264" t="s">
        <v>2399</v>
      </c>
      <c r="G2264" t="s">
        <v>2895</v>
      </c>
      <c r="H2264" s="15">
        <v>46146</v>
      </c>
      <c r="I2264" t="s">
        <v>2896</v>
      </c>
      <c r="J2264" t="s">
        <v>16</v>
      </c>
      <c r="K2264" t="s">
        <v>185</v>
      </c>
      <c r="N2264">
        <v>0</v>
      </c>
      <c r="O2264" t="s">
        <v>222</v>
      </c>
      <c r="P2264">
        <v>0</v>
      </c>
      <c r="U2264" s="15"/>
    </row>
    <row r="2265" spans="1:21" x14ac:dyDescent="0.35">
      <c r="A2265" t="s">
        <v>14</v>
      </c>
      <c r="B2265" t="s">
        <v>3247</v>
      </c>
      <c r="C2265" t="s">
        <v>515</v>
      </c>
      <c r="D2265" t="s">
        <v>516</v>
      </c>
      <c r="E2265" t="s">
        <v>517</v>
      </c>
      <c r="F2265" t="s">
        <v>4305</v>
      </c>
      <c r="G2265" t="s">
        <v>4646</v>
      </c>
      <c r="H2265" s="15">
        <v>46133</v>
      </c>
      <c r="I2265" t="s">
        <v>4647</v>
      </c>
      <c r="J2265" t="s">
        <v>16</v>
      </c>
      <c r="K2265" t="s">
        <v>185</v>
      </c>
      <c r="N2265">
        <v>0</v>
      </c>
      <c r="O2265" t="s">
        <v>222</v>
      </c>
      <c r="P2265">
        <v>0</v>
      </c>
      <c r="U2265" s="15"/>
    </row>
    <row r="2266" spans="1:21" x14ac:dyDescent="0.35">
      <c r="A2266" t="s">
        <v>14</v>
      </c>
      <c r="B2266" t="s">
        <v>3247</v>
      </c>
      <c r="C2266" t="s">
        <v>667</v>
      </c>
      <c r="D2266" t="s">
        <v>668</v>
      </c>
      <c r="E2266" t="s">
        <v>669</v>
      </c>
      <c r="F2266" t="s">
        <v>4305</v>
      </c>
      <c r="G2266" t="s">
        <v>4646</v>
      </c>
      <c r="H2266" s="15">
        <v>46133</v>
      </c>
      <c r="I2266" t="s">
        <v>4648</v>
      </c>
      <c r="J2266" t="s">
        <v>16</v>
      </c>
      <c r="K2266" t="s">
        <v>185</v>
      </c>
      <c r="N2266">
        <v>0</v>
      </c>
      <c r="O2266" t="s">
        <v>222</v>
      </c>
      <c r="P2266">
        <v>0</v>
      </c>
      <c r="U2266" s="15"/>
    </row>
    <row r="2267" spans="1:21" x14ac:dyDescent="0.35">
      <c r="A2267" t="s">
        <v>14</v>
      </c>
      <c r="B2267" t="s">
        <v>3247</v>
      </c>
      <c r="C2267" t="s">
        <v>515</v>
      </c>
      <c r="D2267" t="s">
        <v>516</v>
      </c>
      <c r="E2267" t="s">
        <v>517</v>
      </c>
      <c r="F2267" t="s">
        <v>4305</v>
      </c>
      <c r="G2267" t="s">
        <v>4649</v>
      </c>
      <c r="H2267" s="15">
        <v>46134</v>
      </c>
      <c r="I2267" t="s">
        <v>4650</v>
      </c>
      <c r="J2267" t="s">
        <v>16</v>
      </c>
      <c r="K2267" t="s">
        <v>185</v>
      </c>
      <c r="N2267">
        <v>0</v>
      </c>
      <c r="O2267" t="s">
        <v>222</v>
      </c>
      <c r="P2267">
        <v>0</v>
      </c>
      <c r="U2267" s="15"/>
    </row>
    <row r="2268" spans="1:21" x14ac:dyDescent="0.35">
      <c r="A2268" t="s">
        <v>14</v>
      </c>
      <c r="B2268" t="s">
        <v>2398</v>
      </c>
      <c r="C2268" t="s">
        <v>777</v>
      </c>
      <c r="D2268" t="s">
        <v>778</v>
      </c>
      <c r="E2268" t="s">
        <v>779</v>
      </c>
      <c r="F2268" t="s">
        <v>2399</v>
      </c>
      <c r="G2268" t="s">
        <v>2895</v>
      </c>
      <c r="H2268" s="15">
        <v>46146</v>
      </c>
      <c r="I2268" t="s">
        <v>2899</v>
      </c>
      <c r="J2268" t="s">
        <v>16</v>
      </c>
      <c r="K2268" t="s">
        <v>185</v>
      </c>
      <c r="N2268">
        <v>0</v>
      </c>
      <c r="O2268" t="s">
        <v>222</v>
      </c>
      <c r="P2268">
        <v>0</v>
      </c>
      <c r="U2268" s="15"/>
    </row>
    <row r="2269" spans="1:21" x14ac:dyDescent="0.35">
      <c r="A2269" t="s">
        <v>14</v>
      </c>
      <c r="B2269" t="s">
        <v>3247</v>
      </c>
      <c r="C2269" t="s">
        <v>716</v>
      </c>
      <c r="D2269" t="s">
        <v>717</v>
      </c>
      <c r="E2269" t="s">
        <v>718</v>
      </c>
      <c r="F2269" t="s">
        <v>4305</v>
      </c>
      <c r="G2269" t="s">
        <v>4649</v>
      </c>
      <c r="H2269" s="15">
        <v>46134</v>
      </c>
      <c r="I2269" t="s">
        <v>4651</v>
      </c>
      <c r="J2269" t="s">
        <v>16</v>
      </c>
      <c r="K2269" t="s">
        <v>185</v>
      </c>
      <c r="N2269">
        <v>0</v>
      </c>
      <c r="O2269" t="s">
        <v>222</v>
      </c>
      <c r="P2269">
        <v>0</v>
      </c>
      <c r="U2269" s="15"/>
    </row>
    <row r="2270" spans="1:21" x14ac:dyDescent="0.35">
      <c r="A2270" t="s">
        <v>14</v>
      </c>
      <c r="B2270" t="s">
        <v>3247</v>
      </c>
      <c r="C2270" t="s">
        <v>515</v>
      </c>
      <c r="D2270" t="s">
        <v>516</v>
      </c>
      <c r="E2270" t="s">
        <v>517</v>
      </c>
      <c r="F2270" t="s">
        <v>4305</v>
      </c>
      <c r="G2270" t="s">
        <v>4652</v>
      </c>
      <c r="H2270" s="15">
        <v>46135</v>
      </c>
      <c r="I2270" t="s">
        <v>4653</v>
      </c>
      <c r="J2270" t="s">
        <v>16</v>
      </c>
      <c r="K2270" t="s">
        <v>185</v>
      </c>
      <c r="N2270">
        <v>0</v>
      </c>
      <c r="O2270" t="s">
        <v>222</v>
      </c>
      <c r="P2270">
        <v>0</v>
      </c>
      <c r="U2270" s="15"/>
    </row>
    <row r="2271" spans="1:21" x14ac:dyDescent="0.35">
      <c r="A2271" t="s">
        <v>14</v>
      </c>
      <c r="B2271" t="s">
        <v>2398</v>
      </c>
      <c r="C2271" t="s">
        <v>515</v>
      </c>
      <c r="D2271" t="s">
        <v>516</v>
      </c>
      <c r="E2271" t="s">
        <v>517</v>
      </c>
      <c r="F2271" t="s">
        <v>2399</v>
      </c>
      <c r="G2271" t="s">
        <v>2905</v>
      </c>
      <c r="H2271" s="15">
        <v>46147</v>
      </c>
      <c r="I2271" t="s">
        <v>2906</v>
      </c>
      <c r="J2271" t="s">
        <v>16</v>
      </c>
      <c r="K2271" t="s">
        <v>185</v>
      </c>
      <c r="N2271">
        <v>0</v>
      </c>
      <c r="O2271" t="s">
        <v>222</v>
      </c>
      <c r="P2271">
        <v>0</v>
      </c>
      <c r="U2271" s="15"/>
    </row>
    <row r="2272" spans="1:21" x14ac:dyDescent="0.35">
      <c r="A2272" t="s">
        <v>14</v>
      </c>
      <c r="B2272" t="s">
        <v>2398</v>
      </c>
      <c r="C2272" t="s">
        <v>667</v>
      </c>
      <c r="D2272" t="s">
        <v>668</v>
      </c>
      <c r="E2272" t="s">
        <v>669</v>
      </c>
      <c r="F2272" t="s">
        <v>2399</v>
      </c>
      <c r="G2272" t="s">
        <v>2905</v>
      </c>
      <c r="H2272" s="15">
        <v>46147</v>
      </c>
      <c r="I2272" t="s">
        <v>2907</v>
      </c>
      <c r="J2272" t="s">
        <v>16</v>
      </c>
      <c r="K2272" t="s">
        <v>185</v>
      </c>
      <c r="N2272">
        <v>0</v>
      </c>
      <c r="O2272" t="s">
        <v>222</v>
      </c>
      <c r="P2272">
        <v>0</v>
      </c>
      <c r="U2272" s="15"/>
    </row>
    <row r="2273" spans="1:21" x14ac:dyDescent="0.35">
      <c r="A2273" t="s">
        <v>14</v>
      </c>
      <c r="B2273" t="s">
        <v>3247</v>
      </c>
      <c r="C2273" t="s">
        <v>716</v>
      </c>
      <c r="D2273" t="s">
        <v>717</v>
      </c>
      <c r="E2273" t="s">
        <v>718</v>
      </c>
      <c r="F2273" t="s">
        <v>4305</v>
      </c>
      <c r="G2273" t="s">
        <v>4652</v>
      </c>
      <c r="H2273" s="15">
        <v>46135</v>
      </c>
      <c r="I2273" t="s">
        <v>4654</v>
      </c>
      <c r="J2273" t="s">
        <v>16</v>
      </c>
      <c r="K2273" t="s">
        <v>185</v>
      </c>
      <c r="N2273">
        <v>0</v>
      </c>
      <c r="O2273" t="s">
        <v>222</v>
      </c>
      <c r="P2273">
        <v>0</v>
      </c>
      <c r="U2273" s="15"/>
    </row>
    <row r="2274" spans="1:21" x14ac:dyDescent="0.35">
      <c r="A2274" t="s">
        <v>14</v>
      </c>
      <c r="B2274" t="s">
        <v>3247</v>
      </c>
      <c r="C2274" t="s">
        <v>515</v>
      </c>
      <c r="D2274" t="s">
        <v>516</v>
      </c>
      <c r="E2274" t="s">
        <v>517</v>
      </c>
      <c r="F2274" t="s">
        <v>4305</v>
      </c>
      <c r="G2274" t="s">
        <v>4655</v>
      </c>
      <c r="H2274" s="15">
        <v>46136</v>
      </c>
      <c r="I2274" t="s">
        <v>4656</v>
      </c>
      <c r="J2274" t="s">
        <v>16</v>
      </c>
      <c r="K2274" t="s">
        <v>185</v>
      </c>
      <c r="N2274">
        <v>0</v>
      </c>
      <c r="O2274" t="s">
        <v>222</v>
      </c>
      <c r="P2274">
        <v>0</v>
      </c>
      <c r="U2274" s="15"/>
    </row>
    <row r="2275" spans="1:21" x14ac:dyDescent="0.35">
      <c r="A2275" t="s">
        <v>14</v>
      </c>
      <c r="B2275" t="s">
        <v>2398</v>
      </c>
      <c r="C2275" t="s">
        <v>515</v>
      </c>
      <c r="D2275" t="s">
        <v>516</v>
      </c>
      <c r="E2275" t="s">
        <v>517</v>
      </c>
      <c r="F2275" t="s">
        <v>2399</v>
      </c>
      <c r="G2275" t="s">
        <v>2908</v>
      </c>
      <c r="H2275" s="15">
        <v>46148</v>
      </c>
      <c r="I2275" t="s">
        <v>2909</v>
      </c>
      <c r="J2275" t="s">
        <v>16</v>
      </c>
      <c r="K2275" t="s">
        <v>185</v>
      </c>
      <c r="N2275">
        <v>0</v>
      </c>
      <c r="O2275" t="s">
        <v>222</v>
      </c>
      <c r="P2275">
        <v>0</v>
      </c>
      <c r="U2275" s="15"/>
    </row>
    <row r="2276" spans="1:21" x14ac:dyDescent="0.35">
      <c r="A2276" t="s">
        <v>14</v>
      </c>
      <c r="B2276" t="s">
        <v>2398</v>
      </c>
      <c r="C2276" t="s">
        <v>1255</v>
      </c>
      <c r="D2276" t="s">
        <v>1256</v>
      </c>
      <c r="E2276" t="s">
        <v>1257</v>
      </c>
      <c r="F2276" t="s">
        <v>2399</v>
      </c>
      <c r="G2276" t="s">
        <v>2908</v>
      </c>
      <c r="H2276" s="15">
        <v>46148</v>
      </c>
      <c r="I2276" t="s">
        <v>2910</v>
      </c>
      <c r="J2276" t="s">
        <v>16</v>
      </c>
      <c r="K2276" t="s">
        <v>185</v>
      </c>
      <c r="N2276">
        <v>0</v>
      </c>
      <c r="O2276" t="s">
        <v>222</v>
      </c>
      <c r="P2276">
        <v>0</v>
      </c>
      <c r="U2276" s="15"/>
    </row>
    <row r="2277" spans="1:21" x14ac:dyDescent="0.35">
      <c r="A2277" t="s">
        <v>14</v>
      </c>
      <c r="B2277" t="s">
        <v>2398</v>
      </c>
      <c r="C2277" t="s">
        <v>515</v>
      </c>
      <c r="D2277" t="s">
        <v>516</v>
      </c>
      <c r="E2277" t="s">
        <v>517</v>
      </c>
      <c r="F2277" t="s">
        <v>2399</v>
      </c>
      <c r="G2277" t="s">
        <v>2915</v>
      </c>
      <c r="H2277" s="15">
        <v>46149</v>
      </c>
      <c r="I2277" t="s">
        <v>2916</v>
      </c>
      <c r="J2277" t="s">
        <v>16</v>
      </c>
      <c r="K2277" t="s">
        <v>185</v>
      </c>
      <c r="N2277">
        <v>0</v>
      </c>
      <c r="O2277" t="s">
        <v>222</v>
      </c>
      <c r="P2277">
        <v>0</v>
      </c>
      <c r="U2277" s="15"/>
    </row>
    <row r="2278" spans="1:21" x14ac:dyDescent="0.35">
      <c r="A2278" t="s">
        <v>14</v>
      </c>
      <c r="B2278" t="s">
        <v>2398</v>
      </c>
      <c r="C2278" t="s">
        <v>1255</v>
      </c>
      <c r="D2278" t="s">
        <v>1256</v>
      </c>
      <c r="E2278" t="s">
        <v>1257</v>
      </c>
      <c r="F2278" t="s">
        <v>2399</v>
      </c>
      <c r="G2278" t="s">
        <v>2915</v>
      </c>
      <c r="H2278" s="15">
        <v>46149</v>
      </c>
      <c r="I2278" t="s">
        <v>2917</v>
      </c>
      <c r="J2278" t="s">
        <v>16</v>
      </c>
      <c r="K2278" t="s">
        <v>185</v>
      </c>
      <c r="N2278">
        <v>0</v>
      </c>
      <c r="O2278" t="s">
        <v>222</v>
      </c>
      <c r="P2278">
        <v>0</v>
      </c>
      <c r="U2278" s="15"/>
    </row>
    <row r="2279" spans="1:21" x14ac:dyDescent="0.35">
      <c r="A2279" t="s">
        <v>14</v>
      </c>
      <c r="B2279" t="s">
        <v>3247</v>
      </c>
      <c r="C2279" t="s">
        <v>932</v>
      </c>
      <c r="D2279" t="s">
        <v>933</v>
      </c>
      <c r="E2279" t="s">
        <v>934</v>
      </c>
      <c r="F2279" t="s">
        <v>4305</v>
      </c>
      <c r="G2279" t="s">
        <v>4655</v>
      </c>
      <c r="H2279" s="15">
        <v>46136</v>
      </c>
      <c r="I2279" t="s">
        <v>4657</v>
      </c>
      <c r="J2279" t="s">
        <v>16</v>
      </c>
      <c r="K2279" t="s">
        <v>185</v>
      </c>
      <c r="N2279">
        <v>0</v>
      </c>
      <c r="O2279" t="s">
        <v>222</v>
      </c>
      <c r="P2279">
        <v>0</v>
      </c>
      <c r="U2279" s="15"/>
    </row>
    <row r="2280" spans="1:21" x14ac:dyDescent="0.35">
      <c r="A2280" t="s">
        <v>14</v>
      </c>
      <c r="B2280" t="s">
        <v>3247</v>
      </c>
      <c r="C2280" t="s">
        <v>1255</v>
      </c>
      <c r="D2280" t="s">
        <v>1256</v>
      </c>
      <c r="E2280" t="s">
        <v>1257</v>
      </c>
      <c r="F2280" t="s">
        <v>4305</v>
      </c>
      <c r="G2280" t="s">
        <v>4658</v>
      </c>
      <c r="H2280" s="15">
        <v>46137</v>
      </c>
      <c r="I2280" t="s">
        <v>4659</v>
      </c>
      <c r="J2280" t="s">
        <v>16</v>
      </c>
      <c r="K2280" t="s">
        <v>185</v>
      </c>
      <c r="N2280">
        <v>0</v>
      </c>
      <c r="O2280" t="s">
        <v>222</v>
      </c>
      <c r="P2280">
        <v>0</v>
      </c>
      <c r="U2280" s="15"/>
    </row>
    <row r="2281" spans="1:21" x14ac:dyDescent="0.35">
      <c r="A2281" t="s">
        <v>14</v>
      </c>
      <c r="B2281" t="s">
        <v>3247</v>
      </c>
      <c r="C2281" t="s">
        <v>515</v>
      </c>
      <c r="D2281" t="s">
        <v>516</v>
      </c>
      <c r="E2281" t="s">
        <v>517</v>
      </c>
      <c r="F2281" t="s">
        <v>4305</v>
      </c>
      <c r="G2281" t="s">
        <v>4660</v>
      </c>
      <c r="H2281" s="15">
        <v>46139</v>
      </c>
      <c r="I2281" t="s">
        <v>4661</v>
      </c>
      <c r="J2281" t="s">
        <v>16</v>
      </c>
      <c r="K2281" t="s">
        <v>185</v>
      </c>
      <c r="N2281">
        <v>0</v>
      </c>
      <c r="O2281" t="s">
        <v>222</v>
      </c>
      <c r="P2281">
        <v>0</v>
      </c>
      <c r="U2281" s="15"/>
    </row>
    <row r="2282" spans="1:21" x14ac:dyDescent="0.35">
      <c r="A2282" t="s">
        <v>14</v>
      </c>
      <c r="B2282" t="s">
        <v>2398</v>
      </c>
      <c r="C2282" t="s">
        <v>1255</v>
      </c>
      <c r="D2282" t="s">
        <v>1256</v>
      </c>
      <c r="E2282" t="s">
        <v>1257</v>
      </c>
      <c r="F2282" t="s">
        <v>2399</v>
      </c>
      <c r="G2282" t="s">
        <v>2920</v>
      </c>
      <c r="H2282" s="15">
        <v>46150</v>
      </c>
      <c r="I2282" t="s">
        <v>2921</v>
      </c>
      <c r="J2282" t="s">
        <v>16</v>
      </c>
      <c r="K2282" t="s">
        <v>185</v>
      </c>
      <c r="N2282">
        <v>0</v>
      </c>
      <c r="O2282" t="s">
        <v>222</v>
      </c>
      <c r="P2282">
        <v>0</v>
      </c>
      <c r="U2282" s="15"/>
    </row>
    <row r="2283" spans="1:21" x14ac:dyDescent="0.35">
      <c r="A2283" t="s">
        <v>14</v>
      </c>
      <c r="B2283" t="s">
        <v>2398</v>
      </c>
      <c r="C2283" t="s">
        <v>515</v>
      </c>
      <c r="D2283" t="s">
        <v>516</v>
      </c>
      <c r="E2283" t="s">
        <v>517</v>
      </c>
      <c r="F2283" t="s">
        <v>2399</v>
      </c>
      <c r="G2283" t="s">
        <v>2926</v>
      </c>
      <c r="H2283" s="15">
        <v>46153</v>
      </c>
      <c r="I2283" t="s">
        <v>2927</v>
      </c>
      <c r="J2283" t="s">
        <v>16</v>
      </c>
      <c r="K2283" t="s">
        <v>185</v>
      </c>
      <c r="N2283">
        <v>0</v>
      </c>
      <c r="O2283" t="s">
        <v>222</v>
      </c>
      <c r="P2283">
        <v>0</v>
      </c>
      <c r="U2283" s="15"/>
    </row>
    <row r="2284" spans="1:21" x14ac:dyDescent="0.35">
      <c r="A2284" t="s">
        <v>14</v>
      </c>
      <c r="B2284" t="s">
        <v>2398</v>
      </c>
      <c r="C2284" t="s">
        <v>667</v>
      </c>
      <c r="D2284" t="s">
        <v>668</v>
      </c>
      <c r="E2284" t="s">
        <v>669</v>
      </c>
      <c r="F2284" t="s">
        <v>2399</v>
      </c>
      <c r="G2284" t="s">
        <v>2926</v>
      </c>
      <c r="H2284" s="15">
        <v>46153</v>
      </c>
      <c r="I2284" t="s">
        <v>2928</v>
      </c>
      <c r="J2284" t="s">
        <v>16</v>
      </c>
      <c r="K2284" t="s">
        <v>185</v>
      </c>
      <c r="N2284">
        <v>0</v>
      </c>
      <c r="O2284" t="s">
        <v>222</v>
      </c>
      <c r="P2284">
        <v>0</v>
      </c>
      <c r="U2284" s="15"/>
    </row>
    <row r="2285" spans="1:21" x14ac:dyDescent="0.35">
      <c r="A2285" t="s">
        <v>14</v>
      </c>
      <c r="B2285" t="s">
        <v>3247</v>
      </c>
      <c r="C2285" t="s">
        <v>1255</v>
      </c>
      <c r="D2285" t="s">
        <v>1256</v>
      </c>
      <c r="E2285" t="s">
        <v>1257</v>
      </c>
      <c r="F2285" t="s">
        <v>4305</v>
      </c>
      <c r="G2285" t="s">
        <v>4660</v>
      </c>
      <c r="H2285" s="15">
        <v>46139</v>
      </c>
      <c r="I2285" t="s">
        <v>4662</v>
      </c>
      <c r="J2285" t="s">
        <v>16</v>
      </c>
      <c r="K2285" t="s">
        <v>185</v>
      </c>
      <c r="N2285">
        <v>0</v>
      </c>
      <c r="O2285" t="s">
        <v>222</v>
      </c>
      <c r="P2285">
        <v>0</v>
      </c>
      <c r="U2285" s="15"/>
    </row>
    <row r="2286" spans="1:21" x14ac:dyDescent="0.35">
      <c r="A2286" t="s">
        <v>14</v>
      </c>
      <c r="B2286" t="s">
        <v>3247</v>
      </c>
      <c r="C2286" t="s">
        <v>515</v>
      </c>
      <c r="D2286" t="s">
        <v>516</v>
      </c>
      <c r="E2286" t="s">
        <v>517</v>
      </c>
      <c r="F2286" t="s">
        <v>4305</v>
      </c>
      <c r="G2286" t="s">
        <v>4663</v>
      </c>
      <c r="H2286" s="15">
        <v>46140</v>
      </c>
      <c r="I2286" t="s">
        <v>4664</v>
      </c>
      <c r="J2286" t="s">
        <v>16</v>
      </c>
      <c r="K2286" t="s">
        <v>185</v>
      </c>
      <c r="N2286">
        <v>0</v>
      </c>
      <c r="O2286" t="s">
        <v>222</v>
      </c>
      <c r="P2286">
        <v>0</v>
      </c>
      <c r="U2286" s="15"/>
    </row>
    <row r="2287" spans="1:21" x14ac:dyDescent="0.35">
      <c r="A2287" t="s">
        <v>14</v>
      </c>
      <c r="B2287" t="s">
        <v>3247</v>
      </c>
      <c r="C2287" t="s">
        <v>697</v>
      </c>
      <c r="D2287" t="s">
        <v>698</v>
      </c>
      <c r="E2287" t="s">
        <v>699</v>
      </c>
      <c r="F2287" t="s">
        <v>4305</v>
      </c>
      <c r="G2287" t="s">
        <v>4663</v>
      </c>
      <c r="H2287" s="15">
        <v>46140</v>
      </c>
      <c r="I2287" t="s">
        <v>4665</v>
      </c>
      <c r="J2287" t="s">
        <v>16</v>
      </c>
      <c r="K2287" t="s">
        <v>185</v>
      </c>
      <c r="N2287">
        <v>0</v>
      </c>
      <c r="O2287" t="s">
        <v>222</v>
      </c>
      <c r="P2287">
        <v>0</v>
      </c>
      <c r="U2287" s="15"/>
    </row>
    <row r="2288" spans="1:21" x14ac:dyDescent="0.35">
      <c r="A2288" t="s">
        <v>14</v>
      </c>
      <c r="B2288" t="s">
        <v>2398</v>
      </c>
      <c r="C2288" t="s">
        <v>515</v>
      </c>
      <c r="D2288" t="s">
        <v>516</v>
      </c>
      <c r="E2288" t="s">
        <v>517</v>
      </c>
      <c r="F2288" t="s">
        <v>2399</v>
      </c>
      <c r="G2288" t="s">
        <v>2931</v>
      </c>
      <c r="H2288" s="15">
        <v>46154</v>
      </c>
      <c r="I2288" t="s">
        <v>2932</v>
      </c>
      <c r="J2288" t="s">
        <v>16</v>
      </c>
      <c r="K2288" t="s">
        <v>185</v>
      </c>
      <c r="N2288">
        <v>0</v>
      </c>
      <c r="O2288" t="s">
        <v>222</v>
      </c>
      <c r="P2288">
        <v>0</v>
      </c>
      <c r="U2288" s="15"/>
    </row>
    <row r="2289" spans="1:21" x14ac:dyDescent="0.35">
      <c r="A2289" t="s">
        <v>14</v>
      </c>
      <c r="B2289" t="s">
        <v>2398</v>
      </c>
      <c r="C2289" t="s">
        <v>667</v>
      </c>
      <c r="D2289" t="s">
        <v>668</v>
      </c>
      <c r="E2289" t="s">
        <v>669</v>
      </c>
      <c r="F2289" t="s">
        <v>2399</v>
      </c>
      <c r="G2289" t="s">
        <v>2931</v>
      </c>
      <c r="H2289" s="15">
        <v>46154</v>
      </c>
      <c r="I2289" t="s">
        <v>2933</v>
      </c>
      <c r="J2289" t="s">
        <v>16</v>
      </c>
      <c r="K2289" t="s">
        <v>185</v>
      </c>
      <c r="N2289">
        <v>0</v>
      </c>
      <c r="O2289" t="s">
        <v>222</v>
      </c>
      <c r="P2289">
        <v>0</v>
      </c>
      <c r="U2289" s="15"/>
    </row>
    <row r="2290" spans="1:21" x14ac:dyDescent="0.35">
      <c r="A2290" t="s">
        <v>14</v>
      </c>
      <c r="B2290" t="s">
        <v>2398</v>
      </c>
      <c r="C2290" t="s">
        <v>515</v>
      </c>
      <c r="D2290" t="s">
        <v>516</v>
      </c>
      <c r="E2290" t="s">
        <v>517</v>
      </c>
      <c r="F2290" t="s">
        <v>2399</v>
      </c>
      <c r="G2290" t="s">
        <v>2940</v>
      </c>
      <c r="H2290" s="15">
        <v>46155</v>
      </c>
      <c r="I2290" t="s">
        <v>2941</v>
      </c>
      <c r="J2290" t="s">
        <v>16</v>
      </c>
      <c r="K2290" t="s">
        <v>185</v>
      </c>
      <c r="N2290">
        <v>0</v>
      </c>
      <c r="O2290" t="s">
        <v>222</v>
      </c>
      <c r="P2290">
        <v>0</v>
      </c>
      <c r="U2290" s="15"/>
    </row>
    <row r="2291" spans="1:21" x14ac:dyDescent="0.35">
      <c r="A2291" t="s">
        <v>14</v>
      </c>
      <c r="B2291" t="s">
        <v>2398</v>
      </c>
      <c r="C2291" t="s">
        <v>1255</v>
      </c>
      <c r="D2291" t="s">
        <v>1256</v>
      </c>
      <c r="E2291" t="s">
        <v>1257</v>
      </c>
      <c r="F2291" t="s">
        <v>2399</v>
      </c>
      <c r="G2291" t="s">
        <v>2940</v>
      </c>
      <c r="H2291" s="15">
        <v>46155</v>
      </c>
      <c r="I2291" t="s">
        <v>2942</v>
      </c>
      <c r="J2291" t="s">
        <v>16</v>
      </c>
      <c r="K2291" t="s">
        <v>185</v>
      </c>
      <c r="N2291">
        <v>0</v>
      </c>
      <c r="O2291" t="s">
        <v>222</v>
      </c>
      <c r="P2291">
        <v>0</v>
      </c>
      <c r="U2291" s="15"/>
    </row>
    <row r="2292" spans="1:21" x14ac:dyDescent="0.35">
      <c r="A2292" t="s">
        <v>14</v>
      </c>
      <c r="B2292" t="s">
        <v>3247</v>
      </c>
      <c r="C2292" t="s">
        <v>1388</v>
      </c>
      <c r="D2292" t="s">
        <v>1389</v>
      </c>
      <c r="E2292" t="s">
        <v>1390</v>
      </c>
      <c r="F2292" t="s">
        <v>4305</v>
      </c>
      <c r="G2292" t="s">
        <v>4666</v>
      </c>
      <c r="H2292" s="15">
        <v>46141</v>
      </c>
      <c r="I2292" t="s">
        <v>4667</v>
      </c>
      <c r="J2292" t="s">
        <v>16</v>
      </c>
      <c r="K2292" t="s">
        <v>185</v>
      </c>
      <c r="N2292">
        <v>0</v>
      </c>
      <c r="O2292" t="s">
        <v>222</v>
      </c>
      <c r="P2292">
        <v>0</v>
      </c>
      <c r="U2292" s="15"/>
    </row>
    <row r="2293" spans="1:21" x14ac:dyDescent="0.35">
      <c r="A2293" t="s">
        <v>14</v>
      </c>
      <c r="B2293" t="s">
        <v>3247</v>
      </c>
      <c r="C2293" t="s">
        <v>1255</v>
      </c>
      <c r="D2293" t="s">
        <v>1256</v>
      </c>
      <c r="E2293" t="s">
        <v>1257</v>
      </c>
      <c r="F2293" t="s">
        <v>4305</v>
      </c>
      <c r="G2293" t="s">
        <v>4666</v>
      </c>
      <c r="H2293" s="15">
        <v>46141</v>
      </c>
      <c r="I2293" t="s">
        <v>4668</v>
      </c>
      <c r="J2293" t="s">
        <v>16</v>
      </c>
      <c r="K2293" t="s">
        <v>185</v>
      </c>
      <c r="N2293">
        <v>0</v>
      </c>
      <c r="O2293" t="s">
        <v>222</v>
      </c>
      <c r="P2293">
        <v>0</v>
      </c>
      <c r="U2293" s="15"/>
    </row>
    <row r="2294" spans="1:21" x14ac:dyDescent="0.35">
      <c r="A2294" t="s">
        <v>14</v>
      </c>
      <c r="B2294" t="s">
        <v>3247</v>
      </c>
      <c r="C2294" t="s">
        <v>515</v>
      </c>
      <c r="D2294" t="s">
        <v>516</v>
      </c>
      <c r="E2294" t="s">
        <v>517</v>
      </c>
      <c r="F2294" t="s">
        <v>4305</v>
      </c>
      <c r="G2294" t="s">
        <v>4669</v>
      </c>
      <c r="H2294" s="15">
        <v>46142</v>
      </c>
      <c r="I2294" t="s">
        <v>4670</v>
      </c>
      <c r="J2294" t="s">
        <v>16</v>
      </c>
      <c r="K2294" t="s">
        <v>185</v>
      </c>
      <c r="N2294">
        <v>0</v>
      </c>
      <c r="O2294" t="s">
        <v>222</v>
      </c>
      <c r="P2294">
        <v>0</v>
      </c>
      <c r="U2294" s="15"/>
    </row>
    <row r="2295" spans="1:21" x14ac:dyDescent="0.35">
      <c r="A2295" t="s">
        <v>14</v>
      </c>
      <c r="B2295" t="s">
        <v>2398</v>
      </c>
      <c r="C2295" t="s">
        <v>515</v>
      </c>
      <c r="D2295" t="s">
        <v>516</v>
      </c>
      <c r="E2295" t="s">
        <v>517</v>
      </c>
      <c r="F2295" t="s">
        <v>2399</v>
      </c>
      <c r="G2295" t="s">
        <v>2945</v>
      </c>
      <c r="H2295" s="15">
        <v>46156</v>
      </c>
      <c r="I2295" t="s">
        <v>2946</v>
      </c>
      <c r="J2295" t="s">
        <v>16</v>
      </c>
      <c r="K2295" t="s">
        <v>185</v>
      </c>
      <c r="N2295">
        <v>0</v>
      </c>
      <c r="O2295" t="s">
        <v>222</v>
      </c>
      <c r="P2295">
        <v>0</v>
      </c>
      <c r="U2295" s="15"/>
    </row>
    <row r="2296" spans="1:21" x14ac:dyDescent="0.35">
      <c r="A2296" t="s">
        <v>14</v>
      </c>
      <c r="B2296" t="s">
        <v>2398</v>
      </c>
      <c r="C2296" t="s">
        <v>1255</v>
      </c>
      <c r="D2296" t="s">
        <v>1256</v>
      </c>
      <c r="E2296" t="s">
        <v>1257</v>
      </c>
      <c r="F2296" t="s">
        <v>2399</v>
      </c>
      <c r="G2296" t="s">
        <v>2945</v>
      </c>
      <c r="H2296" s="15">
        <v>46156</v>
      </c>
      <c r="I2296" t="s">
        <v>2947</v>
      </c>
      <c r="J2296" t="s">
        <v>16</v>
      </c>
      <c r="K2296" t="s">
        <v>185</v>
      </c>
      <c r="N2296">
        <v>0</v>
      </c>
      <c r="O2296" t="s">
        <v>222</v>
      </c>
      <c r="P2296">
        <v>0</v>
      </c>
      <c r="U2296" s="15"/>
    </row>
    <row r="2297" spans="1:21" x14ac:dyDescent="0.35">
      <c r="A2297" t="s">
        <v>14</v>
      </c>
      <c r="B2297" t="s">
        <v>3247</v>
      </c>
      <c r="C2297" t="s">
        <v>1255</v>
      </c>
      <c r="D2297" t="s">
        <v>1256</v>
      </c>
      <c r="E2297" t="s">
        <v>1257</v>
      </c>
      <c r="F2297" t="s">
        <v>4305</v>
      </c>
      <c r="G2297" t="s">
        <v>4669</v>
      </c>
      <c r="H2297" s="15">
        <v>46142</v>
      </c>
      <c r="I2297" t="s">
        <v>4671</v>
      </c>
      <c r="J2297" t="s">
        <v>16</v>
      </c>
      <c r="K2297" t="s">
        <v>185</v>
      </c>
      <c r="N2297">
        <v>0</v>
      </c>
      <c r="O2297" t="s">
        <v>222</v>
      </c>
      <c r="P2297">
        <v>0</v>
      </c>
      <c r="U2297" s="15"/>
    </row>
    <row r="2298" spans="1:21" x14ac:dyDescent="0.35">
      <c r="A2298" t="s">
        <v>14</v>
      </c>
      <c r="B2298" t="s">
        <v>3247</v>
      </c>
      <c r="C2298" t="s">
        <v>542</v>
      </c>
      <c r="D2298" t="s">
        <v>543</v>
      </c>
      <c r="E2298" t="s">
        <v>544</v>
      </c>
      <c r="F2298" t="s">
        <v>4305</v>
      </c>
      <c r="G2298" t="s">
        <v>4672</v>
      </c>
      <c r="H2298" s="15">
        <v>46144</v>
      </c>
      <c r="I2298" t="s">
        <v>4673</v>
      </c>
      <c r="J2298" t="s">
        <v>16</v>
      </c>
      <c r="K2298" t="s">
        <v>185</v>
      </c>
      <c r="N2298">
        <v>0</v>
      </c>
      <c r="O2298" t="s">
        <v>222</v>
      </c>
      <c r="P2298">
        <v>0</v>
      </c>
      <c r="U2298" s="15"/>
    </row>
    <row r="2299" spans="1:21" x14ac:dyDescent="0.35">
      <c r="A2299" t="s">
        <v>14</v>
      </c>
      <c r="B2299" t="s">
        <v>2398</v>
      </c>
      <c r="C2299" t="s">
        <v>515</v>
      </c>
      <c r="D2299" t="s">
        <v>516</v>
      </c>
      <c r="E2299" t="s">
        <v>517</v>
      </c>
      <c r="F2299" t="s">
        <v>2399</v>
      </c>
      <c r="G2299" t="s">
        <v>2952</v>
      </c>
      <c r="H2299" s="15">
        <v>46157</v>
      </c>
      <c r="I2299" t="s">
        <v>2953</v>
      </c>
      <c r="J2299" t="s">
        <v>16</v>
      </c>
      <c r="K2299" t="s">
        <v>185</v>
      </c>
      <c r="N2299">
        <v>0</v>
      </c>
      <c r="O2299" t="s">
        <v>222</v>
      </c>
      <c r="P2299">
        <v>0</v>
      </c>
      <c r="U2299" s="15"/>
    </row>
    <row r="2300" spans="1:21" x14ac:dyDescent="0.35">
      <c r="A2300" t="s">
        <v>14</v>
      </c>
      <c r="B2300" t="s">
        <v>2398</v>
      </c>
      <c r="C2300" t="s">
        <v>816</v>
      </c>
      <c r="D2300" t="s">
        <v>817</v>
      </c>
      <c r="E2300" t="s">
        <v>818</v>
      </c>
      <c r="F2300" t="s">
        <v>2399</v>
      </c>
      <c r="G2300" t="s">
        <v>2952</v>
      </c>
      <c r="H2300" s="15">
        <v>46157</v>
      </c>
      <c r="I2300" t="s">
        <v>2954</v>
      </c>
      <c r="J2300" t="s">
        <v>16</v>
      </c>
      <c r="K2300" t="s">
        <v>185</v>
      </c>
      <c r="N2300">
        <v>0</v>
      </c>
      <c r="O2300" t="s">
        <v>222</v>
      </c>
      <c r="P2300">
        <v>0</v>
      </c>
      <c r="U2300" s="15"/>
    </row>
    <row r="2301" spans="1:21" x14ac:dyDescent="0.35">
      <c r="A2301" t="s">
        <v>14</v>
      </c>
      <c r="B2301" t="s">
        <v>3247</v>
      </c>
      <c r="C2301" t="s">
        <v>667</v>
      </c>
      <c r="D2301" t="s">
        <v>668</v>
      </c>
      <c r="E2301" t="s">
        <v>669</v>
      </c>
      <c r="F2301" t="s">
        <v>4305</v>
      </c>
      <c r="G2301" t="s">
        <v>4672</v>
      </c>
      <c r="H2301" s="15">
        <v>46144</v>
      </c>
      <c r="I2301" t="s">
        <v>4674</v>
      </c>
      <c r="J2301" t="s">
        <v>16</v>
      </c>
      <c r="K2301" t="s">
        <v>185</v>
      </c>
      <c r="N2301">
        <v>0</v>
      </c>
      <c r="O2301" t="s">
        <v>222</v>
      </c>
      <c r="P2301">
        <v>0</v>
      </c>
      <c r="U2301" s="15"/>
    </row>
    <row r="2302" spans="1:21" x14ac:dyDescent="0.35">
      <c r="A2302" t="s">
        <v>14</v>
      </c>
      <c r="B2302" t="s">
        <v>3247</v>
      </c>
      <c r="C2302" t="s">
        <v>515</v>
      </c>
      <c r="D2302" t="s">
        <v>516</v>
      </c>
      <c r="E2302" t="s">
        <v>517</v>
      </c>
      <c r="F2302" t="s">
        <v>4305</v>
      </c>
      <c r="G2302" t="s">
        <v>4675</v>
      </c>
      <c r="H2302" s="15">
        <v>46147</v>
      </c>
      <c r="I2302" t="s">
        <v>4676</v>
      </c>
      <c r="J2302" t="s">
        <v>16</v>
      </c>
      <c r="K2302" t="s">
        <v>185</v>
      </c>
      <c r="N2302">
        <v>0</v>
      </c>
      <c r="O2302" t="s">
        <v>222</v>
      </c>
      <c r="P2302">
        <v>0</v>
      </c>
      <c r="U2302" s="15"/>
    </row>
    <row r="2303" spans="1:21" x14ac:dyDescent="0.35">
      <c r="A2303" t="s">
        <v>14</v>
      </c>
      <c r="B2303" t="s">
        <v>2398</v>
      </c>
      <c r="C2303" t="s">
        <v>647</v>
      </c>
      <c r="D2303" t="s">
        <v>648</v>
      </c>
      <c r="E2303" t="s">
        <v>649</v>
      </c>
      <c r="F2303" t="s">
        <v>2399</v>
      </c>
      <c r="G2303" t="s">
        <v>2952</v>
      </c>
      <c r="H2303" s="15">
        <v>46157</v>
      </c>
      <c r="I2303" t="s">
        <v>2957</v>
      </c>
      <c r="J2303" t="s">
        <v>16</v>
      </c>
      <c r="K2303" t="s">
        <v>185</v>
      </c>
      <c r="N2303">
        <v>0</v>
      </c>
      <c r="O2303" t="s">
        <v>222</v>
      </c>
      <c r="P2303">
        <v>0</v>
      </c>
      <c r="U2303" s="15"/>
    </row>
    <row r="2304" spans="1:21" x14ac:dyDescent="0.35">
      <c r="A2304" t="s">
        <v>14</v>
      </c>
      <c r="B2304" t="s">
        <v>2398</v>
      </c>
      <c r="C2304" t="s">
        <v>515</v>
      </c>
      <c r="D2304" t="s">
        <v>516</v>
      </c>
      <c r="E2304" t="s">
        <v>517</v>
      </c>
      <c r="F2304" t="s">
        <v>2399</v>
      </c>
      <c r="G2304" t="s">
        <v>2958</v>
      </c>
      <c r="H2304" s="15">
        <v>46160</v>
      </c>
      <c r="I2304" t="s">
        <v>2959</v>
      </c>
      <c r="J2304" t="s">
        <v>16</v>
      </c>
      <c r="K2304" t="s">
        <v>185</v>
      </c>
      <c r="N2304">
        <v>0</v>
      </c>
      <c r="O2304" t="s">
        <v>222</v>
      </c>
      <c r="P2304">
        <v>0</v>
      </c>
      <c r="U2304" s="15"/>
    </row>
    <row r="2305" spans="1:21" x14ac:dyDescent="0.35">
      <c r="A2305" t="s">
        <v>14</v>
      </c>
      <c r="B2305" t="s">
        <v>3247</v>
      </c>
      <c r="C2305" t="s">
        <v>1255</v>
      </c>
      <c r="D2305" t="s">
        <v>1256</v>
      </c>
      <c r="E2305" t="s">
        <v>1257</v>
      </c>
      <c r="F2305" t="s">
        <v>4305</v>
      </c>
      <c r="G2305" t="s">
        <v>4675</v>
      </c>
      <c r="H2305" s="15">
        <v>46147</v>
      </c>
      <c r="I2305" t="s">
        <v>4677</v>
      </c>
      <c r="J2305" t="s">
        <v>16</v>
      </c>
      <c r="K2305" t="s">
        <v>185</v>
      </c>
      <c r="N2305">
        <v>0</v>
      </c>
      <c r="O2305" t="s">
        <v>222</v>
      </c>
      <c r="P2305">
        <v>0</v>
      </c>
      <c r="U2305" s="15"/>
    </row>
    <row r="2306" spans="1:21" x14ac:dyDescent="0.35">
      <c r="A2306" t="s">
        <v>14</v>
      </c>
      <c r="B2306" t="s">
        <v>3247</v>
      </c>
      <c r="C2306" t="s">
        <v>515</v>
      </c>
      <c r="D2306" t="s">
        <v>516</v>
      </c>
      <c r="E2306" t="s">
        <v>517</v>
      </c>
      <c r="F2306" t="s">
        <v>4305</v>
      </c>
      <c r="G2306" t="s">
        <v>4678</v>
      </c>
      <c r="H2306" s="15">
        <v>46148</v>
      </c>
      <c r="I2306" t="s">
        <v>4679</v>
      </c>
      <c r="J2306" t="s">
        <v>16</v>
      </c>
      <c r="K2306" t="s">
        <v>185</v>
      </c>
      <c r="N2306">
        <v>0</v>
      </c>
      <c r="O2306" t="s">
        <v>222</v>
      </c>
      <c r="P2306">
        <v>0</v>
      </c>
      <c r="U2306" s="15"/>
    </row>
    <row r="2307" spans="1:21" x14ac:dyDescent="0.35">
      <c r="A2307" t="s">
        <v>14</v>
      </c>
      <c r="B2307" t="s">
        <v>2398</v>
      </c>
      <c r="C2307" t="s">
        <v>667</v>
      </c>
      <c r="D2307" t="s">
        <v>668</v>
      </c>
      <c r="E2307" t="s">
        <v>669</v>
      </c>
      <c r="F2307" t="s">
        <v>2399</v>
      </c>
      <c r="G2307" t="s">
        <v>2958</v>
      </c>
      <c r="H2307" s="15">
        <v>46160</v>
      </c>
      <c r="I2307" t="s">
        <v>2966</v>
      </c>
      <c r="J2307" t="s">
        <v>16</v>
      </c>
      <c r="K2307" t="s">
        <v>185</v>
      </c>
      <c r="N2307">
        <v>0</v>
      </c>
      <c r="O2307" t="s">
        <v>222</v>
      </c>
      <c r="P2307">
        <v>0</v>
      </c>
      <c r="U2307" s="15"/>
    </row>
    <row r="2308" spans="1:21" x14ac:dyDescent="0.35">
      <c r="A2308" t="s">
        <v>14</v>
      </c>
      <c r="B2308" t="s">
        <v>2398</v>
      </c>
      <c r="C2308" t="s">
        <v>515</v>
      </c>
      <c r="D2308" t="s">
        <v>516</v>
      </c>
      <c r="E2308" t="s">
        <v>517</v>
      </c>
      <c r="F2308" t="s">
        <v>2399</v>
      </c>
      <c r="G2308" t="s">
        <v>2967</v>
      </c>
      <c r="H2308" s="15">
        <v>46161</v>
      </c>
      <c r="I2308" t="s">
        <v>2968</v>
      </c>
      <c r="J2308" t="s">
        <v>16</v>
      </c>
      <c r="K2308" t="s">
        <v>185</v>
      </c>
      <c r="N2308">
        <v>0</v>
      </c>
      <c r="O2308" t="s">
        <v>222</v>
      </c>
      <c r="P2308">
        <v>0</v>
      </c>
      <c r="U2308" s="15"/>
    </row>
    <row r="2309" spans="1:21" x14ac:dyDescent="0.35">
      <c r="A2309" t="s">
        <v>14</v>
      </c>
      <c r="B2309" t="s">
        <v>3247</v>
      </c>
      <c r="C2309" t="s">
        <v>1255</v>
      </c>
      <c r="D2309" t="s">
        <v>1256</v>
      </c>
      <c r="E2309" t="s">
        <v>1257</v>
      </c>
      <c r="F2309" t="s">
        <v>4305</v>
      </c>
      <c r="G2309" t="s">
        <v>4678</v>
      </c>
      <c r="H2309" s="15">
        <v>46148</v>
      </c>
      <c r="I2309" t="s">
        <v>4680</v>
      </c>
      <c r="J2309" t="s">
        <v>16</v>
      </c>
      <c r="K2309" t="s">
        <v>185</v>
      </c>
      <c r="N2309">
        <v>0</v>
      </c>
      <c r="O2309" t="s">
        <v>222</v>
      </c>
      <c r="P2309">
        <v>0</v>
      </c>
      <c r="U2309" s="15"/>
    </row>
    <row r="2310" spans="1:21" x14ac:dyDescent="0.35">
      <c r="A2310" t="s">
        <v>14</v>
      </c>
      <c r="B2310" t="s">
        <v>3247</v>
      </c>
      <c r="C2310" t="s">
        <v>1255</v>
      </c>
      <c r="D2310" t="s">
        <v>1256</v>
      </c>
      <c r="E2310" t="s">
        <v>1257</v>
      </c>
      <c r="F2310" t="s">
        <v>4305</v>
      </c>
      <c r="G2310" t="s">
        <v>4681</v>
      </c>
      <c r="H2310" s="15">
        <v>46149</v>
      </c>
      <c r="I2310" t="s">
        <v>4682</v>
      </c>
      <c r="J2310" t="s">
        <v>16</v>
      </c>
      <c r="K2310" t="s">
        <v>185</v>
      </c>
      <c r="N2310">
        <v>0</v>
      </c>
      <c r="O2310" t="s">
        <v>222</v>
      </c>
      <c r="P2310">
        <v>0</v>
      </c>
      <c r="U2310" s="15"/>
    </row>
    <row r="2311" spans="1:21" x14ac:dyDescent="0.35">
      <c r="A2311" t="s">
        <v>14</v>
      </c>
      <c r="B2311" t="s">
        <v>2398</v>
      </c>
      <c r="C2311" t="s">
        <v>1255</v>
      </c>
      <c r="D2311" t="s">
        <v>1256</v>
      </c>
      <c r="E2311" t="s">
        <v>1257</v>
      </c>
      <c r="F2311" t="s">
        <v>2399</v>
      </c>
      <c r="G2311" t="s">
        <v>2967</v>
      </c>
      <c r="H2311" s="15">
        <v>46161</v>
      </c>
      <c r="I2311" t="s">
        <v>2969</v>
      </c>
      <c r="J2311" t="s">
        <v>16</v>
      </c>
      <c r="K2311" t="s">
        <v>185</v>
      </c>
      <c r="N2311">
        <v>0</v>
      </c>
      <c r="O2311" t="s">
        <v>222</v>
      </c>
      <c r="P2311">
        <v>0</v>
      </c>
      <c r="U2311" s="15"/>
    </row>
    <row r="2312" spans="1:21" x14ac:dyDescent="0.35">
      <c r="A2312" t="s">
        <v>14</v>
      </c>
      <c r="B2312" t="s">
        <v>2398</v>
      </c>
      <c r="C2312" t="s">
        <v>658</v>
      </c>
      <c r="D2312" t="s">
        <v>659</v>
      </c>
      <c r="E2312" t="s">
        <v>660</v>
      </c>
      <c r="F2312" t="s">
        <v>2399</v>
      </c>
      <c r="G2312" t="s">
        <v>2974</v>
      </c>
      <c r="H2312" s="15">
        <v>46162</v>
      </c>
      <c r="I2312" t="s">
        <v>2975</v>
      </c>
      <c r="J2312" t="s">
        <v>16</v>
      </c>
      <c r="K2312" t="s">
        <v>185</v>
      </c>
      <c r="N2312">
        <v>0</v>
      </c>
      <c r="O2312" t="s">
        <v>222</v>
      </c>
      <c r="P2312">
        <v>0</v>
      </c>
      <c r="U2312" s="15"/>
    </row>
    <row r="2313" spans="1:21" x14ac:dyDescent="0.35">
      <c r="A2313" t="s">
        <v>14</v>
      </c>
      <c r="B2313" t="s">
        <v>2398</v>
      </c>
      <c r="C2313" t="s">
        <v>1255</v>
      </c>
      <c r="D2313" t="s">
        <v>1256</v>
      </c>
      <c r="E2313" t="s">
        <v>1257</v>
      </c>
      <c r="F2313" t="s">
        <v>2399</v>
      </c>
      <c r="G2313" t="s">
        <v>2974</v>
      </c>
      <c r="H2313" s="15">
        <v>46162</v>
      </c>
      <c r="I2313" t="s">
        <v>2976</v>
      </c>
      <c r="J2313" t="s">
        <v>16</v>
      </c>
      <c r="K2313" t="s">
        <v>185</v>
      </c>
      <c r="N2313">
        <v>0</v>
      </c>
      <c r="O2313" t="s">
        <v>222</v>
      </c>
      <c r="P2313">
        <v>0</v>
      </c>
      <c r="U2313" s="15"/>
    </row>
    <row r="2314" spans="1:21" x14ac:dyDescent="0.35">
      <c r="A2314" t="s">
        <v>14</v>
      </c>
      <c r="B2314" t="s">
        <v>3247</v>
      </c>
      <c r="C2314" t="s">
        <v>880</v>
      </c>
      <c r="D2314" t="s">
        <v>881</v>
      </c>
      <c r="E2314" t="s">
        <v>882</v>
      </c>
      <c r="F2314" t="s">
        <v>4305</v>
      </c>
      <c r="G2314" t="s">
        <v>4683</v>
      </c>
      <c r="H2314" s="15">
        <v>46150</v>
      </c>
      <c r="I2314" t="s">
        <v>4684</v>
      </c>
      <c r="J2314" t="s">
        <v>16</v>
      </c>
      <c r="K2314" t="s">
        <v>185</v>
      </c>
      <c r="N2314">
        <v>0</v>
      </c>
      <c r="O2314" t="s">
        <v>222</v>
      </c>
      <c r="P2314">
        <v>0</v>
      </c>
      <c r="U2314" s="15"/>
    </row>
    <row r="2315" spans="1:21" x14ac:dyDescent="0.35">
      <c r="A2315" t="s">
        <v>14</v>
      </c>
      <c r="B2315" t="s">
        <v>3247</v>
      </c>
      <c r="C2315" t="s">
        <v>658</v>
      </c>
      <c r="D2315" t="s">
        <v>659</v>
      </c>
      <c r="E2315" t="s">
        <v>660</v>
      </c>
      <c r="F2315" t="s">
        <v>4305</v>
      </c>
      <c r="G2315" t="s">
        <v>4683</v>
      </c>
      <c r="H2315" s="15">
        <v>46150</v>
      </c>
      <c r="I2315" t="s">
        <v>4685</v>
      </c>
      <c r="J2315" t="s">
        <v>16</v>
      </c>
      <c r="K2315" t="s">
        <v>185</v>
      </c>
      <c r="N2315">
        <v>0</v>
      </c>
      <c r="O2315" t="s">
        <v>222</v>
      </c>
      <c r="P2315">
        <v>0</v>
      </c>
      <c r="U2315" s="15"/>
    </row>
    <row r="2316" spans="1:21" x14ac:dyDescent="0.35">
      <c r="A2316" t="s">
        <v>14</v>
      </c>
      <c r="B2316" t="s">
        <v>3247</v>
      </c>
      <c r="C2316" t="s">
        <v>816</v>
      </c>
      <c r="D2316" t="s">
        <v>817</v>
      </c>
      <c r="E2316" t="s">
        <v>818</v>
      </c>
      <c r="F2316" t="s">
        <v>4305</v>
      </c>
      <c r="G2316" t="s">
        <v>4686</v>
      </c>
      <c r="H2316" s="15">
        <v>46151</v>
      </c>
      <c r="I2316" t="s">
        <v>4687</v>
      </c>
      <c r="J2316" t="s">
        <v>16</v>
      </c>
      <c r="K2316" t="s">
        <v>185</v>
      </c>
      <c r="N2316">
        <v>0</v>
      </c>
      <c r="O2316" t="s">
        <v>222</v>
      </c>
      <c r="P2316">
        <v>0</v>
      </c>
      <c r="U2316" s="15"/>
    </row>
    <row r="2317" spans="1:21" x14ac:dyDescent="0.35">
      <c r="A2317" t="s">
        <v>14</v>
      </c>
      <c r="B2317" t="s">
        <v>2398</v>
      </c>
      <c r="C2317" t="s">
        <v>1255</v>
      </c>
      <c r="D2317" t="s">
        <v>1256</v>
      </c>
      <c r="E2317" t="s">
        <v>1257</v>
      </c>
      <c r="F2317" t="s">
        <v>2399</v>
      </c>
      <c r="G2317" t="s">
        <v>2981</v>
      </c>
      <c r="H2317" s="15">
        <v>46163</v>
      </c>
      <c r="I2317" t="s">
        <v>2982</v>
      </c>
      <c r="J2317" t="s">
        <v>16</v>
      </c>
      <c r="K2317" t="s">
        <v>185</v>
      </c>
      <c r="N2317">
        <v>0</v>
      </c>
      <c r="O2317" t="s">
        <v>222</v>
      </c>
      <c r="P2317">
        <v>0</v>
      </c>
      <c r="U2317" s="15"/>
    </row>
    <row r="2318" spans="1:21" x14ac:dyDescent="0.35">
      <c r="A2318" t="s">
        <v>14</v>
      </c>
      <c r="B2318" t="s">
        <v>2398</v>
      </c>
      <c r="C2318" t="s">
        <v>1255</v>
      </c>
      <c r="D2318" t="s">
        <v>1256</v>
      </c>
      <c r="E2318" t="s">
        <v>1257</v>
      </c>
      <c r="F2318" t="s">
        <v>2399</v>
      </c>
      <c r="G2318" t="s">
        <v>2983</v>
      </c>
      <c r="H2318" s="15">
        <v>46164</v>
      </c>
      <c r="I2318" t="s">
        <v>2984</v>
      </c>
      <c r="J2318" t="s">
        <v>16</v>
      </c>
      <c r="K2318" t="s">
        <v>185</v>
      </c>
      <c r="N2318">
        <v>0</v>
      </c>
      <c r="O2318" t="s">
        <v>222</v>
      </c>
      <c r="P2318">
        <v>0</v>
      </c>
      <c r="U2318" s="15"/>
    </row>
    <row r="2319" spans="1:21" x14ac:dyDescent="0.35">
      <c r="A2319" t="s">
        <v>14</v>
      </c>
      <c r="B2319" t="s">
        <v>2398</v>
      </c>
      <c r="C2319" t="s">
        <v>515</v>
      </c>
      <c r="D2319" t="s">
        <v>516</v>
      </c>
      <c r="E2319" t="s">
        <v>517</v>
      </c>
      <c r="F2319" t="s">
        <v>2399</v>
      </c>
      <c r="G2319" t="s">
        <v>2986</v>
      </c>
      <c r="H2319" s="15">
        <v>46167</v>
      </c>
      <c r="I2319" t="s">
        <v>2987</v>
      </c>
      <c r="J2319" t="s">
        <v>16</v>
      </c>
      <c r="K2319" t="s">
        <v>185</v>
      </c>
      <c r="N2319">
        <v>0</v>
      </c>
      <c r="O2319" t="s">
        <v>222</v>
      </c>
      <c r="P2319">
        <v>0</v>
      </c>
      <c r="U2319" s="15"/>
    </row>
    <row r="2320" spans="1:21" x14ac:dyDescent="0.35">
      <c r="A2320" t="s">
        <v>14</v>
      </c>
      <c r="B2320" t="s">
        <v>3247</v>
      </c>
      <c r="C2320" t="s">
        <v>515</v>
      </c>
      <c r="D2320" t="s">
        <v>516</v>
      </c>
      <c r="E2320" t="s">
        <v>517</v>
      </c>
      <c r="F2320" t="s">
        <v>4305</v>
      </c>
      <c r="G2320" t="s">
        <v>4688</v>
      </c>
      <c r="H2320" s="15">
        <v>46153</v>
      </c>
      <c r="I2320" t="s">
        <v>4689</v>
      </c>
      <c r="J2320" t="s">
        <v>16</v>
      </c>
      <c r="K2320" t="s">
        <v>185</v>
      </c>
      <c r="N2320">
        <v>0</v>
      </c>
      <c r="O2320" t="s">
        <v>222</v>
      </c>
      <c r="P2320">
        <v>0</v>
      </c>
      <c r="U2320" s="15"/>
    </row>
    <row r="2321" spans="1:21" x14ac:dyDescent="0.35">
      <c r="A2321" t="s">
        <v>14</v>
      </c>
      <c r="B2321" t="s">
        <v>3247</v>
      </c>
      <c r="C2321" t="s">
        <v>716</v>
      </c>
      <c r="D2321" t="s">
        <v>717</v>
      </c>
      <c r="E2321" t="s">
        <v>718</v>
      </c>
      <c r="F2321" t="s">
        <v>4305</v>
      </c>
      <c r="G2321" t="s">
        <v>4688</v>
      </c>
      <c r="H2321" s="15">
        <v>46153</v>
      </c>
      <c r="I2321" t="s">
        <v>4690</v>
      </c>
      <c r="J2321" t="s">
        <v>16</v>
      </c>
      <c r="K2321" t="s">
        <v>185</v>
      </c>
      <c r="N2321">
        <v>0</v>
      </c>
      <c r="O2321" t="s">
        <v>222</v>
      </c>
      <c r="P2321">
        <v>0</v>
      </c>
      <c r="U2321" s="15"/>
    </row>
    <row r="2322" spans="1:21" x14ac:dyDescent="0.35">
      <c r="A2322" t="s">
        <v>14</v>
      </c>
      <c r="B2322" t="s">
        <v>3247</v>
      </c>
      <c r="C2322" t="s">
        <v>515</v>
      </c>
      <c r="D2322" t="s">
        <v>516</v>
      </c>
      <c r="E2322" t="s">
        <v>517</v>
      </c>
      <c r="F2322" t="s">
        <v>4305</v>
      </c>
      <c r="G2322" t="s">
        <v>4691</v>
      </c>
      <c r="H2322" s="15">
        <v>46154</v>
      </c>
      <c r="I2322" t="s">
        <v>4692</v>
      </c>
      <c r="J2322" t="s">
        <v>16</v>
      </c>
      <c r="K2322" t="s">
        <v>185</v>
      </c>
      <c r="N2322">
        <v>0</v>
      </c>
      <c r="O2322" t="s">
        <v>222</v>
      </c>
      <c r="P2322">
        <v>0</v>
      </c>
      <c r="U2322" s="15"/>
    </row>
    <row r="2323" spans="1:21" x14ac:dyDescent="0.35">
      <c r="A2323" t="s">
        <v>14</v>
      </c>
      <c r="B2323" t="s">
        <v>2398</v>
      </c>
      <c r="C2323" t="s">
        <v>1255</v>
      </c>
      <c r="D2323" t="s">
        <v>1256</v>
      </c>
      <c r="E2323" t="s">
        <v>1257</v>
      </c>
      <c r="F2323" t="s">
        <v>2399</v>
      </c>
      <c r="G2323" t="s">
        <v>2986</v>
      </c>
      <c r="H2323" s="15">
        <v>46167</v>
      </c>
      <c r="I2323" t="s">
        <v>2992</v>
      </c>
      <c r="J2323" t="s">
        <v>16</v>
      </c>
      <c r="K2323" t="s">
        <v>185</v>
      </c>
      <c r="N2323">
        <v>0</v>
      </c>
      <c r="O2323" t="s">
        <v>222</v>
      </c>
      <c r="P2323">
        <v>0</v>
      </c>
      <c r="U2323" s="15"/>
    </row>
    <row r="2324" spans="1:21" x14ac:dyDescent="0.35">
      <c r="A2324" t="s">
        <v>14</v>
      </c>
      <c r="B2324" t="s">
        <v>2398</v>
      </c>
      <c r="C2324" t="s">
        <v>1255</v>
      </c>
      <c r="D2324" t="s">
        <v>1256</v>
      </c>
      <c r="E2324" t="s">
        <v>1257</v>
      </c>
      <c r="F2324" t="s">
        <v>2399</v>
      </c>
      <c r="G2324" t="s">
        <v>2986</v>
      </c>
      <c r="H2324" s="15">
        <v>46167</v>
      </c>
      <c r="I2324" t="s">
        <v>2992</v>
      </c>
      <c r="J2324" t="s">
        <v>16</v>
      </c>
      <c r="K2324" t="s">
        <v>185</v>
      </c>
      <c r="N2324">
        <v>0</v>
      </c>
      <c r="O2324" t="s">
        <v>222</v>
      </c>
      <c r="P2324">
        <v>0</v>
      </c>
      <c r="U2324" s="15"/>
    </row>
    <row r="2325" spans="1:21" x14ac:dyDescent="0.35">
      <c r="A2325" t="s">
        <v>14</v>
      </c>
      <c r="B2325" t="s">
        <v>2398</v>
      </c>
      <c r="C2325" t="s">
        <v>515</v>
      </c>
      <c r="D2325" t="s">
        <v>516</v>
      </c>
      <c r="E2325" t="s">
        <v>517</v>
      </c>
      <c r="F2325" t="s">
        <v>2399</v>
      </c>
      <c r="G2325" t="s">
        <v>2993</v>
      </c>
      <c r="H2325" s="15">
        <v>46168</v>
      </c>
      <c r="I2325" t="s">
        <v>2994</v>
      </c>
      <c r="J2325" t="s">
        <v>16</v>
      </c>
      <c r="K2325" t="s">
        <v>185</v>
      </c>
      <c r="N2325">
        <v>0</v>
      </c>
      <c r="O2325" t="s">
        <v>222</v>
      </c>
      <c r="P2325">
        <v>0</v>
      </c>
      <c r="U2325" s="15"/>
    </row>
    <row r="2326" spans="1:21" x14ac:dyDescent="0.35">
      <c r="A2326" t="s">
        <v>14</v>
      </c>
      <c r="B2326" t="s">
        <v>3247</v>
      </c>
      <c r="C2326" t="s">
        <v>667</v>
      </c>
      <c r="D2326" t="s">
        <v>668</v>
      </c>
      <c r="E2326" t="s">
        <v>669</v>
      </c>
      <c r="F2326" t="s">
        <v>4305</v>
      </c>
      <c r="G2326" t="s">
        <v>4691</v>
      </c>
      <c r="H2326" s="15">
        <v>46154</v>
      </c>
      <c r="I2326" t="s">
        <v>4693</v>
      </c>
      <c r="J2326" t="s">
        <v>16</v>
      </c>
      <c r="K2326" t="s">
        <v>185</v>
      </c>
      <c r="N2326">
        <v>0</v>
      </c>
      <c r="O2326" t="s">
        <v>222</v>
      </c>
      <c r="P2326">
        <v>0</v>
      </c>
      <c r="U2326" s="15"/>
    </row>
    <row r="2327" spans="1:21" x14ac:dyDescent="0.35">
      <c r="A2327" t="s">
        <v>14</v>
      </c>
      <c r="B2327" t="s">
        <v>3247</v>
      </c>
      <c r="C2327" t="s">
        <v>515</v>
      </c>
      <c r="D2327" t="s">
        <v>516</v>
      </c>
      <c r="E2327" t="s">
        <v>517</v>
      </c>
      <c r="F2327" t="s">
        <v>4305</v>
      </c>
      <c r="G2327" t="s">
        <v>4694</v>
      </c>
      <c r="H2327" s="15">
        <v>46155</v>
      </c>
      <c r="I2327" t="s">
        <v>4695</v>
      </c>
      <c r="J2327" t="s">
        <v>16</v>
      </c>
      <c r="K2327" t="s">
        <v>185</v>
      </c>
      <c r="N2327">
        <v>0</v>
      </c>
      <c r="O2327" t="s">
        <v>222</v>
      </c>
      <c r="P2327">
        <v>0</v>
      </c>
      <c r="U2327" s="15"/>
    </row>
    <row r="2328" spans="1:21" x14ac:dyDescent="0.35">
      <c r="A2328" t="s">
        <v>14</v>
      </c>
      <c r="B2328" t="s">
        <v>2398</v>
      </c>
      <c r="C2328" t="s">
        <v>667</v>
      </c>
      <c r="D2328" t="s">
        <v>668</v>
      </c>
      <c r="E2328" t="s">
        <v>669</v>
      </c>
      <c r="F2328" t="s">
        <v>2399</v>
      </c>
      <c r="G2328" t="s">
        <v>2993</v>
      </c>
      <c r="H2328" s="15">
        <v>46168</v>
      </c>
      <c r="I2328" t="s">
        <v>2995</v>
      </c>
      <c r="J2328" t="s">
        <v>16</v>
      </c>
      <c r="K2328" t="s">
        <v>185</v>
      </c>
      <c r="N2328">
        <v>0</v>
      </c>
      <c r="O2328" t="s">
        <v>222</v>
      </c>
      <c r="P2328">
        <v>0</v>
      </c>
      <c r="U2328" s="15"/>
    </row>
    <row r="2329" spans="1:21" x14ac:dyDescent="0.35">
      <c r="A2329" t="s">
        <v>14</v>
      </c>
      <c r="B2329" t="s">
        <v>2398</v>
      </c>
      <c r="C2329" t="s">
        <v>515</v>
      </c>
      <c r="D2329" t="s">
        <v>516</v>
      </c>
      <c r="E2329" t="s">
        <v>517</v>
      </c>
      <c r="F2329" t="s">
        <v>2399</v>
      </c>
      <c r="G2329" t="s">
        <v>2996</v>
      </c>
      <c r="H2329" s="15">
        <v>46169</v>
      </c>
      <c r="I2329" t="s">
        <v>2997</v>
      </c>
      <c r="J2329" t="s">
        <v>16</v>
      </c>
      <c r="K2329" t="s">
        <v>185</v>
      </c>
      <c r="N2329">
        <v>0</v>
      </c>
      <c r="O2329" t="s">
        <v>222</v>
      </c>
      <c r="P2329">
        <v>0</v>
      </c>
      <c r="U2329" s="15"/>
    </row>
    <row r="2330" spans="1:21" x14ac:dyDescent="0.35">
      <c r="A2330" t="s">
        <v>14</v>
      </c>
      <c r="B2330" t="s">
        <v>2398</v>
      </c>
      <c r="C2330" t="s">
        <v>1255</v>
      </c>
      <c r="D2330" t="s">
        <v>1256</v>
      </c>
      <c r="E2330" t="s">
        <v>1257</v>
      </c>
      <c r="F2330" t="s">
        <v>2399</v>
      </c>
      <c r="G2330" t="s">
        <v>2996</v>
      </c>
      <c r="H2330" s="15">
        <v>46169</v>
      </c>
      <c r="I2330" t="s">
        <v>2998</v>
      </c>
      <c r="J2330" t="s">
        <v>16</v>
      </c>
      <c r="K2330" t="s">
        <v>185</v>
      </c>
      <c r="N2330">
        <v>0</v>
      </c>
      <c r="O2330" t="s">
        <v>222</v>
      </c>
      <c r="P2330">
        <v>0</v>
      </c>
      <c r="U2330" s="15"/>
    </row>
    <row r="2331" spans="1:21" x14ac:dyDescent="0.35">
      <c r="A2331" t="s">
        <v>14</v>
      </c>
      <c r="B2331" t="s">
        <v>3247</v>
      </c>
      <c r="C2331" t="s">
        <v>1255</v>
      </c>
      <c r="D2331" t="s">
        <v>1256</v>
      </c>
      <c r="E2331" t="s">
        <v>1257</v>
      </c>
      <c r="F2331" t="s">
        <v>4305</v>
      </c>
      <c r="G2331" t="s">
        <v>4694</v>
      </c>
      <c r="H2331" s="15">
        <v>46155</v>
      </c>
      <c r="I2331" t="s">
        <v>4696</v>
      </c>
      <c r="J2331" t="s">
        <v>16</v>
      </c>
      <c r="K2331" t="s">
        <v>185</v>
      </c>
      <c r="N2331">
        <v>0</v>
      </c>
      <c r="O2331" t="s">
        <v>222</v>
      </c>
      <c r="P2331">
        <v>0</v>
      </c>
      <c r="U2331" s="15"/>
    </row>
    <row r="2332" spans="1:21" x14ac:dyDescent="0.35">
      <c r="A2332" t="s">
        <v>14</v>
      </c>
      <c r="B2332" t="s">
        <v>3247</v>
      </c>
      <c r="C2332" t="s">
        <v>515</v>
      </c>
      <c r="D2332" t="s">
        <v>516</v>
      </c>
      <c r="E2332" t="s">
        <v>517</v>
      </c>
      <c r="F2332" t="s">
        <v>4305</v>
      </c>
      <c r="G2332" t="s">
        <v>4697</v>
      </c>
      <c r="H2332" s="15">
        <v>46156</v>
      </c>
      <c r="I2332" t="s">
        <v>4698</v>
      </c>
      <c r="J2332" t="s">
        <v>16</v>
      </c>
      <c r="K2332" t="s">
        <v>185</v>
      </c>
      <c r="N2332">
        <v>0</v>
      </c>
      <c r="O2332" t="s">
        <v>222</v>
      </c>
      <c r="P2332">
        <v>0</v>
      </c>
      <c r="U2332" s="15"/>
    </row>
    <row r="2333" spans="1:21" x14ac:dyDescent="0.35">
      <c r="A2333" t="s">
        <v>14</v>
      </c>
      <c r="B2333" t="s">
        <v>2398</v>
      </c>
      <c r="C2333" t="s">
        <v>515</v>
      </c>
      <c r="D2333" t="s">
        <v>516</v>
      </c>
      <c r="E2333" t="s">
        <v>517</v>
      </c>
      <c r="F2333" t="s">
        <v>2399</v>
      </c>
      <c r="G2333" t="s">
        <v>3005</v>
      </c>
      <c r="H2333" s="15">
        <v>46170</v>
      </c>
      <c r="I2333" t="s">
        <v>3006</v>
      </c>
      <c r="J2333" t="s">
        <v>16</v>
      </c>
      <c r="K2333" t="s">
        <v>185</v>
      </c>
      <c r="N2333">
        <v>0</v>
      </c>
      <c r="O2333" t="s">
        <v>222</v>
      </c>
      <c r="P2333">
        <v>0</v>
      </c>
      <c r="U2333" s="15"/>
    </row>
    <row r="2334" spans="1:21" x14ac:dyDescent="0.35">
      <c r="A2334" t="s">
        <v>14</v>
      </c>
      <c r="B2334" t="s">
        <v>3247</v>
      </c>
      <c r="C2334" t="s">
        <v>1255</v>
      </c>
      <c r="D2334" t="s">
        <v>1256</v>
      </c>
      <c r="E2334" t="s">
        <v>1257</v>
      </c>
      <c r="F2334" t="s">
        <v>4305</v>
      </c>
      <c r="G2334" t="s">
        <v>4697</v>
      </c>
      <c r="H2334" s="15">
        <v>46156</v>
      </c>
      <c r="I2334" t="s">
        <v>4699</v>
      </c>
      <c r="J2334" t="s">
        <v>16</v>
      </c>
      <c r="K2334" t="s">
        <v>185</v>
      </c>
      <c r="N2334">
        <v>0</v>
      </c>
      <c r="O2334" t="s">
        <v>222</v>
      </c>
      <c r="P2334">
        <v>0</v>
      </c>
      <c r="U2334" s="15"/>
    </row>
    <row r="2335" spans="1:21" x14ac:dyDescent="0.35">
      <c r="A2335" t="s">
        <v>14</v>
      </c>
      <c r="B2335" t="s">
        <v>3247</v>
      </c>
      <c r="C2335" t="s">
        <v>977</v>
      </c>
      <c r="D2335" t="s">
        <v>978</v>
      </c>
      <c r="E2335" t="s">
        <v>979</v>
      </c>
      <c r="F2335" t="s">
        <v>4305</v>
      </c>
      <c r="G2335" t="s">
        <v>4700</v>
      </c>
      <c r="H2335" s="15">
        <v>46157</v>
      </c>
      <c r="I2335" t="s">
        <v>4701</v>
      </c>
      <c r="J2335" t="s">
        <v>16</v>
      </c>
      <c r="K2335" t="s">
        <v>185</v>
      </c>
      <c r="N2335">
        <v>0</v>
      </c>
      <c r="O2335" t="s">
        <v>222</v>
      </c>
      <c r="P2335">
        <v>0</v>
      </c>
      <c r="U2335" s="15"/>
    </row>
    <row r="2336" spans="1:21" x14ac:dyDescent="0.35">
      <c r="A2336" t="s">
        <v>14</v>
      </c>
      <c r="B2336" t="s">
        <v>2398</v>
      </c>
      <c r="C2336" t="s">
        <v>1255</v>
      </c>
      <c r="D2336" t="s">
        <v>1256</v>
      </c>
      <c r="E2336" t="s">
        <v>1257</v>
      </c>
      <c r="F2336" t="s">
        <v>2399</v>
      </c>
      <c r="G2336" t="s">
        <v>3005</v>
      </c>
      <c r="H2336" s="15">
        <v>46170</v>
      </c>
      <c r="I2336" t="s">
        <v>3010</v>
      </c>
      <c r="J2336" t="s">
        <v>16</v>
      </c>
      <c r="K2336" t="s">
        <v>185</v>
      </c>
      <c r="N2336">
        <v>0</v>
      </c>
      <c r="O2336" t="s">
        <v>222</v>
      </c>
      <c r="P2336">
        <v>0</v>
      </c>
      <c r="U2336" s="15"/>
    </row>
    <row r="2337" spans="1:21" x14ac:dyDescent="0.35">
      <c r="A2337" t="s">
        <v>14</v>
      </c>
      <c r="B2337" t="s">
        <v>2398</v>
      </c>
      <c r="C2337" t="s">
        <v>515</v>
      </c>
      <c r="D2337" t="s">
        <v>516</v>
      </c>
      <c r="E2337" t="s">
        <v>517</v>
      </c>
      <c r="F2337" t="s">
        <v>2399</v>
      </c>
      <c r="G2337" t="s">
        <v>3011</v>
      </c>
      <c r="H2337" s="15">
        <v>46171</v>
      </c>
      <c r="I2337" t="s">
        <v>3012</v>
      </c>
      <c r="J2337" t="s">
        <v>16</v>
      </c>
      <c r="K2337" t="s">
        <v>185</v>
      </c>
      <c r="N2337">
        <v>0</v>
      </c>
      <c r="O2337" t="s">
        <v>222</v>
      </c>
      <c r="P2337">
        <v>0</v>
      </c>
      <c r="U2337" s="15"/>
    </row>
    <row r="2338" spans="1:21" x14ac:dyDescent="0.35">
      <c r="A2338" t="s">
        <v>14</v>
      </c>
      <c r="B2338" t="s">
        <v>2398</v>
      </c>
      <c r="C2338" t="s">
        <v>1255</v>
      </c>
      <c r="D2338" t="s">
        <v>1256</v>
      </c>
      <c r="E2338" t="s">
        <v>1257</v>
      </c>
      <c r="F2338" t="s">
        <v>2399</v>
      </c>
      <c r="G2338" t="s">
        <v>3011</v>
      </c>
      <c r="H2338" s="15">
        <v>46171</v>
      </c>
      <c r="I2338" t="s">
        <v>3013</v>
      </c>
      <c r="J2338" t="s">
        <v>16</v>
      </c>
      <c r="K2338" t="s">
        <v>185</v>
      </c>
      <c r="N2338">
        <v>0</v>
      </c>
      <c r="O2338" t="s">
        <v>222</v>
      </c>
      <c r="P2338">
        <v>0</v>
      </c>
      <c r="U2338" s="15"/>
    </row>
    <row r="2339" spans="1:21" x14ac:dyDescent="0.35">
      <c r="A2339" t="s">
        <v>14</v>
      </c>
      <c r="B2339" t="s">
        <v>2398</v>
      </c>
      <c r="C2339" t="s">
        <v>1255</v>
      </c>
      <c r="D2339" t="s">
        <v>1256</v>
      </c>
      <c r="E2339" t="s">
        <v>1257</v>
      </c>
      <c r="F2339" t="s">
        <v>2399</v>
      </c>
      <c r="G2339" t="s">
        <v>3014</v>
      </c>
      <c r="H2339" s="15">
        <v>46174</v>
      </c>
      <c r="I2339" t="s">
        <v>3015</v>
      </c>
      <c r="J2339" t="s">
        <v>16</v>
      </c>
      <c r="K2339" t="s">
        <v>185</v>
      </c>
      <c r="N2339">
        <v>0</v>
      </c>
      <c r="O2339" t="s">
        <v>222</v>
      </c>
      <c r="P2339">
        <v>0</v>
      </c>
      <c r="U2339" s="15"/>
    </row>
    <row r="2340" spans="1:21" x14ac:dyDescent="0.35">
      <c r="A2340" t="s">
        <v>14</v>
      </c>
      <c r="B2340" t="s">
        <v>3247</v>
      </c>
      <c r="C2340" t="s">
        <v>1255</v>
      </c>
      <c r="D2340" t="s">
        <v>1256</v>
      </c>
      <c r="E2340" t="s">
        <v>1257</v>
      </c>
      <c r="F2340" t="s">
        <v>4305</v>
      </c>
      <c r="G2340" t="s">
        <v>4700</v>
      </c>
      <c r="H2340" s="15">
        <v>46157</v>
      </c>
      <c r="I2340" t="s">
        <v>4702</v>
      </c>
      <c r="J2340" t="s">
        <v>16</v>
      </c>
      <c r="K2340" t="s">
        <v>185</v>
      </c>
      <c r="N2340">
        <v>0</v>
      </c>
      <c r="O2340" t="s">
        <v>222</v>
      </c>
      <c r="P2340">
        <v>0</v>
      </c>
      <c r="U2340" s="15"/>
    </row>
    <row r="2341" spans="1:21" x14ac:dyDescent="0.35">
      <c r="A2341" t="s">
        <v>14</v>
      </c>
      <c r="B2341" t="s">
        <v>3247</v>
      </c>
      <c r="C2341" t="s">
        <v>667</v>
      </c>
      <c r="D2341" t="s">
        <v>668</v>
      </c>
      <c r="E2341" t="s">
        <v>669</v>
      </c>
      <c r="F2341" t="s">
        <v>4305</v>
      </c>
      <c r="G2341" t="s">
        <v>4703</v>
      </c>
      <c r="H2341" s="15">
        <v>46158</v>
      </c>
      <c r="I2341" t="s">
        <v>4704</v>
      </c>
      <c r="J2341" t="s">
        <v>16</v>
      </c>
      <c r="K2341" t="s">
        <v>185</v>
      </c>
      <c r="N2341">
        <v>0</v>
      </c>
      <c r="O2341" t="s">
        <v>222</v>
      </c>
      <c r="P2341">
        <v>0</v>
      </c>
      <c r="U2341" s="15"/>
    </row>
    <row r="2342" spans="1:21" x14ac:dyDescent="0.35">
      <c r="A2342" t="s">
        <v>14</v>
      </c>
      <c r="B2342" t="s">
        <v>2398</v>
      </c>
      <c r="C2342" t="s">
        <v>977</v>
      </c>
      <c r="D2342" t="s">
        <v>978</v>
      </c>
      <c r="E2342" t="s">
        <v>979</v>
      </c>
      <c r="F2342" t="s">
        <v>2399</v>
      </c>
      <c r="G2342" t="s">
        <v>3016</v>
      </c>
      <c r="H2342" s="15">
        <v>46175</v>
      </c>
      <c r="I2342" t="s">
        <v>3017</v>
      </c>
      <c r="J2342" t="s">
        <v>16</v>
      </c>
      <c r="K2342" t="s">
        <v>185</v>
      </c>
      <c r="N2342">
        <v>0</v>
      </c>
      <c r="O2342" t="s">
        <v>222</v>
      </c>
      <c r="P2342">
        <v>0</v>
      </c>
      <c r="U2342" s="15"/>
    </row>
    <row r="2343" spans="1:21" x14ac:dyDescent="0.35">
      <c r="A2343" t="s">
        <v>14</v>
      </c>
      <c r="B2343" t="s">
        <v>2398</v>
      </c>
      <c r="C2343" t="s">
        <v>737</v>
      </c>
      <c r="D2343" t="s">
        <v>738</v>
      </c>
      <c r="E2343" t="s">
        <v>739</v>
      </c>
      <c r="F2343" t="s">
        <v>2399</v>
      </c>
      <c r="G2343" t="s">
        <v>3016</v>
      </c>
      <c r="H2343" s="15">
        <v>46175</v>
      </c>
      <c r="I2343" t="s">
        <v>3018</v>
      </c>
      <c r="J2343" t="s">
        <v>16</v>
      </c>
      <c r="K2343" t="s">
        <v>185</v>
      </c>
      <c r="N2343">
        <v>0</v>
      </c>
      <c r="O2343" t="s">
        <v>222</v>
      </c>
      <c r="P2343">
        <v>0</v>
      </c>
      <c r="U2343" s="15"/>
    </row>
    <row r="2344" spans="1:21" x14ac:dyDescent="0.35">
      <c r="A2344" t="s">
        <v>14</v>
      </c>
      <c r="B2344" t="s">
        <v>2398</v>
      </c>
      <c r="C2344" t="s">
        <v>697</v>
      </c>
      <c r="D2344" t="s">
        <v>698</v>
      </c>
      <c r="E2344" t="s">
        <v>699</v>
      </c>
      <c r="F2344" t="s">
        <v>2399</v>
      </c>
      <c r="G2344" t="s">
        <v>3016</v>
      </c>
      <c r="H2344" s="15">
        <v>46175</v>
      </c>
      <c r="I2344" t="s">
        <v>3019</v>
      </c>
      <c r="J2344" t="s">
        <v>16</v>
      </c>
      <c r="K2344" t="s">
        <v>185</v>
      </c>
      <c r="N2344">
        <v>0</v>
      </c>
      <c r="O2344" t="s">
        <v>222</v>
      </c>
      <c r="P2344">
        <v>0</v>
      </c>
      <c r="U2344" s="15"/>
    </row>
    <row r="2345" spans="1:21" x14ac:dyDescent="0.35">
      <c r="A2345" t="s">
        <v>14</v>
      </c>
      <c r="B2345" t="s">
        <v>2398</v>
      </c>
      <c r="C2345" t="s">
        <v>977</v>
      </c>
      <c r="D2345" t="s">
        <v>978</v>
      </c>
      <c r="E2345" t="s">
        <v>979</v>
      </c>
      <c r="F2345" t="s">
        <v>2399</v>
      </c>
      <c r="G2345" t="s">
        <v>3020</v>
      </c>
      <c r="H2345" s="15">
        <v>46177</v>
      </c>
      <c r="I2345" t="s">
        <v>3021</v>
      </c>
      <c r="J2345" t="s">
        <v>16</v>
      </c>
      <c r="K2345" t="s">
        <v>185</v>
      </c>
      <c r="N2345">
        <v>0</v>
      </c>
      <c r="O2345" t="s">
        <v>222</v>
      </c>
      <c r="P2345">
        <v>0</v>
      </c>
      <c r="U2345" s="15"/>
    </row>
    <row r="2346" spans="1:21" x14ac:dyDescent="0.35">
      <c r="A2346" t="s">
        <v>14</v>
      </c>
      <c r="B2346" t="s">
        <v>2398</v>
      </c>
      <c r="C2346" t="s">
        <v>977</v>
      </c>
      <c r="D2346" t="s">
        <v>978</v>
      </c>
      <c r="E2346" t="s">
        <v>979</v>
      </c>
      <c r="F2346" t="s">
        <v>2399</v>
      </c>
      <c r="G2346" t="s">
        <v>3020</v>
      </c>
      <c r="H2346" s="15">
        <v>46177</v>
      </c>
      <c r="I2346" t="s">
        <v>3021</v>
      </c>
      <c r="J2346" t="s">
        <v>16</v>
      </c>
      <c r="K2346" t="s">
        <v>185</v>
      </c>
      <c r="N2346">
        <v>0</v>
      </c>
      <c r="O2346" t="s">
        <v>222</v>
      </c>
      <c r="P2346">
        <v>0</v>
      </c>
      <c r="U2346" s="15"/>
    </row>
    <row r="2347" spans="1:21" x14ac:dyDescent="0.35">
      <c r="A2347" t="s">
        <v>14</v>
      </c>
      <c r="B2347" t="s">
        <v>3247</v>
      </c>
      <c r="C2347" t="s">
        <v>515</v>
      </c>
      <c r="D2347" t="s">
        <v>516</v>
      </c>
      <c r="E2347" t="s">
        <v>517</v>
      </c>
      <c r="F2347" t="s">
        <v>4305</v>
      </c>
      <c r="G2347" t="s">
        <v>4705</v>
      </c>
      <c r="H2347" s="15">
        <v>46161</v>
      </c>
      <c r="I2347" t="s">
        <v>4706</v>
      </c>
      <c r="J2347" t="s">
        <v>16</v>
      </c>
      <c r="K2347" t="s">
        <v>185</v>
      </c>
      <c r="N2347">
        <v>0</v>
      </c>
      <c r="O2347" t="s">
        <v>222</v>
      </c>
      <c r="P2347">
        <v>0</v>
      </c>
      <c r="U2347" s="15"/>
    </row>
    <row r="2348" spans="1:21" x14ac:dyDescent="0.35">
      <c r="A2348" t="s">
        <v>14</v>
      </c>
      <c r="B2348" t="s">
        <v>3247</v>
      </c>
      <c r="C2348" t="s">
        <v>777</v>
      </c>
      <c r="D2348" t="s">
        <v>778</v>
      </c>
      <c r="E2348" t="s">
        <v>779</v>
      </c>
      <c r="F2348" t="s">
        <v>4305</v>
      </c>
      <c r="G2348" t="s">
        <v>4705</v>
      </c>
      <c r="H2348" s="15">
        <v>46161</v>
      </c>
      <c r="I2348" t="s">
        <v>4707</v>
      </c>
      <c r="J2348" t="s">
        <v>16</v>
      </c>
      <c r="K2348" t="s">
        <v>185</v>
      </c>
      <c r="N2348">
        <v>0</v>
      </c>
      <c r="O2348" t="s">
        <v>222</v>
      </c>
      <c r="P2348">
        <v>0</v>
      </c>
      <c r="U2348" s="15"/>
    </row>
    <row r="2349" spans="1:21" x14ac:dyDescent="0.35">
      <c r="A2349" t="s">
        <v>14</v>
      </c>
      <c r="B2349" t="s">
        <v>3247</v>
      </c>
      <c r="C2349" t="s">
        <v>515</v>
      </c>
      <c r="D2349" t="s">
        <v>516</v>
      </c>
      <c r="E2349" t="s">
        <v>517</v>
      </c>
      <c r="F2349" t="s">
        <v>4305</v>
      </c>
      <c r="G2349" t="s">
        <v>4708</v>
      </c>
      <c r="H2349" s="15">
        <v>46162</v>
      </c>
      <c r="I2349" t="s">
        <v>4709</v>
      </c>
      <c r="J2349" t="s">
        <v>16</v>
      </c>
      <c r="K2349" t="s">
        <v>185</v>
      </c>
      <c r="N2349">
        <v>0</v>
      </c>
      <c r="O2349" t="s">
        <v>222</v>
      </c>
      <c r="P2349">
        <v>0</v>
      </c>
      <c r="U2349" s="15"/>
    </row>
    <row r="2350" spans="1:21" x14ac:dyDescent="0.35">
      <c r="A2350" t="s">
        <v>14</v>
      </c>
      <c r="B2350" t="s">
        <v>2398</v>
      </c>
      <c r="C2350" t="s">
        <v>1255</v>
      </c>
      <c r="D2350" t="s">
        <v>1256</v>
      </c>
      <c r="E2350" t="s">
        <v>1257</v>
      </c>
      <c r="F2350" t="s">
        <v>2399</v>
      </c>
      <c r="G2350" t="s">
        <v>3020</v>
      </c>
      <c r="H2350" s="15">
        <v>46177</v>
      </c>
      <c r="I2350" t="s">
        <v>3022</v>
      </c>
      <c r="J2350" t="s">
        <v>16</v>
      </c>
      <c r="K2350" t="s">
        <v>185</v>
      </c>
      <c r="N2350">
        <v>0</v>
      </c>
      <c r="O2350" t="s">
        <v>222</v>
      </c>
      <c r="P2350">
        <v>0</v>
      </c>
      <c r="U2350" s="15"/>
    </row>
    <row r="2351" spans="1:21" x14ac:dyDescent="0.35">
      <c r="A2351" t="s">
        <v>14</v>
      </c>
      <c r="B2351" t="s">
        <v>2398</v>
      </c>
      <c r="C2351" t="s">
        <v>515</v>
      </c>
      <c r="D2351" t="s">
        <v>516</v>
      </c>
      <c r="E2351" t="s">
        <v>517</v>
      </c>
      <c r="F2351" t="s">
        <v>2399</v>
      </c>
      <c r="G2351" t="s">
        <v>3023</v>
      </c>
      <c r="H2351" s="15">
        <v>46178</v>
      </c>
      <c r="I2351" t="s">
        <v>3024</v>
      </c>
      <c r="J2351" t="s">
        <v>16</v>
      </c>
      <c r="K2351" t="s">
        <v>185</v>
      </c>
      <c r="N2351">
        <v>0</v>
      </c>
      <c r="O2351" t="s">
        <v>222</v>
      </c>
      <c r="P2351">
        <v>0</v>
      </c>
      <c r="U2351" s="15"/>
    </row>
    <row r="2352" spans="1:21" x14ac:dyDescent="0.35">
      <c r="A2352" t="s">
        <v>14</v>
      </c>
      <c r="B2352" t="s">
        <v>3247</v>
      </c>
      <c r="C2352" t="s">
        <v>1255</v>
      </c>
      <c r="D2352" t="s">
        <v>1256</v>
      </c>
      <c r="E2352" t="s">
        <v>1257</v>
      </c>
      <c r="F2352" t="s">
        <v>4305</v>
      </c>
      <c r="G2352" t="s">
        <v>4708</v>
      </c>
      <c r="H2352" s="15">
        <v>46162</v>
      </c>
      <c r="I2352" t="s">
        <v>4710</v>
      </c>
      <c r="J2352" t="s">
        <v>16</v>
      </c>
      <c r="K2352" t="s">
        <v>185</v>
      </c>
      <c r="N2352">
        <v>0</v>
      </c>
      <c r="O2352" t="s">
        <v>222</v>
      </c>
      <c r="P2352">
        <v>0</v>
      </c>
      <c r="U2352" s="15"/>
    </row>
    <row r="2353" spans="1:21" x14ac:dyDescent="0.35">
      <c r="A2353" t="s">
        <v>14</v>
      </c>
      <c r="B2353" t="s">
        <v>3247</v>
      </c>
      <c r="C2353" t="s">
        <v>515</v>
      </c>
      <c r="D2353" t="s">
        <v>516</v>
      </c>
      <c r="E2353" t="s">
        <v>517</v>
      </c>
      <c r="F2353" t="s">
        <v>4305</v>
      </c>
      <c r="G2353" t="s">
        <v>4711</v>
      </c>
      <c r="H2353" s="15">
        <v>46163</v>
      </c>
      <c r="I2353" t="s">
        <v>4712</v>
      </c>
      <c r="J2353" t="s">
        <v>16</v>
      </c>
      <c r="K2353" t="s">
        <v>185</v>
      </c>
      <c r="N2353">
        <v>0</v>
      </c>
      <c r="O2353" t="s">
        <v>222</v>
      </c>
      <c r="P2353">
        <v>0</v>
      </c>
      <c r="U2353" s="15"/>
    </row>
    <row r="2354" spans="1:21" x14ac:dyDescent="0.35">
      <c r="A2354" t="s">
        <v>14</v>
      </c>
      <c r="B2354" t="s">
        <v>2398</v>
      </c>
      <c r="C2354" t="s">
        <v>667</v>
      </c>
      <c r="D2354" t="s">
        <v>668</v>
      </c>
      <c r="E2354" t="s">
        <v>669</v>
      </c>
      <c r="F2354" t="s">
        <v>2399</v>
      </c>
      <c r="G2354" t="s">
        <v>3023</v>
      </c>
      <c r="H2354" s="15">
        <v>46178</v>
      </c>
      <c r="I2354" t="s">
        <v>3025</v>
      </c>
      <c r="J2354" t="s">
        <v>16</v>
      </c>
      <c r="K2354" t="s">
        <v>185</v>
      </c>
      <c r="N2354">
        <v>0</v>
      </c>
      <c r="O2354" t="s">
        <v>222</v>
      </c>
      <c r="P2354">
        <v>0</v>
      </c>
      <c r="U2354" s="15"/>
    </row>
    <row r="2355" spans="1:21" x14ac:dyDescent="0.35">
      <c r="A2355" t="s">
        <v>14</v>
      </c>
      <c r="B2355" t="s">
        <v>3247</v>
      </c>
      <c r="C2355" t="s">
        <v>1255</v>
      </c>
      <c r="D2355" t="s">
        <v>1256</v>
      </c>
      <c r="E2355" t="s">
        <v>1257</v>
      </c>
      <c r="F2355" t="s">
        <v>4305</v>
      </c>
      <c r="G2355" t="s">
        <v>4711</v>
      </c>
      <c r="H2355" s="15">
        <v>46163</v>
      </c>
      <c r="I2355" t="s">
        <v>4713</v>
      </c>
      <c r="J2355" t="s">
        <v>16</v>
      </c>
      <c r="K2355" t="s">
        <v>185</v>
      </c>
      <c r="N2355">
        <v>0</v>
      </c>
      <c r="O2355" t="s">
        <v>222</v>
      </c>
      <c r="P2355">
        <v>0</v>
      </c>
      <c r="U2355" s="15"/>
    </row>
    <row r="2356" spans="1:21" x14ac:dyDescent="0.35">
      <c r="A2356" t="s">
        <v>14</v>
      </c>
      <c r="B2356" t="s">
        <v>3247</v>
      </c>
      <c r="C2356" t="s">
        <v>542</v>
      </c>
      <c r="D2356" t="s">
        <v>543</v>
      </c>
      <c r="E2356" t="s">
        <v>544</v>
      </c>
      <c r="F2356" t="s">
        <v>4305</v>
      </c>
      <c r="G2356" t="s">
        <v>4714</v>
      </c>
      <c r="H2356" s="15">
        <v>46164</v>
      </c>
      <c r="I2356" t="s">
        <v>4715</v>
      </c>
      <c r="J2356" t="s">
        <v>16</v>
      </c>
      <c r="K2356" t="s">
        <v>185</v>
      </c>
      <c r="N2356">
        <v>0</v>
      </c>
      <c r="O2356" t="s">
        <v>222</v>
      </c>
      <c r="P2356">
        <v>0</v>
      </c>
      <c r="U2356" s="15"/>
    </row>
    <row r="2357" spans="1:21" x14ac:dyDescent="0.35">
      <c r="A2357" t="s">
        <v>14</v>
      </c>
      <c r="B2357" t="s">
        <v>2398</v>
      </c>
      <c r="C2357" t="s">
        <v>515</v>
      </c>
      <c r="D2357" t="s">
        <v>516</v>
      </c>
      <c r="E2357" t="s">
        <v>517</v>
      </c>
      <c r="F2357" t="s">
        <v>2399</v>
      </c>
      <c r="G2357" t="s">
        <v>3026</v>
      </c>
      <c r="H2357" s="15">
        <v>46181</v>
      </c>
      <c r="I2357" t="s">
        <v>3027</v>
      </c>
      <c r="J2357" t="s">
        <v>16</v>
      </c>
      <c r="K2357" t="s">
        <v>185</v>
      </c>
      <c r="N2357">
        <v>0</v>
      </c>
      <c r="O2357" t="s">
        <v>222</v>
      </c>
      <c r="P2357">
        <v>0</v>
      </c>
      <c r="U2357" s="15"/>
    </row>
    <row r="2358" spans="1:21" x14ac:dyDescent="0.35">
      <c r="A2358" t="s">
        <v>14</v>
      </c>
      <c r="B2358" t="s">
        <v>2398</v>
      </c>
      <c r="C2358" t="s">
        <v>1255</v>
      </c>
      <c r="D2358" t="s">
        <v>1256</v>
      </c>
      <c r="E2358" t="s">
        <v>1257</v>
      </c>
      <c r="F2358" t="s">
        <v>2399</v>
      </c>
      <c r="G2358" t="s">
        <v>3026</v>
      </c>
      <c r="H2358" s="15">
        <v>46181</v>
      </c>
      <c r="I2358" t="s">
        <v>3028</v>
      </c>
      <c r="J2358" t="s">
        <v>16</v>
      </c>
      <c r="K2358" t="s">
        <v>185</v>
      </c>
      <c r="N2358">
        <v>0</v>
      </c>
      <c r="O2358" t="s">
        <v>222</v>
      </c>
      <c r="P2358">
        <v>0</v>
      </c>
      <c r="U2358" s="15"/>
    </row>
    <row r="2359" spans="1:21" x14ac:dyDescent="0.35">
      <c r="A2359" t="s">
        <v>14</v>
      </c>
      <c r="B2359" t="s">
        <v>3247</v>
      </c>
      <c r="C2359" t="s">
        <v>682</v>
      </c>
      <c r="D2359" t="s">
        <v>683</v>
      </c>
      <c r="E2359" t="s">
        <v>683</v>
      </c>
      <c r="F2359" t="s">
        <v>4305</v>
      </c>
      <c r="G2359" t="s">
        <v>4714</v>
      </c>
      <c r="H2359" s="15">
        <v>46164</v>
      </c>
      <c r="I2359" t="s">
        <v>4716</v>
      </c>
      <c r="J2359" t="s">
        <v>16</v>
      </c>
      <c r="K2359" t="s">
        <v>185</v>
      </c>
      <c r="N2359">
        <v>0</v>
      </c>
      <c r="O2359" t="s">
        <v>222</v>
      </c>
      <c r="P2359">
        <v>0</v>
      </c>
      <c r="U2359" s="15"/>
    </row>
    <row r="2360" spans="1:21" x14ac:dyDescent="0.35">
      <c r="A2360" t="s">
        <v>14</v>
      </c>
      <c r="B2360" t="s">
        <v>3247</v>
      </c>
      <c r="C2360" t="s">
        <v>667</v>
      </c>
      <c r="D2360" t="s">
        <v>668</v>
      </c>
      <c r="E2360" t="s">
        <v>669</v>
      </c>
      <c r="F2360" t="s">
        <v>4305</v>
      </c>
      <c r="G2360" t="s">
        <v>4717</v>
      </c>
      <c r="H2360" s="15">
        <v>46165</v>
      </c>
      <c r="I2360" t="s">
        <v>4718</v>
      </c>
      <c r="J2360" t="s">
        <v>16</v>
      </c>
      <c r="K2360" t="s">
        <v>185</v>
      </c>
      <c r="N2360">
        <v>0</v>
      </c>
      <c r="O2360" t="s">
        <v>222</v>
      </c>
      <c r="P2360">
        <v>0</v>
      </c>
      <c r="U2360" s="15"/>
    </row>
    <row r="2361" spans="1:21" x14ac:dyDescent="0.35">
      <c r="A2361" t="s">
        <v>14</v>
      </c>
      <c r="B2361" t="s">
        <v>3247</v>
      </c>
      <c r="C2361" t="s">
        <v>542</v>
      </c>
      <c r="D2361" t="s">
        <v>543</v>
      </c>
      <c r="E2361" t="s">
        <v>544</v>
      </c>
      <c r="F2361" t="s">
        <v>4305</v>
      </c>
      <c r="G2361" t="s">
        <v>4719</v>
      </c>
      <c r="H2361" s="15">
        <v>46167</v>
      </c>
      <c r="I2361" t="s">
        <v>4720</v>
      </c>
      <c r="J2361" t="s">
        <v>16</v>
      </c>
      <c r="K2361" t="s">
        <v>185</v>
      </c>
      <c r="N2361">
        <v>0</v>
      </c>
      <c r="O2361" t="s">
        <v>222</v>
      </c>
      <c r="P2361">
        <v>0</v>
      </c>
      <c r="U2361" s="15"/>
    </row>
    <row r="2362" spans="1:21" x14ac:dyDescent="0.35">
      <c r="A2362" t="s">
        <v>14</v>
      </c>
      <c r="B2362" t="s">
        <v>2398</v>
      </c>
      <c r="C2362" t="s">
        <v>515</v>
      </c>
      <c r="D2362" t="s">
        <v>516</v>
      </c>
      <c r="E2362" t="s">
        <v>517</v>
      </c>
      <c r="F2362" t="s">
        <v>2399</v>
      </c>
      <c r="G2362" t="s">
        <v>3029</v>
      </c>
      <c r="H2362" s="15">
        <v>46182</v>
      </c>
      <c r="I2362" t="s">
        <v>3030</v>
      </c>
      <c r="J2362" t="s">
        <v>16</v>
      </c>
      <c r="K2362" t="s">
        <v>185</v>
      </c>
      <c r="N2362">
        <v>0</v>
      </c>
      <c r="O2362" t="s">
        <v>222</v>
      </c>
      <c r="P2362">
        <v>0</v>
      </c>
      <c r="U2362" s="15"/>
    </row>
    <row r="2363" spans="1:21" x14ac:dyDescent="0.35">
      <c r="A2363" t="s">
        <v>14</v>
      </c>
      <c r="B2363" t="s">
        <v>2398</v>
      </c>
      <c r="C2363" t="s">
        <v>1255</v>
      </c>
      <c r="D2363" t="s">
        <v>1256</v>
      </c>
      <c r="E2363" t="s">
        <v>1257</v>
      </c>
      <c r="F2363" t="s">
        <v>2399</v>
      </c>
      <c r="G2363" t="s">
        <v>3029</v>
      </c>
      <c r="H2363" s="15">
        <v>46182</v>
      </c>
      <c r="I2363" t="s">
        <v>3031</v>
      </c>
      <c r="J2363" t="s">
        <v>16</v>
      </c>
      <c r="K2363" t="s">
        <v>185</v>
      </c>
      <c r="N2363">
        <v>0</v>
      </c>
      <c r="O2363" t="s">
        <v>222</v>
      </c>
      <c r="P2363">
        <v>0</v>
      </c>
      <c r="U2363" s="15"/>
    </row>
    <row r="2364" spans="1:21" x14ac:dyDescent="0.35">
      <c r="A2364" t="s">
        <v>14</v>
      </c>
      <c r="B2364" t="s">
        <v>3247</v>
      </c>
      <c r="C2364" t="s">
        <v>1255</v>
      </c>
      <c r="D2364" t="s">
        <v>1256</v>
      </c>
      <c r="E2364" t="s">
        <v>1257</v>
      </c>
      <c r="F2364" t="s">
        <v>4305</v>
      </c>
      <c r="G2364" t="s">
        <v>4719</v>
      </c>
      <c r="H2364" s="15">
        <v>46167</v>
      </c>
      <c r="I2364" t="s">
        <v>4721</v>
      </c>
      <c r="J2364" t="s">
        <v>16</v>
      </c>
      <c r="K2364" t="s">
        <v>185</v>
      </c>
      <c r="N2364">
        <v>0</v>
      </c>
      <c r="O2364" t="s">
        <v>222</v>
      </c>
      <c r="P2364">
        <v>0</v>
      </c>
      <c r="U2364" s="15"/>
    </row>
    <row r="2365" spans="1:21" x14ac:dyDescent="0.35">
      <c r="A2365" t="s">
        <v>14</v>
      </c>
      <c r="B2365" t="s">
        <v>3247</v>
      </c>
      <c r="C2365" t="s">
        <v>1388</v>
      </c>
      <c r="D2365" t="s">
        <v>1389</v>
      </c>
      <c r="E2365" t="s">
        <v>1390</v>
      </c>
      <c r="F2365" t="s">
        <v>4305</v>
      </c>
      <c r="G2365" t="s">
        <v>4722</v>
      </c>
      <c r="H2365" s="15">
        <v>46168</v>
      </c>
      <c r="I2365" t="s">
        <v>4723</v>
      </c>
      <c r="J2365" t="s">
        <v>16</v>
      </c>
      <c r="K2365" t="s">
        <v>185</v>
      </c>
      <c r="N2365">
        <v>0</v>
      </c>
      <c r="O2365" t="s">
        <v>222</v>
      </c>
      <c r="P2365">
        <v>0</v>
      </c>
      <c r="U2365" s="15"/>
    </row>
    <row r="2366" spans="1:21" x14ac:dyDescent="0.35">
      <c r="A2366" t="s">
        <v>14</v>
      </c>
      <c r="B2366" t="s">
        <v>2398</v>
      </c>
      <c r="C2366" t="s">
        <v>515</v>
      </c>
      <c r="D2366" t="s">
        <v>516</v>
      </c>
      <c r="E2366" t="s">
        <v>517</v>
      </c>
      <c r="F2366" t="s">
        <v>2399</v>
      </c>
      <c r="G2366" t="s">
        <v>3032</v>
      </c>
      <c r="H2366" s="15">
        <v>46183</v>
      </c>
      <c r="I2366" t="s">
        <v>3033</v>
      </c>
      <c r="J2366" t="s">
        <v>16</v>
      </c>
      <c r="K2366" t="s">
        <v>185</v>
      </c>
      <c r="N2366">
        <v>0</v>
      </c>
      <c r="O2366" t="s">
        <v>222</v>
      </c>
      <c r="P2366">
        <v>0</v>
      </c>
      <c r="U2366" s="15"/>
    </row>
    <row r="2367" spans="1:21" x14ac:dyDescent="0.35">
      <c r="A2367" t="s">
        <v>14</v>
      </c>
      <c r="B2367" t="s">
        <v>2398</v>
      </c>
      <c r="C2367" t="s">
        <v>1255</v>
      </c>
      <c r="D2367" t="s">
        <v>1256</v>
      </c>
      <c r="E2367" t="s">
        <v>1257</v>
      </c>
      <c r="F2367" t="s">
        <v>2399</v>
      </c>
      <c r="G2367" t="s">
        <v>3032</v>
      </c>
      <c r="H2367" s="15">
        <v>46183</v>
      </c>
      <c r="I2367" t="s">
        <v>3034</v>
      </c>
      <c r="J2367" t="s">
        <v>16</v>
      </c>
      <c r="K2367" t="s">
        <v>185</v>
      </c>
      <c r="N2367">
        <v>0</v>
      </c>
      <c r="O2367" t="s">
        <v>222</v>
      </c>
      <c r="P2367">
        <v>0</v>
      </c>
      <c r="U2367" s="15"/>
    </row>
    <row r="2368" spans="1:21" x14ac:dyDescent="0.35">
      <c r="A2368" t="s">
        <v>14</v>
      </c>
      <c r="B2368" t="s">
        <v>2398</v>
      </c>
      <c r="C2368" t="s">
        <v>515</v>
      </c>
      <c r="D2368" t="s">
        <v>516</v>
      </c>
      <c r="E2368" t="s">
        <v>517</v>
      </c>
      <c r="F2368" t="s">
        <v>2399</v>
      </c>
      <c r="G2368" t="s">
        <v>3035</v>
      </c>
      <c r="H2368" s="15">
        <v>46184</v>
      </c>
      <c r="I2368" t="s">
        <v>3036</v>
      </c>
      <c r="J2368" t="s">
        <v>16</v>
      </c>
      <c r="K2368" t="s">
        <v>185</v>
      </c>
      <c r="N2368">
        <v>0</v>
      </c>
      <c r="O2368" t="s">
        <v>222</v>
      </c>
      <c r="P2368">
        <v>0</v>
      </c>
      <c r="U2368" s="15"/>
    </row>
    <row r="2369" spans="1:21" x14ac:dyDescent="0.35">
      <c r="A2369" t="s">
        <v>14</v>
      </c>
      <c r="B2369" t="s">
        <v>2398</v>
      </c>
      <c r="C2369" t="s">
        <v>1255</v>
      </c>
      <c r="D2369" t="s">
        <v>1256</v>
      </c>
      <c r="E2369" t="s">
        <v>1257</v>
      </c>
      <c r="F2369" t="s">
        <v>2399</v>
      </c>
      <c r="G2369" t="s">
        <v>3035</v>
      </c>
      <c r="H2369" s="15">
        <v>46184</v>
      </c>
      <c r="I2369" t="s">
        <v>3037</v>
      </c>
      <c r="J2369" t="s">
        <v>16</v>
      </c>
      <c r="K2369" t="s">
        <v>185</v>
      </c>
      <c r="N2369">
        <v>0</v>
      </c>
      <c r="O2369" t="s">
        <v>222</v>
      </c>
      <c r="P2369">
        <v>0</v>
      </c>
      <c r="U2369" s="15"/>
    </row>
    <row r="2370" spans="1:21" x14ac:dyDescent="0.35">
      <c r="A2370" t="s">
        <v>14</v>
      </c>
      <c r="B2370" t="s">
        <v>2398</v>
      </c>
      <c r="C2370" t="s">
        <v>1255</v>
      </c>
      <c r="D2370" t="s">
        <v>1256</v>
      </c>
      <c r="E2370" t="s">
        <v>1257</v>
      </c>
      <c r="F2370" t="s">
        <v>2399</v>
      </c>
      <c r="G2370" t="s">
        <v>3035</v>
      </c>
      <c r="H2370" s="15">
        <v>46184</v>
      </c>
      <c r="I2370" t="s">
        <v>3037</v>
      </c>
      <c r="J2370" t="s">
        <v>16</v>
      </c>
      <c r="K2370" t="s">
        <v>185</v>
      </c>
      <c r="N2370">
        <v>0</v>
      </c>
      <c r="O2370" t="s">
        <v>222</v>
      </c>
      <c r="P2370">
        <v>0</v>
      </c>
      <c r="U2370" s="15"/>
    </row>
    <row r="2371" spans="1:21" x14ac:dyDescent="0.35">
      <c r="A2371" t="s">
        <v>14</v>
      </c>
      <c r="B2371" t="s">
        <v>3247</v>
      </c>
      <c r="C2371" t="s">
        <v>1255</v>
      </c>
      <c r="D2371" t="s">
        <v>1256</v>
      </c>
      <c r="E2371" t="s">
        <v>1257</v>
      </c>
      <c r="F2371" t="s">
        <v>4305</v>
      </c>
      <c r="G2371" t="s">
        <v>4722</v>
      </c>
      <c r="H2371" s="15">
        <v>46168</v>
      </c>
      <c r="I2371" t="s">
        <v>4724</v>
      </c>
      <c r="J2371" t="s">
        <v>16</v>
      </c>
      <c r="K2371" t="s">
        <v>185</v>
      </c>
      <c r="N2371">
        <v>0</v>
      </c>
      <c r="O2371" t="s">
        <v>222</v>
      </c>
      <c r="P2371">
        <v>0</v>
      </c>
      <c r="U2371" s="15"/>
    </row>
    <row r="2372" spans="1:21" x14ac:dyDescent="0.35">
      <c r="A2372" t="s">
        <v>14</v>
      </c>
      <c r="B2372" t="s">
        <v>3247</v>
      </c>
      <c r="C2372" t="s">
        <v>515</v>
      </c>
      <c r="D2372" t="s">
        <v>516</v>
      </c>
      <c r="E2372" t="s">
        <v>517</v>
      </c>
      <c r="F2372" t="s">
        <v>4305</v>
      </c>
      <c r="G2372" t="s">
        <v>4725</v>
      </c>
      <c r="H2372" s="15">
        <v>46169</v>
      </c>
      <c r="I2372" t="s">
        <v>4726</v>
      </c>
      <c r="J2372" t="s">
        <v>16</v>
      </c>
      <c r="K2372" t="s">
        <v>185</v>
      </c>
      <c r="N2372">
        <v>0</v>
      </c>
      <c r="O2372" t="s">
        <v>222</v>
      </c>
      <c r="P2372">
        <v>0</v>
      </c>
      <c r="U2372" s="15"/>
    </row>
    <row r="2373" spans="1:21" x14ac:dyDescent="0.35">
      <c r="A2373" t="s">
        <v>14</v>
      </c>
      <c r="B2373" t="s">
        <v>3247</v>
      </c>
      <c r="C2373" t="s">
        <v>667</v>
      </c>
      <c r="D2373" t="s">
        <v>668</v>
      </c>
      <c r="E2373" t="s">
        <v>669</v>
      </c>
      <c r="F2373" t="s">
        <v>4305</v>
      </c>
      <c r="G2373" t="s">
        <v>4725</v>
      </c>
      <c r="H2373" s="15">
        <v>46169</v>
      </c>
      <c r="I2373" t="s">
        <v>4727</v>
      </c>
      <c r="J2373" t="s">
        <v>16</v>
      </c>
      <c r="K2373" t="s">
        <v>185</v>
      </c>
      <c r="N2373">
        <v>0</v>
      </c>
      <c r="O2373" t="s">
        <v>222</v>
      </c>
      <c r="P2373">
        <v>0</v>
      </c>
      <c r="U2373" s="15"/>
    </row>
    <row r="2374" spans="1:21" x14ac:dyDescent="0.35">
      <c r="A2374" t="s">
        <v>14</v>
      </c>
      <c r="B2374" t="s">
        <v>2398</v>
      </c>
      <c r="C2374" t="s">
        <v>515</v>
      </c>
      <c r="D2374" t="s">
        <v>516</v>
      </c>
      <c r="E2374" t="s">
        <v>517</v>
      </c>
      <c r="F2374" t="s">
        <v>2399</v>
      </c>
      <c r="G2374" t="s">
        <v>3038</v>
      </c>
      <c r="H2374" s="15">
        <v>46185</v>
      </c>
      <c r="I2374" t="s">
        <v>3039</v>
      </c>
      <c r="J2374" t="s">
        <v>16</v>
      </c>
      <c r="K2374" t="s">
        <v>185</v>
      </c>
      <c r="N2374">
        <v>0</v>
      </c>
      <c r="O2374" t="s">
        <v>222</v>
      </c>
      <c r="P2374">
        <v>0</v>
      </c>
      <c r="U2374" s="15"/>
    </row>
    <row r="2375" spans="1:21" x14ac:dyDescent="0.35">
      <c r="A2375" t="s">
        <v>14</v>
      </c>
      <c r="B2375" t="s">
        <v>2398</v>
      </c>
      <c r="C2375" t="s">
        <v>1255</v>
      </c>
      <c r="D2375" t="s">
        <v>1256</v>
      </c>
      <c r="E2375" t="s">
        <v>1257</v>
      </c>
      <c r="F2375" t="s">
        <v>2399</v>
      </c>
      <c r="G2375" t="s">
        <v>3038</v>
      </c>
      <c r="H2375" s="15">
        <v>46185</v>
      </c>
      <c r="I2375" t="s">
        <v>3040</v>
      </c>
      <c r="J2375" t="s">
        <v>16</v>
      </c>
      <c r="K2375" t="s">
        <v>185</v>
      </c>
      <c r="N2375">
        <v>0</v>
      </c>
      <c r="O2375" t="s">
        <v>222</v>
      </c>
      <c r="P2375">
        <v>0</v>
      </c>
      <c r="U2375" s="15"/>
    </row>
    <row r="2376" spans="1:21" x14ac:dyDescent="0.35">
      <c r="A2376" t="s">
        <v>14</v>
      </c>
      <c r="B2376" t="s">
        <v>2398</v>
      </c>
      <c r="C2376" t="s">
        <v>1255</v>
      </c>
      <c r="D2376" t="s">
        <v>1256</v>
      </c>
      <c r="E2376" t="s">
        <v>1257</v>
      </c>
      <c r="F2376" t="s">
        <v>2399</v>
      </c>
      <c r="G2376" t="s">
        <v>3041</v>
      </c>
      <c r="H2376" s="15">
        <v>46188</v>
      </c>
      <c r="I2376" t="s">
        <v>3042</v>
      </c>
      <c r="J2376" t="s">
        <v>16</v>
      </c>
      <c r="K2376" t="s">
        <v>185</v>
      </c>
      <c r="N2376">
        <v>0</v>
      </c>
      <c r="O2376" t="s">
        <v>222</v>
      </c>
      <c r="P2376">
        <v>0</v>
      </c>
      <c r="U2376" s="15"/>
    </row>
    <row r="2377" spans="1:21" x14ac:dyDescent="0.35">
      <c r="A2377" t="s">
        <v>14</v>
      </c>
      <c r="B2377" t="s">
        <v>2398</v>
      </c>
      <c r="C2377" t="s">
        <v>1255</v>
      </c>
      <c r="D2377" t="s">
        <v>1256</v>
      </c>
      <c r="E2377" t="s">
        <v>1257</v>
      </c>
      <c r="F2377" t="s">
        <v>2399</v>
      </c>
      <c r="G2377" t="s">
        <v>3043</v>
      </c>
      <c r="H2377" s="15">
        <v>46189</v>
      </c>
      <c r="I2377" t="s">
        <v>3044</v>
      </c>
      <c r="J2377" t="s">
        <v>16</v>
      </c>
      <c r="K2377" t="s">
        <v>185</v>
      </c>
      <c r="N2377">
        <v>0</v>
      </c>
      <c r="O2377" t="s">
        <v>222</v>
      </c>
      <c r="P2377">
        <v>0</v>
      </c>
      <c r="U2377" s="15"/>
    </row>
    <row r="2378" spans="1:21" x14ac:dyDescent="0.35">
      <c r="A2378" t="s">
        <v>14</v>
      </c>
      <c r="B2378" t="s">
        <v>3247</v>
      </c>
      <c r="C2378" t="s">
        <v>515</v>
      </c>
      <c r="D2378" t="s">
        <v>516</v>
      </c>
      <c r="E2378" t="s">
        <v>517</v>
      </c>
      <c r="F2378" t="s">
        <v>4305</v>
      </c>
      <c r="G2378" t="s">
        <v>4728</v>
      </c>
      <c r="H2378" s="15">
        <v>46170</v>
      </c>
      <c r="I2378" t="s">
        <v>4729</v>
      </c>
      <c r="J2378" t="s">
        <v>16</v>
      </c>
      <c r="K2378" t="s">
        <v>185</v>
      </c>
      <c r="N2378">
        <v>0</v>
      </c>
      <c r="O2378" t="s">
        <v>222</v>
      </c>
      <c r="P2378">
        <v>0</v>
      </c>
      <c r="U2378" s="15"/>
    </row>
    <row r="2379" spans="1:21" x14ac:dyDescent="0.35">
      <c r="A2379" t="s">
        <v>14</v>
      </c>
      <c r="B2379" t="s">
        <v>3247</v>
      </c>
      <c r="C2379" t="s">
        <v>1255</v>
      </c>
      <c r="D2379" t="s">
        <v>1256</v>
      </c>
      <c r="E2379" t="s">
        <v>1257</v>
      </c>
      <c r="F2379" t="s">
        <v>4305</v>
      </c>
      <c r="G2379" t="s">
        <v>4728</v>
      </c>
      <c r="H2379" s="15">
        <v>46170</v>
      </c>
      <c r="I2379" t="s">
        <v>4730</v>
      </c>
      <c r="J2379" t="s">
        <v>16</v>
      </c>
      <c r="K2379" t="s">
        <v>185</v>
      </c>
      <c r="N2379">
        <v>0</v>
      </c>
      <c r="O2379" t="s">
        <v>222</v>
      </c>
      <c r="P2379">
        <v>0</v>
      </c>
      <c r="U2379" s="15"/>
    </row>
    <row r="2380" spans="1:21" x14ac:dyDescent="0.35">
      <c r="A2380" t="s">
        <v>14</v>
      </c>
      <c r="B2380" t="s">
        <v>3247</v>
      </c>
      <c r="C2380" t="s">
        <v>515</v>
      </c>
      <c r="D2380" t="s">
        <v>516</v>
      </c>
      <c r="E2380" t="s">
        <v>517</v>
      </c>
      <c r="F2380" t="s">
        <v>4305</v>
      </c>
      <c r="G2380" t="s">
        <v>4731</v>
      </c>
      <c r="H2380" s="15">
        <v>46171</v>
      </c>
      <c r="I2380" t="s">
        <v>4732</v>
      </c>
      <c r="J2380" t="s">
        <v>16</v>
      </c>
      <c r="K2380" t="s">
        <v>185</v>
      </c>
      <c r="N2380">
        <v>0</v>
      </c>
      <c r="O2380" t="s">
        <v>222</v>
      </c>
      <c r="P2380">
        <v>0</v>
      </c>
      <c r="U2380" s="15"/>
    </row>
    <row r="2381" spans="1:21" x14ac:dyDescent="0.35">
      <c r="A2381" t="s">
        <v>14</v>
      </c>
      <c r="B2381" t="s">
        <v>2398</v>
      </c>
      <c r="C2381" t="s">
        <v>1255</v>
      </c>
      <c r="D2381" t="s">
        <v>1256</v>
      </c>
      <c r="E2381" t="s">
        <v>1257</v>
      </c>
      <c r="F2381" t="s">
        <v>2399</v>
      </c>
      <c r="G2381" t="s">
        <v>3045</v>
      </c>
      <c r="H2381" s="15">
        <v>46190</v>
      </c>
      <c r="I2381" t="s">
        <v>3046</v>
      </c>
      <c r="J2381" t="s">
        <v>16</v>
      </c>
      <c r="K2381" t="s">
        <v>185</v>
      </c>
      <c r="N2381">
        <v>0</v>
      </c>
      <c r="O2381" t="s">
        <v>222</v>
      </c>
      <c r="P2381">
        <v>0</v>
      </c>
      <c r="U2381" s="15"/>
    </row>
    <row r="2382" spans="1:21" x14ac:dyDescent="0.35">
      <c r="A2382" t="s">
        <v>14</v>
      </c>
      <c r="B2382" t="s">
        <v>2398</v>
      </c>
      <c r="C2382" t="s">
        <v>1255</v>
      </c>
      <c r="D2382" t="s">
        <v>1256</v>
      </c>
      <c r="E2382" t="s">
        <v>1257</v>
      </c>
      <c r="F2382" t="s">
        <v>2399</v>
      </c>
      <c r="G2382" t="s">
        <v>3047</v>
      </c>
      <c r="H2382" s="15">
        <v>46191</v>
      </c>
      <c r="I2382" t="s">
        <v>3048</v>
      </c>
      <c r="J2382" t="s">
        <v>16</v>
      </c>
      <c r="K2382" t="s">
        <v>185</v>
      </c>
      <c r="N2382">
        <v>0</v>
      </c>
      <c r="O2382" t="s">
        <v>222</v>
      </c>
      <c r="P2382">
        <v>0</v>
      </c>
      <c r="U2382" s="15"/>
    </row>
    <row r="2383" spans="1:21" x14ac:dyDescent="0.35">
      <c r="A2383" t="s">
        <v>14</v>
      </c>
      <c r="B2383" t="s">
        <v>2398</v>
      </c>
      <c r="C2383" t="s">
        <v>1255</v>
      </c>
      <c r="D2383" t="s">
        <v>1256</v>
      </c>
      <c r="E2383" t="s">
        <v>1257</v>
      </c>
      <c r="F2383" t="s">
        <v>2399</v>
      </c>
      <c r="G2383" t="s">
        <v>3049</v>
      </c>
      <c r="H2383" s="15">
        <v>46192</v>
      </c>
      <c r="I2383" t="s">
        <v>3050</v>
      </c>
      <c r="J2383" t="s">
        <v>16</v>
      </c>
      <c r="K2383" t="s">
        <v>185</v>
      </c>
      <c r="N2383">
        <v>0</v>
      </c>
      <c r="O2383" t="s">
        <v>222</v>
      </c>
      <c r="P2383">
        <v>0</v>
      </c>
      <c r="U2383" s="15"/>
    </row>
    <row r="2384" spans="1:21" x14ac:dyDescent="0.35">
      <c r="A2384" t="s">
        <v>14</v>
      </c>
      <c r="B2384" t="s">
        <v>2398</v>
      </c>
      <c r="C2384" t="s">
        <v>561</v>
      </c>
      <c r="D2384" t="s">
        <v>562</v>
      </c>
      <c r="E2384" t="s">
        <v>562</v>
      </c>
      <c r="F2384" t="s">
        <v>2399</v>
      </c>
      <c r="G2384" t="s">
        <v>3051</v>
      </c>
      <c r="H2384" s="15">
        <v>46195</v>
      </c>
      <c r="I2384" t="s">
        <v>3052</v>
      </c>
      <c r="J2384" t="s">
        <v>16</v>
      </c>
      <c r="K2384" t="s">
        <v>185</v>
      </c>
      <c r="N2384">
        <v>0</v>
      </c>
      <c r="O2384" t="s">
        <v>222</v>
      </c>
      <c r="P2384">
        <v>0</v>
      </c>
      <c r="U2384" s="15"/>
    </row>
    <row r="2385" spans="1:21" x14ac:dyDescent="0.35">
      <c r="A2385" t="s">
        <v>14</v>
      </c>
      <c r="B2385" t="s">
        <v>3247</v>
      </c>
      <c r="C2385" t="s">
        <v>1255</v>
      </c>
      <c r="D2385" t="s">
        <v>1256</v>
      </c>
      <c r="E2385" t="s">
        <v>1257</v>
      </c>
      <c r="F2385" t="s">
        <v>4305</v>
      </c>
      <c r="G2385" t="s">
        <v>4731</v>
      </c>
      <c r="H2385" s="15">
        <v>46171</v>
      </c>
      <c r="I2385" t="s">
        <v>4733</v>
      </c>
      <c r="J2385" t="s">
        <v>16</v>
      </c>
      <c r="K2385" t="s">
        <v>185</v>
      </c>
      <c r="N2385">
        <v>0</v>
      </c>
      <c r="O2385" t="s">
        <v>222</v>
      </c>
      <c r="P2385">
        <v>0</v>
      </c>
      <c r="U2385" s="15"/>
    </row>
    <row r="2386" spans="1:21" x14ac:dyDescent="0.35">
      <c r="A2386" t="s">
        <v>14</v>
      </c>
      <c r="B2386" t="s">
        <v>3247</v>
      </c>
      <c r="C2386" t="s">
        <v>1255</v>
      </c>
      <c r="D2386" t="s">
        <v>1256</v>
      </c>
      <c r="E2386" t="s">
        <v>1257</v>
      </c>
      <c r="F2386" t="s">
        <v>4305</v>
      </c>
      <c r="G2386" t="s">
        <v>4734</v>
      </c>
      <c r="H2386" s="15">
        <v>46172</v>
      </c>
      <c r="I2386" t="s">
        <v>4735</v>
      </c>
      <c r="J2386" t="s">
        <v>16</v>
      </c>
      <c r="K2386" t="s">
        <v>185</v>
      </c>
      <c r="N2386">
        <v>0</v>
      </c>
      <c r="O2386" t="s">
        <v>222</v>
      </c>
      <c r="P2386">
        <v>0</v>
      </c>
      <c r="U2386" s="15"/>
    </row>
    <row r="2387" spans="1:21" x14ac:dyDescent="0.35">
      <c r="A2387" t="s">
        <v>14</v>
      </c>
      <c r="B2387" t="s">
        <v>3247</v>
      </c>
      <c r="C2387" t="s">
        <v>515</v>
      </c>
      <c r="D2387" t="s">
        <v>516</v>
      </c>
      <c r="E2387" t="s">
        <v>517</v>
      </c>
      <c r="F2387" t="s">
        <v>4305</v>
      </c>
      <c r="G2387" t="s">
        <v>4736</v>
      </c>
      <c r="H2387" s="15">
        <v>46175</v>
      </c>
      <c r="I2387" t="s">
        <v>4737</v>
      </c>
      <c r="J2387" t="s">
        <v>16</v>
      </c>
      <c r="K2387" t="s">
        <v>185</v>
      </c>
      <c r="N2387">
        <v>0</v>
      </c>
      <c r="O2387" t="s">
        <v>222</v>
      </c>
      <c r="P2387">
        <v>0</v>
      </c>
      <c r="U2387" s="15"/>
    </row>
    <row r="2388" spans="1:21" x14ac:dyDescent="0.35">
      <c r="A2388" t="s">
        <v>14</v>
      </c>
      <c r="B2388" t="s">
        <v>2398</v>
      </c>
      <c r="C2388" t="s">
        <v>1255</v>
      </c>
      <c r="D2388" t="s">
        <v>1256</v>
      </c>
      <c r="E2388" t="s">
        <v>1257</v>
      </c>
      <c r="F2388" t="s">
        <v>2399</v>
      </c>
      <c r="G2388" t="s">
        <v>3051</v>
      </c>
      <c r="H2388" s="15">
        <v>46195</v>
      </c>
      <c r="I2388" t="s">
        <v>3053</v>
      </c>
      <c r="J2388" t="s">
        <v>16</v>
      </c>
      <c r="K2388" t="s">
        <v>185</v>
      </c>
      <c r="N2388">
        <v>0</v>
      </c>
      <c r="O2388" t="s">
        <v>222</v>
      </c>
      <c r="P2388">
        <v>0</v>
      </c>
      <c r="U2388" s="15"/>
    </row>
    <row r="2389" spans="1:21" x14ac:dyDescent="0.35">
      <c r="A2389" t="s">
        <v>14</v>
      </c>
      <c r="B2389" t="s">
        <v>2398</v>
      </c>
      <c r="C2389" t="s">
        <v>561</v>
      </c>
      <c r="D2389" t="s">
        <v>562</v>
      </c>
      <c r="E2389" t="s">
        <v>562</v>
      </c>
      <c r="F2389" t="s">
        <v>2399</v>
      </c>
      <c r="G2389" t="s">
        <v>3054</v>
      </c>
      <c r="H2389" s="15">
        <v>46196</v>
      </c>
      <c r="I2389" t="s">
        <v>3055</v>
      </c>
      <c r="J2389" t="s">
        <v>16</v>
      </c>
      <c r="K2389" t="s">
        <v>185</v>
      </c>
      <c r="N2389">
        <v>0</v>
      </c>
      <c r="O2389" t="s">
        <v>222</v>
      </c>
      <c r="P2389">
        <v>0</v>
      </c>
      <c r="U2389" s="15"/>
    </row>
    <row r="2390" spans="1:21" x14ac:dyDescent="0.35">
      <c r="A2390" t="s">
        <v>14</v>
      </c>
      <c r="B2390" t="s">
        <v>3247</v>
      </c>
      <c r="C2390" t="s">
        <v>777</v>
      </c>
      <c r="D2390" t="s">
        <v>778</v>
      </c>
      <c r="E2390" t="s">
        <v>779</v>
      </c>
      <c r="F2390" t="s">
        <v>4305</v>
      </c>
      <c r="G2390" t="s">
        <v>4736</v>
      </c>
      <c r="H2390" s="15">
        <v>46175</v>
      </c>
      <c r="I2390" t="s">
        <v>4738</v>
      </c>
      <c r="J2390" t="s">
        <v>16</v>
      </c>
      <c r="K2390" t="s">
        <v>185</v>
      </c>
      <c r="N2390">
        <v>0</v>
      </c>
      <c r="O2390" t="s">
        <v>222</v>
      </c>
      <c r="P2390">
        <v>0</v>
      </c>
      <c r="U2390" s="15"/>
    </row>
    <row r="2391" spans="1:21" x14ac:dyDescent="0.35">
      <c r="A2391" t="s">
        <v>14</v>
      </c>
      <c r="B2391" t="s">
        <v>3247</v>
      </c>
      <c r="C2391" t="s">
        <v>1255</v>
      </c>
      <c r="D2391" t="s">
        <v>1256</v>
      </c>
      <c r="E2391" t="s">
        <v>1257</v>
      </c>
      <c r="F2391" t="s">
        <v>4305</v>
      </c>
      <c r="G2391" t="s">
        <v>4736</v>
      </c>
      <c r="H2391" s="15">
        <v>46175</v>
      </c>
      <c r="I2391" t="s">
        <v>4739</v>
      </c>
      <c r="J2391" t="s">
        <v>16</v>
      </c>
      <c r="K2391" t="s">
        <v>185</v>
      </c>
      <c r="N2391">
        <v>0</v>
      </c>
      <c r="O2391" t="s">
        <v>222</v>
      </c>
      <c r="P2391">
        <v>0</v>
      </c>
      <c r="U2391" s="15"/>
    </row>
    <row r="2392" spans="1:21" x14ac:dyDescent="0.35">
      <c r="A2392" t="s">
        <v>14</v>
      </c>
      <c r="B2392" t="s">
        <v>2398</v>
      </c>
      <c r="C2392" t="s">
        <v>1255</v>
      </c>
      <c r="D2392" t="s">
        <v>1256</v>
      </c>
      <c r="E2392" t="s">
        <v>1257</v>
      </c>
      <c r="F2392" t="s">
        <v>2399</v>
      </c>
      <c r="G2392" t="s">
        <v>3054</v>
      </c>
      <c r="H2392" s="15">
        <v>46196</v>
      </c>
      <c r="I2392" t="s">
        <v>3056</v>
      </c>
      <c r="J2392" t="s">
        <v>16</v>
      </c>
      <c r="K2392" t="s">
        <v>185</v>
      </c>
      <c r="N2392">
        <v>0</v>
      </c>
      <c r="O2392" t="s">
        <v>222</v>
      </c>
      <c r="P2392">
        <v>0</v>
      </c>
      <c r="U2392" s="15"/>
    </row>
    <row r="2393" spans="1:21" x14ac:dyDescent="0.35">
      <c r="A2393" t="s">
        <v>14</v>
      </c>
      <c r="B2393" t="s">
        <v>2398</v>
      </c>
      <c r="C2393" t="s">
        <v>515</v>
      </c>
      <c r="D2393" t="s">
        <v>516</v>
      </c>
      <c r="E2393" t="s">
        <v>517</v>
      </c>
      <c r="F2393" t="s">
        <v>2399</v>
      </c>
      <c r="G2393" t="s">
        <v>3057</v>
      </c>
      <c r="H2393" s="15">
        <v>46197</v>
      </c>
      <c r="I2393" t="s">
        <v>3058</v>
      </c>
      <c r="J2393" t="s">
        <v>16</v>
      </c>
      <c r="K2393" t="s">
        <v>185</v>
      </c>
      <c r="N2393">
        <v>6800</v>
      </c>
      <c r="O2393" t="s">
        <v>222</v>
      </c>
      <c r="P2393">
        <v>30.633285999999998</v>
      </c>
      <c r="U2393" s="15"/>
    </row>
    <row r="2394" spans="1:21" x14ac:dyDescent="0.35">
      <c r="A2394" t="s">
        <v>14</v>
      </c>
      <c r="B2394" t="s">
        <v>2398</v>
      </c>
      <c r="C2394" t="s">
        <v>1255</v>
      </c>
      <c r="D2394" t="s">
        <v>1256</v>
      </c>
      <c r="E2394" t="s">
        <v>1257</v>
      </c>
      <c r="F2394" t="s">
        <v>2399</v>
      </c>
      <c r="G2394" t="s">
        <v>3057</v>
      </c>
      <c r="H2394" s="15">
        <v>46197</v>
      </c>
      <c r="I2394" t="s">
        <v>3059</v>
      </c>
      <c r="J2394" t="s">
        <v>16</v>
      </c>
      <c r="K2394" t="s">
        <v>185</v>
      </c>
      <c r="N2394">
        <v>0</v>
      </c>
      <c r="O2394" t="s">
        <v>222</v>
      </c>
      <c r="P2394">
        <v>0</v>
      </c>
      <c r="U2394" s="15"/>
    </row>
    <row r="2395" spans="1:21" x14ac:dyDescent="0.35">
      <c r="A2395" t="s">
        <v>14</v>
      </c>
      <c r="B2395" t="s">
        <v>3247</v>
      </c>
      <c r="C2395" t="s">
        <v>667</v>
      </c>
      <c r="D2395" t="s">
        <v>668</v>
      </c>
      <c r="E2395" t="s">
        <v>669</v>
      </c>
      <c r="F2395" t="s">
        <v>4305</v>
      </c>
      <c r="G2395" t="s">
        <v>4740</v>
      </c>
      <c r="H2395" s="15">
        <v>46176</v>
      </c>
      <c r="I2395" t="s">
        <v>4741</v>
      </c>
      <c r="J2395" t="s">
        <v>16</v>
      </c>
      <c r="K2395" t="s">
        <v>185</v>
      </c>
      <c r="N2395">
        <v>0</v>
      </c>
      <c r="O2395" t="s">
        <v>222</v>
      </c>
      <c r="P2395">
        <v>0</v>
      </c>
      <c r="U2395" s="15"/>
    </row>
    <row r="2396" spans="1:21" x14ac:dyDescent="0.35">
      <c r="A2396" t="s">
        <v>14</v>
      </c>
      <c r="B2396" t="s">
        <v>3247</v>
      </c>
      <c r="C2396" t="s">
        <v>880</v>
      </c>
      <c r="D2396" t="s">
        <v>881</v>
      </c>
      <c r="E2396" t="s">
        <v>882</v>
      </c>
      <c r="F2396" t="s">
        <v>4305</v>
      </c>
      <c r="G2396" t="s">
        <v>4742</v>
      </c>
      <c r="H2396" s="15">
        <v>46177</v>
      </c>
      <c r="I2396" t="s">
        <v>4743</v>
      </c>
      <c r="J2396" t="s">
        <v>16</v>
      </c>
      <c r="K2396" t="s">
        <v>185</v>
      </c>
      <c r="N2396">
        <v>0</v>
      </c>
      <c r="O2396" t="s">
        <v>222</v>
      </c>
      <c r="P2396">
        <v>0</v>
      </c>
      <c r="U2396" s="15"/>
    </row>
    <row r="2397" spans="1:21" x14ac:dyDescent="0.35">
      <c r="A2397" t="s">
        <v>14</v>
      </c>
      <c r="B2397" t="s">
        <v>3247</v>
      </c>
      <c r="C2397" t="s">
        <v>1255</v>
      </c>
      <c r="D2397" t="s">
        <v>1256</v>
      </c>
      <c r="E2397" t="s">
        <v>1257</v>
      </c>
      <c r="F2397" t="s">
        <v>4305</v>
      </c>
      <c r="G2397" t="s">
        <v>4742</v>
      </c>
      <c r="H2397" s="15">
        <v>46177</v>
      </c>
      <c r="I2397" t="s">
        <v>4744</v>
      </c>
      <c r="J2397" t="s">
        <v>16</v>
      </c>
      <c r="K2397" t="s">
        <v>185</v>
      </c>
      <c r="N2397">
        <v>0</v>
      </c>
      <c r="O2397" t="s">
        <v>222</v>
      </c>
      <c r="P2397">
        <v>0</v>
      </c>
      <c r="U2397" s="15"/>
    </row>
    <row r="2398" spans="1:21" x14ac:dyDescent="0.35">
      <c r="A2398" t="s">
        <v>14</v>
      </c>
      <c r="B2398" t="s">
        <v>3247</v>
      </c>
      <c r="C2398" t="s">
        <v>515</v>
      </c>
      <c r="D2398" t="s">
        <v>516</v>
      </c>
      <c r="E2398" t="s">
        <v>517</v>
      </c>
      <c r="F2398" t="s">
        <v>4305</v>
      </c>
      <c r="G2398" t="s">
        <v>4745</v>
      </c>
      <c r="H2398" s="15">
        <v>46178</v>
      </c>
      <c r="I2398" t="s">
        <v>4746</v>
      </c>
      <c r="J2398" t="s">
        <v>16</v>
      </c>
      <c r="K2398" t="s">
        <v>185</v>
      </c>
      <c r="N2398">
        <v>0</v>
      </c>
      <c r="O2398" t="s">
        <v>222</v>
      </c>
      <c r="P2398">
        <v>0</v>
      </c>
      <c r="U2398" s="15"/>
    </row>
    <row r="2399" spans="1:21" x14ac:dyDescent="0.35">
      <c r="A2399" t="s">
        <v>14</v>
      </c>
      <c r="B2399" t="s">
        <v>2398</v>
      </c>
      <c r="C2399" t="s">
        <v>832</v>
      </c>
      <c r="D2399" t="s">
        <v>833</v>
      </c>
      <c r="E2399" t="s">
        <v>834</v>
      </c>
      <c r="F2399" t="s">
        <v>2399</v>
      </c>
      <c r="G2399" t="s">
        <v>3060</v>
      </c>
      <c r="H2399" s="15">
        <v>46198</v>
      </c>
      <c r="I2399" t="s">
        <v>3061</v>
      </c>
      <c r="J2399" t="s">
        <v>16</v>
      </c>
      <c r="K2399" t="s">
        <v>185</v>
      </c>
      <c r="N2399">
        <v>0</v>
      </c>
      <c r="O2399" t="s">
        <v>222</v>
      </c>
      <c r="P2399">
        <v>0</v>
      </c>
      <c r="U2399" s="15"/>
    </row>
    <row r="2400" spans="1:21" x14ac:dyDescent="0.35">
      <c r="A2400" t="s">
        <v>14</v>
      </c>
      <c r="B2400" t="s">
        <v>2398</v>
      </c>
      <c r="C2400" t="s">
        <v>647</v>
      </c>
      <c r="D2400" t="s">
        <v>648</v>
      </c>
      <c r="E2400" t="s">
        <v>649</v>
      </c>
      <c r="F2400" t="s">
        <v>2399</v>
      </c>
      <c r="G2400" t="s">
        <v>3060</v>
      </c>
      <c r="H2400" s="15">
        <v>46198</v>
      </c>
      <c r="I2400" t="s">
        <v>3062</v>
      </c>
      <c r="J2400" t="s">
        <v>16</v>
      </c>
      <c r="K2400" t="s">
        <v>185</v>
      </c>
      <c r="N2400">
        <v>0</v>
      </c>
      <c r="O2400" t="s">
        <v>222</v>
      </c>
      <c r="P2400">
        <v>0</v>
      </c>
      <c r="U2400" s="15"/>
    </row>
    <row r="2401" spans="1:21" x14ac:dyDescent="0.35">
      <c r="A2401" t="s">
        <v>14</v>
      </c>
      <c r="B2401" t="s">
        <v>2398</v>
      </c>
      <c r="C2401" t="s">
        <v>1255</v>
      </c>
      <c r="D2401" t="s">
        <v>1256</v>
      </c>
      <c r="E2401" t="s">
        <v>1257</v>
      </c>
      <c r="F2401" t="s">
        <v>2399</v>
      </c>
      <c r="G2401" t="s">
        <v>3063</v>
      </c>
      <c r="H2401" s="15">
        <v>46199</v>
      </c>
      <c r="I2401" t="s">
        <v>3064</v>
      </c>
      <c r="J2401" t="s">
        <v>16</v>
      </c>
      <c r="K2401" t="s">
        <v>185</v>
      </c>
      <c r="N2401">
        <v>0</v>
      </c>
      <c r="O2401" t="s">
        <v>222</v>
      </c>
      <c r="P2401">
        <v>0</v>
      </c>
      <c r="U2401" s="15"/>
    </row>
    <row r="2402" spans="1:21" x14ac:dyDescent="0.35">
      <c r="A2402" t="s">
        <v>14</v>
      </c>
      <c r="B2402" t="s">
        <v>3247</v>
      </c>
      <c r="C2402" t="s">
        <v>697</v>
      </c>
      <c r="D2402" t="s">
        <v>698</v>
      </c>
      <c r="E2402" t="s">
        <v>699</v>
      </c>
      <c r="F2402" t="s">
        <v>4305</v>
      </c>
      <c r="G2402" t="s">
        <v>4745</v>
      </c>
      <c r="H2402" s="15">
        <v>46178</v>
      </c>
      <c r="I2402" t="s">
        <v>4747</v>
      </c>
      <c r="J2402" t="s">
        <v>16</v>
      </c>
      <c r="K2402" t="s">
        <v>185</v>
      </c>
      <c r="N2402">
        <v>0</v>
      </c>
      <c r="O2402" t="s">
        <v>222</v>
      </c>
      <c r="P2402">
        <v>0</v>
      </c>
      <c r="U2402" s="15"/>
    </row>
    <row r="2403" spans="1:21" x14ac:dyDescent="0.35">
      <c r="A2403" t="s">
        <v>14</v>
      </c>
      <c r="B2403" t="s">
        <v>3247</v>
      </c>
      <c r="C2403" t="s">
        <v>1255</v>
      </c>
      <c r="D2403" t="s">
        <v>1256</v>
      </c>
      <c r="E2403" t="s">
        <v>1257</v>
      </c>
      <c r="F2403" t="s">
        <v>4305</v>
      </c>
      <c r="G2403" t="s">
        <v>4748</v>
      </c>
      <c r="H2403" s="15">
        <v>46179</v>
      </c>
      <c r="I2403" t="s">
        <v>4749</v>
      </c>
      <c r="J2403" t="s">
        <v>16</v>
      </c>
      <c r="K2403" t="s">
        <v>185</v>
      </c>
      <c r="N2403">
        <v>0</v>
      </c>
      <c r="O2403" t="s">
        <v>222</v>
      </c>
      <c r="P2403">
        <v>0</v>
      </c>
      <c r="U2403" s="15"/>
    </row>
    <row r="2404" spans="1:21" x14ac:dyDescent="0.35">
      <c r="A2404" t="s">
        <v>14</v>
      </c>
      <c r="B2404" t="s">
        <v>3247</v>
      </c>
      <c r="C2404" t="s">
        <v>1388</v>
      </c>
      <c r="D2404" t="s">
        <v>1389</v>
      </c>
      <c r="E2404" t="s">
        <v>1390</v>
      </c>
      <c r="F2404" t="s">
        <v>4305</v>
      </c>
      <c r="G2404" t="s">
        <v>4750</v>
      </c>
      <c r="H2404" s="15">
        <v>46181</v>
      </c>
      <c r="I2404" t="s">
        <v>4751</v>
      </c>
      <c r="J2404" t="s">
        <v>16</v>
      </c>
      <c r="K2404" t="s">
        <v>185</v>
      </c>
      <c r="N2404">
        <v>0</v>
      </c>
      <c r="O2404" t="s">
        <v>222</v>
      </c>
      <c r="P2404">
        <v>0</v>
      </c>
      <c r="U2404" s="15"/>
    </row>
    <row r="2405" spans="1:21" x14ac:dyDescent="0.35">
      <c r="A2405" t="s">
        <v>14</v>
      </c>
      <c r="B2405" t="s">
        <v>2398</v>
      </c>
      <c r="C2405" t="s">
        <v>1255</v>
      </c>
      <c r="D2405" t="s">
        <v>1256</v>
      </c>
      <c r="E2405" t="s">
        <v>1257</v>
      </c>
      <c r="F2405" t="s">
        <v>2399</v>
      </c>
      <c r="G2405" t="s">
        <v>3065</v>
      </c>
      <c r="H2405" s="15">
        <v>46202</v>
      </c>
      <c r="I2405" t="s">
        <v>3066</v>
      </c>
      <c r="J2405" t="s">
        <v>16</v>
      </c>
      <c r="K2405" t="s">
        <v>185</v>
      </c>
      <c r="N2405">
        <v>0</v>
      </c>
      <c r="O2405" t="s">
        <v>222</v>
      </c>
      <c r="P2405">
        <v>0</v>
      </c>
      <c r="U2405" s="15"/>
    </row>
    <row r="2406" spans="1:21" x14ac:dyDescent="0.35">
      <c r="A2406" t="s">
        <v>14</v>
      </c>
      <c r="B2406" t="s">
        <v>2398</v>
      </c>
      <c r="C2406" t="s">
        <v>1255</v>
      </c>
      <c r="D2406" t="s">
        <v>1256</v>
      </c>
      <c r="E2406" t="s">
        <v>1257</v>
      </c>
      <c r="F2406" t="s">
        <v>2399</v>
      </c>
      <c r="G2406" t="s">
        <v>3067</v>
      </c>
      <c r="H2406" s="15">
        <v>46203</v>
      </c>
      <c r="I2406" t="s">
        <v>3068</v>
      </c>
      <c r="J2406" t="s">
        <v>16</v>
      </c>
      <c r="K2406" t="s">
        <v>185</v>
      </c>
      <c r="N2406">
        <v>0</v>
      </c>
      <c r="O2406" t="s">
        <v>222</v>
      </c>
      <c r="P2406">
        <v>0</v>
      </c>
      <c r="U2406" s="15"/>
    </row>
    <row r="2407" spans="1:21" x14ac:dyDescent="0.35">
      <c r="A2407" t="s">
        <v>14</v>
      </c>
      <c r="B2407" t="s">
        <v>2398</v>
      </c>
      <c r="C2407" t="s">
        <v>1255</v>
      </c>
      <c r="D2407" t="s">
        <v>1256</v>
      </c>
      <c r="E2407" t="s">
        <v>1257</v>
      </c>
      <c r="F2407" t="s">
        <v>2399</v>
      </c>
      <c r="G2407" t="s">
        <v>3067</v>
      </c>
      <c r="H2407" s="15">
        <v>46203</v>
      </c>
      <c r="I2407" t="s">
        <v>3068</v>
      </c>
      <c r="J2407" t="s">
        <v>16</v>
      </c>
      <c r="K2407" t="s">
        <v>185</v>
      </c>
      <c r="N2407">
        <v>0</v>
      </c>
      <c r="O2407" t="s">
        <v>222</v>
      </c>
      <c r="P2407">
        <v>0</v>
      </c>
      <c r="U2407" s="15"/>
    </row>
    <row r="2408" spans="1:21" x14ac:dyDescent="0.35">
      <c r="A2408" t="s">
        <v>14</v>
      </c>
      <c r="B2408" t="s">
        <v>2398</v>
      </c>
      <c r="C2408" t="s">
        <v>777</v>
      </c>
      <c r="D2408" t="s">
        <v>778</v>
      </c>
      <c r="E2408" t="s">
        <v>779</v>
      </c>
      <c r="F2408" t="s">
        <v>2399</v>
      </c>
      <c r="G2408" t="s">
        <v>3069</v>
      </c>
      <c r="H2408" s="15">
        <v>46204</v>
      </c>
      <c r="I2408" t="s">
        <v>3070</v>
      </c>
      <c r="J2408" t="s">
        <v>16</v>
      </c>
      <c r="K2408" t="s">
        <v>185</v>
      </c>
      <c r="N2408">
        <v>0</v>
      </c>
      <c r="O2408" t="s">
        <v>222</v>
      </c>
      <c r="P2408">
        <v>0</v>
      </c>
      <c r="U2408" s="15"/>
    </row>
    <row r="2409" spans="1:21" x14ac:dyDescent="0.35">
      <c r="A2409" t="s">
        <v>14</v>
      </c>
      <c r="B2409" t="s">
        <v>2398</v>
      </c>
      <c r="C2409" t="s">
        <v>697</v>
      </c>
      <c r="D2409" t="s">
        <v>698</v>
      </c>
      <c r="E2409" t="s">
        <v>699</v>
      </c>
      <c r="F2409" t="s">
        <v>2399</v>
      </c>
      <c r="G2409" t="s">
        <v>3071</v>
      </c>
      <c r="H2409" s="15">
        <v>46205</v>
      </c>
      <c r="I2409" t="s">
        <v>3072</v>
      </c>
      <c r="J2409" t="s">
        <v>16</v>
      </c>
      <c r="K2409" t="s">
        <v>185</v>
      </c>
      <c r="N2409">
        <v>0</v>
      </c>
      <c r="O2409" t="s">
        <v>222</v>
      </c>
      <c r="P2409">
        <v>0</v>
      </c>
      <c r="U2409" s="15"/>
    </row>
    <row r="2410" spans="1:21" x14ac:dyDescent="0.35">
      <c r="A2410" t="s">
        <v>14</v>
      </c>
      <c r="B2410" t="s">
        <v>3247</v>
      </c>
      <c r="C2410" t="s">
        <v>1255</v>
      </c>
      <c r="D2410" t="s">
        <v>1256</v>
      </c>
      <c r="E2410" t="s">
        <v>1257</v>
      </c>
      <c r="F2410" t="s">
        <v>4305</v>
      </c>
      <c r="G2410" t="s">
        <v>4750</v>
      </c>
      <c r="H2410" s="15">
        <v>46181</v>
      </c>
      <c r="I2410" t="s">
        <v>4752</v>
      </c>
      <c r="J2410" t="s">
        <v>16</v>
      </c>
      <c r="K2410" t="s">
        <v>185</v>
      </c>
      <c r="N2410">
        <v>0</v>
      </c>
      <c r="O2410" t="s">
        <v>222</v>
      </c>
      <c r="P2410">
        <v>0</v>
      </c>
      <c r="U2410" s="15"/>
    </row>
    <row r="2411" spans="1:21" x14ac:dyDescent="0.35">
      <c r="A2411" t="s">
        <v>14</v>
      </c>
      <c r="B2411" t="s">
        <v>3247</v>
      </c>
      <c r="C2411" t="s">
        <v>515</v>
      </c>
      <c r="D2411" t="s">
        <v>516</v>
      </c>
      <c r="E2411" t="s">
        <v>517</v>
      </c>
      <c r="F2411" t="s">
        <v>4305</v>
      </c>
      <c r="G2411" t="s">
        <v>4753</v>
      </c>
      <c r="H2411" s="15">
        <v>46182</v>
      </c>
      <c r="I2411" t="s">
        <v>4754</v>
      </c>
      <c r="J2411" t="s">
        <v>16</v>
      </c>
      <c r="K2411" t="s">
        <v>185</v>
      </c>
      <c r="N2411">
        <v>0</v>
      </c>
      <c r="O2411" t="s">
        <v>222</v>
      </c>
      <c r="P2411">
        <v>0</v>
      </c>
      <c r="U2411" s="15"/>
    </row>
    <row r="2412" spans="1:21" x14ac:dyDescent="0.35">
      <c r="A2412" t="s">
        <v>14</v>
      </c>
      <c r="B2412" t="s">
        <v>2398</v>
      </c>
      <c r="C2412" t="s">
        <v>1255</v>
      </c>
      <c r="D2412" t="s">
        <v>1256</v>
      </c>
      <c r="E2412" t="s">
        <v>1257</v>
      </c>
      <c r="F2412" t="s">
        <v>2399</v>
      </c>
      <c r="G2412" t="s">
        <v>3071</v>
      </c>
      <c r="H2412" s="15">
        <v>46205</v>
      </c>
      <c r="I2412" t="s">
        <v>3073</v>
      </c>
      <c r="J2412" t="s">
        <v>16</v>
      </c>
      <c r="K2412" t="s">
        <v>185</v>
      </c>
      <c r="N2412">
        <v>0</v>
      </c>
      <c r="O2412" t="s">
        <v>222</v>
      </c>
      <c r="P2412">
        <v>0</v>
      </c>
      <c r="U2412" s="15"/>
    </row>
    <row r="2413" spans="1:21" x14ac:dyDescent="0.35">
      <c r="A2413" t="s">
        <v>14</v>
      </c>
      <c r="B2413" t="s">
        <v>2398</v>
      </c>
      <c r="C2413" t="s">
        <v>1255</v>
      </c>
      <c r="D2413" t="s">
        <v>1256</v>
      </c>
      <c r="E2413" t="s">
        <v>1257</v>
      </c>
      <c r="F2413" t="s">
        <v>2399</v>
      </c>
      <c r="G2413" t="s">
        <v>3074</v>
      </c>
      <c r="H2413" s="15">
        <v>46206</v>
      </c>
      <c r="I2413" t="s">
        <v>3075</v>
      </c>
      <c r="J2413" t="s">
        <v>16</v>
      </c>
      <c r="K2413" t="s">
        <v>185</v>
      </c>
      <c r="N2413">
        <v>0</v>
      </c>
      <c r="O2413" t="s">
        <v>222</v>
      </c>
      <c r="P2413">
        <v>0</v>
      </c>
      <c r="U2413" s="15"/>
    </row>
    <row r="2414" spans="1:21" x14ac:dyDescent="0.35">
      <c r="A2414" t="s">
        <v>14</v>
      </c>
      <c r="B2414" t="s">
        <v>3247</v>
      </c>
      <c r="C2414" t="s">
        <v>1255</v>
      </c>
      <c r="D2414" t="s">
        <v>1256</v>
      </c>
      <c r="E2414" t="s">
        <v>1257</v>
      </c>
      <c r="F2414" t="s">
        <v>4305</v>
      </c>
      <c r="G2414" t="s">
        <v>4753</v>
      </c>
      <c r="H2414" s="15">
        <v>46182</v>
      </c>
      <c r="I2414" t="s">
        <v>4755</v>
      </c>
      <c r="J2414" t="s">
        <v>16</v>
      </c>
      <c r="K2414" t="s">
        <v>185</v>
      </c>
      <c r="N2414">
        <v>0</v>
      </c>
      <c r="O2414" t="s">
        <v>222</v>
      </c>
      <c r="P2414">
        <v>0</v>
      </c>
      <c r="U2414" s="15"/>
    </row>
    <row r="2415" spans="1:21" x14ac:dyDescent="0.35">
      <c r="A2415" t="s">
        <v>14</v>
      </c>
      <c r="B2415" t="s">
        <v>3247</v>
      </c>
      <c r="C2415" t="s">
        <v>977</v>
      </c>
      <c r="D2415" t="s">
        <v>978</v>
      </c>
      <c r="E2415" t="s">
        <v>979</v>
      </c>
      <c r="F2415" t="s">
        <v>4305</v>
      </c>
      <c r="G2415" t="s">
        <v>4756</v>
      </c>
      <c r="H2415" s="15">
        <v>46183</v>
      </c>
      <c r="I2415" t="s">
        <v>4757</v>
      </c>
      <c r="J2415" t="s">
        <v>16</v>
      </c>
      <c r="K2415" t="s">
        <v>185</v>
      </c>
      <c r="N2415">
        <v>0</v>
      </c>
      <c r="O2415" t="s">
        <v>222</v>
      </c>
      <c r="P2415">
        <v>0</v>
      </c>
      <c r="U2415" s="15"/>
    </row>
    <row r="2416" spans="1:21" x14ac:dyDescent="0.35">
      <c r="A2416" t="s">
        <v>14</v>
      </c>
      <c r="B2416" t="s">
        <v>3247</v>
      </c>
      <c r="C2416" t="s">
        <v>667</v>
      </c>
      <c r="D2416" t="s">
        <v>668</v>
      </c>
      <c r="E2416" t="s">
        <v>669</v>
      </c>
      <c r="F2416" t="s">
        <v>4305</v>
      </c>
      <c r="G2416" t="s">
        <v>4756</v>
      </c>
      <c r="H2416" s="15">
        <v>46183</v>
      </c>
      <c r="I2416" t="s">
        <v>4758</v>
      </c>
      <c r="J2416" t="s">
        <v>16</v>
      </c>
      <c r="K2416" t="s">
        <v>185</v>
      </c>
      <c r="N2416">
        <v>0</v>
      </c>
      <c r="O2416" t="s">
        <v>222</v>
      </c>
      <c r="P2416">
        <v>0</v>
      </c>
      <c r="U2416" s="15"/>
    </row>
    <row r="2417" spans="1:21" x14ac:dyDescent="0.35">
      <c r="A2417" t="s">
        <v>14</v>
      </c>
      <c r="B2417" t="s">
        <v>2398</v>
      </c>
      <c r="C2417" t="s">
        <v>1255</v>
      </c>
      <c r="D2417" t="s">
        <v>1256</v>
      </c>
      <c r="E2417" t="s">
        <v>1257</v>
      </c>
      <c r="F2417" t="s">
        <v>2399</v>
      </c>
      <c r="G2417" t="s">
        <v>4986</v>
      </c>
      <c r="H2417" s="15">
        <v>46209</v>
      </c>
      <c r="I2417" t="s">
        <v>4987</v>
      </c>
      <c r="J2417" t="s">
        <v>16</v>
      </c>
      <c r="K2417" t="s">
        <v>185</v>
      </c>
      <c r="N2417">
        <v>0</v>
      </c>
      <c r="O2417" t="s">
        <v>222</v>
      </c>
      <c r="P2417">
        <v>0</v>
      </c>
      <c r="U2417" s="15"/>
    </row>
    <row r="2418" spans="1:21" x14ac:dyDescent="0.35">
      <c r="A2418" t="s">
        <v>14</v>
      </c>
      <c r="B2418" t="s">
        <v>2398</v>
      </c>
      <c r="C2418" t="s">
        <v>1255</v>
      </c>
      <c r="D2418" t="s">
        <v>1256</v>
      </c>
      <c r="E2418" t="s">
        <v>1257</v>
      </c>
      <c r="F2418" t="s">
        <v>2399</v>
      </c>
      <c r="G2418" t="s">
        <v>4988</v>
      </c>
      <c r="H2418" s="15">
        <v>46210</v>
      </c>
      <c r="I2418" t="s">
        <v>4989</v>
      </c>
      <c r="J2418" t="s">
        <v>16</v>
      </c>
      <c r="K2418" t="s">
        <v>185</v>
      </c>
      <c r="N2418">
        <v>0</v>
      </c>
      <c r="O2418" t="s">
        <v>222</v>
      </c>
      <c r="P2418">
        <v>0</v>
      </c>
      <c r="U2418" s="15"/>
    </row>
    <row r="2419" spans="1:21" x14ac:dyDescent="0.35">
      <c r="A2419" t="s">
        <v>14</v>
      </c>
      <c r="B2419" t="s">
        <v>3247</v>
      </c>
      <c r="C2419" t="s">
        <v>515</v>
      </c>
      <c r="D2419" t="s">
        <v>516</v>
      </c>
      <c r="E2419" t="s">
        <v>517</v>
      </c>
      <c r="F2419" t="s">
        <v>4305</v>
      </c>
      <c r="G2419" t="s">
        <v>4759</v>
      </c>
      <c r="H2419" s="15">
        <v>46184</v>
      </c>
      <c r="I2419" t="s">
        <v>4760</v>
      </c>
      <c r="J2419" t="s">
        <v>16</v>
      </c>
      <c r="K2419" t="s">
        <v>185</v>
      </c>
      <c r="N2419">
        <v>0</v>
      </c>
      <c r="O2419" t="s">
        <v>222</v>
      </c>
      <c r="P2419">
        <v>0</v>
      </c>
      <c r="U2419" s="15"/>
    </row>
    <row r="2420" spans="1:21" x14ac:dyDescent="0.35">
      <c r="A2420" t="s">
        <v>14</v>
      </c>
      <c r="B2420" t="s">
        <v>3247</v>
      </c>
      <c r="C2420" t="s">
        <v>1255</v>
      </c>
      <c r="D2420" t="s">
        <v>1256</v>
      </c>
      <c r="E2420" t="s">
        <v>1257</v>
      </c>
      <c r="F2420" t="s">
        <v>4305</v>
      </c>
      <c r="G2420" t="s">
        <v>4759</v>
      </c>
      <c r="H2420" s="15">
        <v>46184</v>
      </c>
      <c r="I2420" t="s">
        <v>4761</v>
      </c>
      <c r="J2420" t="s">
        <v>16</v>
      </c>
      <c r="K2420" t="s">
        <v>185</v>
      </c>
      <c r="N2420">
        <v>0</v>
      </c>
      <c r="O2420" t="s">
        <v>222</v>
      </c>
      <c r="P2420">
        <v>0</v>
      </c>
      <c r="U2420" s="15"/>
    </row>
    <row r="2421" spans="1:21" x14ac:dyDescent="0.35">
      <c r="A2421" t="s">
        <v>14</v>
      </c>
      <c r="B2421" t="s">
        <v>2398</v>
      </c>
      <c r="C2421" t="s">
        <v>777</v>
      </c>
      <c r="D2421" t="s">
        <v>778</v>
      </c>
      <c r="E2421" t="s">
        <v>779</v>
      </c>
      <c r="F2421" t="s">
        <v>2399</v>
      </c>
      <c r="G2421" t="s">
        <v>4990</v>
      </c>
      <c r="H2421" s="15">
        <v>46211</v>
      </c>
      <c r="I2421" t="s">
        <v>4991</v>
      </c>
      <c r="J2421" t="s">
        <v>16</v>
      </c>
      <c r="K2421" t="s">
        <v>185</v>
      </c>
      <c r="N2421">
        <v>0</v>
      </c>
      <c r="O2421" t="s">
        <v>222</v>
      </c>
      <c r="P2421">
        <v>0</v>
      </c>
      <c r="U2421" s="15"/>
    </row>
    <row r="2422" spans="1:21" x14ac:dyDescent="0.35">
      <c r="A2422" t="s">
        <v>14</v>
      </c>
      <c r="B2422" t="s">
        <v>2398</v>
      </c>
      <c r="C2422" t="s">
        <v>647</v>
      </c>
      <c r="D2422" t="s">
        <v>648</v>
      </c>
      <c r="E2422" t="s">
        <v>649</v>
      </c>
      <c r="F2422" t="s">
        <v>2399</v>
      </c>
      <c r="G2422" t="s">
        <v>4990</v>
      </c>
      <c r="H2422" s="15">
        <v>46211</v>
      </c>
      <c r="I2422" t="s">
        <v>4992</v>
      </c>
      <c r="J2422" t="s">
        <v>16</v>
      </c>
      <c r="K2422" t="s">
        <v>185</v>
      </c>
      <c r="N2422">
        <v>0</v>
      </c>
      <c r="O2422" t="s">
        <v>222</v>
      </c>
      <c r="P2422">
        <v>0</v>
      </c>
      <c r="U2422" s="15"/>
    </row>
    <row r="2423" spans="1:21" x14ac:dyDescent="0.35">
      <c r="A2423" t="s">
        <v>14</v>
      </c>
      <c r="B2423" t="s">
        <v>3247</v>
      </c>
      <c r="C2423" t="s">
        <v>515</v>
      </c>
      <c r="D2423" t="s">
        <v>516</v>
      </c>
      <c r="E2423" t="s">
        <v>517</v>
      </c>
      <c r="F2423" t="s">
        <v>4305</v>
      </c>
      <c r="G2423" t="s">
        <v>4762</v>
      </c>
      <c r="H2423" s="15">
        <v>46185</v>
      </c>
      <c r="I2423" t="s">
        <v>4763</v>
      </c>
      <c r="J2423" t="s">
        <v>16</v>
      </c>
      <c r="K2423" t="s">
        <v>185</v>
      </c>
      <c r="N2423">
        <v>0</v>
      </c>
      <c r="O2423" t="s">
        <v>222</v>
      </c>
      <c r="P2423">
        <v>0</v>
      </c>
      <c r="U2423" s="15"/>
    </row>
    <row r="2424" spans="1:21" x14ac:dyDescent="0.35">
      <c r="A2424" t="s">
        <v>14</v>
      </c>
      <c r="B2424" t="s">
        <v>3247</v>
      </c>
      <c r="C2424" t="s">
        <v>1255</v>
      </c>
      <c r="D2424" t="s">
        <v>1256</v>
      </c>
      <c r="E2424" t="s">
        <v>1257</v>
      </c>
      <c r="F2424" t="s">
        <v>4305</v>
      </c>
      <c r="G2424" t="s">
        <v>4762</v>
      </c>
      <c r="H2424" s="15">
        <v>46185</v>
      </c>
      <c r="I2424" t="s">
        <v>4764</v>
      </c>
      <c r="J2424" t="s">
        <v>16</v>
      </c>
      <c r="K2424" t="s">
        <v>185</v>
      </c>
      <c r="N2424">
        <v>0</v>
      </c>
      <c r="O2424" t="s">
        <v>222</v>
      </c>
      <c r="P2424">
        <v>0</v>
      </c>
      <c r="U2424" s="15"/>
    </row>
    <row r="2425" spans="1:21" x14ac:dyDescent="0.35">
      <c r="A2425" t="s">
        <v>14</v>
      </c>
      <c r="B2425" t="s">
        <v>3247</v>
      </c>
      <c r="C2425" t="s">
        <v>647</v>
      </c>
      <c r="D2425" t="s">
        <v>648</v>
      </c>
      <c r="E2425" t="s">
        <v>649</v>
      </c>
      <c r="F2425" t="s">
        <v>4305</v>
      </c>
      <c r="G2425" t="s">
        <v>4765</v>
      </c>
      <c r="H2425" s="15">
        <v>46186</v>
      </c>
      <c r="I2425" t="s">
        <v>4766</v>
      </c>
      <c r="J2425" t="s">
        <v>16</v>
      </c>
      <c r="K2425" t="s">
        <v>185</v>
      </c>
      <c r="N2425">
        <v>0</v>
      </c>
      <c r="O2425" t="s">
        <v>222</v>
      </c>
      <c r="P2425">
        <v>0</v>
      </c>
      <c r="U2425" s="15"/>
    </row>
    <row r="2426" spans="1:21" x14ac:dyDescent="0.35">
      <c r="A2426" t="s">
        <v>14</v>
      </c>
      <c r="B2426" t="s">
        <v>2398</v>
      </c>
      <c r="C2426" t="s">
        <v>1255</v>
      </c>
      <c r="D2426" t="s">
        <v>1256</v>
      </c>
      <c r="E2426" t="s">
        <v>1257</v>
      </c>
      <c r="F2426" t="s">
        <v>2399</v>
      </c>
      <c r="G2426" t="s">
        <v>4993</v>
      </c>
      <c r="H2426" s="15">
        <v>46212</v>
      </c>
      <c r="I2426" t="s">
        <v>4994</v>
      </c>
      <c r="J2426" t="s">
        <v>16</v>
      </c>
      <c r="K2426" t="s">
        <v>185</v>
      </c>
      <c r="N2426">
        <v>0</v>
      </c>
      <c r="O2426" t="s">
        <v>222</v>
      </c>
      <c r="P2426">
        <v>0</v>
      </c>
      <c r="U2426" s="15"/>
    </row>
    <row r="2427" spans="1:21" x14ac:dyDescent="0.35">
      <c r="A2427" t="s">
        <v>14</v>
      </c>
      <c r="B2427" t="s">
        <v>2398</v>
      </c>
      <c r="C2427" t="s">
        <v>1255</v>
      </c>
      <c r="D2427" t="s">
        <v>1256</v>
      </c>
      <c r="E2427" t="s">
        <v>1257</v>
      </c>
      <c r="F2427" t="s">
        <v>2399</v>
      </c>
      <c r="G2427" t="s">
        <v>4995</v>
      </c>
      <c r="H2427" s="15">
        <v>46213</v>
      </c>
      <c r="I2427" t="s">
        <v>4996</v>
      </c>
      <c r="J2427" t="s">
        <v>16</v>
      </c>
      <c r="K2427" t="s">
        <v>185</v>
      </c>
      <c r="N2427">
        <v>0</v>
      </c>
      <c r="O2427" t="s">
        <v>222</v>
      </c>
      <c r="P2427">
        <v>0</v>
      </c>
      <c r="U2427" s="15"/>
    </row>
    <row r="2428" spans="1:21" x14ac:dyDescent="0.35">
      <c r="A2428" t="s">
        <v>14</v>
      </c>
      <c r="B2428" t="s">
        <v>3247</v>
      </c>
      <c r="C2428" t="s">
        <v>977</v>
      </c>
      <c r="D2428" t="s">
        <v>978</v>
      </c>
      <c r="E2428" t="s">
        <v>979</v>
      </c>
      <c r="F2428" t="s">
        <v>4305</v>
      </c>
      <c r="G2428" t="s">
        <v>4767</v>
      </c>
      <c r="H2428" s="15">
        <v>46189</v>
      </c>
      <c r="I2428" t="s">
        <v>4768</v>
      </c>
      <c r="J2428" t="s">
        <v>16</v>
      </c>
      <c r="K2428" t="s">
        <v>185</v>
      </c>
      <c r="N2428">
        <v>0</v>
      </c>
      <c r="O2428" t="s">
        <v>222</v>
      </c>
      <c r="P2428">
        <v>0</v>
      </c>
      <c r="U2428" s="15"/>
    </row>
    <row r="2429" spans="1:21" x14ac:dyDescent="0.35">
      <c r="A2429" t="s">
        <v>14</v>
      </c>
      <c r="B2429" t="s">
        <v>3247</v>
      </c>
      <c r="C2429" t="s">
        <v>777</v>
      </c>
      <c r="D2429" t="s">
        <v>778</v>
      </c>
      <c r="E2429" t="s">
        <v>779</v>
      </c>
      <c r="F2429" t="s">
        <v>4305</v>
      </c>
      <c r="G2429" t="s">
        <v>4767</v>
      </c>
      <c r="H2429" s="15">
        <v>46189</v>
      </c>
      <c r="I2429" t="s">
        <v>4769</v>
      </c>
      <c r="J2429" t="s">
        <v>16</v>
      </c>
      <c r="K2429" t="s">
        <v>185</v>
      </c>
      <c r="N2429">
        <v>0</v>
      </c>
      <c r="O2429" t="s">
        <v>222</v>
      </c>
      <c r="P2429">
        <v>0</v>
      </c>
      <c r="U2429" s="15"/>
    </row>
    <row r="2430" spans="1:21" x14ac:dyDescent="0.35">
      <c r="A2430" t="s">
        <v>14</v>
      </c>
      <c r="B2430" t="s">
        <v>2398</v>
      </c>
      <c r="C2430" t="s">
        <v>1255</v>
      </c>
      <c r="D2430" t="s">
        <v>1256</v>
      </c>
      <c r="E2430" t="s">
        <v>1257</v>
      </c>
      <c r="F2430" t="s">
        <v>2399</v>
      </c>
      <c r="G2430" t="s">
        <v>4997</v>
      </c>
      <c r="H2430" s="15">
        <v>46216</v>
      </c>
      <c r="I2430" t="s">
        <v>4998</v>
      </c>
      <c r="J2430" t="s">
        <v>16</v>
      </c>
      <c r="K2430" t="s">
        <v>185</v>
      </c>
      <c r="N2430">
        <v>19600</v>
      </c>
      <c r="O2430" t="s">
        <v>222</v>
      </c>
      <c r="P2430">
        <v>72.067338000000007</v>
      </c>
      <c r="U2430" s="15"/>
    </row>
    <row r="2431" spans="1:21" x14ac:dyDescent="0.35">
      <c r="A2431" t="s">
        <v>14</v>
      </c>
      <c r="B2431" t="s">
        <v>2398</v>
      </c>
      <c r="C2431" t="s">
        <v>641</v>
      </c>
      <c r="D2431" t="s">
        <v>642</v>
      </c>
      <c r="E2431" t="s">
        <v>643</v>
      </c>
      <c r="F2431" t="s">
        <v>2399</v>
      </c>
      <c r="G2431" t="s">
        <v>4999</v>
      </c>
      <c r="H2431" s="15">
        <v>46217</v>
      </c>
      <c r="I2431" t="s">
        <v>5000</v>
      </c>
      <c r="J2431" t="s">
        <v>16</v>
      </c>
      <c r="K2431" t="s">
        <v>185</v>
      </c>
      <c r="N2431">
        <v>0</v>
      </c>
      <c r="O2431" t="s">
        <v>222</v>
      </c>
      <c r="P2431">
        <v>0</v>
      </c>
      <c r="U2431" s="15"/>
    </row>
    <row r="2432" spans="1:21" x14ac:dyDescent="0.35">
      <c r="A2432" t="s">
        <v>14</v>
      </c>
      <c r="B2432" t="s">
        <v>3247</v>
      </c>
      <c r="C2432" t="s">
        <v>515</v>
      </c>
      <c r="D2432" t="s">
        <v>516</v>
      </c>
      <c r="E2432" t="s">
        <v>517</v>
      </c>
      <c r="F2432" t="s">
        <v>4305</v>
      </c>
      <c r="G2432" t="s">
        <v>4770</v>
      </c>
      <c r="H2432" s="15">
        <v>46190</v>
      </c>
      <c r="I2432" t="s">
        <v>4771</v>
      </c>
      <c r="J2432" t="s">
        <v>16</v>
      </c>
      <c r="K2432" t="s">
        <v>185</v>
      </c>
      <c r="N2432">
        <v>0</v>
      </c>
      <c r="O2432" t="s">
        <v>222</v>
      </c>
      <c r="P2432">
        <v>0</v>
      </c>
      <c r="U2432" s="15"/>
    </row>
    <row r="2433" spans="1:21" x14ac:dyDescent="0.35">
      <c r="A2433" t="s">
        <v>14</v>
      </c>
      <c r="B2433" t="s">
        <v>3247</v>
      </c>
      <c r="C2433" t="s">
        <v>678</v>
      </c>
      <c r="D2433" t="s">
        <v>679</v>
      </c>
      <c r="E2433" t="s">
        <v>679</v>
      </c>
      <c r="F2433" t="s">
        <v>4305</v>
      </c>
      <c r="G2433" t="s">
        <v>4770</v>
      </c>
      <c r="H2433" s="15">
        <v>46190</v>
      </c>
      <c r="I2433" t="s">
        <v>4772</v>
      </c>
      <c r="J2433" t="s">
        <v>16</v>
      </c>
      <c r="K2433" t="s">
        <v>185</v>
      </c>
      <c r="N2433">
        <v>0</v>
      </c>
      <c r="O2433" t="s">
        <v>222</v>
      </c>
      <c r="P2433">
        <v>0</v>
      </c>
      <c r="U2433" s="15"/>
    </row>
    <row r="2434" spans="1:21" x14ac:dyDescent="0.35">
      <c r="A2434" t="s">
        <v>14</v>
      </c>
      <c r="B2434" t="s">
        <v>3247</v>
      </c>
      <c r="C2434" t="s">
        <v>1255</v>
      </c>
      <c r="D2434" t="s">
        <v>1256</v>
      </c>
      <c r="E2434" t="s">
        <v>1257</v>
      </c>
      <c r="F2434" t="s">
        <v>4305</v>
      </c>
      <c r="G2434" t="s">
        <v>4770</v>
      </c>
      <c r="H2434" s="15">
        <v>46190</v>
      </c>
      <c r="I2434" t="s">
        <v>4773</v>
      </c>
      <c r="J2434" t="s">
        <v>16</v>
      </c>
      <c r="K2434" t="s">
        <v>185</v>
      </c>
      <c r="N2434">
        <v>0</v>
      </c>
      <c r="O2434" t="s">
        <v>222</v>
      </c>
      <c r="P2434">
        <v>0</v>
      </c>
      <c r="U2434" s="15"/>
    </row>
    <row r="2435" spans="1:21" x14ac:dyDescent="0.35">
      <c r="A2435" t="s">
        <v>14</v>
      </c>
      <c r="B2435" t="s">
        <v>2398</v>
      </c>
      <c r="C2435" t="s">
        <v>1255</v>
      </c>
      <c r="D2435" t="s">
        <v>1256</v>
      </c>
      <c r="E2435" t="s">
        <v>1257</v>
      </c>
      <c r="F2435" t="s">
        <v>2399</v>
      </c>
      <c r="G2435" t="s">
        <v>4999</v>
      </c>
      <c r="H2435" s="15">
        <v>46217</v>
      </c>
      <c r="I2435" t="s">
        <v>5001</v>
      </c>
      <c r="J2435" t="s">
        <v>16</v>
      </c>
      <c r="K2435" t="s">
        <v>185</v>
      </c>
      <c r="N2435">
        <v>23000</v>
      </c>
      <c r="O2435" t="s">
        <v>222</v>
      </c>
      <c r="P2435">
        <v>86.116829999999993</v>
      </c>
      <c r="U2435" s="15"/>
    </row>
    <row r="2436" spans="1:21" x14ac:dyDescent="0.35">
      <c r="A2436" t="s">
        <v>14</v>
      </c>
      <c r="B2436" t="s">
        <v>2398</v>
      </c>
      <c r="C2436" t="s">
        <v>692</v>
      </c>
      <c r="D2436" t="s">
        <v>693</v>
      </c>
      <c r="E2436" t="s">
        <v>694</v>
      </c>
      <c r="F2436" t="s">
        <v>2399</v>
      </c>
      <c r="G2436" t="s">
        <v>5002</v>
      </c>
      <c r="H2436" s="15">
        <v>46218</v>
      </c>
      <c r="I2436" t="s">
        <v>5003</v>
      </c>
      <c r="J2436" t="s">
        <v>16</v>
      </c>
      <c r="K2436" t="s">
        <v>185</v>
      </c>
      <c r="N2436">
        <v>10500</v>
      </c>
      <c r="O2436" t="s">
        <v>222</v>
      </c>
      <c r="P2436">
        <v>38.284469999999999</v>
      </c>
      <c r="U2436" s="15"/>
    </row>
    <row r="2437" spans="1:21" x14ac:dyDescent="0.35">
      <c r="A2437" t="s">
        <v>14</v>
      </c>
      <c r="B2437" t="s">
        <v>3247</v>
      </c>
      <c r="C2437" t="s">
        <v>515</v>
      </c>
      <c r="D2437" t="s">
        <v>516</v>
      </c>
      <c r="E2437" t="s">
        <v>517</v>
      </c>
      <c r="F2437" t="s">
        <v>4305</v>
      </c>
      <c r="G2437" t="s">
        <v>4774</v>
      </c>
      <c r="H2437" s="15">
        <v>46191</v>
      </c>
      <c r="I2437" t="s">
        <v>4775</v>
      </c>
      <c r="J2437" t="s">
        <v>16</v>
      </c>
      <c r="K2437" t="s">
        <v>185</v>
      </c>
      <c r="N2437">
        <v>0</v>
      </c>
      <c r="O2437" t="s">
        <v>222</v>
      </c>
      <c r="P2437">
        <v>0</v>
      </c>
      <c r="U2437" s="15"/>
    </row>
    <row r="2438" spans="1:21" x14ac:dyDescent="0.35">
      <c r="A2438" t="s">
        <v>14</v>
      </c>
      <c r="B2438" t="s">
        <v>3247</v>
      </c>
      <c r="C2438" t="s">
        <v>1255</v>
      </c>
      <c r="D2438" t="s">
        <v>1256</v>
      </c>
      <c r="E2438" t="s">
        <v>1257</v>
      </c>
      <c r="F2438" t="s">
        <v>4305</v>
      </c>
      <c r="G2438" t="s">
        <v>4774</v>
      </c>
      <c r="H2438" s="15">
        <v>46191</v>
      </c>
      <c r="I2438" t="s">
        <v>4776</v>
      </c>
      <c r="J2438" t="s">
        <v>16</v>
      </c>
      <c r="K2438" t="s">
        <v>185</v>
      </c>
      <c r="N2438">
        <v>0</v>
      </c>
      <c r="O2438" t="s">
        <v>222</v>
      </c>
      <c r="P2438">
        <v>0</v>
      </c>
      <c r="U2438" s="15"/>
    </row>
    <row r="2439" spans="1:21" x14ac:dyDescent="0.35">
      <c r="A2439" t="s">
        <v>14</v>
      </c>
      <c r="B2439" t="s">
        <v>3247</v>
      </c>
      <c r="C2439" t="s">
        <v>515</v>
      </c>
      <c r="D2439" t="s">
        <v>516</v>
      </c>
      <c r="E2439" t="s">
        <v>517</v>
      </c>
      <c r="F2439" t="s">
        <v>4305</v>
      </c>
      <c r="G2439" t="s">
        <v>4777</v>
      </c>
      <c r="H2439" s="15">
        <v>46192</v>
      </c>
      <c r="I2439" t="s">
        <v>4778</v>
      </c>
      <c r="J2439" t="s">
        <v>16</v>
      </c>
      <c r="K2439" t="s">
        <v>185</v>
      </c>
      <c r="N2439">
        <v>0</v>
      </c>
      <c r="O2439" t="s">
        <v>222</v>
      </c>
      <c r="P2439">
        <v>0</v>
      </c>
      <c r="U2439" s="15"/>
    </row>
    <row r="2440" spans="1:21" x14ac:dyDescent="0.35">
      <c r="A2440" t="s">
        <v>14</v>
      </c>
      <c r="B2440" t="s">
        <v>3247</v>
      </c>
      <c r="C2440" t="s">
        <v>1255</v>
      </c>
      <c r="D2440" t="s">
        <v>1256</v>
      </c>
      <c r="E2440" t="s">
        <v>1257</v>
      </c>
      <c r="F2440" t="s">
        <v>4305</v>
      </c>
      <c r="G2440" t="s">
        <v>4777</v>
      </c>
      <c r="H2440" s="15">
        <v>46192</v>
      </c>
      <c r="I2440" t="s">
        <v>4779</v>
      </c>
      <c r="J2440" t="s">
        <v>16</v>
      </c>
      <c r="K2440" t="s">
        <v>185</v>
      </c>
      <c r="N2440">
        <v>0</v>
      </c>
      <c r="O2440" t="s">
        <v>222</v>
      </c>
      <c r="P2440">
        <v>0</v>
      </c>
      <c r="U2440" s="15"/>
    </row>
    <row r="2441" spans="1:21" x14ac:dyDescent="0.35">
      <c r="A2441" t="s">
        <v>14</v>
      </c>
      <c r="B2441" t="s">
        <v>3247</v>
      </c>
      <c r="C2441" t="s">
        <v>667</v>
      </c>
      <c r="D2441" t="s">
        <v>668</v>
      </c>
      <c r="E2441" t="s">
        <v>669</v>
      </c>
      <c r="F2441" t="s">
        <v>4305</v>
      </c>
      <c r="G2441" t="s">
        <v>4780</v>
      </c>
      <c r="H2441" s="15">
        <v>46193</v>
      </c>
      <c r="I2441" t="s">
        <v>4781</v>
      </c>
      <c r="J2441" t="s">
        <v>16</v>
      </c>
      <c r="K2441" t="s">
        <v>185</v>
      </c>
      <c r="N2441">
        <v>0</v>
      </c>
      <c r="O2441" t="s">
        <v>222</v>
      </c>
      <c r="P2441">
        <v>0</v>
      </c>
      <c r="U2441" s="15"/>
    </row>
    <row r="2442" spans="1:21" x14ac:dyDescent="0.35">
      <c r="A2442" t="s">
        <v>14</v>
      </c>
      <c r="B2442" t="s">
        <v>3247</v>
      </c>
      <c r="C2442" t="s">
        <v>977</v>
      </c>
      <c r="D2442" t="s">
        <v>978</v>
      </c>
      <c r="E2442" t="s">
        <v>979</v>
      </c>
      <c r="F2442" t="s">
        <v>4305</v>
      </c>
      <c r="G2442" t="s">
        <v>4782</v>
      </c>
      <c r="H2442" s="15">
        <v>46195</v>
      </c>
      <c r="I2442" t="s">
        <v>4783</v>
      </c>
      <c r="J2442" t="s">
        <v>16</v>
      </c>
      <c r="K2442" t="s">
        <v>185</v>
      </c>
      <c r="N2442">
        <v>0</v>
      </c>
      <c r="O2442" t="s">
        <v>222</v>
      </c>
      <c r="P2442">
        <v>0</v>
      </c>
      <c r="U2442" s="15"/>
    </row>
    <row r="2443" spans="1:21" x14ac:dyDescent="0.35">
      <c r="A2443" t="s">
        <v>14</v>
      </c>
      <c r="B2443" t="s">
        <v>3247</v>
      </c>
      <c r="C2443" t="s">
        <v>667</v>
      </c>
      <c r="D2443" t="s">
        <v>668</v>
      </c>
      <c r="E2443" t="s">
        <v>669</v>
      </c>
      <c r="F2443" t="s">
        <v>4305</v>
      </c>
      <c r="G2443" t="s">
        <v>4782</v>
      </c>
      <c r="H2443" s="15">
        <v>46195</v>
      </c>
      <c r="I2443" t="s">
        <v>4784</v>
      </c>
      <c r="J2443" t="s">
        <v>16</v>
      </c>
      <c r="K2443" t="s">
        <v>185</v>
      </c>
      <c r="N2443">
        <v>0</v>
      </c>
      <c r="O2443" t="s">
        <v>222</v>
      </c>
      <c r="P2443">
        <v>0</v>
      </c>
      <c r="U2443" s="15"/>
    </row>
    <row r="2444" spans="1:21" x14ac:dyDescent="0.35">
      <c r="A2444" t="s">
        <v>14</v>
      </c>
      <c r="B2444" t="s">
        <v>3247</v>
      </c>
      <c r="C2444" t="s">
        <v>515</v>
      </c>
      <c r="D2444" t="s">
        <v>516</v>
      </c>
      <c r="E2444" t="s">
        <v>517</v>
      </c>
      <c r="F2444" t="s">
        <v>4305</v>
      </c>
      <c r="G2444" t="s">
        <v>4785</v>
      </c>
      <c r="H2444" s="15">
        <v>46196</v>
      </c>
      <c r="I2444" t="s">
        <v>4786</v>
      </c>
      <c r="J2444" t="s">
        <v>16</v>
      </c>
      <c r="K2444" t="s">
        <v>185</v>
      </c>
      <c r="N2444">
        <v>0</v>
      </c>
      <c r="O2444" t="s">
        <v>222</v>
      </c>
      <c r="P2444">
        <v>0</v>
      </c>
      <c r="U2444" s="15"/>
    </row>
    <row r="2445" spans="1:21" x14ac:dyDescent="0.35">
      <c r="A2445" t="s">
        <v>14</v>
      </c>
      <c r="B2445" t="s">
        <v>3247</v>
      </c>
      <c r="C2445" t="s">
        <v>1255</v>
      </c>
      <c r="D2445" t="s">
        <v>1256</v>
      </c>
      <c r="E2445" t="s">
        <v>1257</v>
      </c>
      <c r="F2445" t="s">
        <v>4305</v>
      </c>
      <c r="G2445" t="s">
        <v>4785</v>
      </c>
      <c r="H2445" s="15">
        <v>46196</v>
      </c>
      <c r="I2445" t="s">
        <v>4787</v>
      </c>
      <c r="J2445" t="s">
        <v>16</v>
      </c>
      <c r="K2445" t="s">
        <v>185</v>
      </c>
      <c r="N2445">
        <v>0</v>
      </c>
      <c r="O2445" t="s">
        <v>222</v>
      </c>
      <c r="P2445">
        <v>0</v>
      </c>
      <c r="U2445" s="15"/>
    </row>
    <row r="2446" spans="1:21" x14ac:dyDescent="0.35">
      <c r="A2446" t="s">
        <v>14</v>
      </c>
      <c r="B2446" t="s">
        <v>3247</v>
      </c>
      <c r="C2446" t="s">
        <v>515</v>
      </c>
      <c r="D2446" t="s">
        <v>516</v>
      </c>
      <c r="E2446" t="s">
        <v>517</v>
      </c>
      <c r="F2446" t="s">
        <v>4305</v>
      </c>
      <c r="G2446" t="s">
        <v>4788</v>
      </c>
      <c r="H2446" s="15">
        <v>46198</v>
      </c>
      <c r="I2446" t="s">
        <v>4789</v>
      </c>
      <c r="J2446" t="s">
        <v>16</v>
      </c>
      <c r="K2446" t="s">
        <v>185</v>
      </c>
      <c r="N2446">
        <v>0</v>
      </c>
      <c r="O2446" t="s">
        <v>222</v>
      </c>
      <c r="P2446">
        <v>0</v>
      </c>
      <c r="U2446" s="15"/>
    </row>
    <row r="2447" spans="1:21" x14ac:dyDescent="0.35">
      <c r="A2447" t="s">
        <v>14</v>
      </c>
      <c r="B2447" t="s">
        <v>3247</v>
      </c>
      <c r="C2447" t="s">
        <v>1388</v>
      </c>
      <c r="D2447" t="s">
        <v>1389</v>
      </c>
      <c r="E2447" t="s">
        <v>1390</v>
      </c>
      <c r="F2447" t="s">
        <v>4305</v>
      </c>
      <c r="G2447" t="s">
        <v>4790</v>
      </c>
      <c r="H2447" s="15">
        <v>46199</v>
      </c>
      <c r="I2447" t="s">
        <v>4791</v>
      </c>
      <c r="J2447" t="s">
        <v>16</v>
      </c>
      <c r="K2447" t="s">
        <v>185</v>
      </c>
      <c r="N2447">
        <v>0</v>
      </c>
      <c r="O2447" t="s">
        <v>222</v>
      </c>
      <c r="P2447">
        <v>0</v>
      </c>
      <c r="U2447" s="15"/>
    </row>
    <row r="2448" spans="1:21" x14ac:dyDescent="0.35">
      <c r="A2448" t="s">
        <v>14</v>
      </c>
      <c r="B2448" t="s">
        <v>3247</v>
      </c>
      <c r="C2448" t="s">
        <v>1255</v>
      </c>
      <c r="D2448" t="s">
        <v>1256</v>
      </c>
      <c r="E2448" t="s">
        <v>1257</v>
      </c>
      <c r="F2448" t="s">
        <v>4305</v>
      </c>
      <c r="G2448" t="s">
        <v>4790</v>
      </c>
      <c r="H2448" s="15">
        <v>46199</v>
      </c>
      <c r="I2448" t="s">
        <v>4792</v>
      </c>
      <c r="J2448" t="s">
        <v>16</v>
      </c>
      <c r="K2448" t="s">
        <v>185</v>
      </c>
      <c r="N2448">
        <v>0</v>
      </c>
      <c r="O2448" t="s">
        <v>222</v>
      </c>
      <c r="P2448">
        <v>0</v>
      </c>
      <c r="U2448" s="15"/>
    </row>
    <row r="2449" spans="1:21" x14ac:dyDescent="0.35">
      <c r="A2449" t="s">
        <v>14</v>
      </c>
      <c r="B2449" t="s">
        <v>3247</v>
      </c>
      <c r="C2449" t="s">
        <v>697</v>
      </c>
      <c r="D2449" t="s">
        <v>698</v>
      </c>
      <c r="E2449" t="s">
        <v>699</v>
      </c>
      <c r="F2449" t="s">
        <v>4305</v>
      </c>
      <c r="G2449" t="s">
        <v>4793</v>
      </c>
      <c r="H2449" s="15">
        <v>46200</v>
      </c>
      <c r="I2449" t="s">
        <v>4794</v>
      </c>
      <c r="J2449" t="s">
        <v>16</v>
      </c>
      <c r="K2449" t="s">
        <v>185</v>
      </c>
      <c r="N2449">
        <v>0</v>
      </c>
      <c r="O2449" t="s">
        <v>222</v>
      </c>
      <c r="P2449">
        <v>0</v>
      </c>
      <c r="U2449" s="15"/>
    </row>
    <row r="2450" spans="1:21" x14ac:dyDescent="0.35">
      <c r="A2450" t="s">
        <v>14</v>
      </c>
      <c r="B2450" t="s">
        <v>3247</v>
      </c>
      <c r="C2450" t="s">
        <v>1388</v>
      </c>
      <c r="D2450" t="s">
        <v>1389</v>
      </c>
      <c r="E2450" t="s">
        <v>1390</v>
      </c>
      <c r="F2450" t="s">
        <v>4305</v>
      </c>
      <c r="G2450" t="s">
        <v>4795</v>
      </c>
      <c r="H2450" s="15">
        <v>46202</v>
      </c>
      <c r="I2450" t="s">
        <v>4796</v>
      </c>
      <c r="J2450" t="s">
        <v>16</v>
      </c>
      <c r="K2450" t="s">
        <v>185</v>
      </c>
      <c r="N2450">
        <v>0</v>
      </c>
      <c r="O2450" t="s">
        <v>222</v>
      </c>
      <c r="P2450">
        <v>0</v>
      </c>
      <c r="U2450" s="15"/>
    </row>
    <row r="2451" spans="1:21" x14ac:dyDescent="0.35">
      <c r="A2451" t="s">
        <v>14</v>
      </c>
      <c r="B2451" t="s">
        <v>3247</v>
      </c>
      <c r="C2451" t="s">
        <v>1255</v>
      </c>
      <c r="D2451" t="s">
        <v>1256</v>
      </c>
      <c r="E2451" t="s">
        <v>1257</v>
      </c>
      <c r="F2451" t="s">
        <v>4305</v>
      </c>
      <c r="G2451" t="s">
        <v>4795</v>
      </c>
      <c r="H2451" s="15">
        <v>46202</v>
      </c>
      <c r="I2451" t="s">
        <v>4797</v>
      </c>
      <c r="J2451" t="s">
        <v>16</v>
      </c>
      <c r="K2451" t="s">
        <v>185</v>
      </c>
      <c r="N2451">
        <v>0</v>
      </c>
      <c r="O2451" t="s">
        <v>222</v>
      </c>
      <c r="P2451">
        <v>0</v>
      </c>
      <c r="U2451" s="15"/>
    </row>
    <row r="2452" spans="1:21" x14ac:dyDescent="0.35">
      <c r="A2452" t="s">
        <v>14</v>
      </c>
      <c r="B2452" t="s">
        <v>3247</v>
      </c>
      <c r="C2452" t="s">
        <v>515</v>
      </c>
      <c r="D2452" t="s">
        <v>516</v>
      </c>
      <c r="E2452" t="s">
        <v>517</v>
      </c>
      <c r="F2452" t="s">
        <v>4305</v>
      </c>
      <c r="G2452" t="s">
        <v>4798</v>
      </c>
      <c r="H2452" s="15">
        <v>46203</v>
      </c>
      <c r="I2452" t="s">
        <v>4799</v>
      </c>
      <c r="J2452" t="s">
        <v>16</v>
      </c>
      <c r="K2452" t="s">
        <v>185</v>
      </c>
      <c r="N2452">
        <v>0</v>
      </c>
      <c r="O2452" t="s">
        <v>222</v>
      </c>
      <c r="P2452">
        <v>0</v>
      </c>
      <c r="U2452" s="15"/>
    </row>
    <row r="2453" spans="1:21" x14ac:dyDescent="0.35">
      <c r="A2453" t="s">
        <v>14</v>
      </c>
      <c r="B2453" t="s">
        <v>3247</v>
      </c>
      <c r="C2453" t="s">
        <v>682</v>
      </c>
      <c r="D2453" t="s">
        <v>683</v>
      </c>
      <c r="E2453" t="s">
        <v>683</v>
      </c>
      <c r="F2453" t="s">
        <v>4305</v>
      </c>
      <c r="G2453" t="s">
        <v>4798</v>
      </c>
      <c r="H2453" s="15">
        <v>46203</v>
      </c>
      <c r="I2453" t="s">
        <v>4800</v>
      </c>
      <c r="J2453" t="s">
        <v>16</v>
      </c>
      <c r="K2453" t="s">
        <v>185</v>
      </c>
      <c r="N2453">
        <v>0</v>
      </c>
      <c r="O2453" t="s">
        <v>222</v>
      </c>
      <c r="P2453">
        <v>0</v>
      </c>
      <c r="U2453" s="15"/>
    </row>
    <row r="2454" spans="1:21" x14ac:dyDescent="0.35">
      <c r="A2454" t="s">
        <v>14</v>
      </c>
      <c r="B2454" t="s">
        <v>3247</v>
      </c>
      <c r="C2454" t="s">
        <v>880</v>
      </c>
      <c r="D2454" t="s">
        <v>881</v>
      </c>
      <c r="E2454" t="s">
        <v>882</v>
      </c>
      <c r="F2454" t="s">
        <v>4305</v>
      </c>
      <c r="G2454" t="s">
        <v>4801</v>
      </c>
      <c r="H2454" s="15">
        <v>46204</v>
      </c>
      <c r="I2454" t="s">
        <v>4802</v>
      </c>
      <c r="J2454" t="s">
        <v>16</v>
      </c>
      <c r="K2454" t="s">
        <v>185</v>
      </c>
      <c r="N2454">
        <v>0</v>
      </c>
      <c r="O2454" t="s">
        <v>222</v>
      </c>
      <c r="P2454">
        <v>0</v>
      </c>
      <c r="U2454" s="15"/>
    </row>
    <row r="2455" spans="1:21" x14ac:dyDescent="0.35">
      <c r="A2455" t="s">
        <v>14</v>
      </c>
      <c r="B2455" t="s">
        <v>3247</v>
      </c>
      <c r="C2455" t="s">
        <v>1255</v>
      </c>
      <c r="D2455" t="s">
        <v>1256</v>
      </c>
      <c r="E2455" t="s">
        <v>1257</v>
      </c>
      <c r="F2455" t="s">
        <v>4305</v>
      </c>
      <c r="G2455" t="s">
        <v>4801</v>
      </c>
      <c r="H2455" s="15">
        <v>46204</v>
      </c>
      <c r="I2455" t="s">
        <v>4803</v>
      </c>
      <c r="J2455" t="s">
        <v>16</v>
      </c>
      <c r="K2455" t="s">
        <v>185</v>
      </c>
      <c r="N2455">
        <v>0</v>
      </c>
      <c r="O2455" t="s">
        <v>222</v>
      </c>
      <c r="P2455">
        <v>0</v>
      </c>
      <c r="U2455" s="15"/>
    </row>
    <row r="2456" spans="1:21" x14ac:dyDescent="0.35">
      <c r="A2456" t="s">
        <v>14</v>
      </c>
      <c r="B2456" t="s">
        <v>3158</v>
      </c>
      <c r="C2456" t="s">
        <v>682</v>
      </c>
      <c r="D2456" t="s">
        <v>683</v>
      </c>
      <c r="E2456" t="s">
        <v>683</v>
      </c>
      <c r="F2456" t="s">
        <v>3159</v>
      </c>
      <c r="G2456" t="s">
        <v>4498</v>
      </c>
      <c r="H2456" s="15">
        <v>46204</v>
      </c>
      <c r="I2456" t="s">
        <v>4499</v>
      </c>
      <c r="J2456" t="s">
        <v>16</v>
      </c>
      <c r="K2456" t="s">
        <v>185</v>
      </c>
      <c r="N2456">
        <v>0</v>
      </c>
      <c r="O2456" t="s">
        <v>222</v>
      </c>
      <c r="P2456">
        <v>0</v>
      </c>
      <c r="U2456" s="15"/>
    </row>
    <row r="2457" spans="1:21" x14ac:dyDescent="0.35">
      <c r="A2457" t="s">
        <v>14</v>
      </c>
      <c r="B2457" t="s">
        <v>3158</v>
      </c>
      <c r="C2457" t="s">
        <v>531</v>
      </c>
      <c r="D2457" t="s">
        <v>532</v>
      </c>
      <c r="E2457" t="s">
        <v>533</v>
      </c>
      <c r="F2457" t="s">
        <v>3159</v>
      </c>
      <c r="G2457" t="s">
        <v>4498</v>
      </c>
      <c r="H2457" s="15">
        <v>46204</v>
      </c>
      <c r="I2457" t="s">
        <v>4506</v>
      </c>
      <c r="J2457" t="s">
        <v>16</v>
      </c>
      <c r="K2457" t="s">
        <v>185</v>
      </c>
      <c r="N2457">
        <v>0</v>
      </c>
      <c r="O2457" t="s">
        <v>222</v>
      </c>
      <c r="P2457">
        <v>0</v>
      </c>
      <c r="U2457" s="15"/>
    </row>
    <row r="2458" spans="1:21" x14ac:dyDescent="0.35">
      <c r="A2458" t="s">
        <v>14</v>
      </c>
      <c r="B2458" t="s">
        <v>3247</v>
      </c>
      <c r="C2458" t="s">
        <v>932</v>
      </c>
      <c r="D2458" t="s">
        <v>933</v>
      </c>
      <c r="E2458" t="s">
        <v>934</v>
      </c>
      <c r="F2458" t="s">
        <v>4305</v>
      </c>
      <c r="G2458" t="s">
        <v>4801</v>
      </c>
      <c r="H2458" s="15">
        <v>46204</v>
      </c>
      <c r="I2458" t="s">
        <v>4804</v>
      </c>
      <c r="J2458" t="s">
        <v>16</v>
      </c>
      <c r="K2458" t="s">
        <v>185</v>
      </c>
      <c r="N2458">
        <v>0</v>
      </c>
      <c r="O2458" t="s">
        <v>222</v>
      </c>
      <c r="P2458">
        <v>0</v>
      </c>
      <c r="U2458" s="15"/>
    </row>
    <row r="2459" spans="1:21" x14ac:dyDescent="0.35">
      <c r="A2459" t="s">
        <v>14</v>
      </c>
      <c r="B2459" t="s">
        <v>3247</v>
      </c>
      <c r="C2459" t="s">
        <v>515</v>
      </c>
      <c r="D2459" t="s">
        <v>516</v>
      </c>
      <c r="E2459" t="s">
        <v>517</v>
      </c>
      <c r="F2459" t="s">
        <v>4305</v>
      </c>
      <c r="G2459" t="s">
        <v>4805</v>
      </c>
      <c r="H2459" s="15">
        <v>46205</v>
      </c>
      <c r="I2459" t="s">
        <v>4806</v>
      </c>
      <c r="J2459" t="s">
        <v>16</v>
      </c>
      <c r="K2459" t="s">
        <v>185</v>
      </c>
      <c r="N2459">
        <v>0</v>
      </c>
      <c r="O2459" t="s">
        <v>222</v>
      </c>
      <c r="P2459">
        <v>0</v>
      </c>
      <c r="U2459" s="15"/>
    </row>
    <row r="2460" spans="1:21" x14ac:dyDescent="0.35">
      <c r="A2460" t="s">
        <v>14</v>
      </c>
      <c r="B2460" t="s">
        <v>3158</v>
      </c>
      <c r="C2460" t="s">
        <v>1255</v>
      </c>
      <c r="D2460" t="s">
        <v>1256</v>
      </c>
      <c r="E2460" t="s">
        <v>1257</v>
      </c>
      <c r="F2460" t="s">
        <v>3159</v>
      </c>
      <c r="G2460" t="s">
        <v>4507</v>
      </c>
      <c r="H2460" s="15">
        <v>46204</v>
      </c>
      <c r="I2460" t="s">
        <v>4508</v>
      </c>
      <c r="J2460" t="s">
        <v>233</v>
      </c>
      <c r="K2460" t="s">
        <v>185</v>
      </c>
      <c r="N2460">
        <v>0</v>
      </c>
      <c r="O2460" t="s">
        <v>222</v>
      </c>
      <c r="P2460">
        <v>0</v>
      </c>
      <c r="U2460" s="15"/>
    </row>
    <row r="2461" spans="1:21" x14ac:dyDescent="0.35">
      <c r="A2461" t="s">
        <v>14</v>
      </c>
      <c r="B2461" t="s">
        <v>3158</v>
      </c>
      <c r="C2461" t="s">
        <v>1255</v>
      </c>
      <c r="D2461" t="s">
        <v>1256</v>
      </c>
      <c r="E2461" t="s">
        <v>1257</v>
      </c>
      <c r="F2461" t="s">
        <v>3159</v>
      </c>
      <c r="G2461" t="s">
        <v>4513</v>
      </c>
      <c r="H2461" s="15">
        <v>46205</v>
      </c>
      <c r="I2461" t="s">
        <v>4514</v>
      </c>
      <c r="J2461" t="s">
        <v>16</v>
      </c>
      <c r="K2461" t="s">
        <v>185</v>
      </c>
      <c r="N2461">
        <v>0</v>
      </c>
      <c r="O2461" t="s">
        <v>222</v>
      </c>
      <c r="P2461">
        <v>0</v>
      </c>
      <c r="U2461" s="15"/>
    </row>
    <row r="2462" spans="1:21" x14ac:dyDescent="0.35">
      <c r="A2462" t="s">
        <v>14</v>
      </c>
      <c r="B2462" t="s">
        <v>3247</v>
      </c>
      <c r="C2462" t="s">
        <v>1255</v>
      </c>
      <c r="D2462" t="s">
        <v>1256</v>
      </c>
      <c r="E2462" t="s">
        <v>1257</v>
      </c>
      <c r="F2462" t="s">
        <v>4305</v>
      </c>
      <c r="G2462" t="s">
        <v>4805</v>
      </c>
      <c r="H2462" s="15">
        <v>46205</v>
      </c>
      <c r="I2462" t="s">
        <v>4807</v>
      </c>
      <c r="J2462" t="s">
        <v>16</v>
      </c>
      <c r="K2462" t="s">
        <v>185</v>
      </c>
      <c r="N2462">
        <v>0</v>
      </c>
      <c r="O2462" t="s">
        <v>222</v>
      </c>
      <c r="P2462">
        <v>0</v>
      </c>
      <c r="U2462" s="15"/>
    </row>
    <row r="2463" spans="1:21" x14ac:dyDescent="0.35">
      <c r="A2463" t="s">
        <v>14</v>
      </c>
      <c r="B2463" t="s">
        <v>3247</v>
      </c>
      <c r="C2463" t="s">
        <v>515</v>
      </c>
      <c r="D2463" t="s">
        <v>516</v>
      </c>
      <c r="E2463" t="s">
        <v>517</v>
      </c>
      <c r="F2463" t="s">
        <v>4305</v>
      </c>
      <c r="G2463" t="s">
        <v>4808</v>
      </c>
      <c r="H2463" s="15">
        <v>46206</v>
      </c>
      <c r="I2463" t="s">
        <v>4809</v>
      </c>
      <c r="J2463" t="s">
        <v>16</v>
      </c>
      <c r="K2463" t="s">
        <v>185</v>
      </c>
      <c r="N2463">
        <v>0</v>
      </c>
      <c r="O2463" t="s">
        <v>222</v>
      </c>
      <c r="P2463">
        <v>0</v>
      </c>
      <c r="U2463" s="15"/>
    </row>
    <row r="2464" spans="1:21" x14ac:dyDescent="0.35">
      <c r="A2464" t="s">
        <v>14</v>
      </c>
      <c r="B2464" t="s">
        <v>3158</v>
      </c>
      <c r="C2464" t="s">
        <v>880</v>
      </c>
      <c r="D2464" t="s">
        <v>881</v>
      </c>
      <c r="E2464" t="s">
        <v>882</v>
      </c>
      <c r="F2464" t="s">
        <v>3159</v>
      </c>
      <c r="G2464" t="s">
        <v>4513</v>
      </c>
      <c r="H2464" s="15">
        <v>46205</v>
      </c>
      <c r="I2464" t="s">
        <v>4515</v>
      </c>
      <c r="J2464" t="s">
        <v>16</v>
      </c>
      <c r="K2464" t="s">
        <v>185</v>
      </c>
      <c r="N2464">
        <v>0</v>
      </c>
      <c r="O2464" t="s">
        <v>222</v>
      </c>
      <c r="P2464">
        <v>0</v>
      </c>
      <c r="U2464" s="15"/>
    </row>
    <row r="2465" spans="1:21" x14ac:dyDescent="0.35">
      <c r="A2465" t="s">
        <v>14</v>
      </c>
      <c r="B2465" t="s">
        <v>3158</v>
      </c>
      <c r="C2465" t="s">
        <v>1255</v>
      </c>
      <c r="D2465" t="s">
        <v>1256</v>
      </c>
      <c r="E2465" t="s">
        <v>1257</v>
      </c>
      <c r="F2465" t="s">
        <v>3159</v>
      </c>
      <c r="G2465" t="s">
        <v>4520</v>
      </c>
      <c r="H2465" s="15">
        <v>46205</v>
      </c>
      <c r="I2465" t="s">
        <v>4521</v>
      </c>
      <c r="J2465" t="s">
        <v>233</v>
      </c>
      <c r="K2465" t="s">
        <v>185</v>
      </c>
      <c r="N2465">
        <v>0</v>
      </c>
      <c r="O2465" t="s">
        <v>222</v>
      </c>
      <c r="P2465">
        <v>0</v>
      </c>
      <c r="U2465" s="15"/>
    </row>
    <row r="2466" spans="1:21" x14ac:dyDescent="0.35">
      <c r="A2466" t="s">
        <v>14</v>
      </c>
      <c r="B2466" t="s">
        <v>3247</v>
      </c>
      <c r="C2466" t="s">
        <v>1255</v>
      </c>
      <c r="D2466" t="s">
        <v>1256</v>
      </c>
      <c r="E2466" t="s">
        <v>1257</v>
      </c>
      <c r="F2466" t="s">
        <v>4305</v>
      </c>
      <c r="G2466" t="s">
        <v>4808</v>
      </c>
      <c r="H2466" s="15">
        <v>46206</v>
      </c>
      <c r="I2466" t="s">
        <v>4810</v>
      </c>
      <c r="J2466" t="s">
        <v>16</v>
      </c>
      <c r="K2466" t="s">
        <v>185</v>
      </c>
      <c r="N2466">
        <v>0</v>
      </c>
      <c r="O2466" t="s">
        <v>222</v>
      </c>
      <c r="P2466">
        <v>0</v>
      </c>
      <c r="U2466" s="15"/>
    </row>
    <row r="2467" spans="1:21" x14ac:dyDescent="0.35">
      <c r="A2467" t="s">
        <v>14</v>
      </c>
      <c r="B2467" t="s">
        <v>3247</v>
      </c>
      <c r="C2467" t="s">
        <v>777</v>
      </c>
      <c r="D2467" t="s">
        <v>778</v>
      </c>
      <c r="E2467" t="s">
        <v>779</v>
      </c>
      <c r="F2467" t="s">
        <v>4305</v>
      </c>
      <c r="G2467" t="s">
        <v>4811</v>
      </c>
      <c r="H2467" s="15">
        <v>46207</v>
      </c>
      <c r="I2467" t="s">
        <v>4812</v>
      </c>
      <c r="J2467" t="s">
        <v>16</v>
      </c>
      <c r="K2467" t="s">
        <v>185</v>
      </c>
      <c r="N2467">
        <v>0</v>
      </c>
      <c r="O2467" t="s">
        <v>222</v>
      </c>
      <c r="P2467">
        <v>0</v>
      </c>
      <c r="U2467" s="15"/>
    </row>
    <row r="2468" spans="1:21" x14ac:dyDescent="0.35">
      <c r="A2468" t="s">
        <v>14</v>
      </c>
      <c r="B2468" t="s">
        <v>3158</v>
      </c>
      <c r="C2468" t="s">
        <v>1255</v>
      </c>
      <c r="D2468" t="s">
        <v>1256</v>
      </c>
      <c r="E2468" t="s">
        <v>1257</v>
      </c>
      <c r="F2468" t="s">
        <v>3159</v>
      </c>
      <c r="G2468" t="s">
        <v>4522</v>
      </c>
      <c r="H2468" s="15">
        <v>46206</v>
      </c>
      <c r="I2468" t="s">
        <v>4523</v>
      </c>
      <c r="J2468" t="s">
        <v>16</v>
      </c>
      <c r="K2468" t="s">
        <v>185</v>
      </c>
      <c r="N2468">
        <v>0</v>
      </c>
      <c r="O2468" t="s">
        <v>222</v>
      </c>
      <c r="P2468">
        <v>0</v>
      </c>
      <c r="U2468" s="15"/>
    </row>
    <row r="2469" spans="1:21" x14ac:dyDescent="0.35">
      <c r="A2469" t="s">
        <v>14</v>
      </c>
      <c r="B2469" t="s">
        <v>3247</v>
      </c>
      <c r="C2469" t="s">
        <v>515</v>
      </c>
      <c r="D2469" t="s">
        <v>516</v>
      </c>
      <c r="E2469" t="s">
        <v>517</v>
      </c>
      <c r="F2469" t="s">
        <v>4305</v>
      </c>
      <c r="G2469" t="s">
        <v>5117</v>
      </c>
      <c r="H2469" s="15">
        <v>46209</v>
      </c>
      <c r="I2469" t="s">
        <v>5118</v>
      </c>
      <c r="J2469" t="s">
        <v>16</v>
      </c>
      <c r="K2469" t="s">
        <v>185</v>
      </c>
      <c r="N2469">
        <v>0</v>
      </c>
      <c r="O2469" t="s">
        <v>222</v>
      </c>
      <c r="P2469">
        <v>0</v>
      </c>
      <c r="U2469" s="15"/>
    </row>
    <row r="2470" spans="1:21" x14ac:dyDescent="0.35">
      <c r="A2470" t="s">
        <v>14</v>
      </c>
      <c r="B2470" t="s">
        <v>3247</v>
      </c>
      <c r="C2470" t="s">
        <v>1255</v>
      </c>
      <c r="D2470" t="s">
        <v>1256</v>
      </c>
      <c r="E2470" t="s">
        <v>1257</v>
      </c>
      <c r="F2470" t="s">
        <v>4305</v>
      </c>
      <c r="G2470" t="s">
        <v>5117</v>
      </c>
      <c r="H2470" s="15">
        <v>46209</v>
      </c>
      <c r="I2470" t="s">
        <v>5119</v>
      </c>
      <c r="J2470" t="s">
        <v>16</v>
      </c>
      <c r="K2470" t="s">
        <v>185</v>
      </c>
      <c r="N2470">
        <v>0</v>
      </c>
      <c r="O2470" t="s">
        <v>222</v>
      </c>
      <c r="P2470">
        <v>0</v>
      </c>
      <c r="U2470" s="15"/>
    </row>
    <row r="2471" spans="1:21" x14ac:dyDescent="0.35">
      <c r="A2471" t="s">
        <v>14</v>
      </c>
      <c r="B2471" t="s">
        <v>3158</v>
      </c>
      <c r="C2471" t="s">
        <v>531</v>
      </c>
      <c r="D2471" t="s">
        <v>532</v>
      </c>
      <c r="E2471" t="s">
        <v>533</v>
      </c>
      <c r="F2471" t="s">
        <v>3159</v>
      </c>
      <c r="G2471" t="s">
        <v>4522</v>
      </c>
      <c r="H2471" s="15">
        <v>46206</v>
      </c>
      <c r="I2471" t="s">
        <v>4528</v>
      </c>
      <c r="J2471" t="s">
        <v>16</v>
      </c>
      <c r="K2471" t="s">
        <v>185</v>
      </c>
      <c r="N2471">
        <v>0</v>
      </c>
      <c r="O2471" t="s">
        <v>222</v>
      </c>
      <c r="P2471">
        <v>0</v>
      </c>
      <c r="U2471" s="15"/>
    </row>
    <row r="2472" spans="1:21" x14ac:dyDescent="0.35">
      <c r="A2472" t="s">
        <v>14</v>
      </c>
      <c r="B2472" t="s">
        <v>3158</v>
      </c>
      <c r="C2472" t="s">
        <v>1255</v>
      </c>
      <c r="D2472" t="s">
        <v>1256</v>
      </c>
      <c r="E2472" t="s">
        <v>1257</v>
      </c>
      <c r="F2472" t="s">
        <v>3159</v>
      </c>
      <c r="G2472" t="s">
        <v>4529</v>
      </c>
      <c r="H2472" s="15">
        <v>46206</v>
      </c>
      <c r="I2472" t="s">
        <v>4530</v>
      </c>
      <c r="J2472" t="s">
        <v>233</v>
      </c>
      <c r="K2472" t="s">
        <v>185</v>
      </c>
      <c r="N2472">
        <v>0</v>
      </c>
      <c r="O2472" t="s">
        <v>222</v>
      </c>
      <c r="P2472">
        <v>0</v>
      </c>
      <c r="U2472" s="15"/>
    </row>
    <row r="2473" spans="1:21" x14ac:dyDescent="0.35">
      <c r="A2473" t="s">
        <v>14</v>
      </c>
      <c r="B2473" t="s">
        <v>3158</v>
      </c>
      <c r="C2473" t="s">
        <v>1255</v>
      </c>
      <c r="D2473" t="s">
        <v>1256</v>
      </c>
      <c r="E2473" t="s">
        <v>1257</v>
      </c>
      <c r="F2473" t="s">
        <v>3159</v>
      </c>
      <c r="G2473" t="s">
        <v>4535</v>
      </c>
      <c r="H2473" s="15">
        <v>46207</v>
      </c>
      <c r="I2473" t="s">
        <v>4536</v>
      </c>
      <c r="J2473" t="s">
        <v>16</v>
      </c>
      <c r="K2473" t="s">
        <v>185</v>
      </c>
      <c r="N2473">
        <v>0</v>
      </c>
      <c r="O2473" t="s">
        <v>222</v>
      </c>
      <c r="P2473">
        <v>0</v>
      </c>
      <c r="U2473" s="15"/>
    </row>
    <row r="2474" spans="1:21" x14ac:dyDescent="0.35">
      <c r="A2474" t="s">
        <v>14</v>
      </c>
      <c r="B2474" t="s">
        <v>3158</v>
      </c>
      <c r="C2474" t="s">
        <v>667</v>
      </c>
      <c r="D2474" t="s">
        <v>668</v>
      </c>
      <c r="E2474" t="s">
        <v>669</v>
      </c>
      <c r="F2474" t="s">
        <v>3159</v>
      </c>
      <c r="G2474" t="s">
        <v>5084</v>
      </c>
      <c r="H2474" s="15">
        <v>46209</v>
      </c>
      <c r="I2474" t="s">
        <v>5085</v>
      </c>
      <c r="J2474" t="s">
        <v>16</v>
      </c>
      <c r="K2474" t="s">
        <v>185</v>
      </c>
      <c r="N2474">
        <v>0</v>
      </c>
      <c r="O2474" t="s">
        <v>222</v>
      </c>
      <c r="P2474">
        <v>0</v>
      </c>
      <c r="U2474" s="15"/>
    </row>
    <row r="2475" spans="1:21" x14ac:dyDescent="0.35">
      <c r="A2475" t="s">
        <v>14</v>
      </c>
      <c r="B2475" t="s">
        <v>3247</v>
      </c>
      <c r="C2475" t="s">
        <v>515</v>
      </c>
      <c r="D2475" t="s">
        <v>516</v>
      </c>
      <c r="E2475" t="s">
        <v>517</v>
      </c>
      <c r="F2475" t="s">
        <v>4305</v>
      </c>
      <c r="G2475" t="s">
        <v>5120</v>
      </c>
      <c r="H2475" s="15">
        <v>46210</v>
      </c>
      <c r="I2475" t="s">
        <v>5121</v>
      </c>
      <c r="J2475" t="s">
        <v>16</v>
      </c>
      <c r="K2475" t="s">
        <v>185</v>
      </c>
      <c r="N2475">
        <v>0</v>
      </c>
      <c r="O2475" t="s">
        <v>222</v>
      </c>
      <c r="P2475">
        <v>0</v>
      </c>
      <c r="U2475" s="15"/>
    </row>
    <row r="2476" spans="1:21" x14ac:dyDescent="0.35">
      <c r="A2476" t="s">
        <v>14</v>
      </c>
      <c r="B2476" t="s">
        <v>3247</v>
      </c>
      <c r="C2476" t="s">
        <v>1255</v>
      </c>
      <c r="D2476" t="s">
        <v>1256</v>
      </c>
      <c r="E2476" t="s">
        <v>1257</v>
      </c>
      <c r="F2476" t="s">
        <v>4305</v>
      </c>
      <c r="G2476" t="s">
        <v>5120</v>
      </c>
      <c r="H2476" s="15">
        <v>46210</v>
      </c>
      <c r="I2476" t="s">
        <v>5122</v>
      </c>
      <c r="J2476" t="s">
        <v>16</v>
      </c>
      <c r="K2476" t="s">
        <v>185</v>
      </c>
      <c r="N2476">
        <v>0</v>
      </c>
      <c r="O2476" t="s">
        <v>222</v>
      </c>
      <c r="P2476">
        <v>0</v>
      </c>
      <c r="U2476" s="15"/>
    </row>
    <row r="2477" spans="1:21" x14ac:dyDescent="0.35">
      <c r="A2477" t="s">
        <v>14</v>
      </c>
      <c r="B2477" t="s">
        <v>3158</v>
      </c>
      <c r="C2477" t="s">
        <v>515</v>
      </c>
      <c r="D2477" t="s">
        <v>516</v>
      </c>
      <c r="E2477" t="s">
        <v>517</v>
      </c>
      <c r="F2477" t="s">
        <v>3159</v>
      </c>
      <c r="G2477" t="s">
        <v>5084</v>
      </c>
      <c r="H2477" s="15">
        <v>46209</v>
      </c>
      <c r="I2477" t="s">
        <v>5086</v>
      </c>
      <c r="J2477" t="s">
        <v>16</v>
      </c>
      <c r="K2477" t="s">
        <v>185</v>
      </c>
      <c r="N2477">
        <v>0</v>
      </c>
      <c r="O2477" t="s">
        <v>222</v>
      </c>
      <c r="P2477">
        <v>0</v>
      </c>
      <c r="U2477" s="15"/>
    </row>
    <row r="2478" spans="1:21" x14ac:dyDescent="0.35">
      <c r="A2478" t="s">
        <v>14</v>
      </c>
      <c r="B2478" t="s">
        <v>3158</v>
      </c>
      <c r="C2478" t="s">
        <v>1255</v>
      </c>
      <c r="D2478" t="s">
        <v>1256</v>
      </c>
      <c r="E2478" t="s">
        <v>1257</v>
      </c>
      <c r="F2478" t="s">
        <v>3159</v>
      </c>
      <c r="G2478" t="s">
        <v>5087</v>
      </c>
      <c r="H2478" s="15">
        <v>46210</v>
      </c>
      <c r="I2478" t="s">
        <v>5088</v>
      </c>
      <c r="J2478" t="s">
        <v>16</v>
      </c>
      <c r="K2478" t="s">
        <v>185</v>
      </c>
      <c r="N2478">
        <v>0</v>
      </c>
      <c r="O2478" t="s">
        <v>222</v>
      </c>
      <c r="P2478">
        <v>0</v>
      </c>
      <c r="U2478" s="15"/>
    </row>
    <row r="2479" spans="1:21" x14ac:dyDescent="0.35">
      <c r="A2479" t="s">
        <v>14</v>
      </c>
      <c r="B2479" t="s">
        <v>3158</v>
      </c>
      <c r="C2479" t="s">
        <v>515</v>
      </c>
      <c r="D2479" t="s">
        <v>516</v>
      </c>
      <c r="E2479" t="s">
        <v>517</v>
      </c>
      <c r="F2479" t="s">
        <v>3159</v>
      </c>
      <c r="G2479" t="s">
        <v>5087</v>
      </c>
      <c r="H2479" s="15">
        <v>46210</v>
      </c>
      <c r="I2479" t="s">
        <v>5089</v>
      </c>
      <c r="J2479" t="s">
        <v>16</v>
      </c>
      <c r="K2479" t="s">
        <v>185</v>
      </c>
      <c r="N2479">
        <v>0</v>
      </c>
      <c r="O2479" t="s">
        <v>222</v>
      </c>
      <c r="P2479">
        <v>0</v>
      </c>
      <c r="U2479" s="15"/>
    </row>
    <row r="2480" spans="1:21" x14ac:dyDescent="0.35">
      <c r="A2480" t="s">
        <v>14</v>
      </c>
      <c r="B2480" t="s">
        <v>3247</v>
      </c>
      <c r="C2480" t="s">
        <v>1388</v>
      </c>
      <c r="D2480" t="s">
        <v>1389</v>
      </c>
      <c r="E2480" t="s">
        <v>1390</v>
      </c>
      <c r="F2480" t="s">
        <v>4305</v>
      </c>
      <c r="G2480" t="s">
        <v>5123</v>
      </c>
      <c r="H2480" s="15">
        <v>46211</v>
      </c>
      <c r="I2480" t="s">
        <v>5124</v>
      </c>
      <c r="J2480" t="s">
        <v>16</v>
      </c>
      <c r="K2480" t="s">
        <v>185</v>
      </c>
      <c r="N2480">
        <v>0</v>
      </c>
      <c r="O2480" t="s">
        <v>222</v>
      </c>
      <c r="P2480">
        <v>0</v>
      </c>
      <c r="U2480" s="15"/>
    </row>
    <row r="2481" spans="1:21" x14ac:dyDescent="0.35">
      <c r="A2481" t="s">
        <v>14</v>
      </c>
      <c r="B2481" t="s">
        <v>3247</v>
      </c>
      <c r="C2481" t="s">
        <v>716</v>
      </c>
      <c r="D2481" t="s">
        <v>717</v>
      </c>
      <c r="E2481" t="s">
        <v>718</v>
      </c>
      <c r="F2481" t="s">
        <v>4305</v>
      </c>
      <c r="G2481" t="s">
        <v>5123</v>
      </c>
      <c r="H2481" s="15">
        <v>46211</v>
      </c>
      <c r="I2481" t="s">
        <v>5125</v>
      </c>
      <c r="J2481" t="s">
        <v>16</v>
      </c>
      <c r="K2481" t="s">
        <v>185</v>
      </c>
      <c r="N2481">
        <v>0</v>
      </c>
      <c r="O2481" t="s">
        <v>222</v>
      </c>
      <c r="P2481">
        <v>0</v>
      </c>
      <c r="U2481" s="15"/>
    </row>
    <row r="2482" spans="1:21" x14ac:dyDescent="0.35">
      <c r="A2482" t="s">
        <v>14</v>
      </c>
      <c r="B2482" t="s">
        <v>3247</v>
      </c>
      <c r="C2482" t="s">
        <v>515</v>
      </c>
      <c r="D2482" t="s">
        <v>516</v>
      </c>
      <c r="E2482" t="s">
        <v>517</v>
      </c>
      <c r="F2482" t="s">
        <v>4305</v>
      </c>
      <c r="G2482" t="s">
        <v>5126</v>
      </c>
      <c r="H2482" s="15">
        <v>46212</v>
      </c>
      <c r="I2482" t="s">
        <v>5127</v>
      </c>
      <c r="J2482" t="s">
        <v>16</v>
      </c>
      <c r="K2482" t="s">
        <v>185</v>
      </c>
      <c r="N2482">
        <v>0</v>
      </c>
      <c r="O2482" t="s">
        <v>222</v>
      </c>
      <c r="P2482">
        <v>0</v>
      </c>
      <c r="U2482" s="15"/>
    </row>
    <row r="2483" spans="1:21" x14ac:dyDescent="0.35">
      <c r="A2483" t="s">
        <v>14</v>
      </c>
      <c r="B2483" t="s">
        <v>3158</v>
      </c>
      <c r="C2483" t="s">
        <v>1255</v>
      </c>
      <c r="D2483" t="s">
        <v>1256</v>
      </c>
      <c r="E2483" t="s">
        <v>1257</v>
      </c>
      <c r="F2483" t="s">
        <v>3159</v>
      </c>
      <c r="G2483" t="s">
        <v>5090</v>
      </c>
      <c r="H2483" s="15">
        <v>46210</v>
      </c>
      <c r="I2483" t="s">
        <v>5091</v>
      </c>
      <c r="J2483" t="s">
        <v>233</v>
      </c>
      <c r="K2483" t="s">
        <v>185</v>
      </c>
      <c r="N2483">
        <v>0</v>
      </c>
      <c r="O2483" t="s">
        <v>222</v>
      </c>
      <c r="P2483">
        <v>0</v>
      </c>
      <c r="U2483" s="15"/>
    </row>
    <row r="2484" spans="1:21" x14ac:dyDescent="0.35">
      <c r="A2484" t="s">
        <v>14</v>
      </c>
      <c r="B2484" t="s">
        <v>3158</v>
      </c>
      <c r="C2484" t="s">
        <v>1255</v>
      </c>
      <c r="D2484" t="s">
        <v>1256</v>
      </c>
      <c r="E2484" t="s">
        <v>1257</v>
      </c>
      <c r="F2484" t="s">
        <v>3159</v>
      </c>
      <c r="G2484" t="s">
        <v>5092</v>
      </c>
      <c r="H2484" s="15">
        <v>46211</v>
      </c>
      <c r="I2484" t="s">
        <v>5093</v>
      </c>
      <c r="J2484" t="s">
        <v>16</v>
      </c>
      <c r="K2484" t="s">
        <v>185</v>
      </c>
      <c r="N2484">
        <v>0</v>
      </c>
      <c r="O2484" t="s">
        <v>222</v>
      </c>
      <c r="P2484">
        <v>0</v>
      </c>
      <c r="U2484" s="15"/>
    </row>
    <row r="2485" spans="1:21" x14ac:dyDescent="0.35">
      <c r="A2485" t="s">
        <v>14</v>
      </c>
      <c r="B2485" t="s">
        <v>3158</v>
      </c>
      <c r="C2485" t="s">
        <v>515</v>
      </c>
      <c r="D2485" t="s">
        <v>516</v>
      </c>
      <c r="E2485" t="s">
        <v>517</v>
      </c>
      <c r="F2485" t="s">
        <v>3159</v>
      </c>
      <c r="G2485" t="s">
        <v>5092</v>
      </c>
      <c r="H2485" s="15">
        <v>46211</v>
      </c>
      <c r="I2485" t="s">
        <v>5094</v>
      </c>
      <c r="J2485" t="s">
        <v>16</v>
      </c>
      <c r="K2485" t="s">
        <v>185</v>
      </c>
      <c r="N2485">
        <v>0</v>
      </c>
      <c r="O2485" t="s">
        <v>222</v>
      </c>
      <c r="P2485">
        <v>0</v>
      </c>
      <c r="U2485" s="15"/>
    </row>
    <row r="2486" spans="1:21" x14ac:dyDescent="0.35">
      <c r="A2486" t="s">
        <v>14</v>
      </c>
      <c r="B2486" t="s">
        <v>3247</v>
      </c>
      <c r="C2486" t="s">
        <v>716</v>
      </c>
      <c r="D2486" t="s">
        <v>717</v>
      </c>
      <c r="E2486" t="s">
        <v>718</v>
      </c>
      <c r="F2486" t="s">
        <v>4305</v>
      </c>
      <c r="G2486" t="s">
        <v>5126</v>
      </c>
      <c r="H2486" s="15">
        <v>46212</v>
      </c>
      <c r="I2486" t="s">
        <v>5128</v>
      </c>
      <c r="J2486" t="s">
        <v>16</v>
      </c>
      <c r="K2486" t="s">
        <v>185</v>
      </c>
      <c r="N2486">
        <v>0</v>
      </c>
      <c r="O2486" t="s">
        <v>222</v>
      </c>
      <c r="P2486">
        <v>0</v>
      </c>
      <c r="U2486" s="15"/>
    </row>
    <row r="2487" spans="1:21" x14ac:dyDescent="0.35">
      <c r="A2487" t="s">
        <v>14</v>
      </c>
      <c r="B2487" t="s">
        <v>3247</v>
      </c>
      <c r="C2487" t="s">
        <v>515</v>
      </c>
      <c r="D2487" t="s">
        <v>516</v>
      </c>
      <c r="E2487" t="s">
        <v>517</v>
      </c>
      <c r="F2487" t="s">
        <v>4305</v>
      </c>
      <c r="G2487" t="s">
        <v>5129</v>
      </c>
      <c r="H2487" s="15">
        <v>46213</v>
      </c>
      <c r="I2487" t="s">
        <v>5130</v>
      </c>
      <c r="J2487" t="s">
        <v>16</v>
      </c>
      <c r="K2487" t="s">
        <v>185</v>
      </c>
      <c r="N2487">
        <v>0</v>
      </c>
      <c r="O2487" t="s">
        <v>222</v>
      </c>
      <c r="P2487">
        <v>0</v>
      </c>
      <c r="U2487" s="15"/>
    </row>
    <row r="2488" spans="1:21" x14ac:dyDescent="0.35">
      <c r="A2488" t="s">
        <v>14</v>
      </c>
      <c r="B2488" t="s">
        <v>3247</v>
      </c>
      <c r="C2488" t="s">
        <v>765</v>
      </c>
      <c r="D2488" t="s">
        <v>766</v>
      </c>
      <c r="E2488" t="s">
        <v>767</v>
      </c>
      <c r="F2488" t="s">
        <v>4305</v>
      </c>
      <c r="G2488" t="s">
        <v>5129</v>
      </c>
      <c r="H2488" s="15">
        <v>46213</v>
      </c>
      <c r="I2488" t="s">
        <v>5131</v>
      </c>
      <c r="J2488" t="s">
        <v>16</v>
      </c>
      <c r="K2488" t="s">
        <v>185</v>
      </c>
      <c r="N2488">
        <v>0</v>
      </c>
      <c r="O2488" t="s">
        <v>222</v>
      </c>
      <c r="P2488">
        <v>0</v>
      </c>
      <c r="U2488" s="15"/>
    </row>
    <row r="2489" spans="1:21" x14ac:dyDescent="0.35">
      <c r="A2489" t="s">
        <v>14</v>
      </c>
      <c r="B2489" t="s">
        <v>3158</v>
      </c>
      <c r="C2489" t="s">
        <v>647</v>
      </c>
      <c r="D2489" t="s">
        <v>648</v>
      </c>
      <c r="E2489" t="s">
        <v>649</v>
      </c>
      <c r="F2489" t="s">
        <v>3159</v>
      </c>
      <c r="G2489" t="s">
        <v>5095</v>
      </c>
      <c r="H2489" s="15">
        <v>46211</v>
      </c>
      <c r="I2489" t="s">
        <v>5096</v>
      </c>
      <c r="J2489" t="s">
        <v>233</v>
      </c>
      <c r="K2489" t="s">
        <v>185</v>
      </c>
      <c r="N2489">
        <v>0</v>
      </c>
      <c r="O2489" t="s">
        <v>222</v>
      </c>
      <c r="P2489">
        <v>0</v>
      </c>
      <c r="U2489" s="15"/>
    </row>
    <row r="2490" spans="1:21" x14ac:dyDescent="0.35">
      <c r="A2490" t="s">
        <v>14</v>
      </c>
      <c r="B2490" t="s">
        <v>3158</v>
      </c>
      <c r="C2490" t="s">
        <v>1255</v>
      </c>
      <c r="D2490" t="s">
        <v>1256</v>
      </c>
      <c r="E2490" t="s">
        <v>1257</v>
      </c>
      <c r="F2490" t="s">
        <v>3159</v>
      </c>
      <c r="G2490" t="s">
        <v>5097</v>
      </c>
      <c r="H2490" s="15">
        <v>46212</v>
      </c>
      <c r="I2490" t="s">
        <v>5098</v>
      </c>
      <c r="J2490" t="s">
        <v>16</v>
      </c>
      <c r="K2490" t="s">
        <v>185</v>
      </c>
      <c r="N2490">
        <v>0</v>
      </c>
      <c r="O2490" t="s">
        <v>222</v>
      </c>
      <c r="P2490">
        <v>0</v>
      </c>
      <c r="U2490" s="15"/>
    </row>
    <row r="2491" spans="1:21" x14ac:dyDescent="0.35">
      <c r="A2491" t="s">
        <v>14</v>
      </c>
      <c r="B2491" t="s">
        <v>3247</v>
      </c>
      <c r="C2491" t="s">
        <v>1255</v>
      </c>
      <c r="D2491" t="s">
        <v>1256</v>
      </c>
      <c r="E2491" t="s">
        <v>1257</v>
      </c>
      <c r="F2491" t="s">
        <v>4305</v>
      </c>
      <c r="G2491" t="s">
        <v>5129</v>
      </c>
      <c r="H2491" s="15">
        <v>46213</v>
      </c>
      <c r="I2491" t="s">
        <v>5132</v>
      </c>
      <c r="J2491" t="s">
        <v>16</v>
      </c>
      <c r="K2491" t="s">
        <v>185</v>
      </c>
      <c r="N2491">
        <v>0</v>
      </c>
      <c r="O2491" t="s">
        <v>222</v>
      </c>
      <c r="P2491">
        <v>0</v>
      </c>
      <c r="U2491" s="15"/>
    </row>
    <row r="2492" spans="1:21" x14ac:dyDescent="0.35">
      <c r="A2492" t="s">
        <v>14</v>
      </c>
      <c r="B2492" t="s">
        <v>3247</v>
      </c>
      <c r="C2492" t="s">
        <v>716</v>
      </c>
      <c r="D2492" t="s">
        <v>717</v>
      </c>
      <c r="E2492" t="s">
        <v>718</v>
      </c>
      <c r="F2492" t="s">
        <v>4305</v>
      </c>
      <c r="G2492" t="s">
        <v>5133</v>
      </c>
      <c r="H2492" s="15">
        <v>46214</v>
      </c>
      <c r="I2492" t="s">
        <v>5134</v>
      </c>
      <c r="J2492" t="s">
        <v>16</v>
      </c>
      <c r="K2492" t="s">
        <v>185</v>
      </c>
      <c r="N2492">
        <v>0</v>
      </c>
      <c r="O2492" t="s">
        <v>222</v>
      </c>
      <c r="P2492">
        <v>0</v>
      </c>
      <c r="U2492" s="15"/>
    </row>
    <row r="2493" spans="1:21" x14ac:dyDescent="0.35">
      <c r="A2493" t="s">
        <v>14</v>
      </c>
      <c r="B2493" t="s">
        <v>3247</v>
      </c>
      <c r="C2493" t="s">
        <v>515</v>
      </c>
      <c r="D2493" t="s">
        <v>516</v>
      </c>
      <c r="E2493" t="s">
        <v>517</v>
      </c>
      <c r="F2493" t="s">
        <v>4305</v>
      </c>
      <c r="G2493" t="s">
        <v>5135</v>
      </c>
      <c r="H2493" s="15">
        <v>46216</v>
      </c>
      <c r="I2493" t="s">
        <v>5136</v>
      </c>
      <c r="J2493" t="s">
        <v>16</v>
      </c>
      <c r="K2493" t="s">
        <v>185</v>
      </c>
      <c r="N2493">
        <v>0</v>
      </c>
      <c r="O2493" t="s">
        <v>222</v>
      </c>
      <c r="P2493">
        <v>0</v>
      </c>
      <c r="U2493" s="15"/>
    </row>
    <row r="2494" spans="1:21" x14ac:dyDescent="0.35">
      <c r="A2494" t="s">
        <v>14</v>
      </c>
      <c r="B2494" t="s">
        <v>3158</v>
      </c>
      <c r="C2494" t="s">
        <v>515</v>
      </c>
      <c r="D2494" t="s">
        <v>516</v>
      </c>
      <c r="E2494" t="s">
        <v>517</v>
      </c>
      <c r="F2494" t="s">
        <v>3159</v>
      </c>
      <c r="G2494" t="s">
        <v>5097</v>
      </c>
      <c r="H2494" s="15">
        <v>46212</v>
      </c>
      <c r="I2494" t="s">
        <v>5099</v>
      </c>
      <c r="J2494" t="s">
        <v>16</v>
      </c>
      <c r="K2494" t="s">
        <v>185</v>
      </c>
      <c r="N2494">
        <v>0</v>
      </c>
      <c r="O2494" t="s">
        <v>222</v>
      </c>
      <c r="P2494">
        <v>0</v>
      </c>
      <c r="U2494" s="15"/>
    </row>
    <row r="2495" spans="1:21" x14ac:dyDescent="0.35">
      <c r="A2495" t="s">
        <v>14</v>
      </c>
      <c r="B2495" t="s">
        <v>3247</v>
      </c>
      <c r="C2495" t="s">
        <v>3081</v>
      </c>
      <c r="D2495" t="s">
        <v>3082</v>
      </c>
      <c r="E2495" t="s">
        <v>3083</v>
      </c>
      <c r="F2495" t="s">
        <v>4305</v>
      </c>
      <c r="G2495" t="s">
        <v>5135</v>
      </c>
      <c r="H2495" s="15">
        <v>46216</v>
      </c>
      <c r="I2495" t="s">
        <v>5137</v>
      </c>
      <c r="J2495" t="s">
        <v>16</v>
      </c>
      <c r="K2495" t="s">
        <v>185</v>
      </c>
      <c r="N2495">
        <v>0</v>
      </c>
      <c r="O2495" t="s">
        <v>222</v>
      </c>
      <c r="P2495">
        <v>0</v>
      </c>
      <c r="U2495" s="15"/>
    </row>
    <row r="2496" spans="1:21" x14ac:dyDescent="0.35">
      <c r="A2496" t="s">
        <v>14</v>
      </c>
      <c r="B2496" t="s">
        <v>3247</v>
      </c>
      <c r="C2496" t="s">
        <v>716</v>
      </c>
      <c r="D2496" t="s">
        <v>717</v>
      </c>
      <c r="E2496" t="s">
        <v>718</v>
      </c>
      <c r="F2496" t="s">
        <v>4305</v>
      </c>
      <c r="G2496" t="s">
        <v>5135</v>
      </c>
      <c r="H2496" s="15">
        <v>46216</v>
      </c>
      <c r="I2496" t="s">
        <v>5138</v>
      </c>
      <c r="J2496" t="s">
        <v>16</v>
      </c>
      <c r="K2496" t="s">
        <v>185</v>
      </c>
      <c r="N2496">
        <v>31600</v>
      </c>
      <c r="O2496" t="s">
        <v>222</v>
      </c>
      <c r="P2496">
        <v>120.742684</v>
      </c>
      <c r="U2496" s="15"/>
    </row>
    <row r="2497" spans="1:21" x14ac:dyDescent="0.35">
      <c r="A2497" t="s">
        <v>14</v>
      </c>
      <c r="B2497" t="s">
        <v>3247</v>
      </c>
      <c r="C2497" t="s">
        <v>515</v>
      </c>
      <c r="D2497" t="s">
        <v>516</v>
      </c>
      <c r="E2497" t="s">
        <v>517</v>
      </c>
      <c r="F2497" t="s">
        <v>4305</v>
      </c>
      <c r="G2497" t="s">
        <v>5139</v>
      </c>
      <c r="H2497" s="15">
        <v>46217</v>
      </c>
      <c r="I2497" t="s">
        <v>5140</v>
      </c>
      <c r="J2497" t="s">
        <v>16</v>
      </c>
      <c r="K2497" t="s">
        <v>185</v>
      </c>
      <c r="N2497">
        <v>0</v>
      </c>
      <c r="O2497" t="s">
        <v>222</v>
      </c>
      <c r="P2497">
        <v>0</v>
      </c>
      <c r="U2497" s="15"/>
    </row>
    <row r="2498" spans="1:21" x14ac:dyDescent="0.35">
      <c r="A2498" t="s">
        <v>14</v>
      </c>
      <c r="B2498" t="s">
        <v>3158</v>
      </c>
      <c r="C2498" t="s">
        <v>1255</v>
      </c>
      <c r="D2498" t="s">
        <v>1256</v>
      </c>
      <c r="E2498" t="s">
        <v>1257</v>
      </c>
      <c r="F2498" t="s">
        <v>3159</v>
      </c>
      <c r="G2498" t="s">
        <v>5100</v>
      </c>
      <c r="H2498" s="15">
        <v>46212</v>
      </c>
      <c r="I2498" t="s">
        <v>5101</v>
      </c>
      <c r="J2498" t="s">
        <v>233</v>
      </c>
      <c r="K2498" t="s">
        <v>185</v>
      </c>
      <c r="N2498">
        <v>0</v>
      </c>
      <c r="O2498" t="s">
        <v>222</v>
      </c>
      <c r="P2498">
        <v>0</v>
      </c>
      <c r="U2498" s="15"/>
    </row>
    <row r="2499" spans="1:21" x14ac:dyDescent="0.35">
      <c r="A2499" t="s">
        <v>14</v>
      </c>
      <c r="B2499" t="s">
        <v>3158</v>
      </c>
      <c r="C2499" t="s">
        <v>1255</v>
      </c>
      <c r="D2499" t="s">
        <v>1256</v>
      </c>
      <c r="E2499" t="s">
        <v>1257</v>
      </c>
      <c r="F2499" t="s">
        <v>3159</v>
      </c>
      <c r="G2499" t="s">
        <v>5102</v>
      </c>
      <c r="H2499" s="15">
        <v>46213</v>
      </c>
      <c r="I2499" t="s">
        <v>5103</v>
      </c>
      <c r="J2499" t="s">
        <v>16</v>
      </c>
      <c r="K2499" t="s">
        <v>185</v>
      </c>
      <c r="N2499">
        <v>0</v>
      </c>
      <c r="O2499" t="s">
        <v>222</v>
      </c>
      <c r="P2499">
        <v>0</v>
      </c>
      <c r="U2499" s="15"/>
    </row>
    <row r="2500" spans="1:21" x14ac:dyDescent="0.35">
      <c r="A2500" t="s">
        <v>14</v>
      </c>
      <c r="B2500" t="s">
        <v>3158</v>
      </c>
      <c r="C2500" t="s">
        <v>515</v>
      </c>
      <c r="D2500" t="s">
        <v>516</v>
      </c>
      <c r="E2500" t="s">
        <v>517</v>
      </c>
      <c r="F2500" t="s">
        <v>3159</v>
      </c>
      <c r="G2500" t="s">
        <v>5102</v>
      </c>
      <c r="H2500" s="15">
        <v>46213</v>
      </c>
      <c r="I2500" t="s">
        <v>5104</v>
      </c>
      <c r="J2500" t="s">
        <v>16</v>
      </c>
      <c r="K2500" t="s">
        <v>185</v>
      </c>
      <c r="N2500">
        <v>0</v>
      </c>
      <c r="O2500" t="s">
        <v>222</v>
      </c>
      <c r="P2500">
        <v>0</v>
      </c>
      <c r="U2500" s="15"/>
    </row>
    <row r="2501" spans="1:21" x14ac:dyDescent="0.35">
      <c r="A2501" t="s">
        <v>14</v>
      </c>
      <c r="B2501" t="s">
        <v>3158</v>
      </c>
      <c r="C2501" t="s">
        <v>1255</v>
      </c>
      <c r="D2501" t="s">
        <v>1256</v>
      </c>
      <c r="E2501" t="s">
        <v>1257</v>
      </c>
      <c r="F2501" t="s">
        <v>3159</v>
      </c>
      <c r="G2501" t="s">
        <v>5105</v>
      </c>
      <c r="H2501" s="15">
        <v>46213</v>
      </c>
      <c r="I2501" t="s">
        <v>5106</v>
      </c>
      <c r="J2501" t="s">
        <v>233</v>
      </c>
      <c r="K2501" t="s">
        <v>185</v>
      </c>
      <c r="N2501">
        <v>0</v>
      </c>
      <c r="O2501" t="s">
        <v>222</v>
      </c>
      <c r="P2501">
        <v>0</v>
      </c>
      <c r="U2501" s="15"/>
    </row>
    <row r="2502" spans="1:21" x14ac:dyDescent="0.35">
      <c r="A2502" t="s">
        <v>14</v>
      </c>
      <c r="B2502" t="s">
        <v>3158</v>
      </c>
      <c r="C2502" t="s">
        <v>1255</v>
      </c>
      <c r="D2502" t="s">
        <v>1256</v>
      </c>
      <c r="E2502" t="s">
        <v>1257</v>
      </c>
      <c r="F2502" t="s">
        <v>3159</v>
      </c>
      <c r="G2502" t="s">
        <v>5107</v>
      </c>
      <c r="H2502" s="15">
        <v>46214</v>
      </c>
      <c r="I2502" t="s">
        <v>5108</v>
      </c>
      <c r="J2502" t="s">
        <v>16</v>
      </c>
      <c r="K2502" t="s">
        <v>185</v>
      </c>
      <c r="N2502">
        <v>0</v>
      </c>
      <c r="O2502" t="s">
        <v>222</v>
      </c>
      <c r="P2502">
        <v>0</v>
      </c>
      <c r="U2502" s="15"/>
    </row>
    <row r="2503" spans="1:21" x14ac:dyDescent="0.35">
      <c r="A2503" t="s">
        <v>14</v>
      </c>
      <c r="B2503" t="s">
        <v>3158</v>
      </c>
      <c r="C2503" t="s">
        <v>1255</v>
      </c>
      <c r="D2503" t="s">
        <v>1256</v>
      </c>
      <c r="E2503" t="s">
        <v>1257</v>
      </c>
      <c r="F2503" t="s">
        <v>3159</v>
      </c>
      <c r="G2503" t="s">
        <v>5109</v>
      </c>
      <c r="H2503" s="15">
        <v>46216</v>
      </c>
      <c r="I2503" t="s">
        <v>5110</v>
      </c>
      <c r="J2503" t="s">
        <v>233</v>
      </c>
      <c r="K2503" t="s">
        <v>185</v>
      </c>
      <c r="N2503">
        <v>0</v>
      </c>
      <c r="O2503" t="s">
        <v>222</v>
      </c>
      <c r="P2503">
        <v>0</v>
      </c>
      <c r="U2503" s="15"/>
    </row>
    <row r="2504" spans="1:21" x14ac:dyDescent="0.35">
      <c r="A2504" t="s">
        <v>14</v>
      </c>
      <c r="B2504" t="s">
        <v>3158</v>
      </c>
      <c r="C2504" t="s">
        <v>1255</v>
      </c>
      <c r="D2504" t="s">
        <v>1256</v>
      </c>
      <c r="E2504" t="s">
        <v>1257</v>
      </c>
      <c r="F2504" t="s">
        <v>3159</v>
      </c>
      <c r="G2504" t="s">
        <v>5111</v>
      </c>
      <c r="H2504" s="15">
        <v>46217</v>
      </c>
      <c r="I2504" t="s">
        <v>5112</v>
      </c>
      <c r="J2504" t="s">
        <v>16</v>
      </c>
      <c r="K2504" t="s">
        <v>185</v>
      </c>
      <c r="N2504">
        <v>13847</v>
      </c>
      <c r="O2504" t="s">
        <v>222</v>
      </c>
      <c r="P2504">
        <v>51.811928999999999</v>
      </c>
      <c r="U2504" s="15"/>
    </row>
    <row r="2505" spans="1:21" x14ac:dyDescent="0.35">
      <c r="A2505" t="s">
        <v>14</v>
      </c>
      <c r="B2505" t="s">
        <v>3247</v>
      </c>
      <c r="C2505" t="s">
        <v>832</v>
      </c>
      <c r="D2505" t="s">
        <v>833</v>
      </c>
      <c r="E2505" t="s">
        <v>834</v>
      </c>
      <c r="F2505" t="s">
        <v>4305</v>
      </c>
      <c r="G2505" t="s">
        <v>5139</v>
      </c>
      <c r="H2505" s="15">
        <v>46217</v>
      </c>
      <c r="I2505" t="s">
        <v>5141</v>
      </c>
      <c r="J2505" t="s">
        <v>16</v>
      </c>
      <c r="K2505" t="s">
        <v>185</v>
      </c>
      <c r="N2505">
        <v>16000</v>
      </c>
      <c r="O2505" t="s">
        <v>222</v>
      </c>
      <c r="P2505">
        <v>60.489632</v>
      </c>
      <c r="U2505" s="15"/>
    </row>
    <row r="2506" spans="1:21" x14ac:dyDescent="0.35">
      <c r="A2506" t="s">
        <v>14</v>
      </c>
      <c r="B2506" t="s">
        <v>3247</v>
      </c>
      <c r="C2506" t="s">
        <v>1255</v>
      </c>
      <c r="D2506" t="s">
        <v>1256</v>
      </c>
      <c r="E2506" t="s">
        <v>1257</v>
      </c>
      <c r="F2506" t="s">
        <v>4305</v>
      </c>
      <c r="G2506" t="s">
        <v>5139</v>
      </c>
      <c r="H2506" s="15">
        <v>46217</v>
      </c>
      <c r="I2506" t="s">
        <v>5142</v>
      </c>
      <c r="J2506" t="s">
        <v>16</v>
      </c>
      <c r="K2506" t="s">
        <v>185</v>
      </c>
      <c r="N2506">
        <v>29000</v>
      </c>
      <c r="O2506" t="s">
        <v>222</v>
      </c>
      <c r="P2506">
        <v>109.890918</v>
      </c>
      <c r="U2506" s="15"/>
    </row>
    <row r="2507" spans="1:21" x14ac:dyDescent="0.35">
      <c r="A2507" t="s">
        <v>14</v>
      </c>
      <c r="B2507" t="s">
        <v>3247</v>
      </c>
      <c r="C2507" t="s">
        <v>515</v>
      </c>
      <c r="D2507" t="s">
        <v>516</v>
      </c>
      <c r="E2507" t="s">
        <v>517</v>
      </c>
      <c r="F2507" t="s">
        <v>4305</v>
      </c>
      <c r="G2507" t="s">
        <v>5143</v>
      </c>
      <c r="H2507" s="15">
        <v>46218</v>
      </c>
      <c r="I2507" t="s">
        <v>5144</v>
      </c>
      <c r="J2507" t="s">
        <v>16</v>
      </c>
      <c r="K2507" t="s">
        <v>185</v>
      </c>
      <c r="N2507">
        <v>12800</v>
      </c>
      <c r="O2507" t="s">
        <v>222</v>
      </c>
      <c r="P2507">
        <v>60.535642000000003</v>
      </c>
      <c r="U2507" s="15"/>
    </row>
    <row r="2508" spans="1:21" x14ac:dyDescent="0.35">
      <c r="A2508" t="s">
        <v>14</v>
      </c>
      <c r="B2508" t="s">
        <v>3158</v>
      </c>
      <c r="C2508" t="s">
        <v>977</v>
      </c>
      <c r="D2508" t="s">
        <v>978</v>
      </c>
      <c r="E2508" t="s">
        <v>979</v>
      </c>
      <c r="F2508" t="s">
        <v>3159</v>
      </c>
      <c r="G2508" t="s">
        <v>5111</v>
      </c>
      <c r="H2508" s="15">
        <v>46217</v>
      </c>
      <c r="I2508" t="s">
        <v>5113</v>
      </c>
      <c r="J2508" t="s">
        <v>16</v>
      </c>
      <c r="K2508" t="s">
        <v>185</v>
      </c>
      <c r="N2508">
        <v>13200</v>
      </c>
      <c r="O2508" t="s">
        <v>222</v>
      </c>
      <c r="P2508">
        <v>61.033895999999999</v>
      </c>
      <c r="U2508" s="15"/>
    </row>
    <row r="2509" spans="1:21" x14ac:dyDescent="0.35">
      <c r="A2509" t="s">
        <v>14</v>
      </c>
      <c r="B2509" t="s">
        <v>3158</v>
      </c>
      <c r="C2509" t="s">
        <v>658</v>
      </c>
      <c r="D2509" t="s">
        <v>659</v>
      </c>
      <c r="E2509" t="s">
        <v>660</v>
      </c>
      <c r="F2509" t="s">
        <v>3159</v>
      </c>
      <c r="G2509" t="s">
        <v>5114</v>
      </c>
      <c r="H2509" s="15">
        <v>46217</v>
      </c>
      <c r="I2509" t="s">
        <v>5115</v>
      </c>
      <c r="J2509" t="s">
        <v>233</v>
      </c>
      <c r="K2509" t="s">
        <v>185</v>
      </c>
      <c r="N2509">
        <v>22200</v>
      </c>
      <c r="O2509" t="s">
        <v>222</v>
      </c>
      <c r="P2509">
        <v>83.342573999999999</v>
      </c>
      <c r="U2509" s="15"/>
    </row>
    <row r="2510" spans="1:21" x14ac:dyDescent="0.35">
      <c r="A2510" t="s">
        <v>14</v>
      </c>
      <c r="B2510" t="s">
        <v>3158</v>
      </c>
      <c r="C2510" t="s">
        <v>1255</v>
      </c>
      <c r="D2510" t="s">
        <v>1256</v>
      </c>
      <c r="E2510" t="s">
        <v>1257</v>
      </c>
      <c r="F2510" t="s">
        <v>3159</v>
      </c>
      <c r="G2510" t="s">
        <v>5114</v>
      </c>
      <c r="H2510" s="15">
        <v>46217</v>
      </c>
      <c r="I2510" t="s">
        <v>5116</v>
      </c>
      <c r="J2510" t="s">
        <v>233</v>
      </c>
      <c r="K2510" t="s">
        <v>185</v>
      </c>
      <c r="N2510">
        <v>17700</v>
      </c>
      <c r="O2510" t="s">
        <v>222</v>
      </c>
      <c r="P2510">
        <v>66.441498999999993</v>
      </c>
      <c r="U2510" s="15"/>
    </row>
    <row r="2511" spans="1:21" x14ac:dyDescent="0.35">
      <c r="A2511" t="s">
        <v>14</v>
      </c>
      <c r="B2511" t="s">
        <v>497</v>
      </c>
      <c r="C2511" t="s">
        <v>667</v>
      </c>
      <c r="D2511" t="s">
        <v>668</v>
      </c>
      <c r="E2511" t="s">
        <v>669</v>
      </c>
      <c r="F2511" t="s">
        <v>644</v>
      </c>
      <c r="G2511" t="s">
        <v>3120</v>
      </c>
      <c r="H2511" s="15">
        <v>46199</v>
      </c>
      <c r="I2511" t="s">
        <v>3121</v>
      </c>
      <c r="J2511" t="s">
        <v>233</v>
      </c>
      <c r="K2511" t="s">
        <v>185</v>
      </c>
      <c r="N2511">
        <v>0</v>
      </c>
      <c r="O2511" t="s">
        <v>222</v>
      </c>
      <c r="P2511">
        <v>0</v>
      </c>
      <c r="U2511" s="15"/>
    </row>
    <row r="2512" spans="1:21" x14ac:dyDescent="0.35">
      <c r="A2512" t="s">
        <v>14</v>
      </c>
      <c r="B2512" t="s">
        <v>497</v>
      </c>
      <c r="C2512" t="s">
        <v>811</v>
      </c>
      <c r="D2512" t="s">
        <v>812</v>
      </c>
      <c r="E2512" t="s">
        <v>813</v>
      </c>
      <c r="F2512" t="s">
        <v>644</v>
      </c>
      <c r="G2512" t="s">
        <v>3122</v>
      </c>
      <c r="H2512" s="15">
        <v>46200</v>
      </c>
      <c r="I2512" t="s">
        <v>3123</v>
      </c>
      <c r="J2512" t="s">
        <v>16</v>
      </c>
      <c r="K2512" t="s">
        <v>185</v>
      </c>
      <c r="N2512">
        <v>0</v>
      </c>
      <c r="O2512" t="s">
        <v>222</v>
      </c>
      <c r="P2512">
        <v>0</v>
      </c>
      <c r="U2512" s="15"/>
    </row>
    <row r="2513" spans="1:21" x14ac:dyDescent="0.35">
      <c r="A2513" t="s">
        <v>14</v>
      </c>
      <c r="B2513" t="s">
        <v>497</v>
      </c>
      <c r="C2513" t="s">
        <v>1255</v>
      </c>
      <c r="D2513" t="s">
        <v>1256</v>
      </c>
      <c r="E2513" t="s">
        <v>1257</v>
      </c>
      <c r="F2513" t="s">
        <v>644</v>
      </c>
      <c r="G2513" t="s">
        <v>3124</v>
      </c>
      <c r="H2513" s="15">
        <v>46200</v>
      </c>
      <c r="I2513" t="s">
        <v>3125</v>
      </c>
      <c r="J2513" t="s">
        <v>233</v>
      </c>
      <c r="K2513" t="s">
        <v>185</v>
      </c>
      <c r="N2513">
        <v>0</v>
      </c>
      <c r="O2513" t="s">
        <v>222</v>
      </c>
      <c r="P2513">
        <v>0</v>
      </c>
      <c r="U2513" s="15"/>
    </row>
    <row r="2514" spans="1:21" x14ac:dyDescent="0.35">
      <c r="A2514" t="s">
        <v>14</v>
      </c>
      <c r="B2514" t="s">
        <v>497</v>
      </c>
      <c r="C2514" t="s">
        <v>1164</v>
      </c>
      <c r="D2514" t="s">
        <v>1165</v>
      </c>
      <c r="E2514" t="s">
        <v>1166</v>
      </c>
      <c r="F2514" t="s">
        <v>644</v>
      </c>
      <c r="G2514" t="s">
        <v>3126</v>
      </c>
      <c r="H2514" s="15">
        <v>46202</v>
      </c>
      <c r="I2514" t="s">
        <v>3127</v>
      </c>
      <c r="J2514" t="s">
        <v>16</v>
      </c>
      <c r="K2514" t="s">
        <v>185</v>
      </c>
      <c r="N2514">
        <v>0</v>
      </c>
      <c r="O2514" t="s">
        <v>222</v>
      </c>
      <c r="P2514">
        <v>0</v>
      </c>
      <c r="U2514" s="15"/>
    </row>
    <row r="2515" spans="1:21" x14ac:dyDescent="0.35">
      <c r="A2515" t="s">
        <v>14</v>
      </c>
      <c r="B2515" t="s">
        <v>497</v>
      </c>
      <c r="C2515" t="s">
        <v>1255</v>
      </c>
      <c r="D2515" t="s">
        <v>1256</v>
      </c>
      <c r="E2515" t="s">
        <v>1257</v>
      </c>
      <c r="F2515" t="s">
        <v>644</v>
      </c>
      <c r="G2515" t="s">
        <v>3128</v>
      </c>
      <c r="H2515" s="15">
        <v>46202</v>
      </c>
      <c r="I2515" t="s">
        <v>3129</v>
      </c>
      <c r="J2515" t="s">
        <v>233</v>
      </c>
      <c r="K2515" t="s">
        <v>185</v>
      </c>
      <c r="N2515">
        <v>0</v>
      </c>
      <c r="O2515" t="s">
        <v>222</v>
      </c>
      <c r="P2515">
        <v>0</v>
      </c>
      <c r="U2515" s="15"/>
    </row>
    <row r="2516" spans="1:21" x14ac:dyDescent="0.35">
      <c r="A2516" t="s">
        <v>14</v>
      </c>
      <c r="B2516" t="s">
        <v>497</v>
      </c>
      <c r="C2516" t="s">
        <v>641</v>
      </c>
      <c r="D2516" t="s">
        <v>642</v>
      </c>
      <c r="E2516" t="s">
        <v>643</v>
      </c>
      <c r="F2516" t="s">
        <v>644</v>
      </c>
      <c r="G2516" t="s">
        <v>3130</v>
      </c>
      <c r="H2516" s="15">
        <v>46203</v>
      </c>
      <c r="I2516" t="s">
        <v>3131</v>
      </c>
      <c r="J2516" t="s">
        <v>16</v>
      </c>
      <c r="K2516" t="s">
        <v>185</v>
      </c>
      <c r="N2516">
        <v>0</v>
      </c>
      <c r="O2516" t="s">
        <v>222</v>
      </c>
      <c r="P2516">
        <v>0</v>
      </c>
      <c r="U2516" s="15"/>
    </row>
    <row r="2517" spans="1:21" x14ac:dyDescent="0.35">
      <c r="A2517" t="s">
        <v>14</v>
      </c>
      <c r="B2517" t="s">
        <v>497</v>
      </c>
      <c r="C2517" t="s">
        <v>737</v>
      </c>
      <c r="D2517" t="s">
        <v>738</v>
      </c>
      <c r="E2517" t="s">
        <v>739</v>
      </c>
      <c r="F2517" t="s">
        <v>644</v>
      </c>
      <c r="G2517" t="s">
        <v>3130</v>
      </c>
      <c r="H2517" s="15">
        <v>46203</v>
      </c>
      <c r="I2517" t="s">
        <v>3132</v>
      </c>
      <c r="J2517" t="s">
        <v>16</v>
      </c>
      <c r="K2517" t="s">
        <v>185</v>
      </c>
      <c r="N2517">
        <v>0</v>
      </c>
      <c r="O2517" t="s">
        <v>222</v>
      </c>
      <c r="P2517">
        <v>0</v>
      </c>
      <c r="U2517" s="15"/>
    </row>
    <row r="2518" spans="1:21" x14ac:dyDescent="0.35">
      <c r="A2518" t="s">
        <v>14</v>
      </c>
      <c r="B2518" t="s">
        <v>497</v>
      </c>
      <c r="C2518" t="s">
        <v>692</v>
      </c>
      <c r="D2518" t="s">
        <v>693</v>
      </c>
      <c r="E2518" t="s">
        <v>694</v>
      </c>
      <c r="F2518" t="s">
        <v>644</v>
      </c>
      <c r="G2518" t="s">
        <v>3133</v>
      </c>
      <c r="H2518" s="15">
        <v>46203</v>
      </c>
      <c r="I2518" t="s">
        <v>3134</v>
      </c>
      <c r="J2518" t="s">
        <v>233</v>
      </c>
      <c r="K2518" t="s">
        <v>185</v>
      </c>
      <c r="N2518">
        <v>0</v>
      </c>
      <c r="O2518" t="s">
        <v>222</v>
      </c>
      <c r="P2518">
        <v>0</v>
      </c>
      <c r="U2518" s="15"/>
    </row>
    <row r="2519" spans="1:21" x14ac:dyDescent="0.35">
      <c r="A2519" t="s">
        <v>14</v>
      </c>
      <c r="B2519" t="s">
        <v>497</v>
      </c>
      <c r="C2519" t="s">
        <v>765</v>
      </c>
      <c r="D2519" t="s">
        <v>766</v>
      </c>
      <c r="E2519" t="s">
        <v>767</v>
      </c>
      <c r="F2519" t="s">
        <v>644</v>
      </c>
      <c r="G2519" t="s">
        <v>3133</v>
      </c>
      <c r="H2519" s="15">
        <v>46203</v>
      </c>
      <c r="I2519" t="s">
        <v>3135</v>
      </c>
      <c r="J2519" t="s">
        <v>233</v>
      </c>
      <c r="K2519" t="s">
        <v>185</v>
      </c>
      <c r="N2519">
        <v>0</v>
      </c>
      <c r="O2519" t="s">
        <v>222</v>
      </c>
      <c r="P2519">
        <v>0</v>
      </c>
      <c r="U2519" s="15"/>
    </row>
    <row r="2520" spans="1:21" x14ac:dyDescent="0.35">
      <c r="A2520" t="s">
        <v>14</v>
      </c>
      <c r="B2520" t="s">
        <v>497</v>
      </c>
      <c r="C2520" t="s">
        <v>832</v>
      </c>
      <c r="D2520" t="s">
        <v>833</v>
      </c>
      <c r="E2520" t="s">
        <v>834</v>
      </c>
      <c r="F2520" t="s">
        <v>644</v>
      </c>
      <c r="G2520" t="s">
        <v>3136</v>
      </c>
      <c r="H2520" s="15">
        <v>46204</v>
      </c>
      <c r="I2520" t="s">
        <v>3137</v>
      </c>
      <c r="J2520" t="s">
        <v>16</v>
      </c>
      <c r="K2520" t="s">
        <v>185</v>
      </c>
      <c r="N2520">
        <v>0</v>
      </c>
      <c r="O2520" t="s">
        <v>222</v>
      </c>
      <c r="P2520">
        <v>0</v>
      </c>
      <c r="U2520" s="15"/>
    </row>
    <row r="2521" spans="1:21" x14ac:dyDescent="0.35">
      <c r="A2521" t="s">
        <v>14</v>
      </c>
      <c r="B2521" t="s">
        <v>497</v>
      </c>
      <c r="C2521" t="s">
        <v>1164</v>
      </c>
      <c r="D2521" t="s">
        <v>1165</v>
      </c>
      <c r="E2521" t="s">
        <v>1166</v>
      </c>
      <c r="F2521" t="s">
        <v>644</v>
      </c>
      <c r="G2521" t="s">
        <v>3136</v>
      </c>
      <c r="H2521" s="15">
        <v>46204</v>
      </c>
      <c r="I2521" t="s">
        <v>3138</v>
      </c>
      <c r="J2521" t="s">
        <v>16</v>
      </c>
      <c r="K2521" t="s">
        <v>185</v>
      </c>
      <c r="N2521">
        <v>0</v>
      </c>
      <c r="O2521" t="s">
        <v>222</v>
      </c>
      <c r="P2521">
        <v>0</v>
      </c>
      <c r="U2521" s="15"/>
    </row>
    <row r="2522" spans="1:21" x14ac:dyDescent="0.35">
      <c r="A2522" t="s">
        <v>14</v>
      </c>
      <c r="B2522" t="s">
        <v>497</v>
      </c>
      <c r="C2522" t="s">
        <v>757</v>
      </c>
      <c r="D2522" t="s">
        <v>758</v>
      </c>
      <c r="E2522" t="s">
        <v>759</v>
      </c>
      <c r="F2522" t="s">
        <v>644</v>
      </c>
      <c r="G2522" t="s">
        <v>3139</v>
      </c>
      <c r="H2522" s="15">
        <v>46204</v>
      </c>
      <c r="I2522" t="s">
        <v>3140</v>
      </c>
      <c r="J2522" t="s">
        <v>233</v>
      </c>
      <c r="K2522" t="s">
        <v>185</v>
      </c>
      <c r="N2522">
        <v>0</v>
      </c>
      <c r="O2522" t="s">
        <v>222</v>
      </c>
      <c r="P2522">
        <v>0</v>
      </c>
      <c r="U2522" s="15"/>
    </row>
    <row r="2523" spans="1:21" x14ac:dyDescent="0.35">
      <c r="A2523" t="s">
        <v>14</v>
      </c>
      <c r="B2523" t="s">
        <v>497</v>
      </c>
      <c r="C2523" t="s">
        <v>1255</v>
      </c>
      <c r="D2523" t="s">
        <v>1256</v>
      </c>
      <c r="E2523" t="s">
        <v>1257</v>
      </c>
      <c r="F2523" t="s">
        <v>644</v>
      </c>
      <c r="G2523" t="s">
        <v>3139</v>
      </c>
      <c r="H2523" s="15">
        <v>46204</v>
      </c>
      <c r="I2523" t="s">
        <v>3141</v>
      </c>
      <c r="J2523" t="s">
        <v>233</v>
      </c>
      <c r="K2523" t="s">
        <v>185</v>
      </c>
      <c r="N2523">
        <v>0</v>
      </c>
      <c r="O2523" t="s">
        <v>222</v>
      </c>
      <c r="P2523">
        <v>0</v>
      </c>
      <c r="U2523" s="15"/>
    </row>
    <row r="2524" spans="1:21" x14ac:dyDescent="0.35">
      <c r="A2524" t="s">
        <v>14</v>
      </c>
      <c r="B2524" t="s">
        <v>497</v>
      </c>
      <c r="C2524" t="s">
        <v>750</v>
      </c>
      <c r="D2524" t="s">
        <v>751</v>
      </c>
      <c r="E2524" t="s">
        <v>752</v>
      </c>
      <c r="F2524" t="s">
        <v>644</v>
      </c>
      <c r="G2524" t="s">
        <v>3142</v>
      </c>
      <c r="H2524" s="15">
        <v>46205</v>
      </c>
      <c r="I2524" t="s">
        <v>3143</v>
      </c>
      <c r="J2524" t="s">
        <v>16</v>
      </c>
      <c r="K2524" t="s">
        <v>185</v>
      </c>
      <c r="N2524">
        <v>0</v>
      </c>
      <c r="O2524" t="s">
        <v>222</v>
      </c>
      <c r="P2524">
        <v>0</v>
      </c>
      <c r="U2524" s="15"/>
    </row>
    <row r="2525" spans="1:21" x14ac:dyDescent="0.35">
      <c r="A2525" t="s">
        <v>14</v>
      </c>
      <c r="B2525" t="s">
        <v>497</v>
      </c>
      <c r="C2525" t="s">
        <v>1255</v>
      </c>
      <c r="D2525" t="s">
        <v>1256</v>
      </c>
      <c r="E2525" t="s">
        <v>1257</v>
      </c>
      <c r="F2525" t="s">
        <v>644</v>
      </c>
      <c r="G2525" t="s">
        <v>3142</v>
      </c>
      <c r="H2525" s="15">
        <v>46205</v>
      </c>
      <c r="I2525" t="s">
        <v>3144</v>
      </c>
      <c r="J2525" t="s">
        <v>16</v>
      </c>
      <c r="K2525" t="s">
        <v>185</v>
      </c>
      <c r="N2525">
        <v>0</v>
      </c>
      <c r="O2525" t="s">
        <v>222</v>
      </c>
      <c r="P2525">
        <v>0</v>
      </c>
      <c r="U2525" s="15"/>
    </row>
    <row r="2526" spans="1:21" x14ac:dyDescent="0.35">
      <c r="A2526" t="s">
        <v>14</v>
      </c>
      <c r="B2526" t="s">
        <v>497</v>
      </c>
      <c r="C2526" t="s">
        <v>662</v>
      </c>
      <c r="D2526" t="s">
        <v>663</v>
      </c>
      <c r="E2526" t="s">
        <v>664</v>
      </c>
      <c r="F2526" t="s">
        <v>644</v>
      </c>
      <c r="G2526" t="s">
        <v>3145</v>
      </c>
      <c r="H2526" s="15">
        <v>46205</v>
      </c>
      <c r="I2526" t="s">
        <v>3146</v>
      </c>
      <c r="J2526" t="s">
        <v>233</v>
      </c>
      <c r="K2526" t="s">
        <v>185</v>
      </c>
      <c r="N2526">
        <v>0</v>
      </c>
      <c r="O2526" t="s">
        <v>222</v>
      </c>
      <c r="P2526">
        <v>0</v>
      </c>
      <c r="U2526" s="15"/>
    </row>
    <row r="2527" spans="1:21" x14ac:dyDescent="0.35">
      <c r="A2527" t="s">
        <v>14</v>
      </c>
      <c r="B2527" t="s">
        <v>497</v>
      </c>
      <c r="C2527" t="s">
        <v>1058</v>
      </c>
      <c r="D2527" t="s">
        <v>1059</v>
      </c>
      <c r="E2527" t="s">
        <v>1060</v>
      </c>
      <c r="F2527" t="s">
        <v>644</v>
      </c>
      <c r="G2527" t="s">
        <v>3145</v>
      </c>
      <c r="H2527" s="15">
        <v>46205</v>
      </c>
      <c r="I2527" t="s">
        <v>3147</v>
      </c>
      <c r="J2527" t="s">
        <v>233</v>
      </c>
      <c r="K2527" t="s">
        <v>185</v>
      </c>
      <c r="N2527">
        <v>0</v>
      </c>
      <c r="O2527" t="s">
        <v>222</v>
      </c>
      <c r="P2527">
        <v>0</v>
      </c>
      <c r="U2527" s="15"/>
    </row>
    <row r="2528" spans="1:21" x14ac:dyDescent="0.35">
      <c r="A2528" t="s">
        <v>14</v>
      </c>
      <c r="B2528" t="s">
        <v>497</v>
      </c>
      <c r="C2528" t="s">
        <v>667</v>
      </c>
      <c r="D2528" t="s">
        <v>668</v>
      </c>
      <c r="E2528" t="s">
        <v>669</v>
      </c>
      <c r="F2528" t="s">
        <v>644</v>
      </c>
      <c r="G2528" t="s">
        <v>3148</v>
      </c>
      <c r="H2528" s="15">
        <v>46206</v>
      </c>
      <c r="I2528" t="s">
        <v>3149</v>
      </c>
      <c r="J2528" t="s">
        <v>16</v>
      </c>
      <c r="K2528" t="s">
        <v>185</v>
      </c>
      <c r="N2528">
        <v>0</v>
      </c>
      <c r="O2528" t="s">
        <v>222</v>
      </c>
      <c r="P2528">
        <v>0</v>
      </c>
      <c r="U2528" s="15"/>
    </row>
    <row r="2529" spans="1:21" x14ac:dyDescent="0.35">
      <c r="A2529" t="s">
        <v>14</v>
      </c>
      <c r="B2529" t="s">
        <v>497</v>
      </c>
      <c r="C2529" t="s">
        <v>641</v>
      </c>
      <c r="D2529" t="s">
        <v>642</v>
      </c>
      <c r="E2529" t="s">
        <v>643</v>
      </c>
      <c r="F2529" t="s">
        <v>644</v>
      </c>
      <c r="G2529" t="s">
        <v>3148</v>
      </c>
      <c r="H2529" s="15">
        <v>46206</v>
      </c>
      <c r="I2529" t="s">
        <v>3150</v>
      </c>
      <c r="J2529" t="s">
        <v>16</v>
      </c>
      <c r="K2529" t="s">
        <v>185</v>
      </c>
      <c r="N2529">
        <v>0</v>
      </c>
      <c r="O2529" t="s">
        <v>222</v>
      </c>
      <c r="P2529">
        <v>0</v>
      </c>
      <c r="U2529" s="15"/>
    </row>
    <row r="2530" spans="1:21" x14ac:dyDescent="0.35">
      <c r="A2530" t="s">
        <v>14</v>
      </c>
      <c r="B2530" t="s">
        <v>497</v>
      </c>
      <c r="C2530" t="s">
        <v>658</v>
      </c>
      <c r="D2530" t="s">
        <v>659</v>
      </c>
      <c r="E2530" t="s">
        <v>660</v>
      </c>
      <c r="F2530" t="s">
        <v>644</v>
      </c>
      <c r="G2530" t="s">
        <v>3151</v>
      </c>
      <c r="H2530" s="15">
        <v>46206</v>
      </c>
      <c r="I2530" t="s">
        <v>3152</v>
      </c>
      <c r="J2530" t="s">
        <v>233</v>
      </c>
      <c r="K2530" t="s">
        <v>185</v>
      </c>
      <c r="N2530">
        <v>0</v>
      </c>
      <c r="O2530" t="s">
        <v>222</v>
      </c>
      <c r="P2530">
        <v>0</v>
      </c>
      <c r="U2530" s="15"/>
    </row>
    <row r="2531" spans="1:21" x14ac:dyDescent="0.35">
      <c r="A2531" t="s">
        <v>14</v>
      </c>
      <c r="B2531" t="s">
        <v>497</v>
      </c>
      <c r="C2531" t="s">
        <v>2089</v>
      </c>
      <c r="D2531" t="s">
        <v>2090</v>
      </c>
      <c r="E2531" t="s">
        <v>2091</v>
      </c>
      <c r="F2531" t="s">
        <v>644</v>
      </c>
      <c r="G2531" t="s">
        <v>3151</v>
      </c>
      <c r="H2531" s="15">
        <v>46206</v>
      </c>
      <c r="I2531" t="s">
        <v>3153</v>
      </c>
      <c r="J2531" t="s">
        <v>233</v>
      </c>
      <c r="K2531" t="s">
        <v>185</v>
      </c>
      <c r="N2531">
        <v>0</v>
      </c>
      <c r="O2531" t="s">
        <v>222</v>
      </c>
      <c r="P2531">
        <v>0</v>
      </c>
      <c r="U2531" s="15"/>
    </row>
    <row r="2532" spans="1:21" x14ac:dyDescent="0.35">
      <c r="A2532" t="s">
        <v>14</v>
      </c>
      <c r="B2532" t="s">
        <v>497</v>
      </c>
      <c r="C2532" t="s">
        <v>692</v>
      </c>
      <c r="D2532" t="s">
        <v>693</v>
      </c>
      <c r="E2532" t="s">
        <v>694</v>
      </c>
      <c r="F2532" t="s">
        <v>644</v>
      </c>
      <c r="G2532" t="s">
        <v>3154</v>
      </c>
      <c r="H2532" s="15">
        <v>46207</v>
      </c>
      <c r="I2532" t="s">
        <v>3155</v>
      </c>
      <c r="J2532" t="s">
        <v>16</v>
      </c>
      <c r="K2532" t="s">
        <v>185</v>
      </c>
      <c r="N2532">
        <v>0</v>
      </c>
      <c r="O2532" t="s">
        <v>222</v>
      </c>
      <c r="P2532">
        <v>0</v>
      </c>
      <c r="U2532" s="15"/>
    </row>
    <row r="2533" spans="1:21" x14ac:dyDescent="0.35">
      <c r="A2533" t="s">
        <v>14</v>
      </c>
      <c r="B2533" t="s">
        <v>497</v>
      </c>
      <c r="C2533" t="s">
        <v>1255</v>
      </c>
      <c r="D2533" t="s">
        <v>1256</v>
      </c>
      <c r="E2533" t="s">
        <v>1257</v>
      </c>
      <c r="F2533" t="s">
        <v>644</v>
      </c>
      <c r="G2533" t="s">
        <v>3156</v>
      </c>
      <c r="H2533" s="15">
        <v>46207</v>
      </c>
      <c r="I2533" t="s">
        <v>3157</v>
      </c>
      <c r="J2533" t="s">
        <v>233</v>
      </c>
      <c r="K2533" t="s">
        <v>185</v>
      </c>
      <c r="N2533">
        <v>0</v>
      </c>
      <c r="O2533" t="s">
        <v>222</v>
      </c>
      <c r="P2533">
        <v>0</v>
      </c>
      <c r="U2533" s="15"/>
    </row>
    <row r="2534" spans="1:21" x14ac:dyDescent="0.35">
      <c r="A2534" t="s">
        <v>14</v>
      </c>
      <c r="B2534" t="s">
        <v>497</v>
      </c>
      <c r="C2534" t="s">
        <v>711</v>
      </c>
      <c r="D2534" t="s">
        <v>712</v>
      </c>
      <c r="E2534" t="s">
        <v>713</v>
      </c>
      <c r="F2534" t="s">
        <v>644</v>
      </c>
      <c r="G2534" t="s">
        <v>5026</v>
      </c>
      <c r="H2534" s="15">
        <v>46209</v>
      </c>
      <c r="I2534" t="s">
        <v>5027</v>
      </c>
      <c r="J2534" t="s">
        <v>233</v>
      </c>
      <c r="K2534" t="s">
        <v>185</v>
      </c>
      <c r="N2534">
        <v>0</v>
      </c>
      <c r="O2534" t="s">
        <v>222</v>
      </c>
      <c r="P2534">
        <v>0</v>
      </c>
      <c r="U2534" s="15"/>
    </row>
    <row r="2535" spans="1:21" x14ac:dyDescent="0.35">
      <c r="A2535" t="s">
        <v>14</v>
      </c>
      <c r="B2535" t="s">
        <v>497</v>
      </c>
      <c r="C2535" t="s">
        <v>2146</v>
      </c>
      <c r="D2535" t="s">
        <v>2147</v>
      </c>
      <c r="E2535" t="s">
        <v>2148</v>
      </c>
      <c r="F2535" t="s">
        <v>644</v>
      </c>
      <c r="G2535" t="s">
        <v>5026</v>
      </c>
      <c r="H2535" s="15">
        <v>46209</v>
      </c>
      <c r="I2535" t="s">
        <v>5028</v>
      </c>
      <c r="J2535" t="s">
        <v>233</v>
      </c>
      <c r="K2535" t="s">
        <v>185</v>
      </c>
      <c r="N2535">
        <v>0</v>
      </c>
      <c r="O2535" t="s">
        <v>222</v>
      </c>
      <c r="P2535">
        <v>0</v>
      </c>
      <c r="U2535" s="15"/>
    </row>
    <row r="2536" spans="1:21" x14ac:dyDescent="0.35">
      <c r="A2536" t="s">
        <v>14</v>
      </c>
      <c r="B2536" t="s">
        <v>497</v>
      </c>
      <c r="C2536" t="s">
        <v>2154</v>
      </c>
      <c r="D2536" t="s">
        <v>2155</v>
      </c>
      <c r="E2536" t="s">
        <v>2156</v>
      </c>
      <c r="F2536" t="s">
        <v>644</v>
      </c>
      <c r="G2536" t="s">
        <v>5026</v>
      </c>
      <c r="H2536" s="15">
        <v>46209</v>
      </c>
      <c r="I2536" t="s">
        <v>5029</v>
      </c>
      <c r="J2536" t="s">
        <v>233</v>
      </c>
      <c r="K2536" t="s">
        <v>185</v>
      </c>
      <c r="N2536">
        <v>0</v>
      </c>
      <c r="O2536" t="s">
        <v>222</v>
      </c>
      <c r="P2536">
        <v>0</v>
      </c>
      <c r="U2536" s="15"/>
    </row>
    <row r="2537" spans="1:21" x14ac:dyDescent="0.35">
      <c r="A2537" t="s">
        <v>14</v>
      </c>
      <c r="B2537" t="s">
        <v>497</v>
      </c>
      <c r="C2537" t="s">
        <v>2041</v>
      </c>
      <c r="D2537" t="s">
        <v>2042</v>
      </c>
      <c r="E2537" t="s">
        <v>2043</v>
      </c>
      <c r="F2537" t="s">
        <v>644</v>
      </c>
      <c r="G2537" t="s">
        <v>5030</v>
      </c>
      <c r="H2537" s="15">
        <v>46210</v>
      </c>
      <c r="I2537" t="s">
        <v>5031</v>
      </c>
      <c r="J2537" t="s">
        <v>16</v>
      </c>
      <c r="K2537" t="s">
        <v>185</v>
      </c>
      <c r="N2537">
        <v>0</v>
      </c>
      <c r="O2537" t="s">
        <v>222</v>
      </c>
      <c r="P2537">
        <v>0</v>
      </c>
      <c r="U2537" s="15"/>
    </row>
    <row r="2538" spans="1:21" x14ac:dyDescent="0.35">
      <c r="A2538" t="s">
        <v>14</v>
      </c>
      <c r="B2538" t="s">
        <v>497</v>
      </c>
      <c r="C2538" t="s">
        <v>667</v>
      </c>
      <c r="D2538" t="s">
        <v>668</v>
      </c>
      <c r="E2538" t="s">
        <v>669</v>
      </c>
      <c r="F2538" t="s">
        <v>644</v>
      </c>
      <c r="G2538" t="s">
        <v>5030</v>
      </c>
      <c r="H2538" s="15">
        <v>46210</v>
      </c>
      <c r="I2538" t="s">
        <v>5032</v>
      </c>
      <c r="J2538" t="s">
        <v>16</v>
      </c>
      <c r="K2538" t="s">
        <v>185</v>
      </c>
      <c r="N2538">
        <v>0</v>
      </c>
      <c r="O2538" t="s">
        <v>222</v>
      </c>
      <c r="P2538">
        <v>0</v>
      </c>
      <c r="U2538" s="15"/>
    </row>
    <row r="2539" spans="1:21" x14ac:dyDescent="0.35">
      <c r="A2539" t="s">
        <v>14</v>
      </c>
      <c r="B2539" t="s">
        <v>497</v>
      </c>
      <c r="C2539" t="s">
        <v>651</v>
      </c>
      <c r="D2539" t="s">
        <v>652</v>
      </c>
      <c r="E2539" t="s">
        <v>653</v>
      </c>
      <c r="F2539" t="s">
        <v>644</v>
      </c>
      <c r="G2539" t="s">
        <v>5033</v>
      </c>
      <c r="H2539" s="15">
        <v>46210</v>
      </c>
      <c r="I2539" t="s">
        <v>5034</v>
      </c>
      <c r="J2539" t="s">
        <v>233</v>
      </c>
      <c r="K2539" t="s">
        <v>185</v>
      </c>
      <c r="N2539">
        <v>0</v>
      </c>
      <c r="O2539" t="s">
        <v>222</v>
      </c>
      <c r="P2539">
        <v>0</v>
      </c>
      <c r="U2539" s="15"/>
    </row>
    <row r="2540" spans="1:21" x14ac:dyDescent="0.35">
      <c r="A2540" t="s">
        <v>14</v>
      </c>
      <c r="B2540" t="s">
        <v>497</v>
      </c>
      <c r="C2540" t="s">
        <v>647</v>
      </c>
      <c r="D2540" t="s">
        <v>648</v>
      </c>
      <c r="E2540" t="s">
        <v>649</v>
      </c>
      <c r="F2540" t="s">
        <v>644</v>
      </c>
      <c r="G2540" t="s">
        <v>5035</v>
      </c>
      <c r="H2540" s="15">
        <v>46211</v>
      </c>
      <c r="I2540" t="s">
        <v>5036</v>
      </c>
      <c r="J2540" t="s">
        <v>16</v>
      </c>
      <c r="K2540" t="s">
        <v>185</v>
      </c>
      <c r="N2540">
        <v>0</v>
      </c>
      <c r="O2540" t="s">
        <v>222</v>
      </c>
      <c r="P2540">
        <v>0</v>
      </c>
      <c r="U2540" s="15"/>
    </row>
    <row r="2541" spans="1:21" x14ac:dyDescent="0.35">
      <c r="A2541" t="s">
        <v>14</v>
      </c>
      <c r="B2541" t="s">
        <v>497</v>
      </c>
      <c r="C2541" t="s">
        <v>750</v>
      </c>
      <c r="D2541" t="s">
        <v>751</v>
      </c>
      <c r="E2541" t="s">
        <v>752</v>
      </c>
      <c r="F2541" t="s">
        <v>644</v>
      </c>
      <c r="G2541" t="s">
        <v>5035</v>
      </c>
      <c r="H2541" s="15">
        <v>46211</v>
      </c>
      <c r="I2541" t="s">
        <v>5037</v>
      </c>
      <c r="J2541" t="s">
        <v>16</v>
      </c>
      <c r="K2541" t="s">
        <v>185</v>
      </c>
      <c r="N2541">
        <v>0</v>
      </c>
      <c r="O2541" t="s">
        <v>222</v>
      </c>
      <c r="P2541">
        <v>0</v>
      </c>
      <c r="U2541" s="15"/>
    </row>
    <row r="2542" spans="1:21" x14ac:dyDescent="0.35">
      <c r="A2542" t="s">
        <v>14</v>
      </c>
      <c r="B2542" t="s">
        <v>497</v>
      </c>
      <c r="C2542" t="s">
        <v>777</v>
      </c>
      <c r="D2542" t="s">
        <v>778</v>
      </c>
      <c r="E2542" t="s">
        <v>779</v>
      </c>
      <c r="F2542" t="s">
        <v>644</v>
      </c>
      <c r="G2542" t="s">
        <v>5038</v>
      </c>
      <c r="H2542" s="15">
        <v>46211</v>
      </c>
      <c r="I2542" t="s">
        <v>5039</v>
      </c>
      <c r="J2542" t="s">
        <v>233</v>
      </c>
      <c r="K2542" t="s">
        <v>185</v>
      </c>
      <c r="N2542">
        <v>0</v>
      </c>
      <c r="O2542" t="s">
        <v>222</v>
      </c>
      <c r="P2542">
        <v>0</v>
      </c>
      <c r="U2542" s="15"/>
    </row>
    <row r="2543" spans="1:21" x14ac:dyDescent="0.35">
      <c r="A2543" t="s">
        <v>14</v>
      </c>
      <c r="B2543" t="s">
        <v>497</v>
      </c>
      <c r="C2543" t="s">
        <v>662</v>
      </c>
      <c r="D2543" t="s">
        <v>663</v>
      </c>
      <c r="E2543" t="s">
        <v>664</v>
      </c>
      <c r="F2543" t="s">
        <v>644</v>
      </c>
      <c r="G2543" t="s">
        <v>5040</v>
      </c>
      <c r="H2543" s="15">
        <v>46212</v>
      </c>
      <c r="I2543" t="s">
        <v>5041</v>
      </c>
      <c r="J2543" t="s">
        <v>16</v>
      </c>
      <c r="K2543" t="s">
        <v>185</v>
      </c>
      <c r="N2543">
        <v>0</v>
      </c>
      <c r="O2543" t="s">
        <v>222</v>
      </c>
      <c r="P2543">
        <v>0</v>
      </c>
      <c r="U2543" s="15"/>
    </row>
    <row r="2544" spans="1:21" x14ac:dyDescent="0.35">
      <c r="A2544" t="s">
        <v>14</v>
      </c>
      <c r="B2544" t="s">
        <v>497</v>
      </c>
      <c r="C2544" t="s">
        <v>765</v>
      </c>
      <c r="D2544" t="s">
        <v>766</v>
      </c>
      <c r="E2544" t="s">
        <v>767</v>
      </c>
      <c r="F2544" t="s">
        <v>644</v>
      </c>
      <c r="G2544" t="s">
        <v>5040</v>
      </c>
      <c r="H2544" s="15">
        <v>46212</v>
      </c>
      <c r="I2544" t="s">
        <v>5042</v>
      </c>
      <c r="J2544" t="s">
        <v>16</v>
      </c>
      <c r="K2544" t="s">
        <v>185</v>
      </c>
      <c r="N2544">
        <v>0</v>
      </c>
      <c r="O2544" t="s">
        <v>222</v>
      </c>
      <c r="P2544">
        <v>0</v>
      </c>
      <c r="U2544" s="15"/>
    </row>
    <row r="2545" spans="1:22" x14ac:dyDescent="0.35">
      <c r="A2545" t="s">
        <v>14</v>
      </c>
      <c r="B2545" t="s">
        <v>497</v>
      </c>
      <c r="C2545" t="s">
        <v>667</v>
      </c>
      <c r="D2545" t="s">
        <v>668</v>
      </c>
      <c r="E2545" t="s">
        <v>669</v>
      </c>
      <c r="F2545" t="s">
        <v>644</v>
      </c>
      <c r="G2545" t="s">
        <v>5040</v>
      </c>
      <c r="H2545" s="15">
        <v>46212</v>
      </c>
      <c r="I2545" t="s">
        <v>5043</v>
      </c>
      <c r="J2545" t="s">
        <v>16</v>
      </c>
      <c r="K2545" t="s">
        <v>185</v>
      </c>
      <c r="N2545">
        <v>0</v>
      </c>
      <c r="O2545" t="s">
        <v>222</v>
      </c>
      <c r="P2545">
        <v>0</v>
      </c>
      <c r="U2545" s="15"/>
    </row>
    <row r="2546" spans="1:22" x14ac:dyDescent="0.35">
      <c r="A2546" t="s">
        <v>14</v>
      </c>
      <c r="B2546" t="s">
        <v>497</v>
      </c>
      <c r="C2546" t="s">
        <v>750</v>
      </c>
      <c r="D2546" t="s">
        <v>751</v>
      </c>
      <c r="E2546" t="s">
        <v>752</v>
      </c>
      <c r="F2546" t="s">
        <v>644</v>
      </c>
      <c r="G2546" t="s">
        <v>5044</v>
      </c>
      <c r="H2546" s="15">
        <v>46212</v>
      </c>
      <c r="I2546" t="s">
        <v>5045</v>
      </c>
      <c r="J2546" t="s">
        <v>233</v>
      </c>
      <c r="K2546" t="s">
        <v>185</v>
      </c>
      <c r="N2546">
        <v>0</v>
      </c>
      <c r="O2546" t="s">
        <v>222</v>
      </c>
      <c r="P2546">
        <v>0</v>
      </c>
      <c r="U2546" s="15"/>
    </row>
    <row r="2547" spans="1:22" x14ac:dyDescent="0.35">
      <c r="A2547" t="s">
        <v>14</v>
      </c>
      <c r="B2547" t="s">
        <v>497</v>
      </c>
      <c r="C2547" t="s">
        <v>1255</v>
      </c>
      <c r="D2547" t="s">
        <v>1256</v>
      </c>
      <c r="E2547" t="s">
        <v>1257</v>
      </c>
      <c r="F2547" t="s">
        <v>644</v>
      </c>
      <c r="G2547" t="s">
        <v>5046</v>
      </c>
      <c r="H2547" s="15">
        <v>46213</v>
      </c>
      <c r="I2547" t="s">
        <v>5047</v>
      </c>
      <c r="J2547" t="s">
        <v>16</v>
      </c>
      <c r="K2547" t="s">
        <v>185</v>
      </c>
      <c r="N2547">
        <v>0</v>
      </c>
      <c r="O2547" t="s">
        <v>222</v>
      </c>
      <c r="P2547">
        <v>0</v>
      </c>
      <c r="U2547" s="15"/>
    </row>
    <row r="2548" spans="1:22" x14ac:dyDescent="0.35">
      <c r="A2548" t="s">
        <v>14</v>
      </c>
      <c r="B2548" t="s">
        <v>497</v>
      </c>
      <c r="C2548" t="s">
        <v>1036</v>
      </c>
      <c r="D2548" t="s">
        <v>1037</v>
      </c>
      <c r="E2548" t="s">
        <v>1038</v>
      </c>
      <c r="F2548" t="s">
        <v>644</v>
      </c>
      <c r="G2548" t="s">
        <v>5046</v>
      </c>
      <c r="H2548" s="15">
        <v>46213</v>
      </c>
      <c r="I2548" t="s">
        <v>5048</v>
      </c>
      <c r="J2548" t="s">
        <v>16</v>
      </c>
      <c r="K2548" t="s">
        <v>185</v>
      </c>
      <c r="N2548">
        <v>0</v>
      </c>
      <c r="O2548" t="s">
        <v>222</v>
      </c>
      <c r="P2548">
        <v>0</v>
      </c>
      <c r="U2548" s="15"/>
    </row>
    <row r="2549" spans="1:22" x14ac:dyDescent="0.35">
      <c r="A2549" t="s">
        <v>14</v>
      </c>
      <c r="B2549" t="s">
        <v>497</v>
      </c>
      <c r="C2549" t="s">
        <v>651</v>
      </c>
      <c r="D2549" t="s">
        <v>652</v>
      </c>
      <c r="E2549" t="s">
        <v>653</v>
      </c>
      <c r="F2549" t="s">
        <v>644</v>
      </c>
      <c r="G2549" t="s">
        <v>5049</v>
      </c>
      <c r="H2549" s="15">
        <v>46213</v>
      </c>
      <c r="I2549" t="s">
        <v>5050</v>
      </c>
      <c r="J2549" t="s">
        <v>233</v>
      </c>
      <c r="K2549" t="s">
        <v>185</v>
      </c>
      <c r="N2549">
        <v>0</v>
      </c>
      <c r="O2549" t="s">
        <v>222</v>
      </c>
      <c r="P2549">
        <v>0</v>
      </c>
      <c r="U2549" s="15"/>
    </row>
    <row r="2550" spans="1:22" x14ac:dyDescent="0.35">
      <c r="A2550" t="s">
        <v>14</v>
      </c>
      <c r="B2550" t="s">
        <v>497</v>
      </c>
      <c r="C2550" t="s">
        <v>1255</v>
      </c>
      <c r="D2550" t="s">
        <v>1256</v>
      </c>
      <c r="E2550" t="s">
        <v>1257</v>
      </c>
      <c r="F2550" t="s">
        <v>644</v>
      </c>
      <c r="G2550" t="s">
        <v>5049</v>
      </c>
      <c r="H2550" s="15">
        <v>46213</v>
      </c>
      <c r="I2550" t="s">
        <v>5051</v>
      </c>
      <c r="J2550" t="s">
        <v>233</v>
      </c>
      <c r="K2550" t="s">
        <v>185</v>
      </c>
      <c r="N2550">
        <v>0</v>
      </c>
      <c r="O2550" t="s">
        <v>222</v>
      </c>
      <c r="P2550">
        <v>0</v>
      </c>
      <c r="U2550" s="15"/>
    </row>
    <row r="2551" spans="1:22" x14ac:dyDescent="0.35">
      <c r="A2551" t="s">
        <v>14</v>
      </c>
      <c r="B2551" t="s">
        <v>497</v>
      </c>
      <c r="C2551" t="s">
        <v>641</v>
      </c>
      <c r="D2551" t="s">
        <v>642</v>
      </c>
      <c r="E2551" t="s">
        <v>643</v>
      </c>
      <c r="F2551" t="s">
        <v>644</v>
      </c>
      <c r="G2551" t="s">
        <v>5052</v>
      </c>
      <c r="H2551" s="15">
        <v>46214</v>
      </c>
      <c r="I2551" t="s">
        <v>5053</v>
      </c>
      <c r="J2551" t="s">
        <v>16</v>
      </c>
      <c r="K2551" t="s">
        <v>185</v>
      </c>
      <c r="N2551">
        <v>0</v>
      </c>
      <c r="O2551" t="s">
        <v>222</v>
      </c>
      <c r="P2551">
        <v>0</v>
      </c>
      <c r="U2551" s="15"/>
    </row>
    <row r="2552" spans="1:22" x14ac:dyDescent="0.35">
      <c r="A2552" t="s">
        <v>14</v>
      </c>
      <c r="B2552" t="s">
        <v>497</v>
      </c>
      <c r="C2552" t="s">
        <v>1255</v>
      </c>
      <c r="D2552" t="s">
        <v>1256</v>
      </c>
      <c r="E2552" t="s">
        <v>1257</v>
      </c>
      <c r="F2552" t="s">
        <v>644</v>
      </c>
      <c r="G2552" t="s">
        <v>5054</v>
      </c>
      <c r="H2552" s="15">
        <v>46214</v>
      </c>
      <c r="I2552" t="s">
        <v>5055</v>
      </c>
      <c r="J2552" t="s">
        <v>233</v>
      </c>
      <c r="K2552" t="s">
        <v>185</v>
      </c>
      <c r="N2552">
        <v>0</v>
      </c>
      <c r="O2552" t="s">
        <v>222</v>
      </c>
      <c r="P2552">
        <v>0</v>
      </c>
      <c r="U2552" s="15"/>
    </row>
    <row r="2553" spans="1:22" x14ac:dyDescent="0.35">
      <c r="A2553" t="s">
        <v>14</v>
      </c>
      <c r="B2553" t="s">
        <v>497</v>
      </c>
      <c r="C2553" t="s">
        <v>662</v>
      </c>
      <c r="D2553" t="s">
        <v>663</v>
      </c>
      <c r="E2553" t="s">
        <v>664</v>
      </c>
      <c r="F2553" t="s">
        <v>644</v>
      </c>
      <c r="G2553" t="s">
        <v>5056</v>
      </c>
      <c r="H2553" s="15">
        <v>46216</v>
      </c>
      <c r="I2553" t="s">
        <v>5057</v>
      </c>
      <c r="J2553" t="s">
        <v>16</v>
      </c>
      <c r="K2553" t="s">
        <v>185</v>
      </c>
      <c r="N2553">
        <v>0</v>
      </c>
      <c r="O2553" t="s">
        <v>222</v>
      </c>
      <c r="P2553">
        <v>0</v>
      </c>
      <c r="T2553" t="s">
        <v>644</v>
      </c>
      <c r="U2553" s="15">
        <v>46216</v>
      </c>
      <c r="V2553" t="s">
        <v>16</v>
      </c>
    </row>
    <row r="2554" spans="1:22" x14ac:dyDescent="0.35">
      <c r="A2554" t="s">
        <v>14</v>
      </c>
      <c r="B2554" t="s">
        <v>497</v>
      </c>
      <c r="C2554" t="s">
        <v>2004</v>
      </c>
      <c r="D2554" t="s">
        <v>2005</v>
      </c>
      <c r="E2554" t="s">
        <v>2006</v>
      </c>
      <c r="F2554" t="s">
        <v>644</v>
      </c>
      <c r="G2554" t="s">
        <v>5056</v>
      </c>
      <c r="H2554" s="15">
        <v>46216</v>
      </c>
      <c r="I2554" t="s">
        <v>5058</v>
      </c>
      <c r="J2554" t="s">
        <v>16</v>
      </c>
      <c r="K2554" t="s">
        <v>185</v>
      </c>
      <c r="N2554">
        <v>0</v>
      </c>
      <c r="O2554" t="s">
        <v>222</v>
      </c>
      <c r="P2554">
        <v>0</v>
      </c>
      <c r="U2554" s="15"/>
    </row>
    <row r="2555" spans="1:22" x14ac:dyDescent="0.35">
      <c r="A2555" t="s">
        <v>14</v>
      </c>
      <c r="B2555" t="s">
        <v>497</v>
      </c>
      <c r="C2555" t="s">
        <v>682</v>
      </c>
      <c r="D2555" t="s">
        <v>683</v>
      </c>
      <c r="E2555" t="s">
        <v>683</v>
      </c>
      <c r="F2555" t="s">
        <v>644</v>
      </c>
      <c r="G2555" t="s">
        <v>5059</v>
      </c>
      <c r="H2555" s="15">
        <v>46216</v>
      </c>
      <c r="I2555" t="s">
        <v>5060</v>
      </c>
      <c r="J2555" t="s">
        <v>233</v>
      </c>
      <c r="K2555" t="s">
        <v>185</v>
      </c>
      <c r="N2555">
        <v>0</v>
      </c>
      <c r="O2555" t="s">
        <v>222</v>
      </c>
      <c r="P2555">
        <v>0</v>
      </c>
      <c r="U2555" s="15"/>
    </row>
    <row r="2556" spans="1:22" x14ac:dyDescent="0.35">
      <c r="A2556" t="s">
        <v>14</v>
      </c>
      <c r="B2556" t="s">
        <v>497</v>
      </c>
      <c r="C2556" t="s">
        <v>651</v>
      </c>
      <c r="D2556" t="s">
        <v>652</v>
      </c>
      <c r="E2556" t="s">
        <v>653</v>
      </c>
      <c r="F2556" t="s">
        <v>644</v>
      </c>
      <c r="G2556" t="s">
        <v>5059</v>
      </c>
      <c r="H2556" s="15">
        <v>46216</v>
      </c>
      <c r="I2556" t="s">
        <v>5061</v>
      </c>
      <c r="J2556" t="s">
        <v>233</v>
      </c>
      <c r="K2556" t="s">
        <v>185</v>
      </c>
      <c r="N2556">
        <v>0</v>
      </c>
      <c r="O2556" t="s">
        <v>222</v>
      </c>
      <c r="P2556">
        <v>0</v>
      </c>
      <c r="U2556" s="15"/>
    </row>
    <row r="2557" spans="1:22" x14ac:dyDescent="0.35">
      <c r="A2557" t="s">
        <v>14</v>
      </c>
      <c r="B2557" t="s">
        <v>497</v>
      </c>
      <c r="C2557" t="s">
        <v>3081</v>
      </c>
      <c r="D2557" t="s">
        <v>3082</v>
      </c>
      <c r="E2557" t="s">
        <v>3083</v>
      </c>
      <c r="F2557" t="s">
        <v>644</v>
      </c>
      <c r="G2557" t="s">
        <v>5062</v>
      </c>
      <c r="H2557" s="15">
        <v>46217</v>
      </c>
      <c r="I2557" t="s">
        <v>5063</v>
      </c>
      <c r="J2557" t="s">
        <v>16</v>
      </c>
      <c r="K2557" t="s">
        <v>185</v>
      </c>
      <c r="N2557">
        <v>0</v>
      </c>
      <c r="O2557" t="s">
        <v>222</v>
      </c>
      <c r="P2557">
        <v>0</v>
      </c>
      <c r="U2557" s="15"/>
    </row>
    <row r="2558" spans="1:22" x14ac:dyDescent="0.35">
      <c r="A2558" t="s">
        <v>14</v>
      </c>
      <c r="B2558" t="s">
        <v>497</v>
      </c>
      <c r="C2558" t="s">
        <v>1255</v>
      </c>
      <c r="D2558" t="s">
        <v>1256</v>
      </c>
      <c r="E2558" t="s">
        <v>1257</v>
      </c>
      <c r="F2558" t="s">
        <v>644</v>
      </c>
      <c r="G2558" t="s">
        <v>5062</v>
      </c>
      <c r="H2558" s="15">
        <v>46217</v>
      </c>
      <c r="I2558" t="s">
        <v>5064</v>
      </c>
      <c r="J2558" t="s">
        <v>16</v>
      </c>
      <c r="K2558" t="s">
        <v>185</v>
      </c>
      <c r="N2558">
        <v>0</v>
      </c>
      <c r="O2558" t="s">
        <v>222</v>
      </c>
      <c r="P2558">
        <v>0</v>
      </c>
      <c r="U2558" s="15"/>
    </row>
    <row r="2559" spans="1:22" x14ac:dyDescent="0.35">
      <c r="A2559" t="s">
        <v>14</v>
      </c>
      <c r="B2559" t="s">
        <v>497</v>
      </c>
      <c r="C2559" t="s">
        <v>641</v>
      </c>
      <c r="D2559" t="s">
        <v>642</v>
      </c>
      <c r="E2559" t="s">
        <v>643</v>
      </c>
      <c r="F2559" t="s">
        <v>644</v>
      </c>
      <c r="G2559" t="s">
        <v>5062</v>
      </c>
      <c r="H2559" s="15">
        <v>46217</v>
      </c>
      <c r="I2559" t="s">
        <v>5065</v>
      </c>
      <c r="J2559" t="s">
        <v>16</v>
      </c>
      <c r="K2559" t="s">
        <v>185</v>
      </c>
      <c r="N2559">
        <v>24047</v>
      </c>
      <c r="O2559" t="s">
        <v>222</v>
      </c>
      <c r="P2559">
        <v>85.972305000000006</v>
      </c>
      <c r="U2559" s="15"/>
    </row>
    <row r="2560" spans="1:22" x14ac:dyDescent="0.35">
      <c r="A2560" t="s">
        <v>14</v>
      </c>
      <c r="B2560" t="s">
        <v>497</v>
      </c>
      <c r="C2560" t="s">
        <v>716</v>
      </c>
      <c r="D2560" t="s">
        <v>717</v>
      </c>
      <c r="E2560" t="s">
        <v>718</v>
      </c>
      <c r="F2560" t="s">
        <v>644</v>
      </c>
      <c r="G2560" t="s">
        <v>5066</v>
      </c>
      <c r="H2560" s="15">
        <v>46217</v>
      </c>
      <c r="I2560" t="s">
        <v>5067</v>
      </c>
      <c r="J2560" t="s">
        <v>233</v>
      </c>
      <c r="K2560" t="s">
        <v>185</v>
      </c>
      <c r="N2560">
        <v>41312</v>
      </c>
      <c r="O2560" t="s">
        <v>222</v>
      </c>
      <c r="P2560">
        <v>153.82143099999999</v>
      </c>
      <c r="U2560" s="15"/>
    </row>
    <row r="2561" spans="1:21" x14ac:dyDescent="0.35">
      <c r="A2561" t="s">
        <v>14</v>
      </c>
      <c r="B2561" t="s">
        <v>15</v>
      </c>
      <c r="C2561" t="s">
        <v>360</v>
      </c>
      <c r="D2561" t="s">
        <v>361</v>
      </c>
      <c r="E2561" t="s">
        <v>362</v>
      </c>
      <c r="F2561" t="s">
        <v>21</v>
      </c>
      <c r="G2561" t="s">
        <v>363</v>
      </c>
      <c r="H2561" s="15">
        <v>46029</v>
      </c>
      <c r="I2561" t="s">
        <v>364</v>
      </c>
      <c r="J2561" t="s">
        <v>16</v>
      </c>
      <c r="K2561" t="s">
        <v>185</v>
      </c>
      <c r="N2561">
        <v>0</v>
      </c>
      <c r="O2561" t="s">
        <v>222</v>
      </c>
      <c r="P2561">
        <v>0</v>
      </c>
      <c r="U2561" s="15"/>
    </row>
    <row r="2562" spans="1:21" x14ac:dyDescent="0.35">
      <c r="A2562" t="s">
        <v>14</v>
      </c>
      <c r="B2562" t="s">
        <v>15</v>
      </c>
      <c r="C2562" t="s">
        <v>365</v>
      </c>
      <c r="D2562" t="s">
        <v>366</v>
      </c>
      <c r="E2562" t="s">
        <v>367</v>
      </c>
      <c r="F2562" t="s">
        <v>21</v>
      </c>
      <c r="G2562" t="s">
        <v>368</v>
      </c>
      <c r="H2562" s="15">
        <v>46030</v>
      </c>
      <c r="I2562" t="s">
        <v>369</v>
      </c>
      <c r="J2562" t="s">
        <v>16</v>
      </c>
      <c r="K2562" t="s">
        <v>185</v>
      </c>
      <c r="N2562">
        <v>0</v>
      </c>
      <c r="O2562" t="s">
        <v>222</v>
      </c>
      <c r="P2562">
        <v>0</v>
      </c>
      <c r="U2562" s="15"/>
    </row>
    <row r="2563" spans="1:21" x14ac:dyDescent="0.35">
      <c r="A2563" t="s">
        <v>14</v>
      </c>
      <c r="B2563" t="s">
        <v>15</v>
      </c>
      <c r="C2563" t="s">
        <v>365</v>
      </c>
      <c r="D2563" t="s">
        <v>366</v>
      </c>
      <c r="E2563" t="s">
        <v>367</v>
      </c>
      <c r="F2563" t="s">
        <v>21</v>
      </c>
      <c r="G2563" t="s">
        <v>370</v>
      </c>
      <c r="H2563" s="15">
        <v>46031</v>
      </c>
      <c r="I2563" t="s">
        <v>371</v>
      </c>
      <c r="J2563" t="s">
        <v>16</v>
      </c>
      <c r="K2563" t="s">
        <v>185</v>
      </c>
      <c r="N2563">
        <v>0</v>
      </c>
      <c r="O2563" t="s">
        <v>222</v>
      </c>
      <c r="P2563">
        <v>0</v>
      </c>
      <c r="U2563" s="15"/>
    </row>
    <row r="2564" spans="1:21" x14ac:dyDescent="0.35">
      <c r="A2564" t="s">
        <v>14</v>
      </c>
      <c r="B2564" t="s">
        <v>15</v>
      </c>
      <c r="C2564" t="s">
        <v>365</v>
      </c>
      <c r="D2564" t="s">
        <v>366</v>
      </c>
      <c r="E2564" t="s">
        <v>367</v>
      </c>
      <c r="F2564" t="s">
        <v>21</v>
      </c>
      <c r="G2564" t="s">
        <v>372</v>
      </c>
      <c r="H2564" s="15">
        <v>46032</v>
      </c>
      <c r="I2564" t="s">
        <v>373</v>
      </c>
      <c r="J2564" t="s">
        <v>16</v>
      </c>
      <c r="K2564" t="s">
        <v>185</v>
      </c>
      <c r="N2564">
        <v>0</v>
      </c>
      <c r="O2564" t="s">
        <v>222</v>
      </c>
      <c r="P2564">
        <v>0</v>
      </c>
      <c r="U2564" s="15"/>
    </row>
    <row r="2565" spans="1:21" x14ac:dyDescent="0.35">
      <c r="A2565" t="s">
        <v>14</v>
      </c>
      <c r="B2565" t="s">
        <v>15</v>
      </c>
      <c r="C2565" t="s">
        <v>365</v>
      </c>
      <c r="D2565" t="s">
        <v>366</v>
      </c>
      <c r="E2565" t="s">
        <v>367</v>
      </c>
      <c r="F2565" t="s">
        <v>21</v>
      </c>
      <c r="G2565" t="s">
        <v>374</v>
      </c>
      <c r="H2565" s="15">
        <v>46037</v>
      </c>
      <c r="I2565" t="s">
        <v>375</v>
      </c>
      <c r="J2565" t="s">
        <v>16</v>
      </c>
      <c r="K2565" t="s">
        <v>185</v>
      </c>
      <c r="N2565">
        <v>0</v>
      </c>
      <c r="O2565" t="s">
        <v>222</v>
      </c>
      <c r="P2565">
        <v>0</v>
      </c>
      <c r="U2565" s="15"/>
    </row>
    <row r="2566" spans="1:21" x14ac:dyDescent="0.35">
      <c r="A2566" t="s">
        <v>14</v>
      </c>
      <c r="B2566" t="s">
        <v>15</v>
      </c>
      <c r="C2566" t="s">
        <v>365</v>
      </c>
      <c r="D2566" t="s">
        <v>366</v>
      </c>
      <c r="E2566" t="s">
        <v>367</v>
      </c>
      <c r="F2566" t="s">
        <v>21</v>
      </c>
      <c r="G2566" t="s">
        <v>376</v>
      </c>
      <c r="H2566" s="15">
        <v>46038</v>
      </c>
      <c r="I2566" t="s">
        <v>377</v>
      </c>
      <c r="J2566" t="s">
        <v>16</v>
      </c>
      <c r="K2566" t="s">
        <v>185</v>
      </c>
      <c r="N2566">
        <v>0</v>
      </c>
      <c r="O2566" t="s">
        <v>222</v>
      </c>
      <c r="P2566">
        <v>0</v>
      </c>
      <c r="U2566" s="15"/>
    </row>
    <row r="2567" spans="1:21" x14ac:dyDescent="0.35">
      <c r="A2567" t="s">
        <v>14</v>
      </c>
      <c r="B2567" t="s">
        <v>15</v>
      </c>
      <c r="C2567" t="s">
        <v>360</v>
      </c>
      <c r="D2567" t="s">
        <v>361</v>
      </c>
      <c r="E2567" t="s">
        <v>362</v>
      </c>
      <c r="F2567" t="s">
        <v>21</v>
      </c>
      <c r="G2567" t="s">
        <v>378</v>
      </c>
      <c r="H2567" s="15">
        <v>46039</v>
      </c>
      <c r="I2567" t="s">
        <v>379</v>
      </c>
      <c r="J2567" t="s">
        <v>16</v>
      </c>
      <c r="K2567" t="s">
        <v>185</v>
      </c>
      <c r="N2567">
        <v>0</v>
      </c>
      <c r="O2567" t="s">
        <v>222</v>
      </c>
      <c r="P2567">
        <v>0</v>
      </c>
      <c r="U2567" s="15"/>
    </row>
    <row r="2568" spans="1:21" x14ac:dyDescent="0.35">
      <c r="A2568" t="s">
        <v>14</v>
      </c>
      <c r="B2568" t="s">
        <v>15</v>
      </c>
      <c r="C2568" t="s">
        <v>380</v>
      </c>
      <c r="D2568" t="s">
        <v>381</v>
      </c>
      <c r="E2568" t="s">
        <v>382</v>
      </c>
      <c r="F2568" t="s">
        <v>21</v>
      </c>
      <c r="G2568" t="s">
        <v>383</v>
      </c>
      <c r="H2568" s="15">
        <v>46044</v>
      </c>
      <c r="I2568" t="s">
        <v>384</v>
      </c>
      <c r="J2568" t="s">
        <v>16</v>
      </c>
      <c r="K2568" t="s">
        <v>185</v>
      </c>
      <c r="N2568">
        <v>0</v>
      </c>
      <c r="O2568" t="s">
        <v>222</v>
      </c>
      <c r="P2568">
        <v>0</v>
      </c>
      <c r="U2568" s="15"/>
    </row>
    <row r="2569" spans="1:21" x14ac:dyDescent="0.35">
      <c r="A2569" t="s">
        <v>14</v>
      </c>
      <c r="B2569" t="s">
        <v>15</v>
      </c>
      <c r="C2569" t="s">
        <v>365</v>
      </c>
      <c r="D2569" t="s">
        <v>366</v>
      </c>
      <c r="E2569" t="s">
        <v>367</v>
      </c>
      <c r="F2569" t="s">
        <v>21</v>
      </c>
      <c r="G2569" t="s">
        <v>383</v>
      </c>
      <c r="H2569" s="15">
        <v>46044</v>
      </c>
      <c r="I2569" t="s">
        <v>385</v>
      </c>
      <c r="J2569" t="s">
        <v>16</v>
      </c>
      <c r="K2569" t="s">
        <v>185</v>
      </c>
      <c r="N2569">
        <v>0</v>
      </c>
      <c r="O2569" t="s">
        <v>222</v>
      </c>
      <c r="P2569">
        <v>0</v>
      </c>
      <c r="U2569" s="15"/>
    </row>
    <row r="2570" spans="1:21" x14ac:dyDescent="0.35">
      <c r="A2570" t="s">
        <v>14</v>
      </c>
      <c r="B2570" t="s">
        <v>15</v>
      </c>
      <c r="C2570" t="s">
        <v>365</v>
      </c>
      <c r="D2570" t="s">
        <v>366</v>
      </c>
      <c r="E2570" t="s">
        <v>367</v>
      </c>
      <c r="F2570" t="s">
        <v>21</v>
      </c>
      <c r="G2570" t="s">
        <v>386</v>
      </c>
      <c r="H2570" s="15">
        <v>46045</v>
      </c>
      <c r="I2570" t="s">
        <v>387</v>
      </c>
      <c r="J2570" t="s">
        <v>16</v>
      </c>
      <c r="K2570" t="s">
        <v>185</v>
      </c>
      <c r="N2570">
        <v>0</v>
      </c>
      <c r="O2570" t="s">
        <v>222</v>
      </c>
      <c r="P2570">
        <v>0</v>
      </c>
      <c r="U2570" s="15"/>
    </row>
    <row r="2571" spans="1:21" x14ac:dyDescent="0.35">
      <c r="A2571" t="s">
        <v>14</v>
      </c>
      <c r="B2571" t="s">
        <v>15</v>
      </c>
      <c r="C2571" t="s">
        <v>365</v>
      </c>
      <c r="D2571" t="s">
        <v>366</v>
      </c>
      <c r="E2571" t="s">
        <v>367</v>
      </c>
      <c r="F2571" t="s">
        <v>21</v>
      </c>
      <c r="G2571" t="s">
        <v>388</v>
      </c>
      <c r="H2571" s="15">
        <v>46046</v>
      </c>
      <c r="I2571" t="s">
        <v>389</v>
      </c>
      <c r="J2571" t="s">
        <v>16</v>
      </c>
      <c r="K2571" t="s">
        <v>185</v>
      </c>
      <c r="N2571">
        <v>0</v>
      </c>
      <c r="O2571" t="s">
        <v>222</v>
      </c>
      <c r="P2571">
        <v>0</v>
      </c>
      <c r="U2571" s="15"/>
    </row>
    <row r="2572" spans="1:21" x14ac:dyDescent="0.35">
      <c r="A2572" t="s">
        <v>14</v>
      </c>
      <c r="B2572" t="s">
        <v>15</v>
      </c>
      <c r="C2572" t="s">
        <v>365</v>
      </c>
      <c r="D2572" t="s">
        <v>366</v>
      </c>
      <c r="E2572" t="s">
        <v>367</v>
      </c>
      <c r="F2572" t="s">
        <v>21</v>
      </c>
      <c r="G2572" t="s">
        <v>390</v>
      </c>
      <c r="H2572" s="15">
        <v>46048</v>
      </c>
      <c r="I2572" t="s">
        <v>391</v>
      </c>
      <c r="J2572" t="s">
        <v>16</v>
      </c>
      <c r="K2572" t="s">
        <v>185</v>
      </c>
      <c r="N2572">
        <v>0</v>
      </c>
      <c r="O2572" t="s">
        <v>222</v>
      </c>
      <c r="P2572">
        <v>0</v>
      </c>
      <c r="U2572" s="15"/>
    </row>
    <row r="2573" spans="1:21" x14ac:dyDescent="0.35">
      <c r="A2573" t="s">
        <v>14</v>
      </c>
      <c r="B2573" t="s">
        <v>15</v>
      </c>
      <c r="C2573" t="s">
        <v>365</v>
      </c>
      <c r="D2573" t="s">
        <v>366</v>
      </c>
      <c r="E2573" t="s">
        <v>367</v>
      </c>
      <c r="F2573" t="s">
        <v>21</v>
      </c>
      <c r="G2573" t="s">
        <v>392</v>
      </c>
      <c r="H2573" s="15">
        <v>46049</v>
      </c>
      <c r="I2573" t="s">
        <v>393</v>
      </c>
      <c r="J2573" t="s">
        <v>16</v>
      </c>
      <c r="K2573" t="s">
        <v>185</v>
      </c>
      <c r="N2573">
        <v>0</v>
      </c>
      <c r="O2573" t="s">
        <v>222</v>
      </c>
      <c r="P2573">
        <v>0</v>
      </c>
      <c r="U2573" s="15"/>
    </row>
    <row r="2574" spans="1:21" x14ac:dyDescent="0.35">
      <c r="A2574" t="s">
        <v>14</v>
      </c>
      <c r="B2574" t="s">
        <v>15</v>
      </c>
      <c r="C2574" t="s">
        <v>360</v>
      </c>
      <c r="D2574" t="s">
        <v>361</v>
      </c>
      <c r="E2574" t="s">
        <v>362</v>
      </c>
      <c r="F2574" t="s">
        <v>21</v>
      </c>
      <c r="G2574" t="s">
        <v>394</v>
      </c>
      <c r="H2574" s="15">
        <v>46065</v>
      </c>
      <c r="I2574" t="s">
        <v>395</v>
      </c>
      <c r="J2574" t="s">
        <v>16</v>
      </c>
      <c r="K2574" t="s">
        <v>185</v>
      </c>
      <c r="N2574">
        <v>0</v>
      </c>
      <c r="O2574" t="s">
        <v>222</v>
      </c>
      <c r="P2574">
        <v>0</v>
      </c>
      <c r="U2574" s="15"/>
    </row>
    <row r="2575" spans="1:21" x14ac:dyDescent="0.35">
      <c r="A2575" t="s">
        <v>14</v>
      </c>
      <c r="B2575" t="s">
        <v>15</v>
      </c>
      <c r="C2575" t="s">
        <v>396</v>
      </c>
      <c r="D2575" t="s">
        <v>397</v>
      </c>
      <c r="E2575" t="s">
        <v>398</v>
      </c>
      <c r="F2575" t="s">
        <v>21</v>
      </c>
      <c r="G2575" t="s">
        <v>399</v>
      </c>
      <c r="H2575" s="15">
        <v>46066</v>
      </c>
      <c r="I2575" t="s">
        <v>400</v>
      </c>
      <c r="J2575" t="s">
        <v>16</v>
      </c>
      <c r="K2575" t="s">
        <v>185</v>
      </c>
      <c r="N2575">
        <v>0</v>
      </c>
      <c r="O2575" t="s">
        <v>222</v>
      </c>
      <c r="P2575">
        <v>0</v>
      </c>
      <c r="U2575" s="15"/>
    </row>
    <row r="2576" spans="1:21" x14ac:dyDescent="0.35">
      <c r="A2576" t="s">
        <v>14</v>
      </c>
      <c r="B2576" t="s">
        <v>15</v>
      </c>
      <c r="C2576" t="s">
        <v>2241</v>
      </c>
      <c r="D2576" t="s">
        <v>2242</v>
      </c>
      <c r="E2576" t="s">
        <v>2243</v>
      </c>
      <c r="F2576" t="s">
        <v>119</v>
      </c>
      <c r="G2576" t="s">
        <v>2244</v>
      </c>
      <c r="H2576" s="15">
        <v>46174</v>
      </c>
      <c r="I2576" t="s">
        <v>2245</v>
      </c>
      <c r="J2576" t="s">
        <v>233</v>
      </c>
      <c r="K2576" t="s">
        <v>185</v>
      </c>
      <c r="N2576">
        <v>0</v>
      </c>
      <c r="O2576" t="s">
        <v>222</v>
      </c>
      <c r="P2576">
        <v>0</v>
      </c>
      <c r="U2576" s="15"/>
    </row>
    <row r="2577" spans="1:21" x14ac:dyDescent="0.35">
      <c r="A2577" t="s">
        <v>14</v>
      </c>
      <c r="B2577" t="s">
        <v>15</v>
      </c>
      <c r="C2577" t="s">
        <v>2246</v>
      </c>
      <c r="D2577" t="s">
        <v>2247</v>
      </c>
      <c r="E2577" t="s">
        <v>2248</v>
      </c>
      <c r="F2577" t="s">
        <v>119</v>
      </c>
      <c r="G2577" t="s">
        <v>2249</v>
      </c>
      <c r="H2577" s="15">
        <v>46175</v>
      </c>
      <c r="I2577" t="s">
        <v>2250</v>
      </c>
      <c r="J2577" t="s">
        <v>233</v>
      </c>
      <c r="K2577" t="s">
        <v>185</v>
      </c>
      <c r="N2577">
        <v>0</v>
      </c>
      <c r="O2577" t="s">
        <v>222</v>
      </c>
      <c r="P2577">
        <v>0</v>
      </c>
      <c r="U2577" s="15"/>
    </row>
    <row r="2578" spans="1:21" x14ac:dyDescent="0.35">
      <c r="A2578" t="s">
        <v>14</v>
      </c>
      <c r="B2578" t="s">
        <v>15</v>
      </c>
      <c r="C2578" t="s">
        <v>2251</v>
      </c>
      <c r="D2578" t="s">
        <v>2252</v>
      </c>
      <c r="E2578" t="s">
        <v>2253</v>
      </c>
      <c r="F2578" t="s">
        <v>18</v>
      </c>
      <c r="G2578" t="s">
        <v>2254</v>
      </c>
      <c r="H2578" s="15">
        <v>46189</v>
      </c>
      <c r="I2578" t="s">
        <v>2255</v>
      </c>
      <c r="J2578" t="s">
        <v>16</v>
      </c>
      <c r="K2578" t="s">
        <v>185</v>
      </c>
      <c r="N2578">
        <v>1030</v>
      </c>
      <c r="O2578" t="s">
        <v>222</v>
      </c>
      <c r="P2578">
        <v>5.3920500000000002</v>
      </c>
      <c r="U2578" s="15"/>
    </row>
    <row r="2579" spans="1:21" x14ac:dyDescent="0.35">
      <c r="A2579" t="s">
        <v>14</v>
      </c>
      <c r="B2579" t="s">
        <v>15</v>
      </c>
      <c r="C2579" t="s">
        <v>2256</v>
      </c>
      <c r="D2579" t="s">
        <v>2257</v>
      </c>
      <c r="E2579" t="s">
        <v>2258</v>
      </c>
      <c r="F2579" t="s">
        <v>18</v>
      </c>
      <c r="G2579" t="s">
        <v>2254</v>
      </c>
      <c r="H2579" s="15">
        <v>46189</v>
      </c>
      <c r="I2579" t="s">
        <v>2259</v>
      </c>
      <c r="J2579" t="s">
        <v>16</v>
      </c>
      <c r="K2579" t="s">
        <v>185</v>
      </c>
      <c r="N2579">
        <v>912</v>
      </c>
      <c r="O2579" t="s">
        <v>222</v>
      </c>
      <c r="P2579">
        <v>2.745234</v>
      </c>
      <c r="U2579" s="15"/>
    </row>
    <row r="2580" spans="1:21" x14ac:dyDescent="0.35">
      <c r="A2580" t="s">
        <v>14</v>
      </c>
      <c r="B2580" t="s">
        <v>15</v>
      </c>
      <c r="C2580" t="s">
        <v>2260</v>
      </c>
      <c r="D2580" t="s">
        <v>2261</v>
      </c>
      <c r="E2580" t="s">
        <v>2262</v>
      </c>
      <c r="F2580" t="s">
        <v>18</v>
      </c>
      <c r="G2580" t="s">
        <v>2254</v>
      </c>
      <c r="H2580" s="15">
        <v>46189</v>
      </c>
      <c r="I2580" t="s">
        <v>2263</v>
      </c>
      <c r="J2580" t="s">
        <v>16</v>
      </c>
      <c r="K2580" t="s">
        <v>185</v>
      </c>
      <c r="N2580">
        <v>517</v>
      </c>
      <c r="O2580" t="s">
        <v>222</v>
      </c>
      <c r="P2580">
        <v>0.81194900000000003</v>
      </c>
      <c r="U2580" s="15"/>
    </row>
    <row r="2581" spans="1:21" x14ac:dyDescent="0.35">
      <c r="A2581" t="s">
        <v>14</v>
      </c>
      <c r="B2581" t="s">
        <v>15</v>
      </c>
      <c r="C2581" t="s">
        <v>2264</v>
      </c>
      <c r="D2581" t="s">
        <v>2265</v>
      </c>
      <c r="E2581" t="s">
        <v>2266</v>
      </c>
      <c r="F2581" t="s">
        <v>18</v>
      </c>
      <c r="G2581" t="s">
        <v>2267</v>
      </c>
      <c r="H2581" s="15">
        <v>46190</v>
      </c>
      <c r="I2581" t="s">
        <v>2268</v>
      </c>
      <c r="J2581" t="s">
        <v>16</v>
      </c>
      <c r="K2581" t="s">
        <v>185</v>
      </c>
      <c r="N2581">
        <v>1286</v>
      </c>
      <c r="O2581" t="s">
        <v>222</v>
      </c>
      <c r="P2581">
        <v>6.7322100000000002</v>
      </c>
      <c r="U2581" s="15"/>
    </row>
    <row r="2582" spans="1:21" x14ac:dyDescent="0.35">
      <c r="A2582" t="s">
        <v>14</v>
      </c>
      <c r="B2582" t="s">
        <v>15</v>
      </c>
      <c r="C2582" t="s">
        <v>2269</v>
      </c>
      <c r="D2582" t="s">
        <v>2270</v>
      </c>
      <c r="E2582" t="s">
        <v>2271</v>
      </c>
      <c r="F2582" t="s">
        <v>18</v>
      </c>
      <c r="G2582" t="s">
        <v>2267</v>
      </c>
      <c r="H2582" s="15">
        <v>46190</v>
      </c>
      <c r="I2582" t="s">
        <v>2272</v>
      </c>
      <c r="J2582" t="s">
        <v>16</v>
      </c>
      <c r="K2582" t="s">
        <v>185</v>
      </c>
      <c r="N2582">
        <v>1105</v>
      </c>
      <c r="O2582" t="s">
        <v>222</v>
      </c>
      <c r="P2582">
        <v>3.7600389999999999</v>
      </c>
      <c r="U2582" s="15"/>
    </row>
    <row r="2583" spans="1:21" x14ac:dyDescent="0.35">
      <c r="A2583" t="s">
        <v>14</v>
      </c>
      <c r="B2583" t="s">
        <v>15</v>
      </c>
      <c r="C2583" t="s">
        <v>2273</v>
      </c>
      <c r="D2583" t="s">
        <v>2274</v>
      </c>
      <c r="E2583" t="s">
        <v>2275</v>
      </c>
      <c r="F2583" t="s">
        <v>18</v>
      </c>
      <c r="G2583" t="s">
        <v>2267</v>
      </c>
      <c r="H2583" s="15">
        <v>46190</v>
      </c>
      <c r="I2583" t="s">
        <v>2276</v>
      </c>
      <c r="J2583" t="s">
        <v>16</v>
      </c>
      <c r="K2583" t="s">
        <v>185</v>
      </c>
      <c r="N2583">
        <v>1190</v>
      </c>
      <c r="O2583" t="s">
        <v>222</v>
      </c>
      <c r="P2583">
        <v>3.582049</v>
      </c>
      <c r="U2583" s="15"/>
    </row>
    <row r="2584" spans="1:21" x14ac:dyDescent="0.35">
      <c r="A2584" t="s">
        <v>14</v>
      </c>
      <c r="B2584" t="s">
        <v>15</v>
      </c>
      <c r="C2584" t="s">
        <v>401</v>
      </c>
      <c r="D2584" t="s">
        <v>402</v>
      </c>
      <c r="E2584" t="s">
        <v>403</v>
      </c>
      <c r="F2584" t="s">
        <v>21</v>
      </c>
      <c r="G2584" t="s">
        <v>399</v>
      </c>
      <c r="H2584" s="15">
        <v>46066</v>
      </c>
      <c r="I2584" t="s">
        <v>404</v>
      </c>
      <c r="J2584" t="s">
        <v>16</v>
      </c>
      <c r="K2584" t="s">
        <v>185</v>
      </c>
      <c r="N2584">
        <v>0</v>
      </c>
      <c r="O2584" t="s">
        <v>222</v>
      </c>
      <c r="P2584">
        <v>0</v>
      </c>
      <c r="U2584" s="15"/>
    </row>
    <row r="2585" spans="1:21" x14ac:dyDescent="0.35">
      <c r="A2585" t="s">
        <v>14</v>
      </c>
      <c r="B2585" t="s">
        <v>15</v>
      </c>
      <c r="C2585" t="s">
        <v>360</v>
      </c>
      <c r="D2585" t="s">
        <v>361</v>
      </c>
      <c r="E2585" t="s">
        <v>362</v>
      </c>
      <c r="F2585" t="s">
        <v>21</v>
      </c>
      <c r="G2585" t="s">
        <v>405</v>
      </c>
      <c r="H2585" s="15">
        <v>46067</v>
      </c>
      <c r="I2585" t="s">
        <v>406</v>
      </c>
      <c r="J2585" t="s">
        <v>16</v>
      </c>
      <c r="K2585" t="s">
        <v>185</v>
      </c>
      <c r="N2585">
        <v>0</v>
      </c>
      <c r="O2585" t="s">
        <v>222</v>
      </c>
      <c r="P2585">
        <v>0</v>
      </c>
      <c r="U2585" s="15"/>
    </row>
    <row r="2586" spans="1:21" x14ac:dyDescent="0.35">
      <c r="A2586" t="s">
        <v>14</v>
      </c>
      <c r="B2586" t="s">
        <v>15</v>
      </c>
      <c r="C2586" t="s">
        <v>407</v>
      </c>
      <c r="D2586" t="s">
        <v>408</v>
      </c>
      <c r="E2586" t="s">
        <v>409</v>
      </c>
      <c r="F2586" t="s">
        <v>21</v>
      </c>
      <c r="G2586" t="s">
        <v>410</v>
      </c>
      <c r="H2586" s="15">
        <v>46069</v>
      </c>
      <c r="I2586" t="s">
        <v>411</v>
      </c>
      <c r="J2586" t="s">
        <v>16</v>
      </c>
      <c r="K2586" t="s">
        <v>185</v>
      </c>
      <c r="N2586">
        <v>0</v>
      </c>
      <c r="O2586" t="s">
        <v>222</v>
      </c>
      <c r="P2586">
        <v>0</v>
      </c>
      <c r="U2586" s="15"/>
    </row>
    <row r="2587" spans="1:21" x14ac:dyDescent="0.35">
      <c r="A2587" t="s">
        <v>14</v>
      </c>
      <c r="B2587" t="s">
        <v>15</v>
      </c>
      <c r="C2587" t="s">
        <v>396</v>
      </c>
      <c r="D2587" t="s">
        <v>397</v>
      </c>
      <c r="E2587" t="s">
        <v>398</v>
      </c>
      <c r="F2587" t="s">
        <v>21</v>
      </c>
      <c r="G2587" t="s">
        <v>412</v>
      </c>
      <c r="H2587" s="15">
        <v>46076</v>
      </c>
      <c r="I2587" t="s">
        <v>413</v>
      </c>
      <c r="J2587" t="s">
        <v>16</v>
      </c>
      <c r="K2587" t="s">
        <v>185</v>
      </c>
      <c r="N2587">
        <v>0</v>
      </c>
      <c r="O2587" t="s">
        <v>222</v>
      </c>
      <c r="P2587">
        <v>0</v>
      </c>
      <c r="U2587" s="15"/>
    </row>
    <row r="2588" spans="1:21" x14ac:dyDescent="0.35">
      <c r="A2588" t="s">
        <v>14</v>
      </c>
      <c r="B2588" t="s">
        <v>15</v>
      </c>
      <c r="C2588" t="s">
        <v>365</v>
      </c>
      <c r="D2588" t="s">
        <v>366</v>
      </c>
      <c r="E2588" t="s">
        <v>367</v>
      </c>
      <c r="F2588" t="s">
        <v>21</v>
      </c>
      <c r="G2588" t="s">
        <v>414</v>
      </c>
      <c r="H2588" s="15">
        <v>46077</v>
      </c>
      <c r="I2588" t="s">
        <v>415</v>
      </c>
      <c r="J2588" t="s">
        <v>16</v>
      </c>
      <c r="K2588" t="s">
        <v>185</v>
      </c>
      <c r="N2588">
        <v>0</v>
      </c>
      <c r="O2588" t="s">
        <v>222</v>
      </c>
      <c r="P2588">
        <v>0</v>
      </c>
      <c r="U2588" s="15"/>
    </row>
    <row r="2589" spans="1:21" x14ac:dyDescent="0.35">
      <c r="A2589" t="s">
        <v>14</v>
      </c>
      <c r="B2589" t="s">
        <v>15</v>
      </c>
      <c r="C2589" t="s">
        <v>2277</v>
      </c>
      <c r="D2589" t="s">
        <v>2278</v>
      </c>
      <c r="E2589" t="s">
        <v>2279</v>
      </c>
      <c r="F2589" t="s">
        <v>18</v>
      </c>
      <c r="G2589" t="s">
        <v>2280</v>
      </c>
      <c r="H2589" s="15">
        <v>46191</v>
      </c>
      <c r="I2589" t="s">
        <v>2281</v>
      </c>
      <c r="J2589" t="s">
        <v>16</v>
      </c>
      <c r="K2589" t="s">
        <v>185</v>
      </c>
      <c r="N2589">
        <v>1480</v>
      </c>
      <c r="O2589" t="s">
        <v>222</v>
      </c>
      <c r="P2589">
        <v>7.7477999999999998</v>
      </c>
      <c r="U2589" s="15"/>
    </row>
    <row r="2590" spans="1:21" x14ac:dyDescent="0.35">
      <c r="A2590" t="s">
        <v>14</v>
      </c>
      <c r="B2590" t="s">
        <v>15</v>
      </c>
      <c r="C2590" t="s">
        <v>2282</v>
      </c>
      <c r="D2590" t="s">
        <v>2283</v>
      </c>
      <c r="E2590" t="s">
        <v>2284</v>
      </c>
      <c r="F2590" t="s">
        <v>18</v>
      </c>
      <c r="G2590" t="s">
        <v>2280</v>
      </c>
      <c r="H2590" s="15">
        <v>46191</v>
      </c>
      <c r="I2590" t="s">
        <v>2285</v>
      </c>
      <c r="J2590" t="s">
        <v>16</v>
      </c>
      <c r="K2590" t="s">
        <v>185</v>
      </c>
      <c r="N2590">
        <v>953</v>
      </c>
      <c r="O2590" t="s">
        <v>222</v>
      </c>
      <c r="P2590">
        <v>3.2428210000000002</v>
      </c>
      <c r="U2590" s="15"/>
    </row>
    <row r="2591" spans="1:21" x14ac:dyDescent="0.35">
      <c r="A2591" t="s">
        <v>14</v>
      </c>
      <c r="B2591" t="s">
        <v>15</v>
      </c>
      <c r="C2591" t="s">
        <v>2286</v>
      </c>
      <c r="D2591" t="s">
        <v>2287</v>
      </c>
      <c r="E2591" t="s">
        <v>2288</v>
      </c>
      <c r="F2591" t="s">
        <v>18</v>
      </c>
      <c r="G2591" t="s">
        <v>2280</v>
      </c>
      <c r="H2591" s="15">
        <v>46191</v>
      </c>
      <c r="I2591" t="s">
        <v>2289</v>
      </c>
      <c r="J2591" t="s">
        <v>16</v>
      </c>
      <c r="K2591" t="s">
        <v>185</v>
      </c>
      <c r="N2591">
        <v>1160</v>
      </c>
      <c r="O2591" t="s">
        <v>222</v>
      </c>
      <c r="P2591">
        <v>3.4917449999999999</v>
      </c>
      <c r="U2591" s="15"/>
    </row>
    <row r="2592" spans="1:21" x14ac:dyDescent="0.35">
      <c r="A2592" t="s">
        <v>14</v>
      </c>
      <c r="B2592" t="s">
        <v>15</v>
      </c>
      <c r="C2592" t="s">
        <v>2290</v>
      </c>
      <c r="D2592" t="s">
        <v>2291</v>
      </c>
      <c r="E2592" t="s">
        <v>2292</v>
      </c>
      <c r="F2592" t="s">
        <v>18</v>
      </c>
      <c r="G2592" t="s">
        <v>2280</v>
      </c>
      <c r="H2592" s="15">
        <v>46191</v>
      </c>
      <c r="I2592" t="s">
        <v>2293</v>
      </c>
      <c r="J2592" t="s">
        <v>16</v>
      </c>
      <c r="K2592" t="s">
        <v>185</v>
      </c>
      <c r="N2592">
        <v>336</v>
      </c>
      <c r="O2592" t="s">
        <v>222</v>
      </c>
      <c r="P2592">
        <v>0.762216</v>
      </c>
      <c r="U2592" s="15"/>
    </row>
    <row r="2593" spans="1:21" x14ac:dyDescent="0.35">
      <c r="A2593" t="s">
        <v>14</v>
      </c>
      <c r="B2593" t="s">
        <v>15</v>
      </c>
      <c r="C2593" t="s">
        <v>2264</v>
      </c>
      <c r="D2593" t="s">
        <v>2265</v>
      </c>
      <c r="E2593" t="s">
        <v>2266</v>
      </c>
      <c r="F2593" t="s">
        <v>18</v>
      </c>
      <c r="G2593" t="s">
        <v>2294</v>
      </c>
      <c r="H2593" s="15">
        <v>46193</v>
      </c>
      <c r="I2593" t="s">
        <v>2295</v>
      </c>
      <c r="J2593" t="s">
        <v>16</v>
      </c>
      <c r="K2593" t="s">
        <v>185</v>
      </c>
      <c r="N2593">
        <v>1261</v>
      </c>
      <c r="O2593" t="s">
        <v>222</v>
      </c>
      <c r="P2593">
        <v>6.6013349999999997</v>
      </c>
      <c r="U2593" s="15"/>
    </row>
    <row r="2594" spans="1:21" x14ac:dyDescent="0.35">
      <c r="A2594" t="s">
        <v>14</v>
      </c>
      <c r="B2594" t="s">
        <v>15</v>
      </c>
      <c r="C2594" t="s">
        <v>2269</v>
      </c>
      <c r="D2594" t="s">
        <v>2270</v>
      </c>
      <c r="E2594" t="s">
        <v>2271</v>
      </c>
      <c r="F2594" t="s">
        <v>18</v>
      </c>
      <c r="G2594" t="s">
        <v>2294</v>
      </c>
      <c r="H2594" s="15">
        <v>46193</v>
      </c>
      <c r="I2594" t="s">
        <v>2296</v>
      </c>
      <c r="J2594" t="s">
        <v>16</v>
      </c>
      <c r="K2594" t="s">
        <v>185</v>
      </c>
      <c r="N2594">
        <v>784</v>
      </c>
      <c r="O2594" t="s">
        <v>222</v>
      </c>
      <c r="P2594">
        <v>2.6677559999999998</v>
      </c>
      <c r="U2594" s="15"/>
    </row>
    <row r="2595" spans="1:21" x14ac:dyDescent="0.35">
      <c r="A2595" t="s">
        <v>14</v>
      </c>
      <c r="B2595" t="s">
        <v>15</v>
      </c>
      <c r="C2595" t="s">
        <v>2273</v>
      </c>
      <c r="D2595" t="s">
        <v>2274</v>
      </c>
      <c r="E2595" t="s">
        <v>2275</v>
      </c>
      <c r="F2595" t="s">
        <v>18</v>
      </c>
      <c r="G2595" t="s">
        <v>2294</v>
      </c>
      <c r="H2595" s="15">
        <v>46193</v>
      </c>
      <c r="I2595" t="s">
        <v>2297</v>
      </c>
      <c r="J2595" t="s">
        <v>16</v>
      </c>
      <c r="K2595" t="s">
        <v>185</v>
      </c>
      <c r="N2595">
        <v>714</v>
      </c>
      <c r="O2595" t="s">
        <v>222</v>
      </c>
      <c r="P2595">
        <v>2.1492290000000001</v>
      </c>
      <c r="U2595" s="15"/>
    </row>
    <row r="2596" spans="1:21" x14ac:dyDescent="0.35">
      <c r="A2596" t="s">
        <v>14</v>
      </c>
      <c r="B2596" t="s">
        <v>15</v>
      </c>
      <c r="C2596" t="s">
        <v>2264</v>
      </c>
      <c r="D2596" t="s">
        <v>2265</v>
      </c>
      <c r="E2596" t="s">
        <v>2266</v>
      </c>
      <c r="F2596" t="s">
        <v>18</v>
      </c>
      <c r="G2596" t="s">
        <v>2298</v>
      </c>
      <c r="H2596" s="15">
        <v>46195</v>
      </c>
      <c r="I2596" t="s">
        <v>2299</v>
      </c>
      <c r="J2596" t="s">
        <v>16</v>
      </c>
      <c r="K2596" t="s">
        <v>185</v>
      </c>
      <c r="N2596">
        <v>1788</v>
      </c>
      <c r="O2596" t="s">
        <v>222</v>
      </c>
      <c r="P2596">
        <v>9.3601799999999997</v>
      </c>
      <c r="U2596" s="15"/>
    </row>
    <row r="2597" spans="1:21" x14ac:dyDescent="0.35">
      <c r="A2597" t="s">
        <v>14</v>
      </c>
      <c r="B2597" t="s">
        <v>15</v>
      </c>
      <c r="C2597" t="s">
        <v>2269</v>
      </c>
      <c r="D2597" t="s">
        <v>2270</v>
      </c>
      <c r="E2597" t="s">
        <v>2271</v>
      </c>
      <c r="F2597" t="s">
        <v>18</v>
      </c>
      <c r="G2597" t="s">
        <v>2298</v>
      </c>
      <c r="H2597" s="15">
        <v>46195</v>
      </c>
      <c r="I2597" t="s">
        <v>2300</v>
      </c>
      <c r="J2597" t="s">
        <v>16</v>
      </c>
      <c r="K2597" t="s">
        <v>185</v>
      </c>
      <c r="N2597">
        <v>984</v>
      </c>
      <c r="O2597" t="s">
        <v>222</v>
      </c>
      <c r="P2597">
        <v>3.348306</v>
      </c>
      <c r="U2597" s="15"/>
    </row>
    <row r="2598" spans="1:21" x14ac:dyDescent="0.35">
      <c r="A2598" t="s">
        <v>14</v>
      </c>
      <c r="B2598" t="s">
        <v>15</v>
      </c>
      <c r="C2598" t="s">
        <v>2273</v>
      </c>
      <c r="D2598" t="s">
        <v>2274</v>
      </c>
      <c r="E2598" t="s">
        <v>2275</v>
      </c>
      <c r="F2598" t="s">
        <v>18</v>
      </c>
      <c r="G2598" t="s">
        <v>2298</v>
      </c>
      <c r="H2598" s="15">
        <v>46195</v>
      </c>
      <c r="I2598" t="s">
        <v>2301</v>
      </c>
      <c r="J2598" t="s">
        <v>16</v>
      </c>
      <c r="K2598" t="s">
        <v>185</v>
      </c>
      <c r="N2598">
        <v>1120</v>
      </c>
      <c r="O2598" t="s">
        <v>222</v>
      </c>
      <c r="P2598">
        <v>3.37134</v>
      </c>
      <c r="U2598" s="15"/>
    </row>
    <row r="2599" spans="1:21" x14ac:dyDescent="0.35">
      <c r="A2599" t="s">
        <v>14</v>
      </c>
      <c r="B2599" t="s">
        <v>15</v>
      </c>
      <c r="C2599" t="s">
        <v>2264</v>
      </c>
      <c r="D2599" t="s">
        <v>2265</v>
      </c>
      <c r="E2599" t="s">
        <v>2266</v>
      </c>
      <c r="F2599" t="s">
        <v>18</v>
      </c>
      <c r="G2599" t="s">
        <v>2302</v>
      </c>
      <c r="H2599" s="15">
        <v>46196</v>
      </c>
      <c r="I2599" t="s">
        <v>2303</v>
      </c>
      <c r="J2599" t="s">
        <v>16</v>
      </c>
      <c r="K2599" t="s">
        <v>185</v>
      </c>
      <c r="N2599">
        <v>1279</v>
      </c>
      <c r="O2599" t="s">
        <v>222</v>
      </c>
      <c r="P2599">
        <v>6.6955650000000002</v>
      </c>
      <c r="U2599" s="15"/>
    </row>
    <row r="2600" spans="1:21" x14ac:dyDescent="0.35">
      <c r="A2600" t="s">
        <v>14</v>
      </c>
      <c r="B2600" t="s">
        <v>15</v>
      </c>
      <c r="C2600" t="s">
        <v>2273</v>
      </c>
      <c r="D2600" t="s">
        <v>2274</v>
      </c>
      <c r="E2600" t="s">
        <v>2275</v>
      </c>
      <c r="F2600" t="s">
        <v>18</v>
      </c>
      <c r="G2600" t="s">
        <v>2302</v>
      </c>
      <c r="H2600" s="15">
        <v>46196</v>
      </c>
      <c r="I2600" t="s">
        <v>2304</v>
      </c>
      <c r="J2600" t="s">
        <v>16</v>
      </c>
      <c r="K2600" t="s">
        <v>185</v>
      </c>
      <c r="N2600">
        <v>826</v>
      </c>
      <c r="O2600" t="s">
        <v>222</v>
      </c>
      <c r="P2600">
        <v>2.4863629999999999</v>
      </c>
      <c r="U2600" s="15"/>
    </row>
    <row r="2601" spans="1:21" x14ac:dyDescent="0.35">
      <c r="A2601" t="s">
        <v>14</v>
      </c>
      <c r="B2601" t="s">
        <v>15</v>
      </c>
      <c r="C2601" t="s">
        <v>2305</v>
      </c>
      <c r="D2601" t="s">
        <v>2306</v>
      </c>
      <c r="E2601" t="s">
        <v>2307</v>
      </c>
      <c r="F2601" t="s">
        <v>18</v>
      </c>
      <c r="G2601" t="s">
        <v>2302</v>
      </c>
      <c r="H2601" s="15">
        <v>46196</v>
      </c>
      <c r="I2601" t="s">
        <v>2308</v>
      </c>
      <c r="J2601" t="s">
        <v>16</v>
      </c>
      <c r="K2601" t="s">
        <v>185</v>
      </c>
      <c r="N2601">
        <v>728</v>
      </c>
      <c r="O2601" t="s">
        <v>222</v>
      </c>
      <c r="P2601">
        <v>2.0325760000000002</v>
      </c>
      <c r="U2601" s="15"/>
    </row>
    <row r="2602" spans="1:21" x14ac:dyDescent="0.35">
      <c r="A2602" t="s">
        <v>14</v>
      </c>
      <c r="B2602" t="s">
        <v>15</v>
      </c>
      <c r="C2602" t="s">
        <v>396</v>
      </c>
      <c r="D2602" t="s">
        <v>397</v>
      </c>
      <c r="E2602" t="s">
        <v>398</v>
      </c>
      <c r="F2602" t="s">
        <v>21</v>
      </c>
      <c r="G2602" t="s">
        <v>416</v>
      </c>
      <c r="H2602" s="15">
        <v>46083</v>
      </c>
      <c r="I2602" t="s">
        <v>417</v>
      </c>
      <c r="J2602" t="s">
        <v>16</v>
      </c>
      <c r="K2602" t="s">
        <v>185</v>
      </c>
      <c r="N2602">
        <v>0</v>
      </c>
      <c r="O2602" t="s">
        <v>222</v>
      </c>
      <c r="P2602">
        <v>0</v>
      </c>
      <c r="U2602" s="15"/>
    </row>
    <row r="2603" spans="1:21" x14ac:dyDescent="0.35">
      <c r="A2603" t="s">
        <v>14</v>
      </c>
      <c r="B2603" t="s">
        <v>15</v>
      </c>
      <c r="C2603" t="s">
        <v>418</v>
      </c>
      <c r="D2603" t="s">
        <v>419</v>
      </c>
      <c r="E2603" t="s">
        <v>420</v>
      </c>
      <c r="F2603" t="s">
        <v>21</v>
      </c>
      <c r="G2603" t="s">
        <v>416</v>
      </c>
      <c r="H2603" s="15">
        <v>46083</v>
      </c>
      <c r="I2603" t="s">
        <v>421</v>
      </c>
      <c r="J2603" t="s">
        <v>16</v>
      </c>
      <c r="K2603" t="s">
        <v>185</v>
      </c>
      <c r="N2603">
        <v>0</v>
      </c>
      <c r="O2603" t="s">
        <v>222</v>
      </c>
      <c r="P2603">
        <v>0</v>
      </c>
      <c r="U2603" s="15"/>
    </row>
    <row r="2604" spans="1:21" x14ac:dyDescent="0.35">
      <c r="A2604" t="s">
        <v>14</v>
      </c>
      <c r="B2604" t="s">
        <v>15</v>
      </c>
      <c r="C2604" t="s">
        <v>365</v>
      </c>
      <c r="D2604" t="s">
        <v>366</v>
      </c>
      <c r="E2604" t="s">
        <v>367</v>
      </c>
      <c r="F2604" t="s">
        <v>21</v>
      </c>
      <c r="G2604" t="s">
        <v>422</v>
      </c>
      <c r="H2604" s="15">
        <v>46084</v>
      </c>
      <c r="I2604" t="s">
        <v>423</v>
      </c>
      <c r="J2604" t="s">
        <v>16</v>
      </c>
      <c r="K2604" t="s">
        <v>185</v>
      </c>
      <c r="N2604">
        <v>0</v>
      </c>
      <c r="O2604" t="s">
        <v>222</v>
      </c>
      <c r="P2604">
        <v>0</v>
      </c>
      <c r="U2604" s="15"/>
    </row>
    <row r="2605" spans="1:21" x14ac:dyDescent="0.35">
      <c r="A2605" t="s">
        <v>14</v>
      </c>
      <c r="B2605" t="s">
        <v>15</v>
      </c>
      <c r="C2605" t="s">
        <v>424</v>
      </c>
      <c r="D2605" t="s">
        <v>425</v>
      </c>
      <c r="E2605" t="s">
        <v>426</v>
      </c>
      <c r="F2605" t="s">
        <v>21</v>
      </c>
      <c r="G2605" t="s">
        <v>422</v>
      </c>
      <c r="H2605" s="15">
        <v>46084</v>
      </c>
      <c r="I2605" t="s">
        <v>427</v>
      </c>
      <c r="J2605" t="s">
        <v>16</v>
      </c>
      <c r="K2605" t="s">
        <v>185</v>
      </c>
      <c r="N2605">
        <v>0</v>
      </c>
      <c r="O2605" t="s">
        <v>222</v>
      </c>
      <c r="P2605">
        <v>0</v>
      </c>
      <c r="U2605" s="15"/>
    </row>
    <row r="2606" spans="1:21" x14ac:dyDescent="0.35">
      <c r="A2606" t="s">
        <v>14</v>
      </c>
      <c r="B2606" t="s">
        <v>15</v>
      </c>
      <c r="C2606" t="s">
        <v>365</v>
      </c>
      <c r="D2606" t="s">
        <v>366</v>
      </c>
      <c r="E2606" t="s">
        <v>367</v>
      </c>
      <c r="F2606" t="s">
        <v>21</v>
      </c>
      <c r="G2606" t="s">
        <v>428</v>
      </c>
      <c r="H2606" s="15">
        <v>46085</v>
      </c>
      <c r="I2606" t="s">
        <v>429</v>
      </c>
      <c r="J2606" t="s">
        <v>16</v>
      </c>
      <c r="K2606" t="s">
        <v>185</v>
      </c>
      <c r="N2606">
        <v>0</v>
      </c>
      <c r="O2606" t="s">
        <v>222</v>
      </c>
      <c r="P2606">
        <v>0</v>
      </c>
      <c r="U2606" s="15"/>
    </row>
    <row r="2607" spans="1:21" x14ac:dyDescent="0.35">
      <c r="A2607" t="s">
        <v>14</v>
      </c>
      <c r="B2607" t="s">
        <v>15</v>
      </c>
      <c r="C2607" t="s">
        <v>424</v>
      </c>
      <c r="D2607" t="s">
        <v>425</v>
      </c>
      <c r="E2607" t="s">
        <v>426</v>
      </c>
      <c r="F2607" t="s">
        <v>21</v>
      </c>
      <c r="G2607" t="s">
        <v>428</v>
      </c>
      <c r="H2607" s="15">
        <v>46085</v>
      </c>
      <c r="I2607" t="s">
        <v>430</v>
      </c>
      <c r="J2607" t="s">
        <v>16</v>
      </c>
      <c r="K2607" t="s">
        <v>185</v>
      </c>
      <c r="N2607">
        <v>0</v>
      </c>
      <c r="O2607" t="s">
        <v>222</v>
      </c>
      <c r="P2607">
        <v>0</v>
      </c>
      <c r="U2607" s="15"/>
    </row>
    <row r="2608" spans="1:21" x14ac:dyDescent="0.35">
      <c r="A2608" t="s">
        <v>14</v>
      </c>
      <c r="B2608" t="s">
        <v>15</v>
      </c>
      <c r="C2608" t="s">
        <v>380</v>
      </c>
      <c r="D2608" t="s">
        <v>381</v>
      </c>
      <c r="E2608" t="s">
        <v>382</v>
      </c>
      <c r="F2608" t="s">
        <v>21</v>
      </c>
      <c r="G2608" t="s">
        <v>431</v>
      </c>
      <c r="H2608" s="15">
        <v>46086</v>
      </c>
      <c r="I2608" t="s">
        <v>432</v>
      </c>
      <c r="J2608" t="s">
        <v>16</v>
      </c>
      <c r="K2608" t="s">
        <v>185</v>
      </c>
      <c r="N2608">
        <v>0</v>
      </c>
      <c r="O2608" t="s">
        <v>222</v>
      </c>
      <c r="P2608">
        <v>0</v>
      </c>
      <c r="U2608" s="15"/>
    </row>
    <row r="2609" spans="1:21" x14ac:dyDescent="0.35">
      <c r="A2609" t="s">
        <v>14</v>
      </c>
      <c r="B2609" t="s">
        <v>15</v>
      </c>
      <c r="C2609" t="s">
        <v>407</v>
      </c>
      <c r="D2609" t="s">
        <v>408</v>
      </c>
      <c r="E2609" t="s">
        <v>409</v>
      </c>
      <c r="F2609" t="s">
        <v>21</v>
      </c>
      <c r="G2609" t="s">
        <v>431</v>
      </c>
      <c r="H2609" s="15">
        <v>46086</v>
      </c>
      <c r="I2609" t="s">
        <v>433</v>
      </c>
      <c r="J2609" t="s">
        <v>16</v>
      </c>
      <c r="K2609" t="s">
        <v>185</v>
      </c>
      <c r="N2609">
        <v>0</v>
      </c>
      <c r="O2609" t="s">
        <v>222</v>
      </c>
      <c r="P2609">
        <v>0</v>
      </c>
      <c r="U2609" s="15"/>
    </row>
    <row r="2610" spans="1:21" x14ac:dyDescent="0.35">
      <c r="A2610" t="s">
        <v>14</v>
      </c>
      <c r="B2610" t="s">
        <v>15</v>
      </c>
      <c r="C2610" t="s">
        <v>365</v>
      </c>
      <c r="D2610" t="s">
        <v>366</v>
      </c>
      <c r="E2610" t="s">
        <v>367</v>
      </c>
      <c r="F2610" t="s">
        <v>21</v>
      </c>
      <c r="G2610" t="s">
        <v>434</v>
      </c>
      <c r="H2610" s="15">
        <v>46098</v>
      </c>
      <c r="I2610" t="s">
        <v>435</v>
      </c>
      <c r="J2610" t="s">
        <v>16</v>
      </c>
      <c r="K2610" t="s">
        <v>185</v>
      </c>
      <c r="N2610">
        <v>0</v>
      </c>
      <c r="O2610" t="s">
        <v>222</v>
      </c>
      <c r="P2610">
        <v>0</v>
      </c>
      <c r="U2610" s="15"/>
    </row>
    <row r="2611" spans="1:21" x14ac:dyDescent="0.35">
      <c r="A2611" t="s">
        <v>14</v>
      </c>
      <c r="B2611" t="s">
        <v>15</v>
      </c>
      <c r="C2611" t="s">
        <v>424</v>
      </c>
      <c r="D2611" t="s">
        <v>425</v>
      </c>
      <c r="E2611" t="s">
        <v>426</v>
      </c>
      <c r="F2611" t="s">
        <v>21</v>
      </c>
      <c r="G2611" t="s">
        <v>434</v>
      </c>
      <c r="H2611" s="15">
        <v>46098</v>
      </c>
      <c r="I2611" t="s">
        <v>436</v>
      </c>
      <c r="J2611" t="s">
        <v>16</v>
      </c>
      <c r="K2611" t="s">
        <v>185</v>
      </c>
      <c r="N2611">
        <v>0</v>
      </c>
      <c r="O2611" t="s">
        <v>222</v>
      </c>
      <c r="P2611">
        <v>0</v>
      </c>
      <c r="U2611" s="15"/>
    </row>
    <row r="2612" spans="1:21" x14ac:dyDescent="0.35">
      <c r="A2612" t="s">
        <v>14</v>
      </c>
      <c r="B2612" t="s">
        <v>15</v>
      </c>
      <c r="C2612" t="s">
        <v>365</v>
      </c>
      <c r="D2612" t="s">
        <v>366</v>
      </c>
      <c r="E2612" t="s">
        <v>367</v>
      </c>
      <c r="F2612" t="s">
        <v>21</v>
      </c>
      <c r="G2612" t="s">
        <v>437</v>
      </c>
      <c r="H2612" s="15">
        <v>46099</v>
      </c>
      <c r="I2612" t="s">
        <v>438</v>
      </c>
      <c r="J2612" t="s">
        <v>16</v>
      </c>
      <c r="K2612" t="s">
        <v>185</v>
      </c>
      <c r="N2612">
        <v>0</v>
      </c>
      <c r="O2612" t="s">
        <v>222</v>
      </c>
      <c r="P2612">
        <v>0</v>
      </c>
      <c r="U2612" s="15"/>
    </row>
    <row r="2613" spans="1:21" x14ac:dyDescent="0.35">
      <c r="A2613" t="s">
        <v>14</v>
      </c>
      <c r="B2613" t="s">
        <v>15</v>
      </c>
      <c r="C2613" t="s">
        <v>424</v>
      </c>
      <c r="D2613" t="s">
        <v>425</v>
      </c>
      <c r="E2613" t="s">
        <v>426</v>
      </c>
      <c r="F2613" t="s">
        <v>21</v>
      </c>
      <c r="G2613" t="s">
        <v>437</v>
      </c>
      <c r="H2613" s="15">
        <v>46099</v>
      </c>
      <c r="I2613" t="s">
        <v>439</v>
      </c>
      <c r="J2613" t="s">
        <v>16</v>
      </c>
      <c r="K2613" t="s">
        <v>185</v>
      </c>
      <c r="N2613">
        <v>0</v>
      </c>
      <c r="O2613" t="s">
        <v>222</v>
      </c>
      <c r="P2613">
        <v>0</v>
      </c>
      <c r="U2613" s="15"/>
    </row>
    <row r="2614" spans="1:21" x14ac:dyDescent="0.35">
      <c r="A2614" t="s">
        <v>14</v>
      </c>
      <c r="B2614" t="s">
        <v>15</v>
      </c>
      <c r="C2614" t="s">
        <v>396</v>
      </c>
      <c r="D2614" t="s">
        <v>397</v>
      </c>
      <c r="E2614" t="s">
        <v>398</v>
      </c>
      <c r="F2614" t="s">
        <v>21</v>
      </c>
      <c r="G2614" t="s">
        <v>440</v>
      </c>
      <c r="H2614" s="15">
        <v>46100</v>
      </c>
      <c r="I2614" t="s">
        <v>441</v>
      </c>
      <c r="J2614" t="s">
        <v>16</v>
      </c>
      <c r="K2614" t="s">
        <v>185</v>
      </c>
      <c r="N2614">
        <v>0</v>
      </c>
      <c r="O2614" t="s">
        <v>222</v>
      </c>
      <c r="P2614">
        <v>0</v>
      </c>
      <c r="U2614" s="15"/>
    </row>
    <row r="2615" spans="1:21" x14ac:dyDescent="0.35">
      <c r="A2615" t="s">
        <v>14</v>
      </c>
      <c r="B2615" t="s">
        <v>15</v>
      </c>
      <c r="C2615" t="s">
        <v>418</v>
      </c>
      <c r="D2615" t="s">
        <v>419</v>
      </c>
      <c r="E2615" t="s">
        <v>420</v>
      </c>
      <c r="F2615" t="s">
        <v>21</v>
      </c>
      <c r="G2615" t="s">
        <v>440</v>
      </c>
      <c r="H2615" s="15">
        <v>46100</v>
      </c>
      <c r="I2615" t="s">
        <v>442</v>
      </c>
      <c r="J2615" t="s">
        <v>16</v>
      </c>
      <c r="K2615" t="s">
        <v>185</v>
      </c>
      <c r="N2615">
        <v>0</v>
      </c>
      <c r="O2615" t="s">
        <v>222</v>
      </c>
      <c r="P2615">
        <v>0</v>
      </c>
      <c r="U2615" s="15"/>
    </row>
    <row r="2616" spans="1:21" x14ac:dyDescent="0.35">
      <c r="A2616" t="s">
        <v>14</v>
      </c>
      <c r="B2616" t="s">
        <v>15</v>
      </c>
      <c r="C2616" t="s">
        <v>407</v>
      </c>
      <c r="D2616" t="s">
        <v>408</v>
      </c>
      <c r="E2616" t="s">
        <v>409</v>
      </c>
      <c r="F2616" t="s">
        <v>21</v>
      </c>
      <c r="G2616" t="s">
        <v>443</v>
      </c>
      <c r="H2616" s="15">
        <v>46101</v>
      </c>
      <c r="I2616" t="s">
        <v>444</v>
      </c>
      <c r="J2616" t="s">
        <v>16</v>
      </c>
      <c r="K2616" t="s">
        <v>185</v>
      </c>
      <c r="N2616">
        <v>0</v>
      </c>
      <c r="O2616" t="s">
        <v>222</v>
      </c>
      <c r="P2616">
        <v>0</v>
      </c>
      <c r="U2616" s="15"/>
    </row>
    <row r="2617" spans="1:21" x14ac:dyDescent="0.35">
      <c r="A2617" t="s">
        <v>14</v>
      </c>
      <c r="B2617" t="s">
        <v>15</v>
      </c>
      <c r="C2617" t="s">
        <v>407</v>
      </c>
      <c r="D2617" t="s">
        <v>408</v>
      </c>
      <c r="E2617" t="s">
        <v>409</v>
      </c>
      <c r="F2617" t="s">
        <v>21</v>
      </c>
      <c r="G2617" t="s">
        <v>443</v>
      </c>
      <c r="H2617" s="15">
        <v>46101</v>
      </c>
      <c r="I2617" t="s">
        <v>444</v>
      </c>
      <c r="J2617" t="s">
        <v>16</v>
      </c>
      <c r="K2617" t="s">
        <v>185</v>
      </c>
      <c r="N2617">
        <v>0</v>
      </c>
      <c r="O2617" t="s">
        <v>222</v>
      </c>
      <c r="P2617">
        <v>0</v>
      </c>
      <c r="U2617" s="15"/>
    </row>
    <row r="2618" spans="1:21" x14ac:dyDescent="0.35">
      <c r="A2618" t="s">
        <v>14</v>
      </c>
      <c r="B2618" t="s">
        <v>15</v>
      </c>
      <c r="C2618" t="s">
        <v>445</v>
      </c>
      <c r="D2618" t="s">
        <v>446</v>
      </c>
      <c r="E2618" t="s">
        <v>447</v>
      </c>
      <c r="F2618" t="s">
        <v>21</v>
      </c>
      <c r="G2618" t="s">
        <v>443</v>
      </c>
      <c r="H2618" s="15">
        <v>46101</v>
      </c>
      <c r="I2618" t="s">
        <v>448</v>
      </c>
      <c r="J2618" t="s">
        <v>16</v>
      </c>
      <c r="K2618" t="s">
        <v>185</v>
      </c>
      <c r="N2618">
        <v>0</v>
      </c>
      <c r="O2618" t="s">
        <v>222</v>
      </c>
      <c r="P2618">
        <v>0</v>
      </c>
      <c r="U2618" s="15"/>
    </row>
    <row r="2619" spans="1:21" x14ac:dyDescent="0.35">
      <c r="A2619" t="s">
        <v>14</v>
      </c>
      <c r="B2619" t="s">
        <v>15</v>
      </c>
      <c r="C2619" t="s">
        <v>360</v>
      </c>
      <c r="D2619" t="s">
        <v>361</v>
      </c>
      <c r="E2619" t="s">
        <v>362</v>
      </c>
      <c r="F2619" t="s">
        <v>21</v>
      </c>
      <c r="G2619" t="s">
        <v>449</v>
      </c>
      <c r="H2619" s="15">
        <v>46104</v>
      </c>
      <c r="I2619" t="s">
        <v>450</v>
      </c>
      <c r="J2619" t="s">
        <v>16</v>
      </c>
      <c r="K2619" t="s">
        <v>185</v>
      </c>
      <c r="N2619">
        <v>0</v>
      </c>
      <c r="O2619" t="s">
        <v>222</v>
      </c>
      <c r="P2619">
        <v>0</v>
      </c>
      <c r="U2619" s="15"/>
    </row>
    <row r="2620" spans="1:21" x14ac:dyDescent="0.35">
      <c r="A2620" t="s">
        <v>14</v>
      </c>
      <c r="B2620" t="s">
        <v>15</v>
      </c>
      <c r="C2620" t="s">
        <v>451</v>
      </c>
      <c r="D2620" t="s">
        <v>452</v>
      </c>
      <c r="E2620" t="s">
        <v>453</v>
      </c>
      <c r="F2620" t="s">
        <v>21</v>
      </c>
      <c r="G2620" t="s">
        <v>449</v>
      </c>
      <c r="H2620" s="15">
        <v>46104</v>
      </c>
      <c r="I2620" t="s">
        <v>454</v>
      </c>
      <c r="J2620" t="s">
        <v>16</v>
      </c>
      <c r="K2620" t="s">
        <v>185</v>
      </c>
      <c r="N2620">
        <v>0</v>
      </c>
      <c r="O2620" t="s">
        <v>222</v>
      </c>
      <c r="P2620">
        <v>0</v>
      </c>
      <c r="U2620" s="15"/>
    </row>
    <row r="2621" spans="1:21" x14ac:dyDescent="0.35">
      <c r="A2621" t="s">
        <v>14</v>
      </c>
      <c r="B2621" t="s">
        <v>15</v>
      </c>
      <c r="C2621" t="s">
        <v>360</v>
      </c>
      <c r="D2621" t="s">
        <v>361</v>
      </c>
      <c r="E2621" t="s">
        <v>362</v>
      </c>
      <c r="F2621" t="s">
        <v>21</v>
      </c>
      <c r="G2621" t="s">
        <v>455</v>
      </c>
      <c r="H2621" s="15">
        <v>46105</v>
      </c>
      <c r="I2621" t="s">
        <v>456</v>
      </c>
      <c r="J2621" t="s">
        <v>16</v>
      </c>
      <c r="K2621" t="s">
        <v>185</v>
      </c>
      <c r="N2621">
        <v>0</v>
      </c>
      <c r="O2621" t="s">
        <v>222</v>
      </c>
      <c r="P2621">
        <v>0</v>
      </c>
      <c r="U2621" s="15"/>
    </row>
    <row r="2622" spans="1:21" x14ac:dyDescent="0.35">
      <c r="A2622" t="s">
        <v>14</v>
      </c>
      <c r="B2622" t="s">
        <v>15</v>
      </c>
      <c r="C2622" t="s">
        <v>451</v>
      </c>
      <c r="D2622" t="s">
        <v>452</v>
      </c>
      <c r="E2622" t="s">
        <v>453</v>
      </c>
      <c r="F2622" t="s">
        <v>21</v>
      </c>
      <c r="G2622" t="s">
        <v>455</v>
      </c>
      <c r="H2622" s="15">
        <v>46105</v>
      </c>
      <c r="I2622" t="s">
        <v>457</v>
      </c>
      <c r="J2622" t="s">
        <v>16</v>
      </c>
      <c r="K2622" t="s">
        <v>185</v>
      </c>
      <c r="N2622">
        <v>0</v>
      </c>
      <c r="O2622" t="s">
        <v>222</v>
      </c>
      <c r="P2622">
        <v>0</v>
      </c>
      <c r="U2622" s="15"/>
    </row>
    <row r="2623" spans="1:21" x14ac:dyDescent="0.35">
      <c r="A2623" t="s">
        <v>14</v>
      </c>
      <c r="B2623" t="s">
        <v>15</v>
      </c>
      <c r="C2623" t="s">
        <v>365</v>
      </c>
      <c r="D2623" t="s">
        <v>366</v>
      </c>
      <c r="E2623" t="s">
        <v>367</v>
      </c>
      <c r="F2623" t="s">
        <v>21</v>
      </c>
      <c r="G2623" t="s">
        <v>458</v>
      </c>
      <c r="H2623" s="15">
        <v>46106</v>
      </c>
      <c r="I2623" t="s">
        <v>459</v>
      </c>
      <c r="J2623" t="s">
        <v>16</v>
      </c>
      <c r="K2623" t="s">
        <v>185</v>
      </c>
      <c r="N2623">
        <v>0</v>
      </c>
      <c r="O2623" t="s">
        <v>222</v>
      </c>
      <c r="P2623">
        <v>0</v>
      </c>
      <c r="U2623" s="15"/>
    </row>
    <row r="2624" spans="1:21" x14ac:dyDescent="0.35">
      <c r="A2624" t="s">
        <v>14</v>
      </c>
      <c r="B2624" t="s">
        <v>15</v>
      </c>
      <c r="C2624" t="s">
        <v>365</v>
      </c>
      <c r="D2624" t="s">
        <v>366</v>
      </c>
      <c r="E2624" t="s">
        <v>367</v>
      </c>
      <c r="F2624" t="s">
        <v>21</v>
      </c>
      <c r="G2624" t="s">
        <v>460</v>
      </c>
      <c r="H2624" s="15">
        <v>46107</v>
      </c>
      <c r="I2624" t="s">
        <v>461</v>
      </c>
      <c r="J2624" t="s">
        <v>16</v>
      </c>
      <c r="K2624" t="s">
        <v>185</v>
      </c>
      <c r="N2624">
        <v>0</v>
      </c>
      <c r="O2624" t="s">
        <v>222</v>
      </c>
      <c r="P2624">
        <v>0</v>
      </c>
      <c r="U2624" s="15"/>
    </row>
    <row r="2625" spans="1:21" x14ac:dyDescent="0.35">
      <c r="A2625" t="s">
        <v>14</v>
      </c>
      <c r="B2625" t="s">
        <v>15</v>
      </c>
      <c r="C2625" t="s">
        <v>462</v>
      </c>
      <c r="D2625" t="s">
        <v>463</v>
      </c>
      <c r="E2625" t="s">
        <v>464</v>
      </c>
      <c r="F2625" t="s">
        <v>21</v>
      </c>
      <c r="G2625" t="s">
        <v>465</v>
      </c>
      <c r="H2625" s="15">
        <v>46108</v>
      </c>
      <c r="I2625" t="s">
        <v>466</v>
      </c>
      <c r="J2625" t="s">
        <v>16</v>
      </c>
      <c r="K2625" t="s">
        <v>185</v>
      </c>
      <c r="N2625">
        <v>0</v>
      </c>
      <c r="O2625" t="s">
        <v>222</v>
      </c>
      <c r="P2625">
        <v>0</v>
      </c>
      <c r="U2625" s="15"/>
    </row>
    <row r="2626" spans="1:21" x14ac:dyDescent="0.35">
      <c r="A2626" t="s">
        <v>14</v>
      </c>
      <c r="B2626" t="s">
        <v>15</v>
      </c>
      <c r="C2626" t="s">
        <v>407</v>
      </c>
      <c r="D2626" t="s">
        <v>408</v>
      </c>
      <c r="E2626" t="s">
        <v>409</v>
      </c>
      <c r="F2626" t="s">
        <v>21</v>
      </c>
      <c r="G2626" t="s">
        <v>467</v>
      </c>
      <c r="H2626" s="15">
        <v>46109</v>
      </c>
      <c r="I2626" t="s">
        <v>468</v>
      </c>
      <c r="J2626" t="s">
        <v>16</v>
      </c>
      <c r="K2626" t="s">
        <v>185</v>
      </c>
      <c r="N2626">
        <v>0</v>
      </c>
      <c r="O2626" t="s">
        <v>222</v>
      </c>
      <c r="P2626">
        <v>0</v>
      </c>
      <c r="U2626" s="15"/>
    </row>
    <row r="2627" spans="1:21" x14ac:dyDescent="0.35">
      <c r="A2627" t="s">
        <v>14</v>
      </c>
      <c r="B2627" t="s">
        <v>15</v>
      </c>
      <c r="C2627" t="s">
        <v>2205</v>
      </c>
      <c r="D2627" t="s">
        <v>2206</v>
      </c>
      <c r="E2627" t="s">
        <v>2207</v>
      </c>
      <c r="F2627" t="s">
        <v>58</v>
      </c>
      <c r="G2627" t="s">
        <v>2208</v>
      </c>
      <c r="H2627" s="15">
        <v>46029</v>
      </c>
      <c r="I2627" t="s">
        <v>2209</v>
      </c>
      <c r="J2627" t="s">
        <v>16</v>
      </c>
      <c r="K2627" t="s">
        <v>185</v>
      </c>
      <c r="N2627">
        <v>567</v>
      </c>
      <c r="O2627" t="s">
        <v>222</v>
      </c>
      <c r="P2627">
        <v>1.4384790000000001</v>
      </c>
      <c r="U2627" s="15"/>
    </row>
    <row r="2628" spans="1:21" x14ac:dyDescent="0.35">
      <c r="A2628" t="s">
        <v>14</v>
      </c>
      <c r="B2628" t="s">
        <v>15</v>
      </c>
      <c r="C2628" t="s">
        <v>2210</v>
      </c>
      <c r="D2628" t="s">
        <v>2211</v>
      </c>
      <c r="E2628" t="s">
        <v>2212</v>
      </c>
      <c r="F2628" t="s">
        <v>58</v>
      </c>
      <c r="G2628" t="s">
        <v>2213</v>
      </c>
      <c r="H2628" s="15">
        <v>46174</v>
      </c>
      <c r="I2628" t="s">
        <v>2214</v>
      </c>
      <c r="J2628" t="s">
        <v>233</v>
      </c>
      <c r="K2628" t="s">
        <v>185</v>
      </c>
      <c r="N2628">
        <v>0</v>
      </c>
      <c r="O2628" t="s">
        <v>222</v>
      </c>
      <c r="P2628">
        <v>0</v>
      </c>
      <c r="U2628" s="15"/>
    </row>
    <row r="2629" spans="1:21" x14ac:dyDescent="0.35">
      <c r="A2629" t="s">
        <v>14</v>
      </c>
      <c r="B2629" t="s">
        <v>15</v>
      </c>
      <c r="C2629" t="s">
        <v>2210</v>
      </c>
      <c r="D2629" t="s">
        <v>2211</v>
      </c>
      <c r="E2629" t="s">
        <v>2212</v>
      </c>
      <c r="F2629" t="s">
        <v>58</v>
      </c>
      <c r="G2629" t="s">
        <v>2215</v>
      </c>
      <c r="H2629" s="15">
        <v>46175</v>
      </c>
      <c r="I2629" t="s">
        <v>2216</v>
      </c>
      <c r="J2629" t="s">
        <v>233</v>
      </c>
      <c r="K2629" t="s">
        <v>185</v>
      </c>
      <c r="N2629">
        <v>0</v>
      </c>
      <c r="O2629" t="s">
        <v>222</v>
      </c>
      <c r="P2629">
        <v>0</v>
      </c>
      <c r="U2629" s="15"/>
    </row>
    <row r="2630" spans="1:21" x14ac:dyDescent="0.35">
      <c r="A2630" t="s">
        <v>14</v>
      </c>
      <c r="B2630" t="s">
        <v>15</v>
      </c>
      <c r="C2630" t="s">
        <v>2210</v>
      </c>
      <c r="D2630" t="s">
        <v>2211</v>
      </c>
      <c r="E2630" t="s">
        <v>2212</v>
      </c>
      <c r="F2630" t="s">
        <v>58</v>
      </c>
      <c r="G2630" t="s">
        <v>2217</v>
      </c>
      <c r="H2630" s="15">
        <v>46176</v>
      </c>
      <c r="I2630" t="s">
        <v>2218</v>
      </c>
      <c r="J2630" t="s">
        <v>233</v>
      </c>
      <c r="K2630" t="s">
        <v>185</v>
      </c>
      <c r="N2630">
        <v>0</v>
      </c>
      <c r="O2630" t="s">
        <v>222</v>
      </c>
      <c r="P2630">
        <v>0</v>
      </c>
      <c r="U2630" s="15"/>
    </row>
    <row r="2631" spans="1:21" x14ac:dyDescent="0.35">
      <c r="A2631" t="s">
        <v>14</v>
      </c>
      <c r="B2631" t="s">
        <v>15</v>
      </c>
      <c r="C2631" t="s">
        <v>380</v>
      </c>
      <c r="D2631" t="s">
        <v>381</v>
      </c>
      <c r="E2631" t="s">
        <v>382</v>
      </c>
      <c r="F2631" t="s">
        <v>21</v>
      </c>
      <c r="G2631" t="s">
        <v>467</v>
      </c>
      <c r="H2631" s="15">
        <v>46109</v>
      </c>
      <c r="I2631" t="s">
        <v>469</v>
      </c>
      <c r="J2631" t="s">
        <v>16</v>
      </c>
      <c r="K2631" t="s">
        <v>185</v>
      </c>
      <c r="N2631">
        <v>0</v>
      </c>
      <c r="O2631" t="s">
        <v>222</v>
      </c>
      <c r="P2631">
        <v>0</v>
      </c>
      <c r="U2631" s="15"/>
    </row>
    <row r="2632" spans="1:21" x14ac:dyDescent="0.35">
      <c r="A2632" t="s">
        <v>14</v>
      </c>
      <c r="B2632" t="s">
        <v>15</v>
      </c>
      <c r="C2632" t="s">
        <v>462</v>
      </c>
      <c r="D2632" t="s">
        <v>463</v>
      </c>
      <c r="E2632" t="s">
        <v>464</v>
      </c>
      <c r="F2632" t="s">
        <v>21</v>
      </c>
      <c r="G2632" t="s">
        <v>470</v>
      </c>
      <c r="H2632" s="15">
        <v>46114</v>
      </c>
      <c r="I2632" t="s">
        <v>471</v>
      </c>
      <c r="J2632" t="s">
        <v>16</v>
      </c>
      <c r="K2632" t="s">
        <v>185</v>
      </c>
      <c r="N2632">
        <v>3915</v>
      </c>
      <c r="O2632" t="s">
        <v>222</v>
      </c>
      <c r="P2632">
        <v>19.982648999999999</v>
      </c>
      <c r="U2632" s="15"/>
    </row>
    <row r="2633" spans="1:21" x14ac:dyDescent="0.35">
      <c r="A2633" t="s">
        <v>14</v>
      </c>
      <c r="B2633" t="s">
        <v>15</v>
      </c>
      <c r="C2633" t="s">
        <v>365</v>
      </c>
      <c r="D2633" t="s">
        <v>366</v>
      </c>
      <c r="E2633" t="s">
        <v>367</v>
      </c>
      <c r="F2633" t="s">
        <v>21</v>
      </c>
      <c r="G2633" t="s">
        <v>472</v>
      </c>
      <c r="H2633" s="15">
        <v>46115</v>
      </c>
      <c r="I2633" t="s">
        <v>473</v>
      </c>
      <c r="J2633" t="s">
        <v>16</v>
      </c>
      <c r="K2633" t="s">
        <v>185</v>
      </c>
      <c r="N2633">
        <v>7568</v>
      </c>
      <c r="O2633" t="s">
        <v>222</v>
      </c>
      <c r="P2633">
        <v>38.82611</v>
      </c>
      <c r="U2633" s="15"/>
    </row>
    <row r="2634" spans="1:21" x14ac:dyDescent="0.35">
      <c r="A2634" t="s">
        <v>14</v>
      </c>
      <c r="B2634" t="s">
        <v>15</v>
      </c>
      <c r="C2634" t="s">
        <v>424</v>
      </c>
      <c r="D2634" t="s">
        <v>425</v>
      </c>
      <c r="E2634" t="s">
        <v>426</v>
      </c>
      <c r="F2634" t="s">
        <v>21</v>
      </c>
      <c r="G2634" t="s">
        <v>472</v>
      </c>
      <c r="H2634" s="15">
        <v>46115</v>
      </c>
      <c r="I2634" t="s">
        <v>474</v>
      </c>
      <c r="J2634" t="s">
        <v>16</v>
      </c>
      <c r="K2634" t="s">
        <v>185</v>
      </c>
      <c r="N2634">
        <v>377</v>
      </c>
      <c r="O2634" t="s">
        <v>222</v>
      </c>
      <c r="P2634">
        <v>1.934123</v>
      </c>
      <c r="U2634" s="15"/>
    </row>
    <row r="2635" spans="1:21" x14ac:dyDescent="0.35">
      <c r="A2635" t="s">
        <v>14</v>
      </c>
      <c r="B2635" t="s">
        <v>15</v>
      </c>
      <c r="C2635" t="s">
        <v>365</v>
      </c>
      <c r="D2635" t="s">
        <v>366</v>
      </c>
      <c r="E2635" t="s">
        <v>367</v>
      </c>
      <c r="F2635" t="s">
        <v>21</v>
      </c>
      <c r="G2635" t="s">
        <v>475</v>
      </c>
      <c r="H2635" s="15">
        <v>46116</v>
      </c>
      <c r="I2635" t="s">
        <v>476</v>
      </c>
      <c r="J2635" t="s">
        <v>16</v>
      </c>
      <c r="K2635" t="s">
        <v>185</v>
      </c>
      <c r="N2635">
        <v>6676</v>
      </c>
      <c r="O2635" t="s">
        <v>222</v>
      </c>
      <c r="P2635">
        <v>34.366379000000002</v>
      </c>
      <c r="U2635" s="15"/>
    </row>
    <row r="2636" spans="1:21" x14ac:dyDescent="0.35">
      <c r="A2636" t="s">
        <v>14</v>
      </c>
      <c r="B2636" t="s">
        <v>15</v>
      </c>
      <c r="C2636" t="s">
        <v>424</v>
      </c>
      <c r="D2636" t="s">
        <v>425</v>
      </c>
      <c r="E2636" t="s">
        <v>426</v>
      </c>
      <c r="F2636" t="s">
        <v>21</v>
      </c>
      <c r="G2636" t="s">
        <v>475</v>
      </c>
      <c r="H2636" s="15">
        <v>46116</v>
      </c>
      <c r="I2636" t="s">
        <v>477</v>
      </c>
      <c r="J2636" t="s">
        <v>16</v>
      </c>
      <c r="K2636" t="s">
        <v>185</v>
      </c>
      <c r="N2636">
        <v>449</v>
      </c>
      <c r="O2636" t="s">
        <v>222</v>
      </c>
      <c r="P2636">
        <v>2.31134</v>
      </c>
      <c r="U2636" s="15"/>
    </row>
    <row r="2637" spans="1:21" x14ac:dyDescent="0.35">
      <c r="A2637" t="s">
        <v>14</v>
      </c>
      <c r="B2637" t="s">
        <v>15</v>
      </c>
      <c r="C2637" t="s">
        <v>365</v>
      </c>
      <c r="D2637" t="s">
        <v>366</v>
      </c>
      <c r="E2637" t="s">
        <v>367</v>
      </c>
      <c r="F2637" t="s">
        <v>21</v>
      </c>
      <c r="G2637" t="s">
        <v>478</v>
      </c>
      <c r="H2637" s="15">
        <v>46120</v>
      </c>
      <c r="I2637" t="s">
        <v>479</v>
      </c>
      <c r="J2637" t="s">
        <v>16</v>
      </c>
      <c r="K2637" t="s">
        <v>185</v>
      </c>
      <c r="N2637">
        <v>6965</v>
      </c>
      <c r="O2637" t="s">
        <v>222</v>
      </c>
      <c r="P2637">
        <v>35.854078999999999</v>
      </c>
      <c r="U2637" s="15"/>
    </row>
    <row r="2638" spans="1:21" x14ac:dyDescent="0.35">
      <c r="A2638" t="s">
        <v>14</v>
      </c>
      <c r="B2638" t="s">
        <v>15</v>
      </c>
      <c r="C2638" t="s">
        <v>365</v>
      </c>
      <c r="D2638" t="s">
        <v>366</v>
      </c>
      <c r="E2638" t="s">
        <v>367</v>
      </c>
      <c r="F2638" t="s">
        <v>21</v>
      </c>
      <c r="G2638" t="s">
        <v>480</v>
      </c>
      <c r="H2638" s="15">
        <v>46121</v>
      </c>
      <c r="I2638" t="s">
        <v>481</v>
      </c>
      <c r="J2638" t="s">
        <v>16</v>
      </c>
      <c r="K2638" t="s">
        <v>185</v>
      </c>
      <c r="N2638">
        <v>8405</v>
      </c>
      <c r="O2638" t="s">
        <v>222</v>
      </c>
      <c r="P2638">
        <v>43.120171999999997</v>
      </c>
      <c r="U2638" s="15"/>
    </row>
    <row r="2639" spans="1:21" x14ac:dyDescent="0.35">
      <c r="A2639" t="s">
        <v>14</v>
      </c>
      <c r="B2639" t="s">
        <v>15</v>
      </c>
      <c r="C2639" t="s">
        <v>365</v>
      </c>
      <c r="D2639" t="s">
        <v>366</v>
      </c>
      <c r="E2639" t="s">
        <v>367</v>
      </c>
      <c r="F2639" t="s">
        <v>21</v>
      </c>
      <c r="G2639" t="s">
        <v>482</v>
      </c>
      <c r="H2639" s="15">
        <v>46122</v>
      </c>
      <c r="I2639" t="s">
        <v>483</v>
      </c>
      <c r="J2639" t="s">
        <v>16</v>
      </c>
      <c r="K2639" t="s">
        <v>185</v>
      </c>
      <c r="N2639">
        <v>0</v>
      </c>
      <c r="O2639" t="s">
        <v>222</v>
      </c>
      <c r="P2639">
        <v>0</v>
      </c>
      <c r="U2639" s="15"/>
    </row>
    <row r="2640" spans="1:21" x14ac:dyDescent="0.35">
      <c r="A2640" t="s">
        <v>14</v>
      </c>
      <c r="B2640" t="s">
        <v>15</v>
      </c>
      <c r="C2640" t="s">
        <v>365</v>
      </c>
      <c r="D2640" t="s">
        <v>366</v>
      </c>
      <c r="E2640" t="s">
        <v>367</v>
      </c>
      <c r="F2640" t="s">
        <v>21</v>
      </c>
      <c r="G2640" t="s">
        <v>484</v>
      </c>
      <c r="H2640" s="15">
        <v>46123</v>
      </c>
      <c r="I2640" t="s">
        <v>485</v>
      </c>
      <c r="J2640" t="s">
        <v>16</v>
      </c>
      <c r="K2640" t="s">
        <v>185</v>
      </c>
      <c r="N2640">
        <v>0</v>
      </c>
      <c r="O2640" t="s">
        <v>222</v>
      </c>
      <c r="P2640">
        <v>0</v>
      </c>
      <c r="U2640" s="15"/>
    </row>
    <row r="2641" spans="1:21" x14ac:dyDescent="0.35">
      <c r="A2641" t="s">
        <v>14</v>
      </c>
      <c r="B2641" t="s">
        <v>15</v>
      </c>
      <c r="C2641" t="s">
        <v>2219</v>
      </c>
      <c r="D2641" t="s">
        <v>2220</v>
      </c>
      <c r="E2641" t="s">
        <v>2221</v>
      </c>
      <c r="F2641" t="s">
        <v>58</v>
      </c>
      <c r="G2641" t="s">
        <v>2217</v>
      </c>
      <c r="H2641" s="15">
        <v>46176</v>
      </c>
      <c r="I2641" t="s">
        <v>2222</v>
      </c>
      <c r="J2641" t="s">
        <v>233</v>
      </c>
      <c r="K2641" t="s">
        <v>185</v>
      </c>
      <c r="N2641">
        <v>0</v>
      </c>
      <c r="O2641" t="s">
        <v>222</v>
      </c>
      <c r="P2641">
        <v>0</v>
      </c>
      <c r="U2641" s="15"/>
    </row>
    <row r="2642" spans="1:21" x14ac:dyDescent="0.35">
      <c r="A2642" t="s">
        <v>14</v>
      </c>
      <c r="B2642" t="s">
        <v>15</v>
      </c>
      <c r="C2642" t="s">
        <v>2210</v>
      </c>
      <c r="D2642" t="s">
        <v>2211</v>
      </c>
      <c r="E2642" t="s">
        <v>2212</v>
      </c>
      <c r="F2642" t="s">
        <v>58</v>
      </c>
      <c r="G2642" t="s">
        <v>2223</v>
      </c>
      <c r="H2642" s="15">
        <v>46178</v>
      </c>
      <c r="I2642" t="s">
        <v>2224</v>
      </c>
      <c r="J2642" t="s">
        <v>233</v>
      </c>
      <c r="K2642" t="s">
        <v>185</v>
      </c>
      <c r="N2642">
        <v>0</v>
      </c>
      <c r="O2642" t="s">
        <v>222</v>
      </c>
      <c r="P2642">
        <v>0</v>
      </c>
      <c r="U2642" s="15"/>
    </row>
    <row r="2643" spans="1:21" x14ac:dyDescent="0.35">
      <c r="A2643" t="s">
        <v>14</v>
      </c>
      <c r="B2643" t="s">
        <v>15</v>
      </c>
      <c r="C2643" t="s">
        <v>2219</v>
      </c>
      <c r="D2643" t="s">
        <v>2220</v>
      </c>
      <c r="E2643" t="s">
        <v>2221</v>
      </c>
      <c r="F2643" t="s">
        <v>58</v>
      </c>
      <c r="G2643" t="s">
        <v>2223</v>
      </c>
      <c r="H2643" s="15">
        <v>46178</v>
      </c>
      <c r="I2643" t="s">
        <v>2225</v>
      </c>
      <c r="J2643" t="s">
        <v>233</v>
      </c>
      <c r="K2643" t="s">
        <v>185</v>
      </c>
      <c r="N2643">
        <v>0</v>
      </c>
      <c r="O2643" t="s">
        <v>222</v>
      </c>
      <c r="P2643">
        <v>0</v>
      </c>
      <c r="U2643" s="15"/>
    </row>
    <row r="2644" spans="1:21" x14ac:dyDescent="0.35">
      <c r="A2644" t="s">
        <v>14</v>
      </c>
      <c r="B2644" t="s">
        <v>15</v>
      </c>
      <c r="C2644" t="s">
        <v>401</v>
      </c>
      <c r="D2644" t="s">
        <v>402</v>
      </c>
      <c r="E2644" t="s">
        <v>403</v>
      </c>
      <c r="F2644" t="s">
        <v>21</v>
      </c>
      <c r="G2644" t="s">
        <v>486</v>
      </c>
      <c r="H2644" s="15">
        <v>46128</v>
      </c>
      <c r="I2644" t="s">
        <v>487</v>
      </c>
      <c r="J2644" t="s">
        <v>16</v>
      </c>
      <c r="K2644" t="s">
        <v>185</v>
      </c>
      <c r="N2644">
        <v>0</v>
      </c>
      <c r="O2644" t="s">
        <v>222</v>
      </c>
      <c r="P2644">
        <v>0</v>
      </c>
      <c r="U2644" s="15"/>
    </row>
    <row r="2645" spans="1:21" x14ac:dyDescent="0.35">
      <c r="A2645" t="s">
        <v>14</v>
      </c>
      <c r="B2645" t="s">
        <v>15</v>
      </c>
      <c r="C2645" t="s">
        <v>360</v>
      </c>
      <c r="D2645" t="s">
        <v>361</v>
      </c>
      <c r="E2645" t="s">
        <v>362</v>
      </c>
      <c r="F2645" t="s">
        <v>21</v>
      </c>
      <c r="G2645" t="s">
        <v>488</v>
      </c>
      <c r="H2645" s="15">
        <v>46136</v>
      </c>
      <c r="I2645" t="s">
        <v>489</v>
      </c>
      <c r="J2645" t="s">
        <v>16</v>
      </c>
      <c r="K2645" t="s">
        <v>185</v>
      </c>
      <c r="N2645">
        <v>0</v>
      </c>
      <c r="O2645" t="s">
        <v>222</v>
      </c>
      <c r="P2645">
        <v>0</v>
      </c>
      <c r="U2645" s="15"/>
    </row>
    <row r="2646" spans="1:21" x14ac:dyDescent="0.35">
      <c r="A2646" t="s">
        <v>14</v>
      </c>
      <c r="B2646" t="s">
        <v>15</v>
      </c>
      <c r="C2646" t="s">
        <v>451</v>
      </c>
      <c r="D2646" t="s">
        <v>452</v>
      </c>
      <c r="E2646" t="s">
        <v>453</v>
      </c>
      <c r="F2646" t="s">
        <v>21</v>
      </c>
      <c r="G2646" t="s">
        <v>488</v>
      </c>
      <c r="H2646" s="15">
        <v>46136</v>
      </c>
      <c r="I2646" t="s">
        <v>490</v>
      </c>
      <c r="J2646" t="s">
        <v>16</v>
      </c>
      <c r="K2646" t="s">
        <v>185</v>
      </c>
      <c r="N2646">
        <v>0</v>
      </c>
      <c r="O2646" t="s">
        <v>222</v>
      </c>
      <c r="P2646">
        <v>0</v>
      </c>
      <c r="U2646" s="15"/>
    </row>
    <row r="2647" spans="1:21" x14ac:dyDescent="0.35">
      <c r="A2647" t="s">
        <v>14</v>
      </c>
      <c r="B2647" t="s">
        <v>15</v>
      </c>
      <c r="C2647" t="s">
        <v>2210</v>
      </c>
      <c r="D2647" t="s">
        <v>2211</v>
      </c>
      <c r="E2647" t="s">
        <v>2212</v>
      </c>
      <c r="F2647" t="s">
        <v>58</v>
      </c>
      <c r="G2647" t="s">
        <v>2226</v>
      </c>
      <c r="H2647" s="15">
        <v>46179</v>
      </c>
      <c r="I2647" t="s">
        <v>2227</v>
      </c>
      <c r="J2647" t="s">
        <v>233</v>
      </c>
      <c r="K2647" t="s">
        <v>185</v>
      </c>
      <c r="N2647">
        <v>0</v>
      </c>
      <c r="O2647" t="s">
        <v>222</v>
      </c>
      <c r="P2647">
        <v>0</v>
      </c>
      <c r="U2647" s="15"/>
    </row>
    <row r="2648" spans="1:21" x14ac:dyDescent="0.35">
      <c r="A2648" t="s">
        <v>14</v>
      </c>
      <c r="B2648" t="s">
        <v>15</v>
      </c>
      <c r="C2648" t="s">
        <v>2210</v>
      </c>
      <c r="D2648" t="s">
        <v>2211</v>
      </c>
      <c r="E2648" t="s">
        <v>2212</v>
      </c>
      <c r="F2648" t="s">
        <v>58</v>
      </c>
      <c r="G2648" t="s">
        <v>2226</v>
      </c>
      <c r="H2648" s="15">
        <v>46179</v>
      </c>
      <c r="I2648" t="s">
        <v>2227</v>
      </c>
      <c r="J2648" t="s">
        <v>233</v>
      </c>
      <c r="K2648" t="s">
        <v>185</v>
      </c>
      <c r="N2648">
        <v>0</v>
      </c>
      <c r="O2648" t="s">
        <v>222</v>
      </c>
      <c r="P2648">
        <v>0</v>
      </c>
      <c r="U2648" s="15"/>
    </row>
    <row r="2649" spans="1:21" x14ac:dyDescent="0.35">
      <c r="A2649" t="s">
        <v>14</v>
      </c>
      <c r="B2649" t="s">
        <v>15</v>
      </c>
      <c r="C2649" t="s">
        <v>2219</v>
      </c>
      <c r="D2649" t="s">
        <v>2220</v>
      </c>
      <c r="E2649" t="s">
        <v>2221</v>
      </c>
      <c r="F2649" t="s">
        <v>58</v>
      </c>
      <c r="G2649" t="s">
        <v>2226</v>
      </c>
      <c r="H2649" s="15">
        <v>46179</v>
      </c>
      <c r="I2649" t="s">
        <v>2228</v>
      </c>
      <c r="J2649" t="s">
        <v>233</v>
      </c>
      <c r="K2649" t="s">
        <v>185</v>
      </c>
      <c r="N2649">
        <v>0</v>
      </c>
      <c r="O2649" t="s">
        <v>222</v>
      </c>
      <c r="P2649">
        <v>0</v>
      </c>
      <c r="U2649" s="15"/>
    </row>
    <row r="2650" spans="1:21" x14ac:dyDescent="0.35">
      <c r="A2650" t="s">
        <v>14</v>
      </c>
      <c r="B2650" t="s">
        <v>15</v>
      </c>
      <c r="C2650" t="s">
        <v>2210</v>
      </c>
      <c r="D2650" t="s">
        <v>2211</v>
      </c>
      <c r="E2650" t="s">
        <v>2212</v>
      </c>
      <c r="F2650" t="s">
        <v>58</v>
      </c>
      <c r="G2650" t="s">
        <v>2229</v>
      </c>
      <c r="H2650" s="15">
        <v>46182</v>
      </c>
      <c r="I2650" t="s">
        <v>2230</v>
      </c>
      <c r="J2650" t="s">
        <v>16</v>
      </c>
      <c r="K2650" t="s">
        <v>185</v>
      </c>
      <c r="N2650">
        <v>0</v>
      </c>
      <c r="O2650" t="s">
        <v>222</v>
      </c>
      <c r="P2650">
        <v>0</v>
      </c>
      <c r="U2650" s="15"/>
    </row>
    <row r="2651" spans="1:21" x14ac:dyDescent="0.35">
      <c r="A2651" t="s">
        <v>14</v>
      </c>
      <c r="B2651" t="s">
        <v>15</v>
      </c>
      <c r="C2651" t="s">
        <v>407</v>
      </c>
      <c r="D2651" t="s">
        <v>408</v>
      </c>
      <c r="E2651" t="s">
        <v>409</v>
      </c>
      <c r="F2651" t="s">
        <v>21</v>
      </c>
      <c r="G2651" t="s">
        <v>491</v>
      </c>
      <c r="H2651" s="15">
        <v>46139</v>
      </c>
      <c r="I2651" t="s">
        <v>492</v>
      </c>
      <c r="J2651" t="s">
        <v>16</v>
      </c>
      <c r="K2651" t="s">
        <v>185</v>
      </c>
      <c r="N2651">
        <v>0</v>
      </c>
      <c r="O2651" t="s">
        <v>222</v>
      </c>
      <c r="P2651">
        <v>0</v>
      </c>
      <c r="U2651" s="15"/>
    </row>
    <row r="2652" spans="1:21" x14ac:dyDescent="0.35">
      <c r="A2652" t="s">
        <v>14</v>
      </c>
      <c r="B2652" t="s">
        <v>15</v>
      </c>
      <c r="C2652" t="s">
        <v>2219</v>
      </c>
      <c r="D2652" t="s">
        <v>2220</v>
      </c>
      <c r="E2652" t="s">
        <v>2221</v>
      </c>
      <c r="F2652" t="s">
        <v>58</v>
      </c>
      <c r="G2652" t="s">
        <v>2229</v>
      </c>
      <c r="H2652" s="15">
        <v>46182</v>
      </c>
      <c r="I2652" t="s">
        <v>2231</v>
      </c>
      <c r="J2652" t="s">
        <v>16</v>
      </c>
      <c r="K2652" t="s">
        <v>185</v>
      </c>
      <c r="N2652">
        <v>0</v>
      </c>
      <c r="O2652" t="s">
        <v>222</v>
      </c>
      <c r="P2652">
        <v>0</v>
      </c>
      <c r="U2652" s="15"/>
    </row>
    <row r="2653" spans="1:21" x14ac:dyDescent="0.35">
      <c r="A2653" t="s">
        <v>14</v>
      </c>
      <c r="B2653" t="s">
        <v>15</v>
      </c>
      <c r="C2653" t="s">
        <v>2210</v>
      </c>
      <c r="D2653" t="s">
        <v>2211</v>
      </c>
      <c r="E2653" t="s">
        <v>2212</v>
      </c>
      <c r="F2653" t="s">
        <v>58</v>
      </c>
      <c r="G2653" t="s">
        <v>2232</v>
      </c>
      <c r="H2653" s="15">
        <v>46185</v>
      </c>
      <c r="I2653" t="s">
        <v>2233</v>
      </c>
      <c r="J2653" t="s">
        <v>16</v>
      </c>
      <c r="K2653" t="s">
        <v>185</v>
      </c>
      <c r="N2653">
        <v>0</v>
      </c>
      <c r="O2653" t="s">
        <v>222</v>
      </c>
      <c r="P2653">
        <v>0</v>
      </c>
      <c r="U2653" s="15"/>
    </row>
    <row r="2654" spans="1:21" x14ac:dyDescent="0.35">
      <c r="A2654" t="s">
        <v>14</v>
      </c>
      <c r="B2654" t="s">
        <v>15</v>
      </c>
      <c r="C2654" t="s">
        <v>2219</v>
      </c>
      <c r="D2654" t="s">
        <v>2220</v>
      </c>
      <c r="E2654" t="s">
        <v>2221</v>
      </c>
      <c r="F2654" t="s">
        <v>58</v>
      </c>
      <c r="G2654" t="s">
        <v>2232</v>
      </c>
      <c r="H2654" s="15">
        <v>46185</v>
      </c>
      <c r="I2654" t="s">
        <v>2234</v>
      </c>
      <c r="J2654" t="s">
        <v>16</v>
      </c>
      <c r="K2654" t="s">
        <v>185</v>
      </c>
      <c r="N2654">
        <v>0</v>
      </c>
      <c r="O2654" t="s">
        <v>222</v>
      </c>
      <c r="P2654">
        <v>0</v>
      </c>
      <c r="U2654" s="15"/>
    </row>
    <row r="2655" spans="1:21" x14ac:dyDescent="0.35">
      <c r="A2655" t="s">
        <v>14</v>
      </c>
      <c r="B2655" t="s">
        <v>15</v>
      </c>
      <c r="C2655" t="s">
        <v>445</v>
      </c>
      <c r="D2655" t="s">
        <v>446</v>
      </c>
      <c r="E2655" t="s">
        <v>447</v>
      </c>
      <c r="F2655" t="s">
        <v>21</v>
      </c>
      <c r="G2655" t="s">
        <v>491</v>
      </c>
      <c r="H2655" s="15">
        <v>46139</v>
      </c>
      <c r="I2655" t="s">
        <v>493</v>
      </c>
      <c r="J2655" t="s">
        <v>16</v>
      </c>
      <c r="K2655" t="s">
        <v>185</v>
      </c>
      <c r="N2655">
        <v>0</v>
      </c>
      <c r="O2655" t="s">
        <v>222</v>
      </c>
      <c r="P2655">
        <v>0</v>
      </c>
      <c r="U2655" s="15"/>
    </row>
    <row r="2656" spans="1:21" x14ac:dyDescent="0.35">
      <c r="A2656" t="s">
        <v>14</v>
      </c>
      <c r="B2656" t="s">
        <v>15</v>
      </c>
      <c r="C2656" t="s">
        <v>407</v>
      </c>
      <c r="D2656" t="s">
        <v>408</v>
      </c>
      <c r="E2656" t="s">
        <v>409</v>
      </c>
      <c r="F2656" t="s">
        <v>21</v>
      </c>
      <c r="G2656" t="s">
        <v>494</v>
      </c>
      <c r="H2656" s="15">
        <v>46140</v>
      </c>
      <c r="I2656" t="s">
        <v>495</v>
      </c>
      <c r="J2656" t="s">
        <v>16</v>
      </c>
      <c r="K2656" t="s">
        <v>185</v>
      </c>
      <c r="N2656">
        <v>0</v>
      </c>
      <c r="O2656" t="s">
        <v>222</v>
      </c>
      <c r="P2656">
        <v>0</v>
      </c>
      <c r="U2656" s="15"/>
    </row>
    <row r="2657" spans="1:21" x14ac:dyDescent="0.35">
      <c r="A2657" t="s">
        <v>14</v>
      </c>
      <c r="B2657" t="s">
        <v>15</v>
      </c>
      <c r="C2657" t="s">
        <v>445</v>
      </c>
      <c r="D2657" t="s">
        <v>446</v>
      </c>
      <c r="E2657" t="s">
        <v>447</v>
      </c>
      <c r="F2657" t="s">
        <v>21</v>
      </c>
      <c r="G2657" t="s">
        <v>494</v>
      </c>
      <c r="H2657" s="15">
        <v>46140</v>
      </c>
      <c r="I2657" t="s">
        <v>496</v>
      </c>
      <c r="J2657" t="s">
        <v>16</v>
      </c>
      <c r="K2657" t="s">
        <v>185</v>
      </c>
      <c r="N2657">
        <v>0</v>
      </c>
      <c r="O2657" t="s">
        <v>222</v>
      </c>
      <c r="P2657">
        <v>0</v>
      </c>
      <c r="U2657" s="15"/>
    </row>
    <row r="2658" spans="1:21" x14ac:dyDescent="0.35">
      <c r="A2658" t="s">
        <v>14</v>
      </c>
      <c r="B2658" t="s">
        <v>15</v>
      </c>
      <c r="C2658" t="s">
        <v>380</v>
      </c>
      <c r="D2658" t="s">
        <v>381</v>
      </c>
      <c r="E2658" t="s">
        <v>382</v>
      </c>
      <c r="F2658" t="s">
        <v>21</v>
      </c>
      <c r="G2658" t="s">
        <v>2309</v>
      </c>
      <c r="H2658" s="15">
        <v>46141</v>
      </c>
      <c r="I2658" t="s">
        <v>2310</v>
      </c>
      <c r="J2658" t="s">
        <v>16</v>
      </c>
      <c r="K2658" t="s">
        <v>185</v>
      </c>
      <c r="N2658">
        <v>0</v>
      </c>
      <c r="O2658" t="s">
        <v>222</v>
      </c>
      <c r="P2658">
        <v>0</v>
      </c>
      <c r="U2658" s="15"/>
    </row>
    <row r="2659" spans="1:21" x14ac:dyDescent="0.35">
      <c r="A2659" t="s">
        <v>14</v>
      </c>
      <c r="B2659" t="s">
        <v>15</v>
      </c>
      <c r="C2659" t="s">
        <v>2210</v>
      </c>
      <c r="D2659" t="s">
        <v>2211</v>
      </c>
      <c r="E2659" t="s">
        <v>2212</v>
      </c>
      <c r="F2659" t="s">
        <v>58</v>
      </c>
      <c r="G2659" t="s">
        <v>2235</v>
      </c>
      <c r="H2659" s="15">
        <v>46186</v>
      </c>
      <c r="I2659" t="s">
        <v>2236</v>
      </c>
      <c r="J2659" t="s">
        <v>16</v>
      </c>
      <c r="K2659" t="s">
        <v>185</v>
      </c>
      <c r="N2659">
        <v>0</v>
      </c>
      <c r="O2659" t="s">
        <v>222</v>
      </c>
      <c r="P2659">
        <v>0</v>
      </c>
      <c r="U2659" s="15"/>
    </row>
    <row r="2660" spans="1:21" x14ac:dyDescent="0.35">
      <c r="A2660" t="s">
        <v>14</v>
      </c>
      <c r="B2660" t="s">
        <v>15</v>
      </c>
      <c r="C2660" t="s">
        <v>2219</v>
      </c>
      <c r="D2660" t="s">
        <v>2220</v>
      </c>
      <c r="E2660" t="s">
        <v>2221</v>
      </c>
      <c r="F2660" t="s">
        <v>58</v>
      </c>
      <c r="G2660" t="s">
        <v>2235</v>
      </c>
      <c r="H2660" s="15">
        <v>46186</v>
      </c>
      <c r="I2660" t="s">
        <v>2237</v>
      </c>
      <c r="J2660" t="s">
        <v>16</v>
      </c>
      <c r="K2660" t="s">
        <v>185</v>
      </c>
      <c r="N2660">
        <v>0</v>
      </c>
      <c r="O2660" t="s">
        <v>222</v>
      </c>
      <c r="P2660">
        <v>0</v>
      </c>
      <c r="U2660" s="15"/>
    </row>
    <row r="2661" spans="1:21" x14ac:dyDescent="0.35">
      <c r="A2661" t="s">
        <v>14</v>
      </c>
      <c r="B2661" t="s">
        <v>15</v>
      </c>
      <c r="C2661" t="s">
        <v>2210</v>
      </c>
      <c r="D2661" t="s">
        <v>2211</v>
      </c>
      <c r="E2661" t="s">
        <v>2212</v>
      </c>
      <c r="F2661" t="s">
        <v>58</v>
      </c>
      <c r="G2661" t="s">
        <v>2238</v>
      </c>
      <c r="H2661" s="15">
        <v>46198</v>
      </c>
      <c r="I2661" t="s">
        <v>2239</v>
      </c>
      <c r="J2661" t="s">
        <v>16</v>
      </c>
      <c r="K2661" t="s">
        <v>185</v>
      </c>
      <c r="N2661">
        <v>3010</v>
      </c>
      <c r="O2661" t="s">
        <v>222</v>
      </c>
      <c r="P2661">
        <v>7.6363700000000003</v>
      </c>
      <c r="U2661" s="15"/>
    </row>
    <row r="2662" spans="1:21" x14ac:dyDescent="0.35">
      <c r="A2662" t="s">
        <v>14</v>
      </c>
      <c r="B2662" t="s">
        <v>15</v>
      </c>
      <c r="C2662" t="s">
        <v>2219</v>
      </c>
      <c r="D2662" t="s">
        <v>2220</v>
      </c>
      <c r="E2662" t="s">
        <v>2221</v>
      </c>
      <c r="F2662" t="s">
        <v>58</v>
      </c>
      <c r="G2662" t="s">
        <v>2238</v>
      </c>
      <c r="H2662" s="15">
        <v>46198</v>
      </c>
      <c r="I2662" t="s">
        <v>2240</v>
      </c>
      <c r="J2662" t="s">
        <v>16</v>
      </c>
      <c r="K2662" t="s">
        <v>185</v>
      </c>
      <c r="N2662">
        <v>770</v>
      </c>
      <c r="O2662" t="s">
        <v>222</v>
      </c>
      <c r="P2662">
        <v>1.2714240000000001</v>
      </c>
      <c r="U2662" s="15"/>
    </row>
    <row r="2663" spans="1:21" x14ac:dyDescent="0.35">
      <c r="A2663" t="s">
        <v>14</v>
      </c>
      <c r="B2663" t="s">
        <v>15</v>
      </c>
      <c r="C2663" t="s">
        <v>2311</v>
      </c>
      <c r="D2663" t="s">
        <v>2312</v>
      </c>
      <c r="E2663" t="s">
        <v>2313</v>
      </c>
      <c r="F2663" t="s">
        <v>21</v>
      </c>
      <c r="G2663" t="s">
        <v>2309</v>
      </c>
      <c r="H2663" s="15">
        <v>46141</v>
      </c>
      <c r="I2663" t="s">
        <v>2314</v>
      </c>
      <c r="J2663" t="s">
        <v>16</v>
      </c>
      <c r="K2663" t="s">
        <v>185</v>
      </c>
      <c r="N2663">
        <v>0</v>
      </c>
      <c r="O2663" t="s">
        <v>222</v>
      </c>
      <c r="P2663">
        <v>0</v>
      </c>
      <c r="U2663" s="15"/>
    </row>
    <row r="2664" spans="1:21" x14ac:dyDescent="0.35">
      <c r="A2664" t="s">
        <v>14</v>
      </c>
      <c r="B2664" t="s">
        <v>15</v>
      </c>
      <c r="C2664" t="s">
        <v>365</v>
      </c>
      <c r="D2664" t="s">
        <v>366</v>
      </c>
      <c r="E2664" t="s">
        <v>367</v>
      </c>
      <c r="F2664" t="s">
        <v>21</v>
      </c>
      <c r="G2664" t="s">
        <v>2315</v>
      </c>
      <c r="H2664" s="15">
        <v>46142</v>
      </c>
      <c r="I2664" t="s">
        <v>2316</v>
      </c>
      <c r="J2664" t="s">
        <v>16</v>
      </c>
      <c r="K2664" t="s">
        <v>185</v>
      </c>
      <c r="N2664">
        <v>0</v>
      </c>
      <c r="O2664" t="s">
        <v>222</v>
      </c>
      <c r="P2664">
        <v>0</v>
      </c>
      <c r="U2664" s="15"/>
    </row>
    <row r="2665" spans="1:21" x14ac:dyDescent="0.35">
      <c r="A2665" t="s">
        <v>14</v>
      </c>
      <c r="B2665" t="s">
        <v>15</v>
      </c>
      <c r="C2665" t="s">
        <v>424</v>
      </c>
      <c r="D2665" t="s">
        <v>425</v>
      </c>
      <c r="E2665" t="s">
        <v>426</v>
      </c>
      <c r="F2665" t="s">
        <v>21</v>
      </c>
      <c r="G2665" t="s">
        <v>2315</v>
      </c>
      <c r="H2665" s="15">
        <v>46142</v>
      </c>
      <c r="I2665" t="s">
        <v>2317</v>
      </c>
      <c r="J2665" t="s">
        <v>16</v>
      </c>
      <c r="K2665" t="s">
        <v>185</v>
      </c>
      <c r="N2665">
        <v>0</v>
      </c>
      <c r="O2665" t="s">
        <v>222</v>
      </c>
      <c r="P2665">
        <v>0</v>
      </c>
      <c r="U2665" s="15"/>
    </row>
    <row r="2666" spans="1:21" x14ac:dyDescent="0.35">
      <c r="A2666" t="s">
        <v>14</v>
      </c>
      <c r="B2666" t="s">
        <v>15</v>
      </c>
      <c r="C2666" t="s">
        <v>407</v>
      </c>
      <c r="D2666" t="s">
        <v>408</v>
      </c>
      <c r="E2666" t="s">
        <v>409</v>
      </c>
      <c r="F2666" t="s">
        <v>21</v>
      </c>
      <c r="G2666" t="s">
        <v>2318</v>
      </c>
      <c r="H2666" s="15">
        <v>46148</v>
      </c>
      <c r="I2666" t="s">
        <v>2319</v>
      </c>
      <c r="J2666" t="s">
        <v>16</v>
      </c>
      <c r="K2666" t="s">
        <v>185</v>
      </c>
      <c r="N2666">
        <v>0</v>
      </c>
      <c r="O2666" t="s">
        <v>222</v>
      </c>
      <c r="P2666">
        <v>0</v>
      </c>
      <c r="U2666" s="15"/>
    </row>
    <row r="2667" spans="1:21" x14ac:dyDescent="0.35">
      <c r="A2667" t="s">
        <v>14</v>
      </c>
      <c r="B2667" t="s">
        <v>15</v>
      </c>
      <c r="C2667" t="s">
        <v>445</v>
      </c>
      <c r="D2667" t="s">
        <v>446</v>
      </c>
      <c r="E2667" t="s">
        <v>447</v>
      </c>
      <c r="F2667" t="s">
        <v>21</v>
      </c>
      <c r="G2667" t="s">
        <v>2318</v>
      </c>
      <c r="H2667" s="15">
        <v>46148</v>
      </c>
      <c r="I2667" t="s">
        <v>2320</v>
      </c>
      <c r="J2667" t="s">
        <v>16</v>
      </c>
      <c r="K2667" t="s">
        <v>185</v>
      </c>
      <c r="N2667">
        <v>0</v>
      </c>
      <c r="O2667" t="s">
        <v>222</v>
      </c>
      <c r="P2667">
        <v>0</v>
      </c>
      <c r="U2667" s="15"/>
    </row>
    <row r="2668" spans="1:21" x14ac:dyDescent="0.35">
      <c r="A2668" t="s">
        <v>14</v>
      </c>
      <c r="B2668" t="s">
        <v>15</v>
      </c>
      <c r="C2668" t="s">
        <v>407</v>
      </c>
      <c r="D2668" t="s">
        <v>408</v>
      </c>
      <c r="E2668" t="s">
        <v>409</v>
      </c>
      <c r="F2668" t="s">
        <v>21</v>
      </c>
      <c r="G2668" t="s">
        <v>2321</v>
      </c>
      <c r="H2668" s="15">
        <v>46149</v>
      </c>
      <c r="I2668" t="s">
        <v>2322</v>
      </c>
      <c r="J2668" t="s">
        <v>16</v>
      </c>
      <c r="K2668" t="s">
        <v>185</v>
      </c>
      <c r="N2668">
        <v>0</v>
      </c>
      <c r="O2668" t="s">
        <v>222</v>
      </c>
      <c r="P2668">
        <v>0</v>
      </c>
      <c r="U2668" s="15"/>
    </row>
    <row r="2669" spans="1:21" x14ac:dyDescent="0.35">
      <c r="A2669" t="s">
        <v>14</v>
      </c>
      <c r="B2669" t="s">
        <v>15</v>
      </c>
      <c r="C2669" t="s">
        <v>445</v>
      </c>
      <c r="D2669" t="s">
        <v>446</v>
      </c>
      <c r="E2669" t="s">
        <v>447</v>
      </c>
      <c r="F2669" t="s">
        <v>21</v>
      </c>
      <c r="G2669" t="s">
        <v>2321</v>
      </c>
      <c r="H2669" s="15">
        <v>46149</v>
      </c>
      <c r="I2669" t="s">
        <v>2323</v>
      </c>
      <c r="J2669" t="s">
        <v>16</v>
      </c>
      <c r="K2669" t="s">
        <v>185</v>
      </c>
      <c r="N2669">
        <v>0</v>
      </c>
      <c r="O2669" t="s">
        <v>222</v>
      </c>
      <c r="P2669">
        <v>0</v>
      </c>
      <c r="U2669" s="15"/>
    </row>
    <row r="2670" spans="1:21" x14ac:dyDescent="0.35">
      <c r="A2670" t="s">
        <v>14</v>
      </c>
      <c r="B2670" t="s">
        <v>15</v>
      </c>
      <c r="C2670" t="s">
        <v>401</v>
      </c>
      <c r="D2670" t="s">
        <v>402</v>
      </c>
      <c r="E2670" t="s">
        <v>403</v>
      </c>
      <c r="F2670" t="s">
        <v>21</v>
      </c>
      <c r="G2670" t="s">
        <v>2324</v>
      </c>
      <c r="H2670" s="15">
        <v>46150</v>
      </c>
      <c r="I2670" t="s">
        <v>2325</v>
      </c>
      <c r="J2670" t="s">
        <v>16</v>
      </c>
      <c r="K2670" t="s">
        <v>185</v>
      </c>
      <c r="N2670">
        <v>0</v>
      </c>
      <c r="O2670" t="s">
        <v>222</v>
      </c>
      <c r="P2670">
        <v>0</v>
      </c>
      <c r="U2670" s="15"/>
    </row>
    <row r="2671" spans="1:21" x14ac:dyDescent="0.35">
      <c r="A2671" t="s">
        <v>14</v>
      </c>
      <c r="B2671" t="s">
        <v>15</v>
      </c>
      <c r="C2671" t="s">
        <v>365</v>
      </c>
      <c r="D2671" t="s">
        <v>366</v>
      </c>
      <c r="E2671" t="s">
        <v>367</v>
      </c>
      <c r="F2671" t="s">
        <v>21</v>
      </c>
      <c r="G2671" t="s">
        <v>2324</v>
      </c>
      <c r="H2671" s="15">
        <v>46150</v>
      </c>
      <c r="I2671" t="s">
        <v>2326</v>
      </c>
      <c r="J2671" t="s">
        <v>16</v>
      </c>
      <c r="K2671" t="s">
        <v>185</v>
      </c>
      <c r="N2671">
        <v>0</v>
      </c>
      <c r="O2671" t="s">
        <v>222</v>
      </c>
      <c r="P2671">
        <v>0</v>
      </c>
      <c r="U2671" s="15"/>
    </row>
    <row r="2672" spans="1:21" x14ac:dyDescent="0.35">
      <c r="A2672" t="s">
        <v>14</v>
      </c>
      <c r="B2672" t="s">
        <v>15</v>
      </c>
      <c r="C2672" t="s">
        <v>407</v>
      </c>
      <c r="D2672" t="s">
        <v>408</v>
      </c>
      <c r="E2672" t="s">
        <v>409</v>
      </c>
      <c r="F2672" t="s">
        <v>21</v>
      </c>
      <c r="G2672" t="s">
        <v>2327</v>
      </c>
      <c r="H2672" s="15">
        <v>46151</v>
      </c>
      <c r="I2672" t="s">
        <v>2328</v>
      </c>
      <c r="J2672" t="s">
        <v>16</v>
      </c>
      <c r="K2672" t="s">
        <v>185</v>
      </c>
      <c r="N2672">
        <v>0</v>
      </c>
      <c r="O2672" t="s">
        <v>222</v>
      </c>
      <c r="P2672">
        <v>0</v>
      </c>
      <c r="U2672" s="15"/>
    </row>
    <row r="2673" spans="1:21" x14ac:dyDescent="0.35">
      <c r="A2673" t="s">
        <v>14</v>
      </c>
      <c r="B2673" t="s">
        <v>15</v>
      </c>
      <c r="C2673" t="s">
        <v>365</v>
      </c>
      <c r="D2673" t="s">
        <v>366</v>
      </c>
      <c r="E2673" t="s">
        <v>367</v>
      </c>
      <c r="F2673" t="s">
        <v>21</v>
      </c>
      <c r="G2673" t="s">
        <v>2329</v>
      </c>
      <c r="H2673" s="15">
        <v>46160</v>
      </c>
      <c r="I2673" t="s">
        <v>2330</v>
      </c>
      <c r="J2673" t="s">
        <v>16</v>
      </c>
      <c r="K2673" t="s">
        <v>185</v>
      </c>
      <c r="N2673">
        <v>0</v>
      </c>
      <c r="O2673" t="s">
        <v>222</v>
      </c>
      <c r="P2673">
        <v>0</v>
      </c>
      <c r="U2673" s="15"/>
    </row>
    <row r="2674" spans="1:21" x14ac:dyDescent="0.35">
      <c r="A2674" t="s">
        <v>14</v>
      </c>
      <c r="B2674" t="s">
        <v>15</v>
      </c>
      <c r="C2674" t="s">
        <v>424</v>
      </c>
      <c r="D2674" t="s">
        <v>425</v>
      </c>
      <c r="E2674" t="s">
        <v>426</v>
      </c>
      <c r="F2674" t="s">
        <v>21</v>
      </c>
      <c r="G2674" t="s">
        <v>2329</v>
      </c>
      <c r="H2674" s="15">
        <v>46160</v>
      </c>
      <c r="I2674" t="s">
        <v>2331</v>
      </c>
      <c r="J2674" t="s">
        <v>16</v>
      </c>
      <c r="K2674" t="s">
        <v>185</v>
      </c>
      <c r="N2674">
        <v>0</v>
      </c>
      <c r="O2674" t="s">
        <v>222</v>
      </c>
      <c r="P2674">
        <v>0</v>
      </c>
      <c r="U2674" s="15"/>
    </row>
    <row r="2675" spans="1:21" x14ac:dyDescent="0.35">
      <c r="A2675" t="s">
        <v>14</v>
      </c>
      <c r="B2675" t="s">
        <v>15</v>
      </c>
      <c r="C2675" t="s">
        <v>365</v>
      </c>
      <c r="D2675" t="s">
        <v>366</v>
      </c>
      <c r="E2675" t="s">
        <v>367</v>
      </c>
      <c r="F2675" t="s">
        <v>21</v>
      </c>
      <c r="G2675" t="s">
        <v>2332</v>
      </c>
      <c r="H2675" s="15">
        <v>46161</v>
      </c>
      <c r="I2675" t="s">
        <v>2333</v>
      </c>
      <c r="J2675" t="s">
        <v>16</v>
      </c>
      <c r="K2675" t="s">
        <v>185</v>
      </c>
      <c r="N2675">
        <v>0</v>
      </c>
      <c r="O2675" t="s">
        <v>222</v>
      </c>
      <c r="P2675">
        <v>0</v>
      </c>
      <c r="U2675" s="15"/>
    </row>
    <row r="2676" spans="1:21" x14ac:dyDescent="0.35">
      <c r="A2676" t="s">
        <v>14</v>
      </c>
      <c r="B2676" t="s">
        <v>15</v>
      </c>
      <c r="C2676" t="s">
        <v>424</v>
      </c>
      <c r="D2676" t="s">
        <v>425</v>
      </c>
      <c r="E2676" t="s">
        <v>426</v>
      </c>
      <c r="F2676" t="s">
        <v>21</v>
      </c>
      <c r="G2676" t="s">
        <v>2332</v>
      </c>
      <c r="H2676" s="15">
        <v>46161</v>
      </c>
      <c r="I2676" t="s">
        <v>2334</v>
      </c>
      <c r="J2676" t="s">
        <v>16</v>
      </c>
      <c r="K2676" t="s">
        <v>185</v>
      </c>
      <c r="N2676">
        <v>0</v>
      </c>
      <c r="O2676" t="s">
        <v>222</v>
      </c>
      <c r="P2676">
        <v>0</v>
      </c>
      <c r="U2676" s="15"/>
    </row>
    <row r="2677" spans="1:21" x14ac:dyDescent="0.35">
      <c r="A2677" t="s">
        <v>14</v>
      </c>
      <c r="B2677" t="s">
        <v>15</v>
      </c>
      <c r="C2677" t="s">
        <v>407</v>
      </c>
      <c r="D2677" t="s">
        <v>408</v>
      </c>
      <c r="E2677" t="s">
        <v>409</v>
      </c>
      <c r="F2677" t="s">
        <v>21</v>
      </c>
      <c r="G2677" t="s">
        <v>2335</v>
      </c>
      <c r="H2677" s="15">
        <v>46162</v>
      </c>
      <c r="I2677" t="s">
        <v>2336</v>
      </c>
      <c r="J2677" t="s">
        <v>16</v>
      </c>
      <c r="K2677" t="s">
        <v>185</v>
      </c>
      <c r="N2677">
        <v>0</v>
      </c>
      <c r="O2677" t="s">
        <v>222</v>
      </c>
      <c r="P2677">
        <v>0</v>
      </c>
      <c r="U2677" s="15"/>
    </row>
    <row r="2678" spans="1:21" x14ac:dyDescent="0.35">
      <c r="A2678" t="s">
        <v>14</v>
      </c>
      <c r="B2678" t="s">
        <v>15</v>
      </c>
      <c r="C2678" t="s">
        <v>360</v>
      </c>
      <c r="D2678" t="s">
        <v>361</v>
      </c>
      <c r="E2678" t="s">
        <v>362</v>
      </c>
      <c r="F2678" t="s">
        <v>21</v>
      </c>
      <c r="G2678" t="s">
        <v>2337</v>
      </c>
      <c r="H2678" s="15">
        <v>46163</v>
      </c>
      <c r="I2678" t="s">
        <v>2338</v>
      </c>
      <c r="J2678" t="s">
        <v>16</v>
      </c>
      <c r="K2678" t="s">
        <v>185</v>
      </c>
      <c r="N2678">
        <v>0</v>
      </c>
      <c r="O2678" t="s">
        <v>222</v>
      </c>
      <c r="P2678">
        <v>0</v>
      </c>
      <c r="U2678" s="15"/>
    </row>
    <row r="2679" spans="1:21" x14ac:dyDescent="0.35">
      <c r="A2679" t="s">
        <v>14</v>
      </c>
      <c r="B2679" t="s">
        <v>15</v>
      </c>
      <c r="C2679" t="s">
        <v>462</v>
      </c>
      <c r="D2679" t="s">
        <v>463</v>
      </c>
      <c r="E2679" t="s">
        <v>464</v>
      </c>
      <c r="F2679" t="s">
        <v>21</v>
      </c>
      <c r="G2679" t="s">
        <v>2339</v>
      </c>
      <c r="H2679" s="15">
        <v>46164</v>
      </c>
      <c r="I2679" t="s">
        <v>2340</v>
      </c>
      <c r="J2679" t="s">
        <v>16</v>
      </c>
      <c r="K2679" t="s">
        <v>185</v>
      </c>
      <c r="N2679">
        <v>0</v>
      </c>
      <c r="O2679" t="s">
        <v>222</v>
      </c>
      <c r="P2679">
        <v>0</v>
      </c>
      <c r="U2679" s="15"/>
    </row>
    <row r="2680" spans="1:21" x14ac:dyDescent="0.35">
      <c r="A2680" t="s">
        <v>14</v>
      </c>
      <c r="B2680" t="s">
        <v>15</v>
      </c>
      <c r="C2680" t="s">
        <v>396</v>
      </c>
      <c r="D2680" t="s">
        <v>397</v>
      </c>
      <c r="E2680" t="s">
        <v>398</v>
      </c>
      <c r="F2680" t="s">
        <v>21</v>
      </c>
      <c r="G2680" t="s">
        <v>2341</v>
      </c>
      <c r="H2680" s="15">
        <v>46165</v>
      </c>
      <c r="I2680" t="s">
        <v>2342</v>
      </c>
      <c r="J2680" t="s">
        <v>16</v>
      </c>
      <c r="K2680" t="s">
        <v>185</v>
      </c>
      <c r="N2680">
        <v>0</v>
      </c>
      <c r="O2680" t="s">
        <v>222</v>
      </c>
      <c r="P2680">
        <v>0</v>
      </c>
      <c r="U2680" s="15"/>
    </row>
    <row r="2681" spans="1:21" x14ac:dyDescent="0.35">
      <c r="A2681" t="s">
        <v>14</v>
      </c>
      <c r="B2681" t="s">
        <v>15</v>
      </c>
      <c r="C2681" t="s">
        <v>365</v>
      </c>
      <c r="D2681" t="s">
        <v>366</v>
      </c>
      <c r="E2681" t="s">
        <v>367</v>
      </c>
      <c r="F2681" t="s">
        <v>21</v>
      </c>
      <c r="G2681" t="s">
        <v>2343</v>
      </c>
      <c r="H2681" s="15">
        <v>46167</v>
      </c>
      <c r="I2681" t="s">
        <v>2344</v>
      </c>
      <c r="J2681" t="s">
        <v>16</v>
      </c>
      <c r="K2681" t="s">
        <v>185</v>
      </c>
      <c r="N2681">
        <v>0</v>
      </c>
      <c r="O2681" t="s">
        <v>222</v>
      </c>
      <c r="P2681">
        <v>0</v>
      </c>
      <c r="U2681" s="15"/>
    </row>
    <row r="2682" spans="1:21" x14ac:dyDescent="0.35">
      <c r="A2682" t="s">
        <v>14</v>
      </c>
      <c r="B2682" t="s">
        <v>15</v>
      </c>
      <c r="C2682" t="s">
        <v>424</v>
      </c>
      <c r="D2682" t="s">
        <v>425</v>
      </c>
      <c r="E2682" t="s">
        <v>426</v>
      </c>
      <c r="F2682" t="s">
        <v>21</v>
      </c>
      <c r="G2682" t="s">
        <v>2343</v>
      </c>
      <c r="H2682" s="15">
        <v>46167</v>
      </c>
      <c r="I2682" t="s">
        <v>2345</v>
      </c>
      <c r="J2682" t="s">
        <v>16</v>
      </c>
      <c r="K2682" t="s">
        <v>185</v>
      </c>
      <c r="N2682">
        <v>0</v>
      </c>
      <c r="O2682" t="s">
        <v>222</v>
      </c>
      <c r="P2682">
        <v>0</v>
      </c>
      <c r="U2682" s="15"/>
    </row>
    <row r="2683" spans="1:21" x14ac:dyDescent="0.35">
      <c r="A2683" t="s">
        <v>14</v>
      </c>
      <c r="B2683" t="s">
        <v>15</v>
      </c>
      <c r="C2683" t="s">
        <v>365</v>
      </c>
      <c r="D2683" t="s">
        <v>366</v>
      </c>
      <c r="E2683" t="s">
        <v>367</v>
      </c>
      <c r="F2683" t="s">
        <v>21</v>
      </c>
      <c r="G2683" t="s">
        <v>2346</v>
      </c>
      <c r="H2683" s="15">
        <v>46168</v>
      </c>
      <c r="I2683" t="s">
        <v>2347</v>
      </c>
      <c r="J2683" t="s">
        <v>16</v>
      </c>
      <c r="K2683" t="s">
        <v>185</v>
      </c>
      <c r="N2683">
        <v>0</v>
      </c>
      <c r="O2683" t="s">
        <v>222</v>
      </c>
      <c r="P2683">
        <v>0</v>
      </c>
      <c r="U2683" s="15"/>
    </row>
    <row r="2684" spans="1:21" x14ac:dyDescent="0.35">
      <c r="A2684" t="s">
        <v>14</v>
      </c>
      <c r="B2684" t="s">
        <v>15</v>
      </c>
      <c r="C2684" t="s">
        <v>424</v>
      </c>
      <c r="D2684" t="s">
        <v>425</v>
      </c>
      <c r="E2684" t="s">
        <v>426</v>
      </c>
      <c r="F2684" t="s">
        <v>21</v>
      </c>
      <c r="G2684" t="s">
        <v>2346</v>
      </c>
      <c r="H2684" s="15">
        <v>46168</v>
      </c>
      <c r="I2684" t="s">
        <v>2348</v>
      </c>
      <c r="J2684" t="s">
        <v>16</v>
      </c>
      <c r="K2684" t="s">
        <v>185</v>
      </c>
      <c r="N2684">
        <v>0</v>
      </c>
      <c r="O2684" t="s">
        <v>222</v>
      </c>
      <c r="P2684">
        <v>0</v>
      </c>
      <c r="U2684" s="15"/>
    </row>
    <row r="2685" spans="1:21" x14ac:dyDescent="0.35">
      <c r="A2685" t="s">
        <v>14</v>
      </c>
      <c r="B2685" t="s">
        <v>15</v>
      </c>
      <c r="C2685" t="s">
        <v>407</v>
      </c>
      <c r="D2685" t="s">
        <v>408</v>
      </c>
      <c r="E2685" t="s">
        <v>409</v>
      </c>
      <c r="F2685" t="s">
        <v>21</v>
      </c>
      <c r="G2685" t="s">
        <v>2349</v>
      </c>
      <c r="H2685" s="15">
        <v>46169</v>
      </c>
      <c r="I2685" t="s">
        <v>2350</v>
      </c>
      <c r="J2685" t="s">
        <v>16</v>
      </c>
      <c r="K2685" t="s">
        <v>185</v>
      </c>
      <c r="N2685">
        <v>0</v>
      </c>
      <c r="O2685" t="s">
        <v>222</v>
      </c>
      <c r="P2685">
        <v>0</v>
      </c>
      <c r="U2685" s="15"/>
    </row>
    <row r="2686" spans="1:21" x14ac:dyDescent="0.35">
      <c r="A2686" t="s">
        <v>14</v>
      </c>
      <c r="B2686" t="s">
        <v>15</v>
      </c>
      <c r="C2686" t="s">
        <v>407</v>
      </c>
      <c r="D2686" t="s">
        <v>408</v>
      </c>
      <c r="E2686" t="s">
        <v>409</v>
      </c>
      <c r="F2686" t="s">
        <v>21</v>
      </c>
      <c r="G2686" t="s">
        <v>2351</v>
      </c>
      <c r="H2686" s="15">
        <v>46170</v>
      </c>
      <c r="I2686" t="s">
        <v>2352</v>
      </c>
      <c r="J2686" t="s">
        <v>16</v>
      </c>
      <c r="K2686" t="s">
        <v>185</v>
      </c>
      <c r="N2686">
        <v>0</v>
      </c>
      <c r="O2686" t="s">
        <v>222</v>
      </c>
      <c r="P2686">
        <v>0</v>
      </c>
      <c r="U2686" s="15"/>
    </row>
    <row r="2687" spans="1:21" x14ac:dyDescent="0.35">
      <c r="A2687" t="s">
        <v>14</v>
      </c>
      <c r="B2687" t="s">
        <v>15</v>
      </c>
      <c r="C2687" t="s">
        <v>407</v>
      </c>
      <c r="D2687" t="s">
        <v>408</v>
      </c>
      <c r="E2687" t="s">
        <v>409</v>
      </c>
      <c r="F2687" t="s">
        <v>21</v>
      </c>
      <c r="G2687" t="s">
        <v>2353</v>
      </c>
      <c r="H2687" s="15">
        <v>46174</v>
      </c>
      <c r="I2687" t="s">
        <v>2354</v>
      </c>
      <c r="J2687" t="s">
        <v>16</v>
      </c>
      <c r="K2687" t="s">
        <v>185</v>
      </c>
      <c r="N2687">
        <v>0</v>
      </c>
      <c r="O2687" t="s">
        <v>222</v>
      </c>
      <c r="P2687">
        <v>0</v>
      </c>
      <c r="U2687" s="15"/>
    </row>
    <row r="2688" spans="1:21" x14ac:dyDescent="0.35">
      <c r="A2688" t="s">
        <v>14</v>
      </c>
      <c r="B2688" t="s">
        <v>15</v>
      </c>
      <c r="C2688" t="s">
        <v>407</v>
      </c>
      <c r="D2688" t="s">
        <v>408</v>
      </c>
      <c r="E2688" t="s">
        <v>409</v>
      </c>
      <c r="F2688" t="s">
        <v>21</v>
      </c>
      <c r="G2688" t="s">
        <v>2355</v>
      </c>
      <c r="H2688" s="15">
        <v>46175</v>
      </c>
      <c r="I2688" t="s">
        <v>2356</v>
      </c>
      <c r="J2688" t="s">
        <v>16</v>
      </c>
      <c r="K2688" t="s">
        <v>185</v>
      </c>
      <c r="N2688">
        <v>0</v>
      </c>
      <c r="O2688" t="s">
        <v>222</v>
      </c>
      <c r="P2688">
        <v>0</v>
      </c>
      <c r="U2688" s="15"/>
    </row>
    <row r="2689" spans="1:21" x14ac:dyDescent="0.35">
      <c r="A2689" t="s">
        <v>14</v>
      </c>
      <c r="B2689" t="s">
        <v>15</v>
      </c>
      <c r="C2689" t="s">
        <v>365</v>
      </c>
      <c r="D2689" t="s">
        <v>366</v>
      </c>
      <c r="E2689" t="s">
        <v>367</v>
      </c>
      <c r="F2689" t="s">
        <v>21</v>
      </c>
      <c r="G2689" t="s">
        <v>2357</v>
      </c>
      <c r="H2689" s="15">
        <v>46176</v>
      </c>
      <c r="I2689" t="s">
        <v>2358</v>
      </c>
      <c r="J2689" t="s">
        <v>16</v>
      </c>
      <c r="K2689" t="s">
        <v>185</v>
      </c>
      <c r="N2689">
        <v>0</v>
      </c>
      <c r="O2689" t="s">
        <v>222</v>
      </c>
      <c r="P2689">
        <v>0</v>
      </c>
      <c r="U2689" s="15"/>
    </row>
    <row r="2690" spans="1:21" x14ac:dyDescent="0.35">
      <c r="A2690" t="s">
        <v>14</v>
      </c>
      <c r="B2690" t="s">
        <v>15</v>
      </c>
      <c r="C2690" t="s">
        <v>365</v>
      </c>
      <c r="D2690" t="s">
        <v>366</v>
      </c>
      <c r="E2690" t="s">
        <v>367</v>
      </c>
      <c r="F2690" t="s">
        <v>21</v>
      </c>
      <c r="G2690" t="s">
        <v>2359</v>
      </c>
      <c r="H2690" s="15">
        <v>46177</v>
      </c>
      <c r="I2690" t="s">
        <v>2360</v>
      </c>
      <c r="J2690" t="s">
        <v>16</v>
      </c>
      <c r="K2690" t="s">
        <v>185</v>
      </c>
      <c r="N2690">
        <v>0</v>
      </c>
      <c r="O2690" t="s">
        <v>222</v>
      </c>
      <c r="P2690">
        <v>0</v>
      </c>
      <c r="U2690" s="15"/>
    </row>
    <row r="2691" spans="1:21" x14ac:dyDescent="0.35">
      <c r="A2691" t="s">
        <v>14</v>
      </c>
      <c r="B2691" t="s">
        <v>15</v>
      </c>
      <c r="C2691" t="s">
        <v>462</v>
      </c>
      <c r="D2691" t="s">
        <v>463</v>
      </c>
      <c r="E2691" t="s">
        <v>464</v>
      </c>
      <c r="F2691" t="s">
        <v>21</v>
      </c>
      <c r="G2691" t="s">
        <v>2361</v>
      </c>
      <c r="H2691" s="15">
        <v>46181</v>
      </c>
      <c r="I2691" t="s">
        <v>2362</v>
      </c>
      <c r="J2691" t="s">
        <v>16</v>
      </c>
      <c r="K2691" t="s">
        <v>185</v>
      </c>
      <c r="N2691">
        <v>0</v>
      </c>
      <c r="O2691" t="s">
        <v>222</v>
      </c>
      <c r="P2691">
        <v>0</v>
      </c>
      <c r="U2691" s="15"/>
    </row>
    <row r="2692" spans="1:21" x14ac:dyDescent="0.35">
      <c r="A2692" t="s">
        <v>14</v>
      </c>
      <c r="B2692" t="s">
        <v>15</v>
      </c>
      <c r="C2692" t="s">
        <v>365</v>
      </c>
      <c r="D2692" t="s">
        <v>366</v>
      </c>
      <c r="E2692" t="s">
        <v>367</v>
      </c>
      <c r="F2692" t="s">
        <v>21</v>
      </c>
      <c r="G2692" t="s">
        <v>2361</v>
      </c>
      <c r="H2692" s="15">
        <v>46181</v>
      </c>
      <c r="I2692" t="s">
        <v>2363</v>
      </c>
      <c r="J2692" t="s">
        <v>16</v>
      </c>
      <c r="K2692" t="s">
        <v>185</v>
      </c>
      <c r="N2692">
        <v>0</v>
      </c>
      <c r="O2692" t="s">
        <v>222</v>
      </c>
      <c r="P2692">
        <v>0</v>
      </c>
      <c r="U2692" s="15"/>
    </row>
    <row r="2693" spans="1:21" x14ac:dyDescent="0.35">
      <c r="A2693" t="s">
        <v>14</v>
      </c>
      <c r="B2693" t="s">
        <v>15</v>
      </c>
      <c r="C2693" t="s">
        <v>424</v>
      </c>
      <c r="D2693" t="s">
        <v>425</v>
      </c>
      <c r="E2693" t="s">
        <v>426</v>
      </c>
      <c r="F2693" t="s">
        <v>21</v>
      </c>
      <c r="G2693" t="s">
        <v>2361</v>
      </c>
      <c r="H2693" s="15">
        <v>46181</v>
      </c>
      <c r="I2693" t="s">
        <v>2364</v>
      </c>
      <c r="J2693" t="s">
        <v>16</v>
      </c>
      <c r="K2693" t="s">
        <v>185</v>
      </c>
      <c r="N2693">
        <v>0</v>
      </c>
      <c r="O2693" t="s">
        <v>222</v>
      </c>
      <c r="P2693">
        <v>0</v>
      </c>
      <c r="U2693" s="15"/>
    </row>
    <row r="2694" spans="1:21" x14ac:dyDescent="0.35">
      <c r="A2694" t="s">
        <v>14</v>
      </c>
      <c r="B2694" t="s">
        <v>15</v>
      </c>
      <c r="C2694" t="s">
        <v>365</v>
      </c>
      <c r="D2694" t="s">
        <v>366</v>
      </c>
      <c r="E2694" t="s">
        <v>367</v>
      </c>
      <c r="F2694" t="s">
        <v>21</v>
      </c>
      <c r="G2694" t="s">
        <v>2365</v>
      </c>
      <c r="H2694" s="15">
        <v>46182</v>
      </c>
      <c r="I2694" t="s">
        <v>2366</v>
      </c>
      <c r="J2694" t="s">
        <v>16</v>
      </c>
      <c r="K2694" t="s">
        <v>185</v>
      </c>
      <c r="N2694">
        <v>0</v>
      </c>
      <c r="O2694" t="s">
        <v>222</v>
      </c>
      <c r="P2694">
        <v>0</v>
      </c>
      <c r="U2694" s="15"/>
    </row>
    <row r="2695" spans="1:21" x14ac:dyDescent="0.35">
      <c r="A2695" t="s">
        <v>14</v>
      </c>
      <c r="B2695" t="s">
        <v>15</v>
      </c>
      <c r="C2695" t="s">
        <v>424</v>
      </c>
      <c r="D2695" t="s">
        <v>425</v>
      </c>
      <c r="E2695" t="s">
        <v>426</v>
      </c>
      <c r="F2695" t="s">
        <v>21</v>
      </c>
      <c r="G2695" t="s">
        <v>2365</v>
      </c>
      <c r="H2695" s="15">
        <v>46182</v>
      </c>
      <c r="I2695" t="s">
        <v>2367</v>
      </c>
      <c r="J2695" t="s">
        <v>16</v>
      </c>
      <c r="K2695" t="s">
        <v>185</v>
      </c>
      <c r="N2695">
        <v>0</v>
      </c>
      <c r="O2695" t="s">
        <v>222</v>
      </c>
      <c r="P2695">
        <v>0</v>
      </c>
      <c r="U2695" s="15"/>
    </row>
    <row r="2696" spans="1:21" x14ac:dyDescent="0.35">
      <c r="A2696" t="s">
        <v>14</v>
      </c>
      <c r="B2696" t="s">
        <v>15</v>
      </c>
      <c r="C2696" t="s">
        <v>407</v>
      </c>
      <c r="D2696" t="s">
        <v>408</v>
      </c>
      <c r="E2696" t="s">
        <v>409</v>
      </c>
      <c r="F2696" t="s">
        <v>21</v>
      </c>
      <c r="G2696" t="s">
        <v>2368</v>
      </c>
      <c r="H2696" s="15">
        <v>46183</v>
      </c>
      <c r="I2696" t="s">
        <v>2369</v>
      </c>
      <c r="J2696" t="s">
        <v>16</v>
      </c>
      <c r="K2696" t="s">
        <v>185</v>
      </c>
      <c r="N2696">
        <v>0</v>
      </c>
      <c r="O2696" t="s">
        <v>222</v>
      </c>
      <c r="P2696">
        <v>0</v>
      </c>
      <c r="U2696" s="15"/>
    </row>
    <row r="2697" spans="1:21" x14ac:dyDescent="0.35">
      <c r="A2697" t="s">
        <v>14</v>
      </c>
      <c r="B2697" t="s">
        <v>15</v>
      </c>
      <c r="C2697" t="s">
        <v>407</v>
      </c>
      <c r="D2697" t="s">
        <v>408</v>
      </c>
      <c r="E2697" t="s">
        <v>409</v>
      </c>
      <c r="F2697" t="s">
        <v>21</v>
      </c>
      <c r="G2697" t="s">
        <v>2368</v>
      </c>
      <c r="H2697" s="15">
        <v>46183</v>
      </c>
      <c r="I2697" t="s">
        <v>2369</v>
      </c>
      <c r="J2697" t="s">
        <v>16</v>
      </c>
      <c r="K2697" t="s">
        <v>185</v>
      </c>
      <c r="N2697">
        <v>0</v>
      </c>
      <c r="O2697" t="s">
        <v>222</v>
      </c>
      <c r="P2697">
        <v>0</v>
      </c>
      <c r="U2697" s="15"/>
    </row>
    <row r="2698" spans="1:21" x14ac:dyDescent="0.35">
      <c r="A2698" t="s">
        <v>14</v>
      </c>
      <c r="B2698" t="s">
        <v>15</v>
      </c>
      <c r="C2698" t="s">
        <v>445</v>
      </c>
      <c r="D2698" t="s">
        <v>446</v>
      </c>
      <c r="E2698" t="s">
        <v>447</v>
      </c>
      <c r="F2698" t="s">
        <v>21</v>
      </c>
      <c r="G2698" t="s">
        <v>2368</v>
      </c>
      <c r="H2698" s="15">
        <v>46183</v>
      </c>
      <c r="I2698" t="s">
        <v>2370</v>
      </c>
      <c r="J2698" t="s">
        <v>16</v>
      </c>
      <c r="K2698" t="s">
        <v>185</v>
      </c>
      <c r="N2698">
        <v>0</v>
      </c>
      <c r="O2698" t="s">
        <v>222</v>
      </c>
      <c r="P2698">
        <v>0</v>
      </c>
      <c r="U2698" s="15"/>
    </row>
    <row r="2699" spans="1:21" x14ac:dyDescent="0.35">
      <c r="A2699" t="s">
        <v>14</v>
      </c>
      <c r="B2699" t="s">
        <v>15</v>
      </c>
      <c r="C2699" t="s">
        <v>445</v>
      </c>
      <c r="D2699" t="s">
        <v>446</v>
      </c>
      <c r="E2699" t="s">
        <v>447</v>
      </c>
      <c r="F2699" t="s">
        <v>21</v>
      </c>
      <c r="G2699" t="s">
        <v>2368</v>
      </c>
      <c r="H2699" s="15">
        <v>46183</v>
      </c>
      <c r="I2699" t="s">
        <v>2370</v>
      </c>
      <c r="J2699" t="s">
        <v>16</v>
      </c>
      <c r="K2699" t="s">
        <v>185</v>
      </c>
      <c r="N2699">
        <v>0</v>
      </c>
      <c r="O2699" t="s">
        <v>222</v>
      </c>
      <c r="P2699">
        <v>0</v>
      </c>
      <c r="U2699" s="15"/>
    </row>
    <row r="2700" spans="1:21" x14ac:dyDescent="0.35">
      <c r="A2700" t="s">
        <v>14</v>
      </c>
      <c r="B2700" t="s">
        <v>15</v>
      </c>
      <c r="C2700" t="s">
        <v>407</v>
      </c>
      <c r="D2700" t="s">
        <v>408</v>
      </c>
      <c r="E2700" t="s">
        <v>409</v>
      </c>
      <c r="F2700" t="s">
        <v>21</v>
      </c>
      <c r="G2700" t="s">
        <v>2371</v>
      </c>
      <c r="H2700" s="15">
        <v>46184</v>
      </c>
      <c r="I2700" t="s">
        <v>2372</v>
      </c>
      <c r="J2700" t="s">
        <v>16</v>
      </c>
      <c r="K2700" t="s">
        <v>185</v>
      </c>
      <c r="N2700">
        <v>0</v>
      </c>
      <c r="O2700" t="s">
        <v>222</v>
      </c>
      <c r="P2700">
        <v>0</v>
      </c>
      <c r="U2700" s="15"/>
    </row>
    <row r="2701" spans="1:21" x14ac:dyDescent="0.35">
      <c r="A2701" t="s">
        <v>14</v>
      </c>
      <c r="B2701" t="s">
        <v>15</v>
      </c>
      <c r="C2701" t="s">
        <v>445</v>
      </c>
      <c r="D2701" t="s">
        <v>446</v>
      </c>
      <c r="E2701" t="s">
        <v>447</v>
      </c>
      <c r="F2701" t="s">
        <v>21</v>
      </c>
      <c r="G2701" t="s">
        <v>2371</v>
      </c>
      <c r="H2701" s="15">
        <v>46184</v>
      </c>
      <c r="I2701" t="s">
        <v>2373</v>
      </c>
      <c r="J2701" t="s">
        <v>16</v>
      </c>
      <c r="K2701" t="s">
        <v>185</v>
      </c>
      <c r="N2701">
        <v>0</v>
      </c>
      <c r="O2701" t="s">
        <v>222</v>
      </c>
      <c r="P2701">
        <v>0</v>
      </c>
      <c r="U2701" s="15"/>
    </row>
    <row r="2702" spans="1:21" x14ac:dyDescent="0.35">
      <c r="A2702" t="s">
        <v>14</v>
      </c>
      <c r="B2702" t="s">
        <v>15</v>
      </c>
      <c r="C2702" t="s">
        <v>396</v>
      </c>
      <c r="D2702" t="s">
        <v>397</v>
      </c>
      <c r="E2702" t="s">
        <v>398</v>
      </c>
      <c r="F2702" t="s">
        <v>21</v>
      </c>
      <c r="G2702" t="s">
        <v>2374</v>
      </c>
      <c r="H2702" s="15">
        <v>46190</v>
      </c>
      <c r="I2702" t="s">
        <v>2375</v>
      </c>
      <c r="J2702" t="s">
        <v>16</v>
      </c>
      <c r="K2702" t="s">
        <v>185</v>
      </c>
      <c r="N2702">
        <v>0</v>
      </c>
      <c r="O2702" t="s">
        <v>222</v>
      </c>
      <c r="P2702">
        <v>0</v>
      </c>
      <c r="U2702" s="15"/>
    </row>
    <row r="2703" spans="1:21" x14ac:dyDescent="0.35">
      <c r="A2703" t="s">
        <v>14</v>
      </c>
      <c r="B2703" t="s">
        <v>15</v>
      </c>
      <c r="C2703" t="s">
        <v>396</v>
      </c>
      <c r="D2703" t="s">
        <v>397</v>
      </c>
      <c r="E2703" t="s">
        <v>398</v>
      </c>
      <c r="F2703" t="s">
        <v>21</v>
      </c>
      <c r="G2703" t="s">
        <v>2376</v>
      </c>
      <c r="H2703" s="15">
        <v>46191</v>
      </c>
      <c r="I2703" t="s">
        <v>2377</v>
      </c>
      <c r="J2703" t="s">
        <v>16</v>
      </c>
      <c r="K2703" t="s">
        <v>185</v>
      </c>
      <c r="N2703">
        <v>0</v>
      </c>
      <c r="O2703" t="s">
        <v>222</v>
      </c>
      <c r="P2703">
        <v>0</v>
      </c>
      <c r="U2703" s="15"/>
    </row>
    <row r="2704" spans="1:21" x14ac:dyDescent="0.35">
      <c r="A2704" t="s">
        <v>14</v>
      </c>
      <c r="B2704" t="s">
        <v>15</v>
      </c>
      <c r="C2704" t="s">
        <v>365</v>
      </c>
      <c r="D2704" t="s">
        <v>366</v>
      </c>
      <c r="E2704" t="s">
        <v>367</v>
      </c>
      <c r="F2704" t="s">
        <v>21</v>
      </c>
      <c r="G2704" t="s">
        <v>2378</v>
      </c>
      <c r="H2704" s="15">
        <v>46192</v>
      </c>
      <c r="I2704" t="s">
        <v>2379</v>
      </c>
      <c r="J2704" t="s">
        <v>16</v>
      </c>
      <c r="K2704" t="s">
        <v>185</v>
      </c>
      <c r="N2704">
        <v>0</v>
      </c>
      <c r="O2704" t="s">
        <v>222</v>
      </c>
      <c r="P2704">
        <v>0</v>
      </c>
      <c r="U2704" s="15"/>
    </row>
    <row r="2705" spans="1:21" x14ac:dyDescent="0.35">
      <c r="A2705" t="s">
        <v>14</v>
      </c>
      <c r="B2705" t="s">
        <v>15</v>
      </c>
      <c r="C2705" t="s">
        <v>424</v>
      </c>
      <c r="D2705" t="s">
        <v>425</v>
      </c>
      <c r="E2705" t="s">
        <v>426</v>
      </c>
      <c r="F2705" t="s">
        <v>21</v>
      </c>
      <c r="G2705" t="s">
        <v>2378</v>
      </c>
      <c r="H2705" s="15">
        <v>46192</v>
      </c>
      <c r="I2705" t="s">
        <v>2380</v>
      </c>
      <c r="J2705" t="s">
        <v>16</v>
      </c>
      <c r="K2705" t="s">
        <v>185</v>
      </c>
      <c r="N2705">
        <v>0</v>
      </c>
      <c r="O2705" t="s">
        <v>222</v>
      </c>
      <c r="P2705">
        <v>0</v>
      </c>
      <c r="U2705" s="15"/>
    </row>
    <row r="2706" spans="1:21" x14ac:dyDescent="0.35">
      <c r="A2706" t="s">
        <v>14</v>
      </c>
      <c r="B2706" t="s">
        <v>15</v>
      </c>
      <c r="C2706" t="s">
        <v>365</v>
      </c>
      <c r="D2706" t="s">
        <v>366</v>
      </c>
      <c r="E2706" t="s">
        <v>367</v>
      </c>
      <c r="F2706" t="s">
        <v>21</v>
      </c>
      <c r="G2706" t="s">
        <v>2381</v>
      </c>
      <c r="H2706" s="15">
        <v>46193</v>
      </c>
      <c r="I2706" t="s">
        <v>2382</v>
      </c>
      <c r="J2706" t="s">
        <v>16</v>
      </c>
      <c r="K2706" t="s">
        <v>185</v>
      </c>
      <c r="N2706">
        <v>0</v>
      </c>
      <c r="O2706" t="s">
        <v>222</v>
      </c>
      <c r="P2706">
        <v>0</v>
      </c>
      <c r="U2706" s="15"/>
    </row>
    <row r="2707" spans="1:21" x14ac:dyDescent="0.35">
      <c r="A2707" t="s">
        <v>14</v>
      </c>
      <c r="B2707" t="s">
        <v>15</v>
      </c>
      <c r="C2707" t="s">
        <v>424</v>
      </c>
      <c r="D2707" t="s">
        <v>425</v>
      </c>
      <c r="E2707" t="s">
        <v>426</v>
      </c>
      <c r="F2707" t="s">
        <v>21</v>
      </c>
      <c r="G2707" t="s">
        <v>2381</v>
      </c>
      <c r="H2707" s="15">
        <v>46193</v>
      </c>
      <c r="I2707" t="s">
        <v>2383</v>
      </c>
      <c r="J2707" t="s">
        <v>16</v>
      </c>
      <c r="K2707" t="s">
        <v>185</v>
      </c>
      <c r="N2707">
        <v>0</v>
      </c>
      <c r="O2707" t="s">
        <v>222</v>
      </c>
      <c r="P2707">
        <v>0</v>
      </c>
      <c r="U2707" s="15"/>
    </row>
    <row r="2708" spans="1:21" x14ac:dyDescent="0.35">
      <c r="A2708" t="s">
        <v>14</v>
      </c>
      <c r="B2708" t="s">
        <v>15</v>
      </c>
      <c r="C2708" t="s">
        <v>365</v>
      </c>
      <c r="D2708" t="s">
        <v>366</v>
      </c>
      <c r="E2708" t="s">
        <v>367</v>
      </c>
      <c r="F2708" t="s">
        <v>21</v>
      </c>
      <c r="G2708" t="s">
        <v>2384</v>
      </c>
      <c r="H2708" s="15">
        <v>46195</v>
      </c>
      <c r="I2708" t="s">
        <v>2385</v>
      </c>
      <c r="J2708" t="s">
        <v>16</v>
      </c>
      <c r="K2708" t="s">
        <v>185</v>
      </c>
      <c r="N2708">
        <v>0</v>
      </c>
      <c r="O2708" t="s">
        <v>222</v>
      </c>
      <c r="P2708">
        <v>0</v>
      </c>
      <c r="U2708" s="15"/>
    </row>
    <row r="2709" spans="1:21" x14ac:dyDescent="0.35">
      <c r="A2709" t="s">
        <v>14</v>
      </c>
      <c r="B2709" t="s">
        <v>15</v>
      </c>
      <c r="C2709" t="s">
        <v>424</v>
      </c>
      <c r="D2709" t="s">
        <v>425</v>
      </c>
      <c r="E2709" t="s">
        <v>426</v>
      </c>
      <c r="F2709" t="s">
        <v>21</v>
      </c>
      <c r="G2709" t="s">
        <v>2384</v>
      </c>
      <c r="H2709" s="15">
        <v>46195</v>
      </c>
      <c r="I2709" t="s">
        <v>2386</v>
      </c>
      <c r="J2709" t="s">
        <v>16</v>
      </c>
      <c r="K2709" t="s">
        <v>185</v>
      </c>
      <c r="N2709">
        <v>0</v>
      </c>
      <c r="O2709" t="s">
        <v>222</v>
      </c>
      <c r="P2709">
        <v>0</v>
      </c>
      <c r="U2709" s="15"/>
    </row>
    <row r="2710" spans="1:21" x14ac:dyDescent="0.35">
      <c r="A2710" t="s">
        <v>14</v>
      </c>
      <c r="B2710" t="s">
        <v>15</v>
      </c>
      <c r="C2710" t="s">
        <v>365</v>
      </c>
      <c r="D2710" t="s">
        <v>366</v>
      </c>
      <c r="E2710" t="s">
        <v>367</v>
      </c>
      <c r="F2710" t="s">
        <v>21</v>
      </c>
      <c r="G2710" t="s">
        <v>2387</v>
      </c>
      <c r="H2710" s="15">
        <v>46196</v>
      </c>
      <c r="I2710" t="s">
        <v>2388</v>
      </c>
      <c r="J2710" t="s">
        <v>16</v>
      </c>
      <c r="K2710" t="s">
        <v>185</v>
      </c>
      <c r="N2710">
        <v>0</v>
      </c>
      <c r="O2710" t="s">
        <v>222</v>
      </c>
      <c r="P2710">
        <v>0</v>
      </c>
      <c r="U2710" s="15"/>
    </row>
    <row r="2711" spans="1:21" x14ac:dyDescent="0.35">
      <c r="A2711" t="s">
        <v>14</v>
      </c>
      <c r="B2711" t="s">
        <v>15</v>
      </c>
      <c r="C2711" t="s">
        <v>424</v>
      </c>
      <c r="D2711" t="s">
        <v>425</v>
      </c>
      <c r="E2711" t="s">
        <v>426</v>
      </c>
      <c r="F2711" t="s">
        <v>21</v>
      </c>
      <c r="G2711" t="s">
        <v>2387</v>
      </c>
      <c r="H2711" s="15">
        <v>46196</v>
      </c>
      <c r="I2711" t="s">
        <v>2389</v>
      </c>
      <c r="J2711" t="s">
        <v>16</v>
      </c>
      <c r="K2711" t="s">
        <v>185</v>
      </c>
      <c r="N2711">
        <v>0</v>
      </c>
      <c r="O2711" t="s">
        <v>222</v>
      </c>
      <c r="P2711">
        <v>0</v>
      </c>
      <c r="U2711" s="15"/>
    </row>
    <row r="2712" spans="1:21" x14ac:dyDescent="0.35">
      <c r="A2712" t="s">
        <v>14</v>
      </c>
      <c r="B2712" t="s">
        <v>15</v>
      </c>
      <c r="C2712" t="s">
        <v>365</v>
      </c>
      <c r="D2712" t="s">
        <v>366</v>
      </c>
      <c r="E2712" t="s">
        <v>367</v>
      </c>
      <c r="F2712" t="s">
        <v>21</v>
      </c>
      <c r="G2712" t="s">
        <v>2390</v>
      </c>
      <c r="H2712" s="15">
        <v>46197</v>
      </c>
      <c r="I2712" t="s">
        <v>2391</v>
      </c>
      <c r="J2712" t="s">
        <v>16</v>
      </c>
      <c r="K2712" t="s">
        <v>185</v>
      </c>
      <c r="N2712">
        <v>0</v>
      </c>
      <c r="O2712" t="s">
        <v>222</v>
      </c>
      <c r="P2712">
        <v>0</v>
      </c>
      <c r="U2712" s="15"/>
    </row>
    <row r="2713" spans="1:21" x14ac:dyDescent="0.35">
      <c r="A2713" t="s">
        <v>14</v>
      </c>
      <c r="B2713" t="s">
        <v>15</v>
      </c>
      <c r="C2713" t="s">
        <v>424</v>
      </c>
      <c r="D2713" t="s">
        <v>425</v>
      </c>
      <c r="E2713" t="s">
        <v>426</v>
      </c>
      <c r="F2713" t="s">
        <v>21</v>
      </c>
      <c r="G2713" t="s">
        <v>2390</v>
      </c>
      <c r="H2713" s="15">
        <v>46197</v>
      </c>
      <c r="I2713" t="s">
        <v>2392</v>
      </c>
      <c r="J2713" t="s">
        <v>16</v>
      </c>
      <c r="K2713" t="s">
        <v>185</v>
      </c>
      <c r="N2713">
        <v>0</v>
      </c>
      <c r="O2713" t="s">
        <v>222</v>
      </c>
      <c r="P2713">
        <v>0</v>
      </c>
      <c r="U2713" s="15"/>
    </row>
    <row r="2714" spans="1:21" x14ac:dyDescent="0.35">
      <c r="A2714" t="s">
        <v>14</v>
      </c>
      <c r="B2714" t="s">
        <v>15</v>
      </c>
      <c r="C2714" t="s">
        <v>407</v>
      </c>
      <c r="D2714" t="s">
        <v>408</v>
      </c>
      <c r="E2714" t="s">
        <v>409</v>
      </c>
      <c r="F2714" t="s">
        <v>21</v>
      </c>
      <c r="G2714" t="s">
        <v>2393</v>
      </c>
      <c r="H2714" s="15">
        <v>46198</v>
      </c>
      <c r="I2714" t="s">
        <v>2394</v>
      </c>
      <c r="J2714" t="s">
        <v>16</v>
      </c>
      <c r="K2714" t="s">
        <v>185</v>
      </c>
      <c r="N2714">
        <v>0</v>
      </c>
      <c r="O2714" t="s">
        <v>222</v>
      </c>
      <c r="P2714">
        <v>0</v>
      </c>
      <c r="U2714" s="15"/>
    </row>
    <row r="2715" spans="1:21" x14ac:dyDescent="0.35">
      <c r="A2715" t="s">
        <v>14</v>
      </c>
      <c r="B2715" t="s">
        <v>15</v>
      </c>
      <c r="C2715" t="s">
        <v>445</v>
      </c>
      <c r="D2715" t="s">
        <v>446</v>
      </c>
      <c r="E2715" t="s">
        <v>447</v>
      </c>
      <c r="F2715" t="s">
        <v>21</v>
      </c>
      <c r="G2715" t="s">
        <v>2393</v>
      </c>
      <c r="H2715" s="15">
        <v>46198</v>
      </c>
      <c r="I2715" t="s">
        <v>2395</v>
      </c>
      <c r="J2715" t="s">
        <v>16</v>
      </c>
      <c r="K2715" t="s">
        <v>185</v>
      </c>
      <c r="N2715">
        <v>0</v>
      </c>
      <c r="O2715" t="s">
        <v>222</v>
      </c>
      <c r="P2715">
        <v>0</v>
      </c>
      <c r="U2715" s="15"/>
    </row>
    <row r="2716" spans="1:21" x14ac:dyDescent="0.35">
      <c r="A2716" t="s">
        <v>14</v>
      </c>
      <c r="B2716" t="s">
        <v>15</v>
      </c>
      <c r="C2716" t="s">
        <v>407</v>
      </c>
      <c r="D2716" t="s">
        <v>408</v>
      </c>
      <c r="E2716" t="s">
        <v>409</v>
      </c>
      <c r="F2716" t="s">
        <v>21</v>
      </c>
      <c r="G2716" t="s">
        <v>2396</v>
      </c>
      <c r="H2716" s="15">
        <v>46202</v>
      </c>
      <c r="I2716" t="s">
        <v>2397</v>
      </c>
      <c r="J2716" t="s">
        <v>16</v>
      </c>
      <c r="K2716" t="s">
        <v>185</v>
      </c>
      <c r="N2716">
        <v>0</v>
      </c>
      <c r="O2716" t="s">
        <v>222</v>
      </c>
      <c r="P2716">
        <v>0</v>
      </c>
      <c r="U2716" s="15"/>
    </row>
    <row r="2717" spans="1:21" x14ac:dyDescent="0.35">
      <c r="A2717" t="s">
        <v>14</v>
      </c>
      <c r="B2717" t="s">
        <v>15</v>
      </c>
      <c r="C2717" t="s">
        <v>407</v>
      </c>
      <c r="D2717" t="s">
        <v>408</v>
      </c>
      <c r="E2717" t="s">
        <v>409</v>
      </c>
      <c r="F2717" t="s">
        <v>21</v>
      </c>
      <c r="G2717" t="s">
        <v>4938</v>
      </c>
      <c r="H2717" s="15">
        <v>46203</v>
      </c>
      <c r="I2717" t="s">
        <v>4939</v>
      </c>
      <c r="J2717" t="s">
        <v>16</v>
      </c>
      <c r="K2717" t="s">
        <v>185</v>
      </c>
      <c r="N2717">
        <v>0</v>
      </c>
      <c r="O2717" t="s">
        <v>222</v>
      </c>
      <c r="P2717">
        <v>0</v>
      </c>
      <c r="U2717" s="15"/>
    </row>
    <row r="2718" spans="1:21" x14ac:dyDescent="0.35">
      <c r="A2718" t="s">
        <v>14</v>
      </c>
      <c r="B2718" t="s">
        <v>15</v>
      </c>
      <c r="C2718" t="s">
        <v>4940</v>
      </c>
      <c r="D2718" t="s">
        <v>4941</v>
      </c>
      <c r="E2718" t="s">
        <v>4942</v>
      </c>
      <c r="F2718" t="s">
        <v>21</v>
      </c>
      <c r="G2718" t="s">
        <v>4943</v>
      </c>
      <c r="H2718" s="15">
        <v>46204</v>
      </c>
      <c r="I2718" t="s">
        <v>4944</v>
      </c>
      <c r="J2718" t="s">
        <v>16</v>
      </c>
      <c r="K2718" t="s">
        <v>185</v>
      </c>
      <c r="N2718">
        <v>3885</v>
      </c>
      <c r="O2718" t="s">
        <v>222</v>
      </c>
      <c r="P2718">
        <v>19.863422</v>
      </c>
      <c r="U2718" s="15"/>
    </row>
    <row r="2719" spans="1:21" x14ac:dyDescent="0.35">
      <c r="A2719" t="s">
        <v>14</v>
      </c>
      <c r="B2719" t="s">
        <v>15</v>
      </c>
      <c r="C2719" t="s">
        <v>365</v>
      </c>
      <c r="D2719" t="s">
        <v>366</v>
      </c>
      <c r="E2719" t="s">
        <v>367</v>
      </c>
      <c r="F2719" t="s">
        <v>21</v>
      </c>
      <c r="G2719" t="s">
        <v>4943</v>
      </c>
      <c r="H2719" s="15">
        <v>46204</v>
      </c>
      <c r="I2719" t="s">
        <v>4945</v>
      </c>
      <c r="J2719" t="s">
        <v>16</v>
      </c>
      <c r="K2719" t="s">
        <v>185</v>
      </c>
      <c r="N2719">
        <v>5390</v>
      </c>
      <c r="O2719" t="s">
        <v>222</v>
      </c>
      <c r="P2719">
        <v>27.511234000000002</v>
      </c>
      <c r="U2719" s="15"/>
    </row>
    <row r="2720" spans="1:21" x14ac:dyDescent="0.35">
      <c r="A2720" t="s">
        <v>14</v>
      </c>
      <c r="B2720" t="s">
        <v>15</v>
      </c>
      <c r="C2720" t="s">
        <v>365</v>
      </c>
      <c r="D2720" t="s">
        <v>366</v>
      </c>
      <c r="E2720" t="s">
        <v>367</v>
      </c>
      <c r="F2720" t="s">
        <v>21</v>
      </c>
      <c r="G2720" t="s">
        <v>4946</v>
      </c>
      <c r="H2720" s="15">
        <v>46205</v>
      </c>
      <c r="I2720" t="s">
        <v>4947</v>
      </c>
      <c r="J2720" t="s">
        <v>16</v>
      </c>
      <c r="K2720" t="s">
        <v>185</v>
      </c>
      <c r="N2720">
        <v>9003</v>
      </c>
      <c r="O2720" t="s">
        <v>222</v>
      </c>
      <c r="P2720">
        <v>46.109540000000003</v>
      </c>
      <c r="U2720" s="1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E8A30-BBE0-486E-9761-2ECFD2DD05F5}">
  <sheetPr codeName="Sheet2"/>
  <dimension ref="A1:G43"/>
  <sheetViews>
    <sheetView workbookViewId="0">
      <selection activeCell="F1" sqref="F1"/>
    </sheetView>
  </sheetViews>
  <sheetFormatPr defaultRowHeight="14.5" x14ac:dyDescent="0.35"/>
  <cols>
    <col min="1" max="1" width="15.90625" customWidth="1"/>
    <col min="2" max="2" width="13.7265625" customWidth="1"/>
    <col min="3" max="3" width="1.6328125" customWidth="1"/>
    <col min="6" max="6" width="35.1796875" bestFit="1" customWidth="1"/>
    <col min="7" max="7" width="11" bestFit="1" customWidth="1"/>
    <col min="8" max="8" width="11.6328125" bestFit="1" customWidth="1"/>
    <col min="9" max="9" width="10.26953125" bestFit="1" customWidth="1"/>
    <col min="10" max="10" width="19.6328125" bestFit="1" customWidth="1"/>
    <col min="11" max="11" width="38.453125" bestFit="1" customWidth="1"/>
    <col min="12" max="12" width="12.7265625" bestFit="1" customWidth="1"/>
    <col min="13" max="13" width="11.81640625" bestFit="1" customWidth="1"/>
    <col min="14" max="14" width="11.26953125" bestFit="1" customWidth="1"/>
    <col min="15" max="15" width="10.54296875" bestFit="1" customWidth="1"/>
    <col min="16" max="16" width="16" bestFit="1" customWidth="1"/>
    <col min="17" max="17" width="24.08984375" bestFit="1" customWidth="1"/>
    <col min="18" max="18" width="18.81640625" bestFit="1" customWidth="1"/>
    <col min="19" max="23" width="7.26953125" bestFit="1" customWidth="1"/>
    <col min="24" max="27" width="6.26953125" bestFit="1" customWidth="1"/>
  </cols>
  <sheetData>
    <row r="1" spans="1:7" x14ac:dyDescent="0.35">
      <c r="A1" s="4" t="s">
        <v>156</v>
      </c>
      <c r="B1" s="4" t="s">
        <v>18</v>
      </c>
      <c r="C1" s="4"/>
      <c r="D1" t="s">
        <v>175</v>
      </c>
      <c r="E1">
        <v>3</v>
      </c>
      <c r="F1" s="27">
        <f>Form!$F$2</f>
        <v>46224</v>
      </c>
      <c r="G1" t="s">
        <v>11</v>
      </c>
    </row>
    <row r="2" spans="1:7" x14ac:dyDescent="0.35">
      <c r="A2" s="4" t="s">
        <v>157</v>
      </c>
      <c r="B2" s="4" t="s">
        <v>119</v>
      </c>
      <c r="C2" s="4"/>
      <c r="D2" t="s">
        <v>176</v>
      </c>
      <c r="E2">
        <v>2</v>
      </c>
      <c r="F2" s="13" t="str">
        <f>IFERROR(INDEX(APlan!$I$2:$I$100051,
_xlfn.AGGREGATE(15,6,
(ROW(APlan!$L$2:$L$100051)-ROW(APlan!$L$2)+1)/
(APlan!$L$2:$L$100051=$F$1),
ROWS(F2:F$2))),
"")</f>
        <v xml:space="preserve">ครอบสันหลังคาเพรสทีจ ช็อคโก้ บราวน์*N   </v>
      </c>
      <c r="G2" s="26">
        <v>46224</v>
      </c>
    </row>
    <row r="3" spans="1:7" x14ac:dyDescent="0.35">
      <c r="A3" s="4" t="s">
        <v>158</v>
      </c>
      <c r="B3" s="4" t="s">
        <v>58</v>
      </c>
      <c r="C3" s="4"/>
      <c r="D3" t="s">
        <v>177</v>
      </c>
      <c r="E3">
        <v>5</v>
      </c>
      <c r="F3" s="13" t="str">
        <f>IFERROR(INDEX(APlan!$I$2:$I$100051,
_xlfn.AGGREGATE(15,6,
(ROW(APlan!$L$2:$L$100051)-ROW(APlan!$L$2)+1)/
(APlan!$L$2:$L$100051=$F$1),
ROWS(F$2:F3))),
"")</f>
        <v xml:space="preserve">ครอบข้าง_SEAMLESS ช็อคโก้ บราวน์*N      </v>
      </c>
      <c r="G3" s="26">
        <v>46223</v>
      </c>
    </row>
    <row r="4" spans="1:7" x14ac:dyDescent="0.35">
      <c r="A4" s="4" t="s">
        <v>159</v>
      </c>
      <c r="B4" s="4" t="s">
        <v>22</v>
      </c>
      <c r="C4" s="4"/>
      <c r="D4" t="s">
        <v>174</v>
      </c>
      <c r="E4">
        <v>3</v>
      </c>
      <c r="F4" s="13" t="str">
        <f>IFERROR(INDEX(APlan!$I$2:$I$100051,
_xlfn.AGGREGATE(15,6,
(ROW(APlan!$L$2:$L$100051)-ROW(APlan!$L$2)+1)/
(APlan!$L$2:$L$100051=$F$1),
ROWS(F$2:F4))),
"")</f>
        <v xml:space="preserve">ครอบตะเข้สันเพรสทีจ ช็อคโก้ บราวน์*N    </v>
      </c>
      <c r="G4" s="26">
        <v>46221</v>
      </c>
    </row>
    <row r="5" spans="1:7" x14ac:dyDescent="0.35">
      <c r="A5" s="4" t="s">
        <v>160</v>
      </c>
      <c r="B5" s="4" t="s">
        <v>25</v>
      </c>
      <c r="C5" s="4"/>
      <c r="D5" t="s">
        <v>178</v>
      </c>
      <c r="E5">
        <v>4</v>
      </c>
      <c r="F5" s="13" t="str">
        <f>IFERROR(INDEX(APlan!$I$2:$I$100051,
_xlfn.AGGREGATE(15,6,
(ROW(APlan!$L$2:$L$100051)-ROW(APlan!$L$2)+1)/
(APlan!$L$2:$L$100051=$F$1),
ROWS(F$2:F5))),
"")</f>
        <v/>
      </c>
      <c r="G5" s="26">
        <v>46220</v>
      </c>
    </row>
    <row r="6" spans="1:7" x14ac:dyDescent="0.35">
      <c r="A6" s="4" t="s">
        <v>161</v>
      </c>
      <c r="B6" s="4" t="s">
        <v>20</v>
      </c>
      <c r="C6" s="4"/>
      <c r="D6" t="s">
        <v>179</v>
      </c>
      <c r="E6">
        <v>5</v>
      </c>
      <c r="F6" s="13" t="str">
        <f>IFERROR(INDEX(APlan!$I$2:$I$100051,
_xlfn.AGGREGATE(15,6,
(ROW(APlan!$L$2:$L$100051)-ROW(APlan!$L$2)+1)/
(APlan!$L$2:$L$100051=$F$1),
ROWS(F$2:F6))),
"")</f>
        <v/>
      </c>
      <c r="G6" s="26">
        <v>46219</v>
      </c>
    </row>
    <row r="7" spans="1:7" x14ac:dyDescent="0.35">
      <c r="D7" t="s">
        <v>180</v>
      </c>
      <c r="E7">
        <v>3</v>
      </c>
      <c r="F7" s="13" t="str">
        <f>IFERROR(INDEX(APlan!$I$2:$I$100051,
_xlfn.AGGREGATE(15,6,
(ROW(APlan!$L$2:$L$100051)-ROW(APlan!$L$2)+1)/
(APlan!$L$2:$L$100051=$F$1),
ROWS(F$2:F7))),
"")</f>
        <v/>
      </c>
      <c r="G7" s="26">
        <v>46218</v>
      </c>
    </row>
    <row r="8" spans="1:7" x14ac:dyDescent="0.35">
      <c r="D8" t="s">
        <v>181</v>
      </c>
      <c r="E8">
        <v>3</v>
      </c>
      <c r="F8" s="13" t="str">
        <f>IFERROR(INDEX(APlan!$I$2:$I$100051,
_xlfn.AGGREGATE(15,6,
(ROW(APlan!$L$2:$L$100051)-ROW(APlan!$L$2)+1)/
(APlan!$L$2:$L$100051=$F$1),
ROWS(F$2:F8))),
"")</f>
        <v/>
      </c>
      <c r="G8" s="26">
        <v>46217</v>
      </c>
    </row>
    <row r="9" spans="1:7" x14ac:dyDescent="0.35">
      <c r="D9" t="s">
        <v>182</v>
      </c>
      <c r="E9">
        <v>10</v>
      </c>
      <c r="F9" s="13" t="str">
        <f>IFERROR(INDEX(APlan!$I$2:$I$100051,
_xlfn.AGGREGATE(15,6,
(ROW(APlan!$L$2:$L$100051)-ROW(APlan!$L$2)+1)/
(APlan!$L$2:$L$100051=$F$1),
ROWS(F$2:F9))),
"")</f>
        <v/>
      </c>
      <c r="G9" s="26">
        <v>46216</v>
      </c>
    </row>
    <row r="10" spans="1:7" x14ac:dyDescent="0.35">
      <c r="D10" t="s">
        <v>183</v>
      </c>
      <c r="E10">
        <v>10</v>
      </c>
      <c r="F10" s="13" t="str">
        <f>IFERROR(INDEX(APlan!$I$2:$I$100051,
_xlfn.AGGREGATE(15,6,
(ROW(APlan!$L$2:$L$100051)-ROW(APlan!$L$2)+1)/
(APlan!$L$2:$L$100051=$F$1),
ROWS(F$2:F10))),
"")</f>
        <v/>
      </c>
      <c r="G10" s="26">
        <v>46214</v>
      </c>
    </row>
    <row r="11" spans="1:7" x14ac:dyDescent="0.35">
      <c r="F11" s="13" t="str">
        <f>IFERROR(INDEX(APlan!$I$2:$I$100051,
_xlfn.AGGREGATE(15,6,
(ROW(APlan!$L$2:$L$100051)-ROW(APlan!$L$2)+1)/
(APlan!$L$2:$L$100051=$F$1),
ROWS(F$2:F11))),
"")</f>
        <v/>
      </c>
      <c r="G11" s="26">
        <v>46213</v>
      </c>
    </row>
    <row r="12" spans="1:7" x14ac:dyDescent="0.35">
      <c r="G12" s="26">
        <v>46212</v>
      </c>
    </row>
    <row r="13" spans="1:7" x14ac:dyDescent="0.35">
      <c r="G13" s="26">
        <v>46211</v>
      </c>
    </row>
    <row r="14" spans="1:7" x14ac:dyDescent="0.35">
      <c r="G14" s="26">
        <v>46207</v>
      </c>
    </row>
    <row r="15" spans="1:7" x14ac:dyDescent="0.35">
      <c r="G15" s="26">
        <v>46206</v>
      </c>
    </row>
    <row r="16" spans="1:7" x14ac:dyDescent="0.35">
      <c r="G16" s="26">
        <v>46205</v>
      </c>
    </row>
    <row r="17" spans="7:7" x14ac:dyDescent="0.35">
      <c r="G17" s="26">
        <v>46204</v>
      </c>
    </row>
    <row r="18" spans="7:7" x14ac:dyDescent="0.35">
      <c r="G18" s="26">
        <v>46203</v>
      </c>
    </row>
    <row r="19" spans="7:7" x14ac:dyDescent="0.35">
      <c r="G19" s="26">
        <v>46202</v>
      </c>
    </row>
    <row r="20" spans="7:7" x14ac:dyDescent="0.35">
      <c r="G20" s="26">
        <v>46201</v>
      </c>
    </row>
    <row r="21" spans="7:7" x14ac:dyDescent="0.35">
      <c r="G21" s="26">
        <v>46200</v>
      </c>
    </row>
    <row r="22" spans="7:7" x14ac:dyDescent="0.35">
      <c r="G22" s="26">
        <v>46199</v>
      </c>
    </row>
    <row r="23" spans="7:7" x14ac:dyDescent="0.35">
      <c r="G23" s="26">
        <v>46198</v>
      </c>
    </row>
    <row r="24" spans="7:7" x14ac:dyDescent="0.35">
      <c r="G24" s="26">
        <v>46197</v>
      </c>
    </row>
    <row r="25" spans="7:7" x14ac:dyDescent="0.35">
      <c r="G25" s="26">
        <v>46196</v>
      </c>
    </row>
    <row r="26" spans="7:7" x14ac:dyDescent="0.35">
      <c r="G26" s="26">
        <v>46195</v>
      </c>
    </row>
    <row r="27" spans="7:7" x14ac:dyDescent="0.35">
      <c r="G27" s="26">
        <v>46194</v>
      </c>
    </row>
    <row r="28" spans="7:7" x14ac:dyDescent="0.35">
      <c r="G28" s="26">
        <v>46193</v>
      </c>
    </row>
    <row r="29" spans="7:7" x14ac:dyDescent="0.35">
      <c r="G29" s="26">
        <v>46192</v>
      </c>
    </row>
    <row r="30" spans="7:7" x14ac:dyDescent="0.35">
      <c r="G30" s="26">
        <v>46191</v>
      </c>
    </row>
    <row r="31" spans="7:7" x14ac:dyDescent="0.35">
      <c r="G31" s="26">
        <v>46190</v>
      </c>
    </row>
    <row r="32" spans="7:7" x14ac:dyDescent="0.35">
      <c r="G32" s="26">
        <v>46189</v>
      </c>
    </row>
    <row r="33" spans="7:7" x14ac:dyDescent="0.35">
      <c r="G33" s="26">
        <v>46188</v>
      </c>
    </row>
    <row r="34" spans="7:7" x14ac:dyDescent="0.35">
      <c r="G34" s="26">
        <v>46186</v>
      </c>
    </row>
    <row r="35" spans="7:7" x14ac:dyDescent="0.35">
      <c r="G35" s="26">
        <v>46185</v>
      </c>
    </row>
    <row r="36" spans="7:7" x14ac:dyDescent="0.35">
      <c r="G36" s="26">
        <v>46184</v>
      </c>
    </row>
    <row r="37" spans="7:7" x14ac:dyDescent="0.35">
      <c r="G37" s="26">
        <v>46183</v>
      </c>
    </row>
    <row r="38" spans="7:7" x14ac:dyDescent="0.35">
      <c r="G38" s="26">
        <v>46181</v>
      </c>
    </row>
    <row r="39" spans="7:7" x14ac:dyDescent="0.35">
      <c r="G39" s="26">
        <v>46178</v>
      </c>
    </row>
    <row r="40" spans="7:7" x14ac:dyDescent="0.35">
      <c r="G40" s="26">
        <v>46177</v>
      </c>
    </row>
    <row r="41" spans="7:7" x14ac:dyDescent="0.35">
      <c r="G41" s="26">
        <v>46176</v>
      </c>
    </row>
    <row r="42" spans="7:7" x14ac:dyDescent="0.35">
      <c r="G42" s="26">
        <v>46175</v>
      </c>
    </row>
    <row r="43" spans="7:7" x14ac:dyDescent="0.35">
      <c r="G43" s="26">
        <v>46174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203c163-337b-4cc9-b999-821b25f7655b" xsi:nil="true"/>
    <lcf76f155ced4ddcb4097134ff3c332f xmlns="056dbca3-31b5-412b-bfd8-6dec10a11d12">
      <Terms xmlns="http://schemas.microsoft.com/office/infopath/2007/PartnerControls"/>
    </lcf76f155ced4ddcb4097134ff3c332f>
  </documentManagement>
</p:properties>
</file>

<file path=customXml/item2.xml>�� 
</file>

<file path=customXml/item3.xml>�� 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�� 
</file>

<file path=customXml/item8.xml>�� 
</file>

<file path=customXml/item9.xml><?xml version="1.0" encoding="utf-8"?>
<ct:contentTypeSchema xmlns:ct="http://schemas.microsoft.com/office/2006/metadata/contentType" xmlns:ma="http://schemas.microsoft.com/office/2006/metadata/properties/metaAttributes" ct:_="" ma:_="" ma:contentTypeName="เอกสาร" ma:contentTypeID="0x010100F19BB6F58A29E345947313691EE86E0A" ma:contentTypeVersion="14" ma:contentTypeDescription="สร้างเอกสารใหม่" ma:contentTypeScope="" ma:versionID="804b46bcc44845ba5957734196bb430b">
  <xsd:schema xmlns:xsd="http://www.w3.org/2001/XMLSchema" xmlns:xs="http://www.w3.org/2001/XMLSchema" xmlns:p="http://schemas.microsoft.com/office/2006/metadata/properties" xmlns:ns2="056dbca3-31b5-412b-bfd8-6dec10a11d12" xmlns:ns3="c203c163-337b-4cc9-b999-821b25f7655b" targetNamespace="http://schemas.microsoft.com/office/2006/metadata/properties" ma:root="true" ma:fieldsID="8a82909bf990fa5476d28838485adecb" ns2:_="" ns3:_="">
    <xsd:import namespace="056dbca3-31b5-412b-bfd8-6dec10a11d12"/>
    <xsd:import namespace="c203c163-337b-4cc9-b999-821b25f765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6dbca3-31b5-412b-bfd8-6dec10a11d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แท็กรูป" ma:readOnly="false" ma:fieldId="{5cf76f15-5ced-4ddc-b409-7134ff3c332f}" ma:taxonomyMulti="true" ma:sspId="62e7f9b2-38e6-4fd2-87ed-2a611b17489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03c163-337b-4cc9-b999-821b25f7655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แชร์กับ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แชร์พร้อมกับรายละเอียด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29541fea-d84c-4241-8f77-3747ee973faf}" ma:internalName="TaxCatchAll" ma:showField="CatchAllData" ma:web="c203c163-337b-4cc9-b999-821b25f7655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ชนิดเนื้อหา"/>
        <xsd:element ref="dc:title" minOccurs="0" maxOccurs="1" ma:index="4" ma:displayName="ชื่อเรื่อง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1D2CAFA-7DFB-4D1E-A1B4-BBA6B0742C54}">
  <ds:schemaRefs>
    <ds:schemaRef ds:uri="c203c163-337b-4cc9-b999-821b25f7655b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dcmitype/"/>
    <ds:schemaRef ds:uri="http://purl.org/dc/terms/"/>
    <ds:schemaRef ds:uri="http://purl.org/dc/elements/1.1/"/>
    <ds:schemaRef ds:uri="http://schemas.openxmlformats.org/package/2006/metadata/core-properties"/>
    <ds:schemaRef ds:uri="056dbca3-31b5-412b-bfd8-6dec10a11d12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0B5353C-CF35-4EEF-9B48-FA03C69F769A}">
  <ds:schemaRefs/>
</ds:datastoreItem>
</file>

<file path=customXml/itemProps3.xml><?xml version="1.0" encoding="utf-8"?>
<ds:datastoreItem xmlns:ds="http://schemas.openxmlformats.org/officeDocument/2006/customXml" ds:itemID="{F96E49A5-4007-480D-B592-9F6AB86E0F01}">
  <ds:schemaRefs/>
</ds:datastoreItem>
</file>

<file path=customXml/itemProps4.xml><?xml version="1.0" encoding="utf-8"?>
<ds:datastoreItem xmlns:ds="http://schemas.openxmlformats.org/officeDocument/2006/customXml" ds:itemID="{DBA7153A-6CF6-419F-A08E-39A52CBBEA94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469229A1-75BB-4D2A-B7B7-8C7902513248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ADF6D3FB-931B-433B-B4E8-B2CA90E805BA}">
  <ds:schemaRefs/>
</ds:datastoreItem>
</file>

<file path=customXml/itemProps7.xml><?xml version="1.0" encoding="utf-8"?>
<ds:datastoreItem xmlns:ds="http://schemas.openxmlformats.org/officeDocument/2006/customXml" ds:itemID="{609D73DE-13BA-4BE8-AE14-4E72C9420098}">
  <ds:schemaRefs/>
</ds:datastoreItem>
</file>

<file path=customXml/itemProps8.xml><?xml version="1.0" encoding="utf-8"?>
<ds:datastoreItem xmlns:ds="http://schemas.openxmlformats.org/officeDocument/2006/customXml" ds:itemID="{07471539-EDA8-4B69-8CD0-ED8E32BC644F}">
  <ds:schemaRefs/>
</ds:datastoreItem>
</file>

<file path=customXml/itemProps9.xml><?xml version="1.0" encoding="utf-8"?>
<ds:datastoreItem xmlns:ds="http://schemas.openxmlformats.org/officeDocument/2006/customXml" ds:itemID="{861EDF62-D109-4B49-AA6A-69052BC355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6dbca3-31b5-412b-bfd8-6dec10a11d12"/>
    <ds:schemaRef ds:uri="c203c163-337b-4cc9-b999-821b25f7655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Report</vt:lpstr>
      <vt:lpstr>Data</vt:lpstr>
      <vt:lpstr>Form</vt:lpstr>
      <vt:lpstr>เวลาหยุด</vt:lpstr>
      <vt:lpstr>APlan</vt:lpstr>
      <vt:lpstr>ACuring</vt:lpstr>
      <vt:lpstr>DProduct</vt:lpstr>
      <vt:lpstr>Calendar_Plan</vt:lpstr>
      <vt:lpstr>Product_Plan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Anusorn Lavanyaporn</dc:creator>
  <cp:lastModifiedBy>Anusorn Lavanyaporn</cp:lastModifiedBy>
  <dcterms:created xsi:type="dcterms:W3CDTF">2015-06-05T18:17:20Z</dcterms:created>
  <dcterms:modified xsi:type="dcterms:W3CDTF">2026-09-21T08:07:59Z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0x010100F19BB6F58A29E345947313691EE86E0A</vt:lpwstr>
  </property>
</Properties>
</file>