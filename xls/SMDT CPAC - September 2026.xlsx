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รายงานการผลิตครอบโรงงาน 3\ข้อมูลการผลิต 2561\รายงานการผลิต  69\รายงานการผลิต 2026\9 รายงานการผลิต เดือน กันยายน 2026\"/>
    </mc:Choice>
  </mc:AlternateContent>
  <xr:revisionPtr revIDLastSave="0" documentId="13_ncr:1_{5128249C-E407-4336-BB33-1076F75FF1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60" i="1" l="1"/>
  <c r="AX171" i="1"/>
  <c r="AW160" i="1"/>
  <c r="AX151" i="1"/>
  <c r="AX149" i="1"/>
  <c r="AX130" i="1"/>
  <c r="AX111" i="1"/>
  <c r="AX73" i="1"/>
  <c r="AX76" i="1"/>
  <c r="AX71" i="1"/>
  <c r="AX68" i="1"/>
  <c r="AX67" i="1"/>
  <c r="AW73" i="1"/>
  <c r="AX54" i="1"/>
  <c r="AX52" i="1"/>
  <c r="AX50" i="1"/>
  <c r="AX48" i="1"/>
  <c r="AX46" i="1"/>
  <c r="AW54" i="1"/>
  <c r="AW35" i="1"/>
  <c r="AW41" i="1"/>
  <c r="AX35" i="1"/>
  <c r="AX37" i="1"/>
  <c r="AX33" i="1"/>
  <c r="AX31" i="1"/>
  <c r="AX29" i="1"/>
  <c r="AX27" i="1"/>
  <c r="AX16" i="1"/>
  <c r="AX18" i="1"/>
  <c r="AX12" i="1"/>
  <c r="AX10" i="1"/>
  <c r="AX8" i="1"/>
  <c r="AX7" i="1"/>
  <c r="AV166" i="1" l="1"/>
  <c r="AV171" i="1"/>
  <c r="AV149" i="1"/>
  <c r="AV131" i="1"/>
  <c r="AV130" i="1"/>
  <c r="AV111" i="1"/>
  <c r="AV102" i="1"/>
  <c r="AV92" i="1"/>
  <c r="AV90" i="1"/>
  <c r="AV81" i="1"/>
  <c r="AV76" i="1"/>
  <c r="AV73" i="1"/>
  <c r="AV56" i="1"/>
  <c r="AV54" i="1"/>
  <c r="AV52" i="1"/>
  <c r="AV50" i="1"/>
  <c r="AV48" i="1"/>
  <c r="AV46" i="1"/>
  <c r="AV18" i="1"/>
  <c r="AV16" i="1"/>
  <c r="AV15" i="1"/>
  <c r="AV12" i="1"/>
  <c r="AV10" i="1"/>
  <c r="AV8" i="1"/>
  <c r="AV7" i="1"/>
  <c r="AU169" i="1"/>
  <c r="AU149" i="1"/>
  <c r="AU111" i="1"/>
  <c r="AT171" i="1" l="1"/>
  <c r="AT169" i="1"/>
  <c r="AT166" i="1"/>
  <c r="AS169" i="1"/>
  <c r="AT149" i="1"/>
  <c r="AS157" i="1"/>
  <c r="AS149" i="1"/>
  <c r="AT129" i="1"/>
  <c r="AS130" i="1"/>
  <c r="AT92" i="1"/>
  <c r="AT88" i="1"/>
  <c r="AT83" i="1"/>
  <c r="AT76" i="1"/>
  <c r="AT73" i="1"/>
  <c r="AT71" i="1"/>
  <c r="AT68" i="1"/>
  <c r="AT67" i="1"/>
  <c r="AS73" i="1"/>
  <c r="AT54" i="1"/>
  <c r="AT50" i="1"/>
  <c r="AT46" i="1"/>
  <c r="AS54" i="1"/>
  <c r="AT16" i="1"/>
  <c r="AT14" i="1"/>
  <c r="AT12" i="1"/>
  <c r="AT10" i="1"/>
  <c r="AT8" i="1"/>
  <c r="AT7" i="1"/>
  <c r="AS15" i="1"/>
  <c r="AR148" i="1" l="1"/>
  <c r="AQ130" i="1"/>
  <c r="AQ81" i="1"/>
  <c r="AQ76" i="1"/>
  <c r="AQ73" i="1"/>
  <c r="AR57" i="1"/>
  <c r="AR54" i="1"/>
  <c r="AR48" i="1"/>
  <c r="AQ54" i="1"/>
  <c r="AQ35" i="1"/>
  <c r="AR16" i="1"/>
  <c r="AR14" i="1"/>
  <c r="AR12" i="1"/>
  <c r="AR10" i="1"/>
  <c r="AR7" i="1"/>
  <c r="AQ24" i="1"/>
  <c r="AQ16" i="1"/>
  <c r="AQ7" i="1"/>
  <c r="Q15" i="1" l="1"/>
  <c r="R16" i="1"/>
  <c r="R12" i="1"/>
  <c r="R10" i="1"/>
  <c r="O5" i="1" l="1"/>
  <c r="O35" i="1"/>
  <c r="O38" i="1"/>
  <c r="O33" i="1"/>
  <c r="O29" i="1"/>
  <c r="O28" i="1"/>
  <c r="O27" i="1"/>
  <c r="O26" i="1"/>
  <c r="O16" i="1"/>
  <c r="O12" i="1"/>
  <c r="O24" i="1"/>
  <c r="BM8" i="1" l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21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69" i="1"/>
  <c r="BM170" i="1"/>
  <c r="BM171" i="1" l="1"/>
  <c r="BM168" i="1"/>
  <c r="BM167" i="1"/>
  <c r="BM166" i="1"/>
  <c r="BM165" i="1"/>
  <c r="BM164" i="1"/>
  <c r="BM163" i="1"/>
  <c r="BM162" i="1"/>
  <c r="BM160" i="1"/>
  <c r="BM140" i="1"/>
  <c r="BM102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L158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L120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L82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L44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M26" i="1" l="1"/>
  <c r="BM83" i="1" l="1"/>
  <c r="BM45" i="1" l="1"/>
  <c r="BM64" i="1" l="1"/>
  <c r="BM7" i="1"/>
  <c r="C172" i="1" l="1"/>
  <c r="BM172" i="1" l="1"/>
  <c r="BM4" i="1"/>
  <c r="F185" i="1"/>
  <c r="H185" i="1"/>
  <c r="I185" i="1"/>
  <c r="J185" i="1"/>
  <c r="L185" i="1"/>
  <c r="M185" i="1"/>
  <c r="N185" i="1"/>
  <c r="R185" i="1"/>
  <c r="T185" i="1"/>
  <c r="X185" i="1"/>
  <c r="Z185" i="1"/>
  <c r="AC185" i="1"/>
  <c r="AE185" i="1"/>
  <c r="AF185" i="1"/>
  <c r="AG185" i="1"/>
  <c r="AH185" i="1"/>
  <c r="AM185" i="1"/>
  <c r="AN185" i="1"/>
  <c r="AP185" i="1"/>
  <c r="AU185" i="1"/>
  <c r="AV185" i="1"/>
  <c r="AW185" i="1"/>
  <c r="AX185" i="1"/>
  <c r="BB185" i="1"/>
  <c r="BC185" i="1"/>
  <c r="BD185" i="1"/>
  <c r="BE185" i="1"/>
  <c r="BF185" i="1"/>
  <c r="BG185" i="1"/>
  <c r="BH185" i="1"/>
  <c r="BK185" i="1"/>
  <c r="BL185" i="1"/>
  <c r="BM161" i="1"/>
  <c r="E185" i="1"/>
  <c r="K185" i="1"/>
  <c r="S185" i="1"/>
  <c r="U185" i="1"/>
  <c r="V185" i="1"/>
  <c r="AA185" i="1"/>
  <c r="AB185" i="1"/>
  <c r="AD185" i="1"/>
  <c r="AI185" i="1"/>
  <c r="AJ185" i="1"/>
  <c r="AK185" i="1"/>
  <c r="AL185" i="1"/>
  <c r="AQ185" i="1"/>
  <c r="AR185" i="1"/>
  <c r="AS185" i="1"/>
  <c r="AT185" i="1"/>
  <c r="AY185" i="1"/>
  <c r="AZ185" i="1"/>
  <c r="BA185" i="1"/>
  <c r="BI185" i="1"/>
  <c r="BJ185" i="1"/>
  <c r="C185" i="1"/>
  <c r="BM5" i="1"/>
  <c r="D179" i="1"/>
  <c r="E179" i="1"/>
  <c r="F179" i="1"/>
  <c r="G179" i="1"/>
  <c r="H179" i="1"/>
  <c r="I179" i="1"/>
  <c r="J179" i="1"/>
  <c r="K179" i="1"/>
  <c r="L179" i="1"/>
  <c r="M179" i="1"/>
  <c r="N179" i="1"/>
  <c r="P179" i="1"/>
  <c r="Q179" i="1"/>
  <c r="R179" i="1"/>
  <c r="S179" i="1"/>
  <c r="T179" i="1"/>
  <c r="V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D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D177" i="1"/>
  <c r="E177" i="1"/>
  <c r="F177" i="1"/>
  <c r="G177" i="1"/>
  <c r="H177" i="1"/>
  <c r="I177" i="1"/>
  <c r="M177" i="1"/>
  <c r="N177" i="1"/>
  <c r="O177" i="1"/>
  <c r="P177" i="1"/>
  <c r="S177" i="1"/>
  <c r="T177" i="1"/>
  <c r="U177" i="1"/>
  <c r="V177" i="1"/>
  <c r="W177" i="1"/>
  <c r="X177" i="1"/>
  <c r="Y159" i="1"/>
  <c r="Z177" i="1"/>
  <c r="AB177" i="1"/>
  <c r="AC177" i="1"/>
  <c r="AE177" i="1"/>
  <c r="AF177" i="1"/>
  <c r="AG177" i="1"/>
  <c r="AH177" i="1"/>
  <c r="AI177" i="1"/>
  <c r="AJ177" i="1"/>
  <c r="AK177" i="1"/>
  <c r="AL177" i="1"/>
  <c r="AN159" i="1"/>
  <c r="AN173" i="1" s="1"/>
  <c r="AN174" i="1" s="1"/>
  <c r="AO159" i="1"/>
  <c r="AQ177" i="1"/>
  <c r="AR177" i="1"/>
  <c r="AS177" i="1"/>
  <c r="AT177" i="1"/>
  <c r="AV159" i="1"/>
  <c r="AW177" i="1"/>
  <c r="AZ177" i="1"/>
  <c r="BA177" i="1"/>
  <c r="BB177" i="1"/>
  <c r="BD159" i="1"/>
  <c r="BE159" i="1"/>
  <c r="BF159" i="1"/>
  <c r="BG159" i="1"/>
  <c r="BG173" i="1" s="1"/>
  <c r="BG174" i="1" s="1"/>
  <c r="BH177" i="1"/>
  <c r="BI177" i="1"/>
  <c r="BJ177" i="1"/>
  <c r="BL159" i="1"/>
  <c r="C184" i="1"/>
  <c r="C183" i="1"/>
  <c r="C182" i="1"/>
  <c r="C180" i="1"/>
  <c r="C179" i="1"/>
  <c r="C178" i="1"/>
  <c r="C177" i="1"/>
  <c r="BN171" i="1" l="1"/>
  <c r="BN161" i="1"/>
  <c r="BN151" i="1"/>
  <c r="BN143" i="1"/>
  <c r="BN133" i="1"/>
  <c r="BN125" i="1"/>
  <c r="BN117" i="1"/>
  <c r="BN109" i="1"/>
  <c r="BN99" i="1"/>
  <c r="BN91" i="1"/>
  <c r="BN81" i="1"/>
  <c r="BN73" i="1"/>
  <c r="BN65" i="1"/>
  <c r="BN55" i="1"/>
  <c r="BN46" i="1"/>
  <c r="BN37" i="1"/>
  <c r="BN29" i="1"/>
  <c r="BN19" i="1"/>
  <c r="BN11" i="1"/>
  <c r="BN110" i="1"/>
  <c r="BN74" i="1"/>
  <c r="BN20" i="1"/>
  <c r="BN168" i="1"/>
  <c r="BN160" i="1"/>
  <c r="BN150" i="1"/>
  <c r="BN142" i="1"/>
  <c r="BN132" i="1"/>
  <c r="BN124" i="1"/>
  <c r="BN116" i="1"/>
  <c r="BN108" i="1"/>
  <c r="BN98" i="1"/>
  <c r="BN90" i="1"/>
  <c r="BN80" i="1"/>
  <c r="BN72" i="1"/>
  <c r="BN62" i="1"/>
  <c r="BN54" i="1"/>
  <c r="BN45" i="1"/>
  <c r="BN36" i="1"/>
  <c r="BN28" i="1"/>
  <c r="BN18" i="1"/>
  <c r="BN10" i="1"/>
  <c r="BN126" i="1"/>
  <c r="BN100" i="1"/>
  <c r="BN47" i="1"/>
  <c r="BN167" i="1"/>
  <c r="BN157" i="1"/>
  <c r="BN149" i="1"/>
  <c r="BN140" i="1"/>
  <c r="BN131" i="1"/>
  <c r="BN123" i="1"/>
  <c r="BN115" i="1"/>
  <c r="BN107" i="1"/>
  <c r="BN97" i="1"/>
  <c r="BN89" i="1"/>
  <c r="BN79" i="1"/>
  <c r="BN71" i="1"/>
  <c r="BN61" i="1"/>
  <c r="BN53" i="1"/>
  <c r="BN43" i="1"/>
  <c r="BN35" i="1"/>
  <c r="BN27" i="1"/>
  <c r="BN17" i="1"/>
  <c r="BN9" i="1"/>
  <c r="BN134" i="1"/>
  <c r="BN92" i="1"/>
  <c r="BN30" i="1"/>
  <c r="BN166" i="1"/>
  <c r="BN156" i="1"/>
  <c r="BN148" i="1"/>
  <c r="BN138" i="1"/>
  <c r="BN130" i="1"/>
  <c r="BN122" i="1"/>
  <c r="BN114" i="1"/>
  <c r="BN106" i="1"/>
  <c r="BN96" i="1"/>
  <c r="BN88" i="1"/>
  <c r="BN78" i="1"/>
  <c r="BN70" i="1"/>
  <c r="BN60" i="1"/>
  <c r="BN52" i="1"/>
  <c r="BN42" i="1"/>
  <c r="BN34" i="1"/>
  <c r="BN24" i="1"/>
  <c r="BN16" i="1"/>
  <c r="BN8" i="1"/>
  <c r="BN118" i="1"/>
  <c r="BN165" i="1"/>
  <c r="BN155" i="1"/>
  <c r="BN147" i="1"/>
  <c r="BN137" i="1"/>
  <c r="BN129" i="1"/>
  <c r="BN121" i="1"/>
  <c r="BN113" i="1"/>
  <c r="BN105" i="1"/>
  <c r="BN95" i="1"/>
  <c r="BN87" i="1"/>
  <c r="BN77" i="1"/>
  <c r="BN69" i="1"/>
  <c r="BN59" i="1"/>
  <c r="BN51" i="1"/>
  <c r="BN41" i="1"/>
  <c r="BN33" i="1"/>
  <c r="BN23" i="1"/>
  <c r="BN15" i="1"/>
  <c r="BN144" i="1"/>
  <c r="BN56" i="1"/>
  <c r="BN164" i="1"/>
  <c r="BN154" i="1"/>
  <c r="BN146" i="1"/>
  <c r="BN136" i="1"/>
  <c r="BN128" i="1"/>
  <c r="BN112" i="1"/>
  <c r="BN104" i="1"/>
  <c r="BN94" i="1"/>
  <c r="BN86" i="1"/>
  <c r="BN76" i="1"/>
  <c r="BN68" i="1"/>
  <c r="BN58" i="1"/>
  <c r="BN50" i="1"/>
  <c r="BN40" i="1"/>
  <c r="BN32" i="1"/>
  <c r="BN22" i="1"/>
  <c r="BN14" i="1"/>
  <c r="BN152" i="1"/>
  <c r="BN84" i="1"/>
  <c r="BN38" i="1"/>
  <c r="BN163" i="1"/>
  <c r="BN153" i="1"/>
  <c r="BN145" i="1"/>
  <c r="BN135" i="1"/>
  <c r="BN127" i="1"/>
  <c r="BN119" i="1"/>
  <c r="BN111" i="1"/>
  <c r="BN102" i="1"/>
  <c r="BN93" i="1"/>
  <c r="BN85" i="1"/>
  <c r="BN75" i="1"/>
  <c r="BN67" i="1"/>
  <c r="BN57" i="1"/>
  <c r="BN48" i="1"/>
  <c r="BN39" i="1"/>
  <c r="BN31" i="1"/>
  <c r="BN21" i="1"/>
  <c r="BN13" i="1"/>
  <c r="BN162" i="1"/>
  <c r="BN66" i="1"/>
  <c r="BN12" i="1"/>
  <c r="D185" i="1"/>
  <c r="BN26" i="1"/>
  <c r="BN83" i="1"/>
  <c r="BM139" i="1"/>
  <c r="BM183" i="1" s="1"/>
  <c r="BM120" i="1"/>
  <c r="BM182" i="1" s="1"/>
  <c r="BM82" i="1"/>
  <c r="BM180" i="1" s="1"/>
  <c r="BM44" i="1"/>
  <c r="BM178" i="1" s="1"/>
  <c r="BM25" i="1"/>
  <c r="BN64" i="1"/>
  <c r="BN7" i="1"/>
  <c r="BN103" i="1"/>
  <c r="BM101" i="1"/>
  <c r="BM181" i="1" s="1"/>
  <c r="BM158" i="1"/>
  <c r="BM63" i="1"/>
  <c r="BM179" i="1" s="1"/>
  <c r="BN141" i="1"/>
  <c r="BE173" i="1"/>
  <c r="BE174" i="1" s="1"/>
  <c r="AY159" i="1"/>
  <c r="AY173" i="1" s="1"/>
  <c r="AY174" i="1" s="1"/>
  <c r="AA159" i="1"/>
  <c r="AA173" i="1" s="1"/>
  <c r="AA174" i="1" s="1"/>
  <c r="AX159" i="1"/>
  <c r="AX173" i="1" s="1"/>
  <c r="AX174" i="1" s="1"/>
  <c r="AP159" i="1"/>
  <c r="AP173" i="1" s="1"/>
  <c r="AP174" i="1" s="1"/>
  <c r="AM159" i="1"/>
  <c r="AM173" i="1" s="1"/>
  <c r="AM174" i="1" s="1"/>
  <c r="BK159" i="1"/>
  <c r="BK173" i="1" s="1"/>
  <c r="BK174" i="1" s="1"/>
  <c r="AD159" i="1"/>
  <c r="AD173" i="1" s="1"/>
  <c r="AD174" i="1" s="1"/>
  <c r="BC159" i="1"/>
  <c r="BC173" i="1" s="1"/>
  <c r="BC174" i="1" s="1"/>
  <c r="AU159" i="1"/>
  <c r="AU173" i="1" s="1"/>
  <c r="AU174" i="1" s="1"/>
  <c r="BF177" i="1"/>
  <c r="AX177" i="1"/>
  <c r="L159" i="1"/>
  <c r="L173" i="1" s="1"/>
  <c r="L174" i="1" s="1"/>
  <c r="W159" i="1"/>
  <c r="W173" i="1" s="1"/>
  <c r="W174" i="1" s="1"/>
  <c r="AO177" i="1"/>
  <c r="AC159" i="1"/>
  <c r="AC173" i="1" s="1"/>
  <c r="AC174" i="1" s="1"/>
  <c r="O159" i="1"/>
  <c r="O173" i="1" s="1"/>
  <c r="O174" i="1" s="1"/>
  <c r="BG177" i="1"/>
  <c r="AY177" i="1"/>
  <c r="AP177" i="1"/>
  <c r="AD177" i="1"/>
  <c r="BJ159" i="1"/>
  <c r="BJ173" i="1" s="1"/>
  <c r="BJ174" i="1" s="1"/>
  <c r="BB159" i="1"/>
  <c r="BB173" i="1" s="1"/>
  <c r="BB174" i="1" s="1"/>
  <c r="AT159" i="1"/>
  <c r="AT173" i="1" s="1"/>
  <c r="AT174" i="1" s="1"/>
  <c r="AL159" i="1"/>
  <c r="AL173" i="1" s="1"/>
  <c r="AL174" i="1" s="1"/>
  <c r="AA177" i="1"/>
  <c r="AK159" i="1"/>
  <c r="AK173" i="1" s="1"/>
  <c r="AK174" i="1" s="1"/>
  <c r="U159" i="1"/>
  <c r="U173" i="1" s="1"/>
  <c r="U174" i="1" s="1"/>
  <c r="BE177" i="1"/>
  <c r="AV177" i="1"/>
  <c r="AN177" i="1"/>
  <c r="Y177" i="1"/>
  <c r="BH159" i="1"/>
  <c r="BH173" i="1" s="1"/>
  <c r="BH174" i="1" s="1"/>
  <c r="AZ159" i="1"/>
  <c r="AZ173" i="1" s="1"/>
  <c r="AZ174" i="1" s="1"/>
  <c r="AR159" i="1"/>
  <c r="AR173" i="1" s="1"/>
  <c r="AR174" i="1" s="1"/>
  <c r="AJ159" i="1"/>
  <c r="AJ173" i="1" s="1"/>
  <c r="AJ174" i="1" s="1"/>
  <c r="AB159" i="1"/>
  <c r="AB173" i="1" s="1"/>
  <c r="AB174" i="1" s="1"/>
  <c r="BI159" i="1"/>
  <c r="BI173" i="1" s="1"/>
  <c r="BI174" i="1" s="1"/>
  <c r="Q159" i="1"/>
  <c r="Q173" i="1" s="1"/>
  <c r="Q174" i="1" s="1"/>
  <c r="BL177" i="1"/>
  <c r="BD177" i="1"/>
  <c r="AU177" i="1"/>
  <c r="AM177" i="1"/>
  <c r="AQ159" i="1"/>
  <c r="AQ173" i="1" s="1"/>
  <c r="AQ174" i="1" s="1"/>
  <c r="AI159" i="1"/>
  <c r="AI173" i="1" s="1"/>
  <c r="AI174" i="1" s="1"/>
  <c r="R159" i="1"/>
  <c r="R173" i="1" s="1"/>
  <c r="R174" i="1" s="1"/>
  <c r="BK177" i="1"/>
  <c r="BC177" i="1"/>
  <c r="AH159" i="1"/>
  <c r="AH173" i="1" s="1"/>
  <c r="AH174" i="1" s="1"/>
  <c r="Z159" i="1"/>
  <c r="Z173" i="1" s="1"/>
  <c r="Z174" i="1" s="1"/>
  <c r="AS159" i="1"/>
  <c r="AS173" i="1" s="1"/>
  <c r="AS174" i="1" s="1"/>
  <c r="T159" i="1"/>
  <c r="T173" i="1" s="1"/>
  <c r="T174" i="1" s="1"/>
  <c r="AW159" i="1"/>
  <c r="AW173" i="1" s="1"/>
  <c r="AW174" i="1" s="1"/>
  <c r="AG159" i="1"/>
  <c r="AG173" i="1" s="1"/>
  <c r="AG174" i="1" s="1"/>
  <c r="BA159" i="1"/>
  <c r="BA173" i="1" s="1"/>
  <c r="BA174" i="1" s="1"/>
  <c r="S159" i="1"/>
  <c r="S173" i="1" s="1"/>
  <c r="S174" i="1" s="1"/>
  <c r="AF159" i="1"/>
  <c r="AF173" i="1" s="1"/>
  <c r="AF174" i="1" s="1"/>
  <c r="X159" i="1"/>
  <c r="X173" i="1" s="1"/>
  <c r="X174" i="1" s="1"/>
  <c r="Y173" i="1"/>
  <c r="Y174" i="1" s="1"/>
  <c r="AE159" i="1"/>
  <c r="AE173" i="1" s="1"/>
  <c r="AE174" i="1" s="1"/>
  <c r="T178" i="1"/>
  <c r="E182" i="1"/>
  <c r="C181" i="1"/>
  <c r="W179" i="1"/>
  <c r="O179" i="1"/>
  <c r="U179" i="1"/>
  <c r="V159" i="1"/>
  <c r="V173" i="1" s="1"/>
  <c r="V174" i="1" s="1"/>
  <c r="J159" i="1"/>
  <c r="J173" i="1" s="1"/>
  <c r="J174" i="1" s="1"/>
  <c r="S178" i="1"/>
  <c r="N159" i="1"/>
  <c r="N173" i="1" s="1"/>
  <c r="N174" i="1" s="1"/>
  <c r="K159" i="1"/>
  <c r="K173" i="1" s="1"/>
  <c r="K174" i="1" s="1"/>
  <c r="M159" i="1"/>
  <c r="M173" i="1" s="1"/>
  <c r="M174" i="1" s="1"/>
  <c r="F159" i="1"/>
  <c r="F173" i="1" s="1"/>
  <c r="F174" i="1" s="1"/>
  <c r="E159" i="1"/>
  <c r="E173" i="1" s="1"/>
  <c r="E174" i="1" s="1"/>
  <c r="R177" i="1"/>
  <c r="D159" i="1"/>
  <c r="D173" i="1" s="1"/>
  <c r="D174" i="1" s="1"/>
  <c r="Q177" i="1"/>
  <c r="C159" i="1"/>
  <c r="C173" i="1" s="1"/>
  <c r="L177" i="1"/>
  <c r="I159" i="1"/>
  <c r="I173" i="1" s="1"/>
  <c r="I174" i="1" s="1"/>
  <c r="K177" i="1"/>
  <c r="P159" i="1"/>
  <c r="P173" i="1" s="1"/>
  <c r="P174" i="1" s="1"/>
  <c r="H159" i="1"/>
  <c r="H173" i="1" s="1"/>
  <c r="H174" i="1" s="1"/>
  <c r="G159" i="1"/>
  <c r="G173" i="1" s="1"/>
  <c r="G174" i="1" s="1"/>
  <c r="J177" i="1"/>
  <c r="AO173" i="1"/>
  <c r="AO174" i="1" s="1"/>
  <c r="BN49" i="1"/>
  <c r="Q185" i="1"/>
  <c r="P185" i="1"/>
  <c r="Y185" i="1"/>
  <c r="W185" i="1"/>
  <c r="O185" i="1"/>
  <c r="G185" i="1"/>
  <c r="AO185" i="1"/>
  <c r="BL173" i="1"/>
  <c r="BL174" i="1" s="1"/>
  <c r="BD173" i="1"/>
  <c r="BD174" i="1" s="1"/>
  <c r="AV173" i="1"/>
  <c r="AV174" i="1" s="1"/>
  <c r="BF173" i="1"/>
  <c r="BF174" i="1" s="1"/>
  <c r="BN120" i="1" l="1"/>
  <c r="BM159" i="1"/>
  <c r="BM173" i="1" s="1"/>
  <c r="BN101" i="1"/>
  <c r="BN63" i="1"/>
  <c r="BN44" i="1"/>
  <c r="BN172" i="1"/>
  <c r="BM185" i="1"/>
  <c r="BN158" i="1"/>
  <c r="BM184" i="1"/>
  <c r="BN139" i="1"/>
  <c r="BN82" i="1"/>
  <c r="BN25" i="1"/>
  <c r="BM177" i="1"/>
  <c r="C174" i="1"/>
  <c r="BN159" i="1" l="1"/>
  <c r="BM174" i="1"/>
  <c r="BN174" i="1" s="1"/>
  <c r="BN173" i="1"/>
</calcChain>
</file>

<file path=xl/sharedStrings.xml><?xml version="1.0" encoding="utf-8"?>
<sst xmlns="http://schemas.openxmlformats.org/spreadsheetml/2006/main" count="254" uniqueCount="50">
  <si>
    <t>เครื่องจักร</t>
  </si>
  <si>
    <t>F7</t>
  </si>
  <si>
    <t>F8</t>
  </si>
  <si>
    <t>F9</t>
  </si>
  <si>
    <t>F10</t>
  </si>
  <si>
    <t>F11</t>
  </si>
  <si>
    <t>F12</t>
  </si>
  <si>
    <t>F13</t>
  </si>
  <si>
    <t>F14</t>
  </si>
  <si>
    <t>Slurry</t>
  </si>
  <si>
    <t>X-shield</t>
  </si>
  <si>
    <t>เวลาผลิต</t>
  </si>
  <si>
    <t>ปรับตั้งเครื่องจักร น้อยกว่า 10 นาที</t>
  </si>
  <si>
    <t>รอปูน</t>
  </si>
  <si>
    <t>รอแบบ</t>
  </si>
  <si>
    <t>ทำความสะอาด ชุดจ่ายปูน/โม่/Mix</t>
  </si>
  <si>
    <t>ปรับตั้งชุดรับแบบ</t>
  </si>
  <si>
    <t>ปรับตั้งชุดวาง Product กลาง Line</t>
  </si>
  <si>
    <t>ปรับตั้งโมล</t>
  </si>
  <si>
    <t>ปรับตั้งชุดเสริฟ</t>
  </si>
  <si>
    <t>แบบขัดตัว</t>
  </si>
  <si>
    <t>อื่นๆ</t>
  </si>
  <si>
    <t>ท่อสีเบสแตก</t>
  </si>
  <si>
    <t>ท่อสีโอเวอร์แตก</t>
  </si>
  <si>
    <t>สีผสมไม่ทัน</t>
  </si>
  <si>
    <t>แบบติดสายพาน</t>
  </si>
  <si>
    <t>สีหนา,สีบาง</t>
  </si>
  <si>
    <t>หัวพ่นน้ำยาตัน</t>
  </si>
  <si>
    <t>ทำความสะอาดชุดพ่นสี</t>
  </si>
  <si>
    <t>ทำความสะอาดชุดน้ำยา</t>
  </si>
  <si>
    <t>Rack เต็ม</t>
  </si>
  <si>
    <t>วันที่</t>
  </si>
  <si>
    <t>กะ1</t>
  </si>
  <si>
    <t>กะ2</t>
  </si>
  <si>
    <t>รวมเวลาหยุด</t>
  </si>
  <si>
    <t>รวมเวลาหยุด/จำนวนเครื่องที่ผลิต</t>
  </si>
  <si>
    <t>จำนวนเครื่องที่ผลิต</t>
  </si>
  <si>
    <t>ปัญหาเครื่องจักร</t>
  </si>
  <si>
    <t>เวลาหยุดรวมของเครื่องจักร</t>
  </si>
  <si>
    <t>Slurry+X shield</t>
  </si>
  <si>
    <t xml:space="preserve">SMDT </t>
  </si>
  <si>
    <t>ขึ้นแหย่คอถ้วยจ่าย</t>
  </si>
  <si>
    <t>Robot Alam เคลียร์งาน</t>
  </si>
  <si>
    <t>ส่วนผสมไม่เท่ากัน</t>
  </si>
  <si>
    <t>วางครอบไม่ได้</t>
  </si>
  <si>
    <t>เคลียร์ปูนที่เรือ</t>
  </si>
  <si>
    <t>ปูนติดโมล</t>
  </si>
  <si>
    <t>สายพานเส้น 7-14 หยุด</t>
  </si>
  <si>
    <t>Line สี หยุด</t>
  </si>
  <si>
    <t>สายพานหยุด/สลิป/หลุด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</si>
</sst>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2" fillId="0" borderId="1" xfId="0" applyFont="1" applyBorder="1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3" xfId="0" applyFill="1" applyBorder="1"/>
    <xf numFmtId="0" fontId="0" fillId="3" borderId="0" xfId="0" applyFill="1"/>
    <xf numFmtId="0" fontId="2" fillId="0" borderId="3" xfId="0" applyFont="1" applyFill="1" applyBorder="1"/>
    <xf numFmtId="10" fontId="2" fillId="0" borderId="0" xfId="1" applyNumberFormat="1" applyFont="1"/>
    <xf numFmtId="9" fontId="2" fillId="0" borderId="0" xfId="1" applyNumberFormat="1" applyFont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5" borderId="0" xfId="0" applyFill="1" applyBorder="1"/>
    <xf numFmtId="10" fontId="0" fillId="5" borderId="0" xfId="1" applyNumberFormat="1" applyFont="1" applyFill="1"/>
    <xf numFmtId="2" fontId="2" fillId="0" borderId="1" xfId="0" applyNumberFormat="1" applyFont="1" applyBorder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85"/>
  <sheetViews>
    <sheetView tabSelected="1" workbookViewId="0">
      <pane xSplit="2" ySplit="3" topLeftCell="AW4" activePane="bottomRight" state="frozen"/>
      <selection pane="topRight" activeCell="D1" sqref="D1"/>
      <selection pane="bottomLeft" activeCell="A4" sqref="A4"/>
      <selection pane="bottomRight" activeCell="AX161" sqref="AX161"/>
    </sheetView>
  </sheetViews>
  <sheetFormatPr defaultRowHeight="15" x14ac:dyDescent="0.25"/>
  <cols>
    <col min="1" max="1" width="9.42578125" bestFit="1" customWidth="1"/>
    <col min="2" max="2" width="31.140625" bestFit="1" customWidth="1"/>
    <col min="3" max="3" width="5.140625" customWidth="1"/>
    <col min="4" max="64" width="4.7109375" customWidth="1"/>
  </cols>
  <sheetData>
    <row r="1" spans="1:66" x14ac:dyDescent="0.25">
      <c r="A1" s="28" t="s">
        <v>40</v>
      </c>
      <c r="B1" s="28"/>
      <c r="C1" s="24" t="s">
        <v>31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6" x14ac:dyDescent="0.25">
      <c r="A2" s="28"/>
      <c r="B2" s="28"/>
      <c r="C2" s="24">
        <v>1</v>
      </c>
      <c r="D2" s="24"/>
      <c r="E2" s="24">
        <v>2</v>
      </c>
      <c r="F2" s="24"/>
      <c r="G2" s="24">
        <v>3</v>
      </c>
      <c r="H2" s="24"/>
      <c r="I2" s="24">
        <v>4</v>
      </c>
      <c r="J2" s="24"/>
      <c r="K2" s="24">
        <v>5</v>
      </c>
      <c r="L2" s="24"/>
      <c r="M2" s="24">
        <v>6</v>
      </c>
      <c r="N2" s="24"/>
      <c r="O2" s="24">
        <v>7</v>
      </c>
      <c r="P2" s="24"/>
      <c r="Q2" s="24">
        <v>8</v>
      </c>
      <c r="R2" s="24"/>
      <c r="S2" s="24">
        <v>9</v>
      </c>
      <c r="T2" s="24"/>
      <c r="U2" s="24">
        <v>10</v>
      </c>
      <c r="V2" s="24"/>
      <c r="W2" s="24">
        <v>11</v>
      </c>
      <c r="X2" s="24"/>
      <c r="Y2" s="24">
        <v>12</v>
      </c>
      <c r="Z2" s="24"/>
      <c r="AA2" s="24">
        <v>13</v>
      </c>
      <c r="AB2" s="24"/>
      <c r="AC2" s="24">
        <v>14</v>
      </c>
      <c r="AD2" s="24"/>
      <c r="AE2" s="24">
        <v>15</v>
      </c>
      <c r="AF2" s="24"/>
      <c r="AG2" s="24">
        <v>16</v>
      </c>
      <c r="AH2" s="24"/>
      <c r="AI2" s="24">
        <v>17</v>
      </c>
      <c r="AJ2" s="24"/>
      <c r="AK2" s="24">
        <v>18</v>
      </c>
      <c r="AL2" s="24"/>
      <c r="AM2" s="24">
        <v>19</v>
      </c>
      <c r="AN2" s="24"/>
      <c r="AO2" s="24">
        <v>20</v>
      </c>
      <c r="AP2" s="24"/>
      <c r="AQ2" s="24">
        <v>21</v>
      </c>
      <c r="AR2" s="24"/>
      <c r="AS2" s="24">
        <v>22</v>
      </c>
      <c r="AT2" s="24"/>
      <c r="AU2" s="24">
        <v>23</v>
      </c>
      <c r="AV2" s="24"/>
      <c r="AW2" s="24">
        <v>24</v>
      </c>
      <c r="AX2" s="24"/>
      <c r="AY2" s="24">
        <v>25</v>
      </c>
      <c r="AZ2" s="24"/>
      <c r="BA2" s="24">
        <v>26</v>
      </c>
      <c r="BB2" s="24"/>
      <c r="BC2" s="24">
        <v>27</v>
      </c>
      <c r="BD2" s="24"/>
      <c r="BE2" s="24">
        <v>28</v>
      </c>
      <c r="BF2" s="24"/>
      <c r="BG2" s="24">
        <v>29</v>
      </c>
      <c r="BH2" s="24"/>
      <c r="BI2" s="24">
        <v>30</v>
      </c>
      <c r="BJ2" s="24"/>
      <c r="BK2" s="24">
        <v>31</v>
      </c>
      <c r="BL2" s="24"/>
    </row>
    <row r="3" spans="1:66" x14ac:dyDescent="0.25">
      <c r="A3" s="28"/>
      <c r="B3" s="28"/>
      <c r="C3" s="1" t="s">
        <v>32</v>
      </c>
      <c r="D3" s="1" t="s">
        <v>33</v>
      </c>
      <c r="E3" s="1" t="s">
        <v>32</v>
      </c>
      <c r="F3" s="1" t="s">
        <v>33</v>
      </c>
      <c r="G3" s="1" t="s">
        <v>32</v>
      </c>
      <c r="H3" s="1" t="s">
        <v>33</v>
      </c>
      <c r="I3" s="1" t="s">
        <v>32</v>
      </c>
      <c r="J3" s="1" t="s">
        <v>33</v>
      </c>
      <c r="K3" s="1" t="s">
        <v>32</v>
      </c>
      <c r="L3" s="1" t="s">
        <v>33</v>
      </c>
      <c r="M3" s="1" t="s">
        <v>32</v>
      </c>
      <c r="N3" s="1" t="s">
        <v>33</v>
      </c>
      <c r="O3" s="1" t="s">
        <v>32</v>
      </c>
      <c r="P3" s="1" t="s">
        <v>33</v>
      </c>
      <c r="Q3" s="1" t="s">
        <v>32</v>
      </c>
      <c r="R3" s="1" t="s">
        <v>33</v>
      </c>
      <c r="S3" s="1" t="s">
        <v>32</v>
      </c>
      <c r="T3" s="1" t="s">
        <v>33</v>
      </c>
      <c r="U3" s="1" t="s">
        <v>32</v>
      </c>
      <c r="V3" s="1" t="s">
        <v>33</v>
      </c>
      <c r="W3" s="1" t="s">
        <v>32</v>
      </c>
      <c r="X3" s="1" t="s">
        <v>33</v>
      </c>
      <c r="Y3" s="1" t="s">
        <v>32</v>
      </c>
      <c r="Z3" s="1" t="s">
        <v>33</v>
      </c>
      <c r="AA3" s="1" t="s">
        <v>32</v>
      </c>
      <c r="AB3" s="1" t="s">
        <v>33</v>
      </c>
      <c r="AC3" s="1" t="s">
        <v>32</v>
      </c>
      <c r="AD3" s="1" t="s">
        <v>33</v>
      </c>
      <c r="AE3" s="1" t="s">
        <v>32</v>
      </c>
      <c r="AF3" s="1" t="s">
        <v>33</v>
      </c>
      <c r="AG3" s="1" t="s">
        <v>32</v>
      </c>
      <c r="AH3" s="1" t="s">
        <v>33</v>
      </c>
      <c r="AI3" s="1" t="s">
        <v>32</v>
      </c>
      <c r="AJ3" s="1" t="s">
        <v>33</v>
      </c>
      <c r="AK3" s="1" t="s">
        <v>32</v>
      </c>
      <c r="AL3" s="1" t="s">
        <v>33</v>
      </c>
      <c r="AM3" s="1" t="s">
        <v>32</v>
      </c>
      <c r="AN3" s="1" t="s">
        <v>33</v>
      </c>
      <c r="AO3" s="1" t="s">
        <v>32</v>
      </c>
      <c r="AP3" s="1" t="s">
        <v>33</v>
      </c>
      <c r="AQ3" s="1" t="s">
        <v>32</v>
      </c>
      <c r="AR3" s="1" t="s">
        <v>33</v>
      </c>
      <c r="AS3" s="1" t="s">
        <v>32</v>
      </c>
      <c r="AT3" s="1" t="s">
        <v>33</v>
      </c>
      <c r="AU3" s="1" t="s">
        <v>32</v>
      </c>
      <c r="AV3" s="1" t="s">
        <v>33</v>
      </c>
      <c r="AW3" s="1" t="s">
        <v>32</v>
      </c>
      <c r="AX3" s="1" t="s">
        <v>33</v>
      </c>
      <c r="AY3" s="1" t="s">
        <v>32</v>
      </c>
      <c r="AZ3" s="1" t="s">
        <v>33</v>
      </c>
      <c r="BA3" s="1" t="s">
        <v>32</v>
      </c>
      <c r="BB3" s="1" t="s">
        <v>33</v>
      </c>
      <c r="BC3" s="1" t="s">
        <v>32</v>
      </c>
      <c r="BD3" s="1" t="s">
        <v>33</v>
      </c>
      <c r="BE3" s="1" t="s">
        <v>32</v>
      </c>
      <c r="BF3" s="1" t="s">
        <v>33</v>
      </c>
      <c r="BG3" s="1" t="s">
        <v>32</v>
      </c>
      <c r="BH3" s="1" t="s">
        <v>33</v>
      </c>
      <c r="BI3" s="1" t="s">
        <v>32</v>
      </c>
      <c r="BJ3" s="1" t="s">
        <v>33</v>
      </c>
      <c r="BK3" s="1" t="s">
        <v>32</v>
      </c>
      <c r="BL3" s="1" t="s">
        <v>33</v>
      </c>
    </row>
    <row r="4" spans="1:66" x14ac:dyDescent="0.25">
      <c r="A4" s="25" t="s">
        <v>36</v>
      </c>
      <c r="B4" s="2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2</v>
      </c>
      <c r="P4" s="1">
        <v>2</v>
      </c>
      <c r="Q4" s="1">
        <v>1</v>
      </c>
      <c r="R4" s="1">
        <v>1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>
        <v>7</v>
      </c>
      <c r="AR4" s="1">
        <v>7</v>
      </c>
      <c r="AS4" s="1">
        <v>7</v>
      </c>
      <c r="AT4" s="1">
        <v>7</v>
      </c>
      <c r="AU4" s="1">
        <v>7</v>
      </c>
      <c r="AV4" s="1">
        <v>8</v>
      </c>
      <c r="AW4" s="1">
        <v>4</v>
      </c>
      <c r="AX4" s="1">
        <v>7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>
        <f>SUM(C4:BL4)</f>
        <v>60</v>
      </c>
    </row>
    <row r="5" spans="1:66" x14ac:dyDescent="0.25">
      <c r="A5" s="25" t="s">
        <v>11</v>
      </c>
      <c r="B5" s="2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f>660+660</f>
        <v>1320</v>
      </c>
      <c r="P5" s="1">
        <v>90</v>
      </c>
      <c r="Q5" s="1">
        <v>660</v>
      </c>
      <c r="R5" s="1">
        <v>660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v>660</v>
      </c>
      <c r="AR5" s="1">
        <v>660</v>
      </c>
      <c r="AS5" s="1">
        <v>660</v>
      </c>
      <c r="AT5" s="1">
        <v>660</v>
      </c>
      <c r="AU5" s="1">
        <v>660</v>
      </c>
      <c r="AV5" s="1">
        <v>660</v>
      </c>
      <c r="AW5" s="1">
        <v>660</v>
      </c>
      <c r="AX5" s="1">
        <v>660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>
        <f>SUM(C5:BL5)</f>
        <v>8010</v>
      </c>
    </row>
    <row r="6" spans="1:66" x14ac:dyDescent="0.25">
      <c r="A6" s="2" t="s">
        <v>0</v>
      </c>
      <c r="B6" s="2" t="s">
        <v>37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8"/>
    </row>
    <row r="7" spans="1:66" x14ac:dyDescent="0.25">
      <c r="A7" s="21" t="s">
        <v>1</v>
      </c>
      <c r="B7" s="16" t="s">
        <v>46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>
        <f>2+2+3+3</f>
        <v>10</v>
      </c>
      <c r="AR7" s="16">
        <f>5+4+6+6+6+6+4</f>
        <v>37</v>
      </c>
      <c r="AS7" s="16"/>
      <c r="AT7" s="16">
        <f>6+6+6+6+4+6+6+4</f>
        <v>44</v>
      </c>
      <c r="AU7" s="16"/>
      <c r="AV7" s="16">
        <f>4+6+6+6+6+6+4+6+6</f>
        <v>50</v>
      </c>
      <c r="AW7" s="16"/>
      <c r="AX7" s="16">
        <f>4+4+6+6+6+6+6+6+6+6+4+4</f>
        <v>64</v>
      </c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7">
        <f t="shared" ref="BM7:BM24" si="0">SUM(C7:BL7)</f>
        <v>205</v>
      </c>
      <c r="BN7" s="6">
        <f t="shared" ref="BN7:BN24" si="1">BM7/BM$5</f>
        <v>2.5593008739076155E-2</v>
      </c>
    </row>
    <row r="8" spans="1:66" x14ac:dyDescent="0.25">
      <c r="A8" s="22"/>
      <c r="B8" s="2" t="s">
        <v>41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>
        <v>4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>
        <v>6</v>
      </c>
      <c r="AS8" s="16"/>
      <c r="AT8" s="16">
        <f>9+6+6</f>
        <v>21</v>
      </c>
      <c r="AU8" s="16"/>
      <c r="AV8" s="16">
        <f>6+4+6+2</f>
        <v>18</v>
      </c>
      <c r="AW8" s="16"/>
      <c r="AX8" s="16">
        <f>5+7+6+3</f>
        <v>21</v>
      </c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7">
        <f t="shared" si="0"/>
        <v>70</v>
      </c>
      <c r="BN8" s="6">
        <f t="shared" si="1"/>
        <v>8.7390761548064924E-3</v>
      </c>
    </row>
    <row r="9" spans="1:66" x14ac:dyDescent="0.25">
      <c r="A9" s="22"/>
      <c r="B9" s="2" t="s">
        <v>43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>
        <v>4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>
        <v>6</v>
      </c>
      <c r="AU9" s="16"/>
      <c r="AV9" s="16">
        <v>8</v>
      </c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7">
        <f t="shared" si="0"/>
        <v>18</v>
      </c>
      <c r="BN9" s="6">
        <f t="shared" si="1"/>
        <v>2.2471910112359553E-3</v>
      </c>
    </row>
    <row r="10" spans="1:66" x14ac:dyDescent="0.25">
      <c r="A10" s="22"/>
      <c r="B10" s="2" t="s">
        <v>42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>
        <v>7</v>
      </c>
      <c r="P10" s="16"/>
      <c r="Q10" s="16"/>
      <c r="R10" s="16">
        <f>6+9</f>
        <v>15</v>
      </c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>
        <f>7+4</f>
        <v>11</v>
      </c>
      <c r="AS10" s="16"/>
      <c r="AT10" s="16">
        <f>5+4+4+3</f>
        <v>16</v>
      </c>
      <c r="AU10" s="16"/>
      <c r="AV10" s="16">
        <f>7+6+6+5</f>
        <v>24</v>
      </c>
      <c r="AW10" s="16"/>
      <c r="AX10" s="16">
        <f>4+5+4+4+4+4+5+2</f>
        <v>32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7">
        <f t="shared" si="0"/>
        <v>105</v>
      </c>
      <c r="BN10" s="6">
        <f t="shared" si="1"/>
        <v>1.3108614232209739E-2</v>
      </c>
    </row>
    <row r="11" spans="1:66" x14ac:dyDescent="0.25">
      <c r="A11" s="22"/>
      <c r="B11" s="1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>
        <v>6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7">
        <f t="shared" si="0"/>
        <v>6</v>
      </c>
      <c r="BN11" s="6">
        <f t="shared" si="1"/>
        <v>7.4906367041198505E-4</v>
      </c>
    </row>
    <row r="12" spans="1:66" x14ac:dyDescent="0.25">
      <c r="A12" s="22"/>
      <c r="B12" s="16" t="s">
        <v>45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f>7+4+8+8</f>
        <v>27</v>
      </c>
      <c r="P12" s="16"/>
      <c r="Q12" s="16"/>
      <c r="R12" s="16">
        <f>17+12+6</f>
        <v>35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>
        <f>6+7+6+4</f>
        <v>23</v>
      </c>
      <c r="AS12" s="16"/>
      <c r="AT12" s="16">
        <f>8+4</f>
        <v>12</v>
      </c>
      <c r="AU12" s="16"/>
      <c r="AV12" s="16">
        <f>9+10</f>
        <v>19</v>
      </c>
      <c r="AW12" s="16"/>
      <c r="AX12" s="16">
        <f>7+5+7+6+8+5+7+10+8+9</f>
        <v>72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>
        <f t="shared" si="0"/>
        <v>188</v>
      </c>
      <c r="BN12" s="6">
        <f t="shared" si="1"/>
        <v>2.3470661672908864E-2</v>
      </c>
    </row>
    <row r="13" spans="1:66" x14ac:dyDescent="0.25">
      <c r="A13" s="22"/>
      <c r="B13" s="16" t="s">
        <v>44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>
        <f t="shared" si="0"/>
        <v>0</v>
      </c>
      <c r="BN13" s="6">
        <f t="shared" si="1"/>
        <v>0</v>
      </c>
    </row>
    <row r="14" spans="1:66" x14ac:dyDescent="0.25">
      <c r="A14" s="22"/>
      <c r="B14" s="1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>
        <f>12+7+5</f>
        <v>24</v>
      </c>
      <c r="AS14" s="1"/>
      <c r="AT14" s="1">
        <f>8+7+6</f>
        <v>21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7">
        <f t="shared" si="0"/>
        <v>58</v>
      </c>
      <c r="BN14" s="6">
        <f t="shared" si="1"/>
        <v>7.2409488139825217E-3</v>
      </c>
    </row>
    <row r="15" spans="1:66" x14ac:dyDescent="0.25">
      <c r="A15" s="22"/>
      <c r="B15" s="1" t="s">
        <v>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f>9+7+5+5+7+12</f>
        <v>45</v>
      </c>
      <c r="R15" s="1">
        <v>5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>
        <f>6+2+5+3+6+2+10</f>
        <v>34</v>
      </c>
      <c r="AT15" s="1"/>
      <c r="AU15" s="1"/>
      <c r="AV15" s="1">
        <f>6</f>
        <v>6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7">
        <f t="shared" si="0"/>
        <v>90</v>
      </c>
      <c r="BN15" s="6">
        <f t="shared" si="1"/>
        <v>1.1235955056179775E-2</v>
      </c>
    </row>
    <row r="16" spans="1:66" x14ac:dyDescent="0.25">
      <c r="A16" s="22"/>
      <c r="B16" t="s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f>4+7+2+4+7+3+8+24+6+8+7+4+13+5+7+4+9+5+6+8+5+43+15+9</f>
        <v>213</v>
      </c>
      <c r="P16" s="1"/>
      <c r="Q16" s="1"/>
      <c r="R16" s="1">
        <f>8+4+2+7+11+5+4+3+4+9+4</f>
        <v>61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f>16+4+5+4+7+6+7+6+5+3+7</f>
        <v>70</v>
      </c>
      <c r="AR16" s="1">
        <f>7+5+8+5</f>
        <v>25</v>
      </c>
      <c r="AS16" s="1"/>
      <c r="AT16" s="1">
        <f>12+7+6+8+5+4+6+15+3</f>
        <v>66</v>
      </c>
      <c r="AU16" s="1">
        <v>133</v>
      </c>
      <c r="AV16" s="1">
        <f>8+8+5+4+3+9+10+8+10+16+8+4+8+7+4+6+8+9+3</f>
        <v>138</v>
      </c>
      <c r="AW16" s="1">
        <v>63</v>
      </c>
      <c r="AX16" s="1">
        <f>5+6+9+3+3+9+4+7+7+8+7+7+12+8+6+15+4+9+3+6+6+2+6</f>
        <v>152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7">
        <f t="shared" si="0"/>
        <v>921</v>
      </c>
      <c r="BN16" s="6">
        <f t="shared" si="1"/>
        <v>0.1149812734082397</v>
      </c>
    </row>
    <row r="17" spans="1:66" x14ac:dyDescent="0.25">
      <c r="A17" s="22"/>
      <c r="B17" s="1" t="s">
        <v>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>
        <v>8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7">
        <f t="shared" si="0"/>
        <v>8</v>
      </c>
      <c r="BN17" s="6">
        <f t="shared" si="1"/>
        <v>9.9875156054931333E-4</v>
      </c>
    </row>
    <row r="18" spans="1:66" x14ac:dyDescent="0.25">
      <c r="A18" s="22"/>
      <c r="B18" s="1" t="s">
        <v>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>
        <f>60+50</f>
        <v>110</v>
      </c>
      <c r="AW18" s="1">
        <v>20</v>
      </c>
      <c r="AX18" s="1">
        <f>20+25+50</f>
        <v>95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7">
        <f t="shared" si="0"/>
        <v>225</v>
      </c>
      <c r="BN18" s="6">
        <f t="shared" si="1"/>
        <v>2.8089887640449437E-2</v>
      </c>
    </row>
    <row r="19" spans="1:66" x14ac:dyDescent="0.25">
      <c r="A19" s="22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5</v>
      </c>
      <c r="P19" s="1"/>
      <c r="Q19" s="1">
        <v>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>
        <v>5</v>
      </c>
      <c r="AR19" s="1">
        <v>7</v>
      </c>
      <c r="AS19" s="1"/>
      <c r="AT19" s="1">
        <v>7</v>
      </c>
      <c r="AU19" s="1">
        <v>5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7">
        <f t="shared" si="0"/>
        <v>35</v>
      </c>
      <c r="BN19" s="6">
        <f t="shared" si="1"/>
        <v>4.3695380774032462E-3</v>
      </c>
    </row>
    <row r="20" spans="1:66" ht="15.75" customHeight="1" x14ac:dyDescent="0.25">
      <c r="A20" s="22"/>
      <c r="B20" s="1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7">
        <f t="shared" si="0"/>
        <v>0</v>
      </c>
      <c r="BN20" s="6">
        <f t="shared" si="1"/>
        <v>0</v>
      </c>
    </row>
    <row r="21" spans="1:66" ht="15.75" customHeight="1" x14ac:dyDescent="0.25">
      <c r="A21" s="22"/>
      <c r="B21" s="1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7">
        <f t="shared" si="0"/>
        <v>0</v>
      </c>
      <c r="BN21" s="6">
        <f t="shared" si="1"/>
        <v>0</v>
      </c>
    </row>
    <row r="22" spans="1:66" x14ac:dyDescent="0.25">
      <c r="A22" s="22"/>
      <c r="B22" s="1" t="s">
        <v>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>
        <v>5</v>
      </c>
      <c r="AT22" s="1"/>
      <c r="AU22" s="1"/>
      <c r="AV22" s="1"/>
      <c r="AW22" s="1">
        <v>60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7">
        <f t="shared" si="0"/>
        <v>65</v>
      </c>
      <c r="BN22" s="6">
        <f t="shared" si="1"/>
        <v>8.1148564294631718E-3</v>
      </c>
    </row>
    <row r="23" spans="1:66" ht="16.5" customHeight="1" x14ac:dyDescent="0.25">
      <c r="A23" s="22"/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7">
        <f t="shared" si="0"/>
        <v>0</v>
      </c>
      <c r="BN23" s="6">
        <f t="shared" si="1"/>
        <v>0</v>
      </c>
    </row>
    <row r="24" spans="1:66" ht="15.75" customHeight="1" x14ac:dyDescent="0.25">
      <c r="A24" s="22"/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f>8+8</f>
        <v>16</v>
      </c>
      <c r="P24" s="1"/>
      <c r="Q24" s="1"/>
      <c r="R24" s="1">
        <v>18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>
        <f>5+5</f>
        <v>10</v>
      </c>
      <c r="AR24" s="1"/>
      <c r="AS24" s="1"/>
      <c r="AT24" s="1"/>
      <c r="AU24" s="1"/>
      <c r="AV24" s="1">
        <v>8</v>
      </c>
      <c r="AW24" s="1">
        <v>5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7">
        <f t="shared" si="0"/>
        <v>57</v>
      </c>
      <c r="BN24" s="6">
        <f t="shared" si="1"/>
        <v>7.1161048689138574E-3</v>
      </c>
    </row>
    <row r="25" spans="1:66" s="11" customFormat="1" ht="15.75" customHeight="1" x14ac:dyDescent="0.25">
      <c r="A25" s="23"/>
      <c r="B25" s="9" t="s">
        <v>34</v>
      </c>
      <c r="C25" s="9">
        <f>SUM(C7:C24)</f>
        <v>0</v>
      </c>
      <c r="D25" s="9">
        <f t="shared" ref="D25:BL25" si="2">SUM(D7:D24)</f>
        <v>0</v>
      </c>
      <c r="E25" s="9">
        <f t="shared" si="2"/>
        <v>0</v>
      </c>
      <c r="F25" s="9">
        <f t="shared" si="2"/>
        <v>0</v>
      </c>
      <c r="G25" s="9">
        <f t="shared" si="2"/>
        <v>0</v>
      </c>
      <c r="H25" s="9">
        <f t="shared" si="2"/>
        <v>0</v>
      </c>
      <c r="I25" s="9">
        <f t="shared" si="2"/>
        <v>0</v>
      </c>
      <c r="J25" s="9">
        <f t="shared" si="2"/>
        <v>0</v>
      </c>
      <c r="K25" s="9">
        <f t="shared" si="2"/>
        <v>0</v>
      </c>
      <c r="L25" s="9">
        <f t="shared" si="2"/>
        <v>0</v>
      </c>
      <c r="M25" s="9">
        <f t="shared" si="2"/>
        <v>0</v>
      </c>
      <c r="N25" s="9">
        <f t="shared" si="2"/>
        <v>0</v>
      </c>
      <c r="O25" s="9">
        <f t="shared" si="2"/>
        <v>281</v>
      </c>
      <c r="P25" s="9">
        <f t="shared" si="2"/>
        <v>0</v>
      </c>
      <c r="Q25" s="9">
        <f t="shared" si="2"/>
        <v>51</v>
      </c>
      <c r="R25" s="9">
        <f t="shared" si="2"/>
        <v>142</v>
      </c>
      <c r="S25" s="9">
        <f t="shared" si="2"/>
        <v>0</v>
      </c>
      <c r="T25" s="9">
        <f t="shared" si="2"/>
        <v>0</v>
      </c>
      <c r="U25" s="9">
        <f t="shared" si="2"/>
        <v>0</v>
      </c>
      <c r="V25" s="9">
        <f t="shared" si="2"/>
        <v>0</v>
      </c>
      <c r="W25" s="9">
        <f t="shared" si="2"/>
        <v>0</v>
      </c>
      <c r="X25" s="9">
        <f t="shared" si="2"/>
        <v>0</v>
      </c>
      <c r="Y25" s="9">
        <f t="shared" si="2"/>
        <v>0</v>
      </c>
      <c r="Z25" s="9">
        <f t="shared" si="2"/>
        <v>0</v>
      </c>
      <c r="AA25" s="9">
        <f t="shared" si="2"/>
        <v>0</v>
      </c>
      <c r="AB25" s="9">
        <f t="shared" si="2"/>
        <v>0</v>
      </c>
      <c r="AC25" s="9">
        <f t="shared" si="2"/>
        <v>0</v>
      </c>
      <c r="AD25" s="9">
        <f t="shared" si="2"/>
        <v>0</v>
      </c>
      <c r="AE25" s="9">
        <f t="shared" si="2"/>
        <v>0</v>
      </c>
      <c r="AF25" s="9">
        <f t="shared" si="2"/>
        <v>0</v>
      </c>
      <c r="AG25" s="9">
        <f t="shared" si="2"/>
        <v>0</v>
      </c>
      <c r="AH25" s="9">
        <f t="shared" si="2"/>
        <v>0</v>
      </c>
      <c r="AI25" s="9">
        <f t="shared" si="2"/>
        <v>0</v>
      </c>
      <c r="AJ25" s="9">
        <f t="shared" si="2"/>
        <v>0</v>
      </c>
      <c r="AK25" s="9">
        <f t="shared" si="2"/>
        <v>0</v>
      </c>
      <c r="AL25" s="9">
        <f t="shared" si="2"/>
        <v>0</v>
      </c>
      <c r="AM25" s="9">
        <f t="shared" si="2"/>
        <v>0</v>
      </c>
      <c r="AN25" s="9">
        <f t="shared" si="2"/>
        <v>0</v>
      </c>
      <c r="AO25" s="9">
        <f t="shared" si="2"/>
        <v>0</v>
      </c>
      <c r="AP25" s="9">
        <f t="shared" si="2"/>
        <v>0</v>
      </c>
      <c r="AQ25" s="9">
        <f t="shared" si="2"/>
        <v>95</v>
      </c>
      <c r="AR25" s="9">
        <f t="shared" si="2"/>
        <v>133</v>
      </c>
      <c r="AS25" s="9">
        <f t="shared" si="2"/>
        <v>39</v>
      </c>
      <c r="AT25" s="9">
        <f t="shared" si="2"/>
        <v>207</v>
      </c>
      <c r="AU25" s="9">
        <f t="shared" si="2"/>
        <v>138</v>
      </c>
      <c r="AV25" s="9">
        <f t="shared" si="2"/>
        <v>381</v>
      </c>
      <c r="AW25" s="9">
        <f t="shared" si="2"/>
        <v>148</v>
      </c>
      <c r="AX25" s="9">
        <f t="shared" si="2"/>
        <v>436</v>
      </c>
      <c r="AY25" s="9">
        <f t="shared" si="2"/>
        <v>0</v>
      </c>
      <c r="AZ25" s="9">
        <f t="shared" si="2"/>
        <v>0</v>
      </c>
      <c r="BA25" s="9">
        <f t="shared" si="2"/>
        <v>0</v>
      </c>
      <c r="BB25" s="9">
        <f t="shared" si="2"/>
        <v>0</v>
      </c>
      <c r="BC25" s="9">
        <f t="shared" si="2"/>
        <v>0</v>
      </c>
      <c r="BD25" s="9">
        <f t="shared" si="2"/>
        <v>0</v>
      </c>
      <c r="BE25" s="9">
        <f t="shared" si="2"/>
        <v>0</v>
      </c>
      <c r="BF25" s="9">
        <f t="shared" si="2"/>
        <v>0</v>
      </c>
      <c r="BG25" s="9">
        <f t="shared" si="2"/>
        <v>0</v>
      </c>
      <c r="BH25" s="9">
        <f t="shared" si="2"/>
        <v>0</v>
      </c>
      <c r="BI25" s="9">
        <f t="shared" si="2"/>
        <v>0</v>
      </c>
      <c r="BJ25" s="9">
        <f t="shared" si="2"/>
        <v>0</v>
      </c>
      <c r="BK25" s="9">
        <f t="shared" si="2"/>
        <v>0</v>
      </c>
      <c r="BL25" s="9">
        <f t="shared" si="2"/>
        <v>0</v>
      </c>
      <c r="BM25" s="10">
        <f>SUM(BM7:BM24)</f>
        <v>2051</v>
      </c>
      <c r="BN25" s="6">
        <f t="shared" ref="BN25:BN101" si="3">BM25/BM$5</f>
        <v>0.25605493133583024</v>
      </c>
    </row>
    <row r="26" spans="1:66" s="11" customFormat="1" ht="15.75" customHeight="1" x14ac:dyDescent="0.25">
      <c r="A26" s="21" t="s">
        <v>2</v>
      </c>
      <c r="B26" s="16" t="s">
        <v>46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>
        <f>2+2+3</f>
        <v>7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8">
        <f t="shared" ref="BM26:BM43" si="4">SUM(C26:BL26)</f>
        <v>7</v>
      </c>
      <c r="BN26" s="6">
        <f t="shared" ref="BN26:BN43" si="5">BM26/BM$5</f>
        <v>8.7390761548064924E-4</v>
      </c>
    </row>
    <row r="27" spans="1:66" x14ac:dyDescent="0.25">
      <c r="A27" s="22"/>
      <c r="B27" s="2" t="s">
        <v>41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>
        <f>2+1+2+2</f>
        <v>7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>
        <f>5+4+3</f>
        <v>12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7">
        <f t="shared" si="4"/>
        <v>19</v>
      </c>
      <c r="BN27" s="6">
        <f t="shared" si="5"/>
        <v>2.3720349563046191E-3</v>
      </c>
    </row>
    <row r="28" spans="1:66" x14ac:dyDescent="0.25">
      <c r="A28" s="22"/>
      <c r="B28" s="2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>
        <f>6+3+1</f>
        <v>10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7">
        <f t="shared" si="4"/>
        <v>10</v>
      </c>
      <c r="BN28" s="6">
        <f t="shared" si="5"/>
        <v>1.2484394506866417E-3</v>
      </c>
    </row>
    <row r="29" spans="1:66" x14ac:dyDescent="0.25">
      <c r="A29" s="22"/>
      <c r="B29" s="2" t="s">
        <v>42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>
        <f>6+6+2+4+2+2</f>
        <v>22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>
        <f>4+4+4+4+4+4+4</f>
        <v>28</v>
      </c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7">
        <f t="shared" si="4"/>
        <v>50</v>
      </c>
      <c r="BN29" s="6">
        <f t="shared" si="5"/>
        <v>6.2421972534332081E-3</v>
      </c>
    </row>
    <row r="30" spans="1:66" ht="15.75" customHeight="1" x14ac:dyDescent="0.25">
      <c r="A30" s="22"/>
      <c r="B30" s="1" t="s">
        <v>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>
        <f t="shared" si="4"/>
        <v>0</v>
      </c>
      <c r="BN30" s="6">
        <f t="shared" si="5"/>
        <v>0</v>
      </c>
    </row>
    <row r="31" spans="1:66" s="11" customFormat="1" ht="15.75" customHeight="1" x14ac:dyDescent="0.25">
      <c r="A31" s="22"/>
      <c r="B31" s="16" t="s">
        <v>45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>
        <v>8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>
        <f>8+5+10+7+6+8+7+6+8+3</f>
        <v>68</v>
      </c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8">
        <f t="shared" si="4"/>
        <v>76</v>
      </c>
      <c r="BN31" s="19">
        <f t="shared" si="5"/>
        <v>9.4881398252184765E-3</v>
      </c>
    </row>
    <row r="32" spans="1:66" s="11" customFormat="1" ht="15.75" customHeight="1" x14ac:dyDescent="0.25">
      <c r="A32" s="22"/>
      <c r="B32" s="16" t="s">
        <v>44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8">
        <f t="shared" si="4"/>
        <v>0</v>
      </c>
      <c r="BN32" s="19">
        <f t="shared" si="5"/>
        <v>0</v>
      </c>
    </row>
    <row r="33" spans="1:66" x14ac:dyDescent="0.25">
      <c r="A33" s="22"/>
      <c r="B33" s="1" t="s">
        <v>12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f>7+5</f>
        <v>12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>
        <f>10+7+8+7+15+10</f>
        <v>57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>
        <f t="shared" si="4"/>
        <v>69</v>
      </c>
      <c r="BN33" s="6">
        <f t="shared" si="5"/>
        <v>8.6142322097378272E-3</v>
      </c>
    </row>
    <row r="34" spans="1:66" x14ac:dyDescent="0.25">
      <c r="A34" s="22"/>
      <c r="B34" s="1" t="s">
        <v>47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>
        <f t="shared" si="4"/>
        <v>0</v>
      </c>
      <c r="BN34" s="6">
        <f t="shared" si="5"/>
        <v>0</v>
      </c>
    </row>
    <row r="35" spans="1:66" x14ac:dyDescent="0.25">
      <c r="A35" s="22"/>
      <c r="B35" t="s">
        <v>48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>
        <f>299-119</f>
        <v>180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f>20+5+4+7+6+7+6+5+3+7</f>
        <v>70</v>
      </c>
      <c r="AR35" s="1"/>
      <c r="AS35" s="1"/>
      <c r="AT35" s="1"/>
      <c r="AU35" s="1"/>
      <c r="AV35" s="1"/>
      <c r="AW35" s="1">
        <f>7+5+14+5+2+5</f>
        <v>38</v>
      </c>
      <c r="AX35" s="1">
        <f>419-273</f>
        <v>146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>
        <f t="shared" si="4"/>
        <v>434</v>
      </c>
      <c r="BN35" s="6">
        <f t="shared" si="5"/>
        <v>5.4182272159800253E-2</v>
      </c>
    </row>
    <row r="36" spans="1:66" x14ac:dyDescent="0.25">
      <c r="A36" s="22"/>
      <c r="B36" s="1" t="s">
        <v>13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>
        <f t="shared" si="4"/>
        <v>0</v>
      </c>
      <c r="BN36" s="6">
        <f t="shared" si="5"/>
        <v>0</v>
      </c>
    </row>
    <row r="37" spans="1:66" x14ac:dyDescent="0.25">
      <c r="A37" s="22"/>
      <c r="B37" s="1" t="s">
        <v>14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30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>
        <v>50</v>
      </c>
      <c r="AX37" s="1">
        <f>30+28+50</f>
        <v>108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>
        <f t="shared" si="4"/>
        <v>188</v>
      </c>
      <c r="BN37" s="6">
        <f t="shared" si="5"/>
        <v>2.3470661672908864E-2</v>
      </c>
    </row>
    <row r="38" spans="1:66" x14ac:dyDescent="0.25">
      <c r="A38" s="22"/>
      <c r="B38" s="1" t="s">
        <v>16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f>4+4+5</f>
        <v>13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>
        <v>10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>
        <f t="shared" si="4"/>
        <v>23</v>
      </c>
      <c r="BN38" s="6">
        <f t="shared" si="5"/>
        <v>2.8714107365792759E-3</v>
      </c>
    </row>
    <row r="39" spans="1:66" x14ac:dyDescent="0.25">
      <c r="A39" s="22"/>
      <c r="B39" s="1" t="s">
        <v>19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>
        <f t="shared" si="4"/>
        <v>5</v>
      </c>
      <c r="BN39" s="6">
        <f t="shared" si="5"/>
        <v>6.2421972534332086E-4</v>
      </c>
    </row>
    <row r="40" spans="1:66" x14ac:dyDescent="0.25">
      <c r="A40" s="22"/>
      <c r="B40" s="1" t="s">
        <v>17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>
        <f t="shared" si="4"/>
        <v>0</v>
      </c>
      <c r="BN40" s="6">
        <f t="shared" si="5"/>
        <v>0</v>
      </c>
    </row>
    <row r="41" spans="1:66" x14ac:dyDescent="0.25">
      <c r="A41" s="22"/>
      <c r="B41" s="1" t="s">
        <v>18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f>80+5</f>
        <v>85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>
        <f t="shared" si="4"/>
        <v>85</v>
      </c>
      <c r="BN41" s="6">
        <f t="shared" si="5"/>
        <v>1.0611735330836454E-2</v>
      </c>
    </row>
    <row r="42" spans="1:66" x14ac:dyDescent="0.25">
      <c r="A42" s="22"/>
      <c r="B42" s="1" t="s">
        <v>20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>
        <f t="shared" si="4"/>
        <v>0</v>
      </c>
      <c r="BN42" s="6">
        <f t="shared" si="5"/>
        <v>0</v>
      </c>
    </row>
    <row r="43" spans="1:66" x14ac:dyDescent="0.25">
      <c r="A43" s="22"/>
      <c r="B43" s="1" t="s">
        <v>21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>
        <v>5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>
        <f t="shared" si="4"/>
        <v>10</v>
      </c>
      <c r="BN43" s="6">
        <f t="shared" si="5"/>
        <v>1.2484394506866417E-3</v>
      </c>
    </row>
    <row r="44" spans="1:66" s="11" customFormat="1" x14ac:dyDescent="0.25">
      <c r="A44" s="23"/>
      <c r="B44" s="9" t="s">
        <v>34</v>
      </c>
      <c r="C44" s="9">
        <f t="shared" ref="C44:BK44" si="6">SUM(C26:C43)</f>
        <v>0</v>
      </c>
      <c r="D44" s="9">
        <f t="shared" si="6"/>
        <v>0</v>
      </c>
      <c r="E44" s="9">
        <f t="shared" si="6"/>
        <v>0</v>
      </c>
      <c r="F44" s="9">
        <f t="shared" si="6"/>
        <v>0</v>
      </c>
      <c r="G44" s="9">
        <f t="shared" si="6"/>
        <v>0</v>
      </c>
      <c r="H44" s="9">
        <f t="shared" si="6"/>
        <v>0</v>
      </c>
      <c r="I44" s="9">
        <f t="shared" si="6"/>
        <v>0</v>
      </c>
      <c r="J44" s="9">
        <f t="shared" si="6"/>
        <v>0</v>
      </c>
      <c r="K44" s="9">
        <f t="shared" si="6"/>
        <v>0</v>
      </c>
      <c r="L44" s="9">
        <f t="shared" si="6"/>
        <v>0</v>
      </c>
      <c r="M44" s="9">
        <f t="shared" si="6"/>
        <v>0</v>
      </c>
      <c r="N44" s="9">
        <f t="shared" si="6"/>
        <v>0</v>
      </c>
      <c r="O44" s="9">
        <f t="shared" si="6"/>
        <v>299</v>
      </c>
      <c r="P44" s="9">
        <f t="shared" si="6"/>
        <v>0</v>
      </c>
      <c r="Q44" s="9">
        <f t="shared" si="6"/>
        <v>0</v>
      </c>
      <c r="R44" s="9">
        <f t="shared" si="6"/>
        <v>0</v>
      </c>
      <c r="S44" s="9">
        <f t="shared" si="6"/>
        <v>0</v>
      </c>
      <c r="T44" s="9">
        <f t="shared" si="6"/>
        <v>0</v>
      </c>
      <c r="U44" s="9">
        <f t="shared" si="6"/>
        <v>0</v>
      </c>
      <c r="V44" s="9">
        <f t="shared" si="6"/>
        <v>0</v>
      </c>
      <c r="W44" s="9">
        <f t="shared" si="6"/>
        <v>0</v>
      </c>
      <c r="X44" s="9">
        <f t="shared" si="6"/>
        <v>0</v>
      </c>
      <c r="Y44" s="9">
        <f t="shared" si="6"/>
        <v>0</v>
      </c>
      <c r="Z44" s="9">
        <f t="shared" si="6"/>
        <v>0</v>
      </c>
      <c r="AA44" s="9">
        <f t="shared" si="6"/>
        <v>0</v>
      </c>
      <c r="AB44" s="9">
        <f t="shared" si="6"/>
        <v>0</v>
      </c>
      <c r="AC44" s="9">
        <f t="shared" si="6"/>
        <v>0</v>
      </c>
      <c r="AD44" s="9">
        <f t="shared" si="6"/>
        <v>0</v>
      </c>
      <c r="AE44" s="9">
        <f t="shared" si="6"/>
        <v>0</v>
      </c>
      <c r="AF44" s="9">
        <f t="shared" si="6"/>
        <v>0</v>
      </c>
      <c r="AG44" s="9">
        <f t="shared" si="6"/>
        <v>0</v>
      </c>
      <c r="AH44" s="9">
        <f t="shared" si="6"/>
        <v>0</v>
      </c>
      <c r="AI44" s="9">
        <f t="shared" si="6"/>
        <v>0</v>
      </c>
      <c r="AJ44" s="9">
        <f t="shared" si="6"/>
        <v>0</v>
      </c>
      <c r="AK44" s="9">
        <f t="shared" si="6"/>
        <v>0</v>
      </c>
      <c r="AL44" s="9">
        <f t="shared" si="6"/>
        <v>0</v>
      </c>
      <c r="AM44" s="9">
        <f t="shared" si="6"/>
        <v>0</v>
      </c>
      <c r="AN44" s="9">
        <f t="shared" si="6"/>
        <v>0</v>
      </c>
      <c r="AO44" s="9">
        <f t="shared" si="6"/>
        <v>0</v>
      </c>
      <c r="AP44" s="9">
        <f t="shared" si="6"/>
        <v>0</v>
      </c>
      <c r="AQ44" s="9">
        <f t="shared" si="6"/>
        <v>80</v>
      </c>
      <c r="AR44" s="9">
        <f t="shared" si="6"/>
        <v>0</v>
      </c>
      <c r="AS44" s="9">
        <f t="shared" si="6"/>
        <v>0</v>
      </c>
      <c r="AT44" s="9">
        <f t="shared" si="6"/>
        <v>0</v>
      </c>
      <c r="AU44" s="9">
        <f t="shared" si="6"/>
        <v>0</v>
      </c>
      <c r="AV44" s="9">
        <f t="shared" si="6"/>
        <v>0</v>
      </c>
      <c r="AW44" s="9">
        <f t="shared" si="6"/>
        <v>178</v>
      </c>
      <c r="AX44" s="9">
        <f t="shared" si="6"/>
        <v>419</v>
      </c>
      <c r="AY44" s="9">
        <f t="shared" si="6"/>
        <v>0</v>
      </c>
      <c r="AZ44" s="9">
        <f t="shared" si="6"/>
        <v>0</v>
      </c>
      <c r="BA44" s="9">
        <f t="shared" si="6"/>
        <v>0</v>
      </c>
      <c r="BB44" s="9">
        <f t="shared" si="6"/>
        <v>0</v>
      </c>
      <c r="BC44" s="9">
        <f t="shared" si="6"/>
        <v>0</v>
      </c>
      <c r="BD44" s="9">
        <f t="shared" si="6"/>
        <v>0</v>
      </c>
      <c r="BE44" s="9">
        <f t="shared" si="6"/>
        <v>0</v>
      </c>
      <c r="BF44" s="9">
        <f t="shared" si="6"/>
        <v>0</v>
      </c>
      <c r="BG44" s="9">
        <f t="shared" si="6"/>
        <v>0</v>
      </c>
      <c r="BH44" s="9">
        <f t="shared" si="6"/>
        <v>0</v>
      </c>
      <c r="BI44" s="9">
        <f t="shared" si="6"/>
        <v>0</v>
      </c>
      <c r="BJ44" s="9">
        <f t="shared" si="6"/>
        <v>0</v>
      </c>
      <c r="BK44" s="9">
        <f t="shared" si="6"/>
        <v>0</v>
      </c>
      <c r="BL44" s="9">
        <f>SUM(BL26:BL43)</f>
        <v>0</v>
      </c>
      <c r="BM44" s="10">
        <f>SUM(BM32:BM43)</f>
        <v>814</v>
      </c>
      <c r="BN44" s="6">
        <f t="shared" si="3"/>
        <v>0.10162297128589264</v>
      </c>
    </row>
    <row r="45" spans="1:66" x14ac:dyDescent="0.25">
      <c r="A45" s="21" t="s">
        <v>3</v>
      </c>
      <c r="B45" s="16" t="s">
        <v>46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7">
        <f t="shared" ref="BM45:BM62" si="7">SUM(C45:BL45)</f>
        <v>0</v>
      </c>
      <c r="BN45" s="6">
        <f t="shared" si="3"/>
        <v>0</v>
      </c>
    </row>
    <row r="46" spans="1:66" x14ac:dyDescent="0.25">
      <c r="A46" s="22"/>
      <c r="B46" s="2" t="s">
        <v>41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>
        <v>3</v>
      </c>
      <c r="AS46" s="16"/>
      <c r="AT46" s="16">
        <f>2+1+2+2+2+2</f>
        <v>11</v>
      </c>
      <c r="AU46" s="16"/>
      <c r="AV46" s="16">
        <f>7</f>
        <v>7</v>
      </c>
      <c r="AW46" s="16"/>
      <c r="AX46" s="16">
        <f>11</f>
        <v>11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7">
        <f t="shared" si="7"/>
        <v>32</v>
      </c>
      <c r="BN46" s="6">
        <f t="shared" si="3"/>
        <v>3.9950062421972533E-3</v>
      </c>
    </row>
    <row r="47" spans="1:66" x14ac:dyDescent="0.25">
      <c r="A47" s="22"/>
      <c r="B47" s="2" t="s">
        <v>43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>
        <v>3</v>
      </c>
      <c r="AS47" s="16"/>
      <c r="AT47" s="16">
        <v>3</v>
      </c>
      <c r="AU47" s="16"/>
      <c r="AV47" s="16">
        <v>3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7">
        <f t="shared" si="7"/>
        <v>9</v>
      </c>
      <c r="BN47" s="6">
        <f t="shared" si="3"/>
        <v>1.1235955056179776E-3</v>
      </c>
    </row>
    <row r="48" spans="1:66" x14ac:dyDescent="0.25">
      <c r="A48" s="22"/>
      <c r="B48" s="2" t="s">
        <v>42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>
        <f>3+5+4+4</f>
        <v>16</v>
      </c>
      <c r="AS48" s="16"/>
      <c r="AT48" s="16"/>
      <c r="AU48" s="16"/>
      <c r="AV48" s="16">
        <f>6+4+6+6+5+5</f>
        <v>32</v>
      </c>
      <c r="AW48" s="16"/>
      <c r="AX48" s="16">
        <f>6+6</f>
        <v>12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7">
        <f t="shared" si="7"/>
        <v>60</v>
      </c>
      <c r="BN48" s="6">
        <f t="shared" si="3"/>
        <v>7.4906367041198503E-3</v>
      </c>
    </row>
    <row r="49" spans="1:66" x14ac:dyDescent="0.25">
      <c r="A49" s="22"/>
      <c r="B49" s="1" t="s">
        <v>15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>
        <v>4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>
        <f t="shared" si="7"/>
        <v>4</v>
      </c>
      <c r="BN49" s="6">
        <f>BM49/BM$5</f>
        <v>4.9937578027465666E-4</v>
      </c>
    </row>
    <row r="50" spans="1:66" x14ac:dyDescent="0.25">
      <c r="A50" s="22"/>
      <c r="B50" s="16" t="s">
        <v>45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>
        <v>3</v>
      </c>
      <c r="AS50" s="16"/>
      <c r="AT50" s="16">
        <f>6+6+1</f>
        <v>13</v>
      </c>
      <c r="AU50" s="16"/>
      <c r="AV50" s="16">
        <f>7+4+16</f>
        <v>27</v>
      </c>
      <c r="AW50" s="16"/>
      <c r="AX50" s="16">
        <f>7+4+5</f>
        <v>16</v>
      </c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7">
        <f t="shared" si="7"/>
        <v>59</v>
      </c>
      <c r="BN50" s="6">
        <f t="shared" ref="BN50:BN62" si="8">BM50/BM$5</f>
        <v>7.365792759051186E-3</v>
      </c>
    </row>
    <row r="51" spans="1:66" x14ac:dyDescent="0.25">
      <c r="A51" s="22"/>
      <c r="B51" s="16" t="s">
        <v>44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>
        <v>6</v>
      </c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7">
        <f t="shared" si="7"/>
        <v>6</v>
      </c>
      <c r="BN51" s="6">
        <f t="shared" si="8"/>
        <v>7.4906367041198505E-4</v>
      </c>
    </row>
    <row r="52" spans="1:66" x14ac:dyDescent="0.25">
      <c r="A52" s="22"/>
      <c r="B52" s="1" t="s">
        <v>12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>
        <v>6</v>
      </c>
      <c r="AS52" s="1"/>
      <c r="AT52" s="1">
        <v>8</v>
      </c>
      <c r="AU52" s="1"/>
      <c r="AV52" s="1">
        <f>18+8</f>
        <v>26</v>
      </c>
      <c r="AW52" s="1"/>
      <c r="AX52" s="1">
        <f>8+3</f>
        <v>11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>
        <f t="shared" si="7"/>
        <v>51</v>
      </c>
      <c r="BN52" s="6">
        <f t="shared" si="8"/>
        <v>6.3670411985018724E-3</v>
      </c>
    </row>
    <row r="53" spans="1:66" x14ac:dyDescent="0.25">
      <c r="A53" s="22"/>
      <c r="B53" s="1" t="s">
        <v>47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>
        <v>6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>
        <f t="shared" si="7"/>
        <v>6</v>
      </c>
      <c r="BN53" s="6">
        <f t="shared" si="8"/>
        <v>7.4906367041198505E-4</v>
      </c>
    </row>
    <row r="54" spans="1:66" x14ac:dyDescent="0.25">
      <c r="A54" s="22"/>
      <c r="B54" t="s">
        <v>48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>
        <f>20+5+4+7+6+7+6+5+3+7</f>
        <v>70</v>
      </c>
      <c r="AR54" s="1">
        <f>7+5+8+5</f>
        <v>25</v>
      </c>
      <c r="AS54" s="1">
        <f>6+2+5+3+6+2+10</f>
        <v>34</v>
      </c>
      <c r="AT54" s="1">
        <f>12+7+6+8+5+4+6+15+3</f>
        <v>66</v>
      </c>
      <c r="AU54" s="1">
        <v>133</v>
      </c>
      <c r="AV54" s="1">
        <f>8+8+5+4+3+9+10+8+10+16+8+4+8+7+4+6+8+9+4</f>
        <v>139</v>
      </c>
      <c r="AW54" s="1">
        <f>7+5+14+5+2</f>
        <v>33</v>
      </c>
      <c r="AX54" s="1">
        <f>5+6+9+3+3+9+4+7+7+8+7+7+12+8+6+15+4+9+13+6+6+2</f>
        <v>156</v>
      </c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>
        <f t="shared" si="7"/>
        <v>656</v>
      </c>
      <c r="BN54" s="6">
        <f t="shared" si="8"/>
        <v>8.1897627965043698E-2</v>
      </c>
    </row>
    <row r="55" spans="1:66" x14ac:dyDescent="0.25">
      <c r="A55" s="22"/>
      <c r="B55" s="1" t="s">
        <v>13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>
        <f t="shared" si="7"/>
        <v>0</v>
      </c>
      <c r="BN55" s="6">
        <f t="shared" si="8"/>
        <v>0</v>
      </c>
    </row>
    <row r="56" spans="1:66" x14ac:dyDescent="0.25">
      <c r="A56" s="22"/>
      <c r="B56" s="1" t="s">
        <v>14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>
        <f>60+50</f>
        <v>110</v>
      </c>
      <c r="AW56" s="1"/>
      <c r="AX56" s="1">
        <v>24</v>
      </c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>
        <f t="shared" si="7"/>
        <v>134</v>
      </c>
      <c r="BN56" s="6">
        <f t="shared" si="8"/>
        <v>1.6729088639200997E-2</v>
      </c>
    </row>
    <row r="57" spans="1:66" x14ac:dyDescent="0.25">
      <c r="A57" s="22"/>
      <c r="B57" s="1" t="s">
        <v>16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>
        <v>5</v>
      </c>
      <c r="AR57" s="1">
        <f>6+5+8</f>
        <v>19</v>
      </c>
      <c r="AS57" s="1">
        <v>5</v>
      </c>
      <c r="AT57" s="1">
        <v>5</v>
      </c>
      <c r="AU57" s="1">
        <v>5</v>
      </c>
      <c r="AV57" s="1"/>
      <c r="AW57" s="1"/>
      <c r="AX57" s="1">
        <v>7</v>
      </c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>
        <f t="shared" si="7"/>
        <v>46</v>
      </c>
      <c r="BN57" s="6">
        <f t="shared" si="8"/>
        <v>5.7428214731585518E-3</v>
      </c>
    </row>
    <row r="58" spans="1:66" x14ac:dyDescent="0.25">
      <c r="A58" s="22"/>
      <c r="B58" s="1" t="s">
        <v>19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>
        <f t="shared" si="7"/>
        <v>0</v>
      </c>
      <c r="BN58" s="6">
        <f t="shared" si="8"/>
        <v>0</v>
      </c>
    </row>
    <row r="59" spans="1:66" x14ac:dyDescent="0.25">
      <c r="A59" s="22"/>
      <c r="B59" s="1" t="s">
        <v>17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>
        <f t="shared" si="7"/>
        <v>0</v>
      </c>
      <c r="BN59" s="6">
        <f t="shared" si="8"/>
        <v>0</v>
      </c>
    </row>
    <row r="60" spans="1:66" x14ac:dyDescent="0.25">
      <c r="A60" s="22"/>
      <c r="B60" s="1" t="s">
        <v>18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>
        <f t="shared" si="7"/>
        <v>0</v>
      </c>
      <c r="BN60" s="6">
        <f t="shared" si="8"/>
        <v>0</v>
      </c>
    </row>
    <row r="61" spans="1:66" x14ac:dyDescent="0.25">
      <c r="A61" s="22"/>
      <c r="B61" s="1" t="s">
        <v>20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>
        <f t="shared" si="7"/>
        <v>0</v>
      </c>
      <c r="BN61" s="6">
        <f t="shared" si="8"/>
        <v>0</v>
      </c>
    </row>
    <row r="62" spans="1:66" x14ac:dyDescent="0.25">
      <c r="A62" s="22"/>
      <c r="B62" s="1" t="s">
        <v>21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>
        <v>15</v>
      </c>
      <c r="AU62" s="1"/>
      <c r="AV62" s="1"/>
      <c r="AW62" s="1"/>
      <c r="AX62" s="1">
        <v>14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>
        <f t="shared" si="7"/>
        <v>29</v>
      </c>
      <c r="BN62" s="6">
        <f t="shared" si="8"/>
        <v>3.6204744069912608E-3</v>
      </c>
    </row>
    <row r="63" spans="1:66" s="11" customFormat="1" x14ac:dyDescent="0.25">
      <c r="A63" s="23"/>
      <c r="B63" s="9" t="s">
        <v>34</v>
      </c>
      <c r="C63" s="9">
        <f>SUM(C45:C62)</f>
        <v>0</v>
      </c>
      <c r="D63" s="9">
        <f t="shared" ref="D63:BL63" si="9">SUM(D45:D62)</f>
        <v>0</v>
      </c>
      <c r="E63" s="9">
        <f t="shared" si="9"/>
        <v>0</v>
      </c>
      <c r="F63" s="9">
        <f t="shared" si="9"/>
        <v>0</v>
      </c>
      <c r="G63" s="9">
        <f t="shared" si="9"/>
        <v>0</v>
      </c>
      <c r="H63" s="9">
        <f t="shared" si="9"/>
        <v>0</v>
      </c>
      <c r="I63" s="9">
        <f t="shared" si="9"/>
        <v>0</v>
      </c>
      <c r="J63" s="9">
        <f t="shared" si="9"/>
        <v>0</v>
      </c>
      <c r="K63" s="9">
        <f t="shared" si="9"/>
        <v>0</v>
      </c>
      <c r="L63" s="9">
        <f t="shared" si="9"/>
        <v>0</v>
      </c>
      <c r="M63" s="9">
        <f t="shared" si="9"/>
        <v>0</v>
      </c>
      <c r="N63" s="9">
        <f t="shared" si="9"/>
        <v>0</v>
      </c>
      <c r="O63" s="9">
        <f t="shared" si="9"/>
        <v>0</v>
      </c>
      <c r="P63" s="9">
        <f t="shared" si="9"/>
        <v>0</v>
      </c>
      <c r="Q63" s="9">
        <f t="shared" si="9"/>
        <v>0</v>
      </c>
      <c r="R63" s="9">
        <f t="shared" si="9"/>
        <v>0</v>
      </c>
      <c r="S63" s="9">
        <f t="shared" si="9"/>
        <v>0</v>
      </c>
      <c r="T63" s="9">
        <f t="shared" si="9"/>
        <v>0</v>
      </c>
      <c r="U63" s="9">
        <f t="shared" si="9"/>
        <v>0</v>
      </c>
      <c r="V63" s="9">
        <f t="shared" si="9"/>
        <v>0</v>
      </c>
      <c r="W63" s="9">
        <f t="shared" si="9"/>
        <v>0</v>
      </c>
      <c r="X63" s="9">
        <f t="shared" si="9"/>
        <v>0</v>
      </c>
      <c r="Y63" s="9">
        <f t="shared" si="9"/>
        <v>0</v>
      </c>
      <c r="Z63" s="9">
        <f t="shared" si="9"/>
        <v>0</v>
      </c>
      <c r="AA63" s="9">
        <f t="shared" si="9"/>
        <v>0</v>
      </c>
      <c r="AB63" s="9">
        <f t="shared" si="9"/>
        <v>0</v>
      </c>
      <c r="AC63" s="9">
        <f t="shared" si="9"/>
        <v>0</v>
      </c>
      <c r="AD63" s="9">
        <f t="shared" si="9"/>
        <v>0</v>
      </c>
      <c r="AE63" s="9">
        <f t="shared" si="9"/>
        <v>0</v>
      </c>
      <c r="AF63" s="9">
        <f t="shared" si="9"/>
        <v>0</v>
      </c>
      <c r="AG63" s="9">
        <f t="shared" si="9"/>
        <v>0</v>
      </c>
      <c r="AH63" s="9">
        <f t="shared" si="9"/>
        <v>0</v>
      </c>
      <c r="AI63" s="9">
        <f t="shared" si="9"/>
        <v>0</v>
      </c>
      <c r="AJ63" s="9">
        <f t="shared" si="9"/>
        <v>0</v>
      </c>
      <c r="AK63" s="9">
        <f t="shared" si="9"/>
        <v>0</v>
      </c>
      <c r="AL63" s="9">
        <f t="shared" si="9"/>
        <v>0</v>
      </c>
      <c r="AM63" s="9">
        <f t="shared" si="9"/>
        <v>0</v>
      </c>
      <c r="AN63" s="9">
        <f t="shared" si="9"/>
        <v>0</v>
      </c>
      <c r="AO63" s="9">
        <f t="shared" si="9"/>
        <v>0</v>
      </c>
      <c r="AP63" s="9">
        <f t="shared" si="9"/>
        <v>0</v>
      </c>
      <c r="AQ63" s="9">
        <f t="shared" si="9"/>
        <v>75</v>
      </c>
      <c r="AR63" s="9">
        <f t="shared" si="9"/>
        <v>75</v>
      </c>
      <c r="AS63" s="9">
        <f t="shared" si="9"/>
        <v>39</v>
      </c>
      <c r="AT63" s="9">
        <f t="shared" si="9"/>
        <v>121</v>
      </c>
      <c r="AU63" s="9">
        <f t="shared" si="9"/>
        <v>138</v>
      </c>
      <c r="AV63" s="9">
        <f t="shared" si="9"/>
        <v>356</v>
      </c>
      <c r="AW63" s="9">
        <f t="shared" si="9"/>
        <v>33</v>
      </c>
      <c r="AX63" s="9">
        <f t="shared" si="9"/>
        <v>255</v>
      </c>
      <c r="AY63" s="9">
        <f t="shared" si="9"/>
        <v>0</v>
      </c>
      <c r="AZ63" s="9">
        <f t="shared" si="9"/>
        <v>0</v>
      </c>
      <c r="BA63" s="9">
        <f t="shared" si="9"/>
        <v>0</v>
      </c>
      <c r="BB63" s="9">
        <f t="shared" si="9"/>
        <v>0</v>
      </c>
      <c r="BC63" s="9">
        <f t="shared" si="9"/>
        <v>0</v>
      </c>
      <c r="BD63" s="9">
        <f t="shared" si="9"/>
        <v>0</v>
      </c>
      <c r="BE63" s="9">
        <f t="shared" si="9"/>
        <v>0</v>
      </c>
      <c r="BF63" s="9">
        <f t="shared" si="9"/>
        <v>0</v>
      </c>
      <c r="BG63" s="9">
        <f t="shared" si="9"/>
        <v>0</v>
      </c>
      <c r="BH63" s="9">
        <f t="shared" si="9"/>
        <v>0</v>
      </c>
      <c r="BI63" s="9">
        <f t="shared" si="9"/>
        <v>0</v>
      </c>
      <c r="BJ63" s="9">
        <f t="shared" si="9"/>
        <v>0</v>
      </c>
      <c r="BK63" s="9">
        <f t="shared" si="9"/>
        <v>0</v>
      </c>
      <c r="BL63" s="9">
        <f t="shared" si="9"/>
        <v>0</v>
      </c>
      <c r="BM63" s="10">
        <f>SUM(BM46:BM62)</f>
        <v>1092</v>
      </c>
      <c r="BN63" s="6">
        <f t="shared" si="3"/>
        <v>0.13632958801498127</v>
      </c>
    </row>
    <row r="64" spans="1:66" s="11" customFormat="1" x14ac:dyDescent="0.25">
      <c r="A64" s="21" t="s">
        <v>4</v>
      </c>
      <c r="B64" s="16" t="s">
        <v>46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>
        <v>4</v>
      </c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8">
        <f>SUM(C64:BL64)</f>
        <v>4</v>
      </c>
      <c r="BN64" s="6">
        <f>BM64/BM$5</f>
        <v>4.9937578027465666E-4</v>
      </c>
    </row>
    <row r="65" spans="1:66" x14ac:dyDescent="0.25">
      <c r="A65" s="22"/>
      <c r="B65" s="2" t="s">
        <v>41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>
        <v>5</v>
      </c>
      <c r="AU65" s="16"/>
      <c r="AV65" s="16">
        <v>8</v>
      </c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7">
        <f t="shared" ref="BM65:BM81" si="10">SUM(C65:BL65)</f>
        <v>13</v>
      </c>
      <c r="BN65" s="6">
        <f t="shared" ref="BN65:BN81" si="11">BM65/BM$5</f>
        <v>1.6229712858926342E-3</v>
      </c>
    </row>
    <row r="66" spans="1:66" x14ac:dyDescent="0.25">
      <c r="A66" s="22"/>
      <c r="B66" s="2" t="s">
        <v>43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>
        <v>2</v>
      </c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7">
        <f t="shared" si="10"/>
        <v>2</v>
      </c>
      <c r="BN66" s="6">
        <f t="shared" si="11"/>
        <v>2.4968789013732833E-4</v>
      </c>
    </row>
    <row r="67" spans="1:66" x14ac:dyDescent="0.25">
      <c r="A67" s="22"/>
      <c r="B67" s="2" t="s">
        <v>42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>
        <f>7+3</f>
        <v>10</v>
      </c>
      <c r="AU67" s="16"/>
      <c r="AV67" s="16"/>
      <c r="AW67" s="16"/>
      <c r="AX67" s="16">
        <f>9+4</f>
        <v>13</v>
      </c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7">
        <f t="shared" si="10"/>
        <v>23</v>
      </c>
      <c r="BN67" s="6">
        <f t="shared" si="11"/>
        <v>2.8714107365792759E-3</v>
      </c>
    </row>
    <row r="68" spans="1:66" x14ac:dyDescent="0.25">
      <c r="A68" s="22"/>
      <c r="B68" s="1" t="s">
        <v>15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>
        <f>6+7</f>
        <v>13</v>
      </c>
      <c r="AU68" s="1"/>
      <c r="AV68" s="1"/>
      <c r="AW68" s="1"/>
      <c r="AX68" s="1">
        <f>6+4</f>
        <v>10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>
        <f t="shared" si="10"/>
        <v>23</v>
      </c>
      <c r="BN68" s="6">
        <f t="shared" si="11"/>
        <v>2.8714107365792759E-3</v>
      </c>
    </row>
    <row r="69" spans="1:66" s="11" customFormat="1" x14ac:dyDescent="0.25">
      <c r="A69" s="22"/>
      <c r="B69" s="16" t="s">
        <v>45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8">
        <f t="shared" si="10"/>
        <v>0</v>
      </c>
      <c r="BN69" s="6">
        <f t="shared" si="11"/>
        <v>0</v>
      </c>
    </row>
    <row r="70" spans="1:66" s="11" customFormat="1" x14ac:dyDescent="0.25">
      <c r="A70" s="22"/>
      <c r="B70" s="16" t="s">
        <v>44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8">
        <f t="shared" si="10"/>
        <v>0</v>
      </c>
      <c r="BN70" s="6">
        <f t="shared" si="11"/>
        <v>0</v>
      </c>
    </row>
    <row r="71" spans="1:66" x14ac:dyDescent="0.25">
      <c r="A71" s="22"/>
      <c r="B71" s="1" t="s">
        <v>12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>
        <f>6+7</f>
        <v>13</v>
      </c>
      <c r="AU71" s="1"/>
      <c r="AV71" s="1"/>
      <c r="AW71" s="1"/>
      <c r="AX71" s="1">
        <f>7+8+5+3</f>
        <v>23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>
        <f t="shared" si="10"/>
        <v>36</v>
      </c>
      <c r="BN71" s="6">
        <f t="shared" si="11"/>
        <v>4.4943820224719105E-3</v>
      </c>
    </row>
    <row r="72" spans="1:66" x14ac:dyDescent="0.25">
      <c r="A72" s="22"/>
      <c r="B72" s="1" t="s">
        <v>47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>
        <v>7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>
        <f t="shared" si="10"/>
        <v>7</v>
      </c>
      <c r="BN72" s="6">
        <f t="shared" si="11"/>
        <v>8.7390761548064924E-4</v>
      </c>
    </row>
    <row r="73" spans="1:66" x14ac:dyDescent="0.25">
      <c r="A73" s="22"/>
      <c r="B73" t="s">
        <v>48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>
        <f>20+5+4+7+6+7+6+5+3+7</f>
        <v>70</v>
      </c>
      <c r="AR73" s="1"/>
      <c r="AS73" s="1">
        <f>6+2+5+3+6+2+10</f>
        <v>34</v>
      </c>
      <c r="AT73" s="1">
        <f>12+7+6+5+3+5+4+17+3</f>
        <v>62</v>
      </c>
      <c r="AU73" s="1">
        <v>133</v>
      </c>
      <c r="AV73" s="1">
        <f>8+8+5+4+3+9+10+8+10+16+8+4+8+7+10+8+9+4</f>
        <v>139</v>
      </c>
      <c r="AW73" s="1">
        <f>7+5+14+5+2</f>
        <v>33</v>
      </c>
      <c r="AX73" s="1">
        <f>239-86</f>
        <v>153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>
        <f t="shared" si="10"/>
        <v>624</v>
      </c>
      <c r="BN73" s="6">
        <f t="shared" si="11"/>
        <v>7.7902621722846441E-2</v>
      </c>
    </row>
    <row r="74" spans="1:66" x14ac:dyDescent="0.25">
      <c r="A74" s="22"/>
      <c r="B74" s="1" t="s">
        <v>13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>
        <f t="shared" si="10"/>
        <v>0</v>
      </c>
      <c r="BN74" s="6">
        <f t="shared" si="11"/>
        <v>0</v>
      </c>
    </row>
    <row r="75" spans="1:66" x14ac:dyDescent="0.25">
      <c r="A75" s="22"/>
      <c r="B75" s="1" t="s">
        <v>14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>
        <v>47</v>
      </c>
      <c r="AW75" s="1"/>
      <c r="AX75" s="1">
        <v>20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>
        <f t="shared" si="10"/>
        <v>67</v>
      </c>
      <c r="BN75" s="6">
        <f t="shared" si="11"/>
        <v>8.3645443196004986E-3</v>
      </c>
    </row>
    <row r="76" spans="1:66" x14ac:dyDescent="0.25">
      <c r="A76" s="22"/>
      <c r="B76" s="1" t="s">
        <v>16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>
        <f>5+5</f>
        <v>10</v>
      </c>
      <c r="AR76" s="1"/>
      <c r="AS76" s="1"/>
      <c r="AT76" s="1">
        <f>7+4</f>
        <v>11</v>
      </c>
      <c r="AU76" s="1">
        <v>5</v>
      </c>
      <c r="AV76" s="1">
        <f>7+8</f>
        <v>15</v>
      </c>
      <c r="AW76" s="1">
        <v>5</v>
      </c>
      <c r="AX76" s="1">
        <f>9+7+4</f>
        <v>20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>
        <f t="shared" si="10"/>
        <v>66</v>
      </c>
      <c r="BN76" s="6">
        <f t="shared" si="11"/>
        <v>8.2397003745318352E-3</v>
      </c>
    </row>
    <row r="77" spans="1:66" x14ac:dyDescent="0.25">
      <c r="A77" s="22"/>
      <c r="B77" s="1" t="s">
        <v>19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>
        <f t="shared" si="10"/>
        <v>0</v>
      </c>
      <c r="BN77" s="6">
        <f t="shared" si="11"/>
        <v>0</v>
      </c>
    </row>
    <row r="78" spans="1:66" x14ac:dyDescent="0.25">
      <c r="A78" s="22"/>
      <c r="B78" s="1" t="s">
        <v>17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>
        <f t="shared" si="10"/>
        <v>0</v>
      </c>
      <c r="BN78" s="6">
        <f t="shared" si="11"/>
        <v>0</v>
      </c>
    </row>
    <row r="79" spans="1:66" x14ac:dyDescent="0.25">
      <c r="A79" s="22"/>
      <c r="B79" s="1" t="s">
        <v>18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>
        <v>50</v>
      </c>
      <c r="AV79" s="1"/>
      <c r="AW79" s="1">
        <v>60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>
        <f t="shared" si="10"/>
        <v>110</v>
      </c>
      <c r="BN79" s="6">
        <f t="shared" si="11"/>
        <v>1.3732833957553059E-2</v>
      </c>
    </row>
    <row r="80" spans="1:66" x14ac:dyDescent="0.25">
      <c r="A80" s="22"/>
      <c r="B80" s="1" t="s">
        <v>20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>
        <f t="shared" si="10"/>
        <v>0</v>
      </c>
      <c r="BN80" s="6">
        <f t="shared" si="11"/>
        <v>0</v>
      </c>
    </row>
    <row r="81" spans="1:66" x14ac:dyDescent="0.25">
      <c r="A81" s="22"/>
      <c r="B81" s="1" t="s">
        <v>21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>
        <f>6+8</f>
        <v>14</v>
      </c>
      <c r="AR81" s="1"/>
      <c r="AS81" s="1">
        <v>8</v>
      </c>
      <c r="AT81" s="1"/>
      <c r="AU81" s="1"/>
      <c r="AV81" s="1">
        <f>4+4+2</f>
        <v>10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>
        <f t="shared" si="10"/>
        <v>32</v>
      </c>
      <c r="BN81" s="6">
        <f t="shared" si="11"/>
        <v>3.9950062421972533E-3</v>
      </c>
    </row>
    <row r="82" spans="1:66" s="11" customFormat="1" x14ac:dyDescent="0.25">
      <c r="A82" s="23"/>
      <c r="B82" s="9" t="s">
        <v>34</v>
      </c>
      <c r="C82" s="9">
        <f t="shared" ref="C82:BK82" si="12">SUM(C64:C81)</f>
        <v>0</v>
      </c>
      <c r="D82" s="9">
        <f t="shared" si="12"/>
        <v>0</v>
      </c>
      <c r="E82" s="9">
        <f t="shared" si="12"/>
        <v>0</v>
      </c>
      <c r="F82" s="9">
        <f t="shared" si="12"/>
        <v>0</v>
      </c>
      <c r="G82" s="9">
        <f t="shared" si="12"/>
        <v>0</v>
      </c>
      <c r="H82" s="9">
        <f t="shared" si="12"/>
        <v>0</v>
      </c>
      <c r="I82" s="9">
        <f t="shared" si="12"/>
        <v>0</v>
      </c>
      <c r="J82" s="9">
        <f t="shared" si="12"/>
        <v>0</v>
      </c>
      <c r="K82" s="9">
        <f t="shared" si="12"/>
        <v>0</v>
      </c>
      <c r="L82" s="9">
        <f t="shared" si="12"/>
        <v>0</v>
      </c>
      <c r="M82" s="9">
        <f t="shared" si="12"/>
        <v>0</v>
      </c>
      <c r="N82" s="9">
        <f t="shared" si="12"/>
        <v>0</v>
      </c>
      <c r="O82" s="9">
        <f t="shared" si="12"/>
        <v>0</v>
      </c>
      <c r="P82" s="9">
        <f t="shared" si="12"/>
        <v>0</v>
      </c>
      <c r="Q82" s="9">
        <f t="shared" si="12"/>
        <v>0</v>
      </c>
      <c r="R82" s="9">
        <f t="shared" si="12"/>
        <v>0</v>
      </c>
      <c r="S82" s="9">
        <f t="shared" si="12"/>
        <v>0</v>
      </c>
      <c r="T82" s="9">
        <f t="shared" si="12"/>
        <v>0</v>
      </c>
      <c r="U82" s="9">
        <f t="shared" si="12"/>
        <v>0</v>
      </c>
      <c r="V82" s="9">
        <f t="shared" si="12"/>
        <v>0</v>
      </c>
      <c r="W82" s="9">
        <f t="shared" si="12"/>
        <v>0</v>
      </c>
      <c r="X82" s="9">
        <f t="shared" si="12"/>
        <v>0</v>
      </c>
      <c r="Y82" s="9">
        <f t="shared" si="12"/>
        <v>0</v>
      </c>
      <c r="Z82" s="9">
        <f t="shared" si="12"/>
        <v>0</v>
      </c>
      <c r="AA82" s="9">
        <f t="shared" si="12"/>
        <v>0</v>
      </c>
      <c r="AB82" s="9">
        <f t="shared" si="12"/>
        <v>0</v>
      </c>
      <c r="AC82" s="9">
        <f t="shared" si="12"/>
        <v>0</v>
      </c>
      <c r="AD82" s="9">
        <f t="shared" si="12"/>
        <v>0</v>
      </c>
      <c r="AE82" s="9">
        <f t="shared" si="12"/>
        <v>0</v>
      </c>
      <c r="AF82" s="9">
        <f t="shared" si="12"/>
        <v>0</v>
      </c>
      <c r="AG82" s="9">
        <f t="shared" si="12"/>
        <v>0</v>
      </c>
      <c r="AH82" s="9">
        <f t="shared" si="12"/>
        <v>0</v>
      </c>
      <c r="AI82" s="9">
        <f t="shared" si="12"/>
        <v>0</v>
      </c>
      <c r="AJ82" s="9">
        <f t="shared" si="12"/>
        <v>0</v>
      </c>
      <c r="AK82" s="9">
        <f t="shared" si="12"/>
        <v>0</v>
      </c>
      <c r="AL82" s="9">
        <f t="shared" si="12"/>
        <v>0</v>
      </c>
      <c r="AM82" s="9">
        <f t="shared" si="12"/>
        <v>0</v>
      </c>
      <c r="AN82" s="9">
        <f t="shared" si="12"/>
        <v>0</v>
      </c>
      <c r="AO82" s="9">
        <f t="shared" si="12"/>
        <v>0</v>
      </c>
      <c r="AP82" s="9">
        <f t="shared" si="12"/>
        <v>0</v>
      </c>
      <c r="AQ82" s="9">
        <f t="shared" si="12"/>
        <v>94</v>
      </c>
      <c r="AR82" s="9">
        <f t="shared" si="12"/>
        <v>0</v>
      </c>
      <c r="AS82" s="9">
        <f t="shared" si="12"/>
        <v>42</v>
      </c>
      <c r="AT82" s="9">
        <f t="shared" si="12"/>
        <v>118</v>
      </c>
      <c r="AU82" s="9">
        <f t="shared" si="12"/>
        <v>188</v>
      </c>
      <c r="AV82" s="9">
        <f t="shared" si="12"/>
        <v>228</v>
      </c>
      <c r="AW82" s="9">
        <f t="shared" si="12"/>
        <v>98</v>
      </c>
      <c r="AX82" s="9">
        <f t="shared" si="12"/>
        <v>239</v>
      </c>
      <c r="AY82" s="9">
        <f t="shared" si="12"/>
        <v>0</v>
      </c>
      <c r="AZ82" s="9">
        <f t="shared" si="12"/>
        <v>0</v>
      </c>
      <c r="BA82" s="9">
        <f t="shared" si="12"/>
        <v>0</v>
      </c>
      <c r="BB82" s="9">
        <f t="shared" si="12"/>
        <v>0</v>
      </c>
      <c r="BC82" s="9">
        <f t="shared" si="12"/>
        <v>0</v>
      </c>
      <c r="BD82" s="9">
        <f t="shared" si="12"/>
        <v>0</v>
      </c>
      <c r="BE82" s="9">
        <f t="shared" si="12"/>
        <v>0</v>
      </c>
      <c r="BF82" s="9">
        <f t="shared" si="12"/>
        <v>0</v>
      </c>
      <c r="BG82" s="9">
        <f t="shared" si="12"/>
        <v>0</v>
      </c>
      <c r="BH82" s="9">
        <f t="shared" si="12"/>
        <v>0</v>
      </c>
      <c r="BI82" s="9">
        <f t="shared" si="12"/>
        <v>0</v>
      </c>
      <c r="BJ82" s="9">
        <f t="shared" si="12"/>
        <v>0</v>
      </c>
      <c r="BK82" s="9">
        <f t="shared" si="12"/>
        <v>0</v>
      </c>
      <c r="BL82" s="9">
        <f>SUM(BL64:BL81)</f>
        <v>0</v>
      </c>
      <c r="BM82" s="10">
        <f>SUM(BM70:BM81)</f>
        <v>942</v>
      </c>
      <c r="BN82" s="6">
        <f t="shared" si="3"/>
        <v>0.11760299625468165</v>
      </c>
    </row>
    <row r="83" spans="1:66" x14ac:dyDescent="0.25">
      <c r="A83" s="21" t="s">
        <v>5</v>
      </c>
      <c r="B83" s="16" t="s">
        <v>46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>
        <f>3+3+1+2+2+2+2+2+3</f>
        <v>20</v>
      </c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7">
        <f t="shared" ref="BM83:BM100" si="13">SUM(C83:BL83)</f>
        <v>20</v>
      </c>
      <c r="BN83" s="6">
        <f t="shared" si="3"/>
        <v>2.4968789013732834E-3</v>
      </c>
    </row>
    <row r="84" spans="1:66" x14ac:dyDescent="0.25">
      <c r="A84" s="22"/>
      <c r="B84" s="2" t="s">
        <v>41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7">
        <f t="shared" si="13"/>
        <v>0</v>
      </c>
      <c r="BN84" s="6">
        <f t="shared" si="3"/>
        <v>0</v>
      </c>
    </row>
    <row r="85" spans="1:66" x14ac:dyDescent="0.25">
      <c r="A85" s="22"/>
      <c r="B85" s="2" t="s">
        <v>43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7">
        <f t="shared" si="13"/>
        <v>0</v>
      </c>
      <c r="BN85" s="6">
        <f t="shared" si="3"/>
        <v>0</v>
      </c>
    </row>
    <row r="86" spans="1:66" x14ac:dyDescent="0.25">
      <c r="A86" s="22"/>
      <c r="B86" s="2" t="s">
        <v>42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>
        <v>2</v>
      </c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7">
        <f t="shared" si="13"/>
        <v>2</v>
      </c>
      <c r="BN86" s="6">
        <f t="shared" si="3"/>
        <v>2.4968789013732833E-4</v>
      </c>
    </row>
    <row r="87" spans="1:66" x14ac:dyDescent="0.25">
      <c r="A87" s="22"/>
      <c r="B87" s="1" t="s">
        <v>15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>
        <v>7</v>
      </c>
      <c r="AU87" s="1"/>
      <c r="AV87" s="1">
        <v>6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>
        <f t="shared" si="13"/>
        <v>13</v>
      </c>
      <c r="BN87" s="6">
        <f t="shared" si="3"/>
        <v>1.6229712858926342E-3</v>
      </c>
    </row>
    <row r="88" spans="1:66" s="11" customFormat="1" x14ac:dyDescent="0.25">
      <c r="A88" s="22"/>
      <c r="B88" s="16" t="s">
        <v>45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>
        <f>8+2+4+3</f>
        <v>17</v>
      </c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8">
        <f t="shared" si="13"/>
        <v>17</v>
      </c>
      <c r="BN88" s="6">
        <f t="shared" si="3"/>
        <v>2.122347066167291E-3</v>
      </c>
    </row>
    <row r="89" spans="1:66" s="11" customFormat="1" x14ac:dyDescent="0.25">
      <c r="A89" s="22"/>
      <c r="B89" s="16" t="s">
        <v>44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8">
        <f t="shared" si="13"/>
        <v>0</v>
      </c>
      <c r="BN89" s="6">
        <f t="shared" si="3"/>
        <v>0</v>
      </c>
    </row>
    <row r="90" spans="1:66" x14ac:dyDescent="0.25">
      <c r="A90" s="22"/>
      <c r="B90" s="1" t="s">
        <v>12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>
        <f>8+5</f>
        <v>13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>
        <f t="shared" si="13"/>
        <v>13</v>
      </c>
      <c r="BN90" s="6">
        <f t="shared" si="3"/>
        <v>1.6229712858926342E-3</v>
      </c>
    </row>
    <row r="91" spans="1:66" x14ac:dyDescent="0.25">
      <c r="A91" s="22"/>
      <c r="B91" s="1" t="s">
        <v>47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>
        <v>4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>
        <f t="shared" si="13"/>
        <v>4</v>
      </c>
      <c r="BN91" s="6">
        <f t="shared" si="3"/>
        <v>4.9937578027465666E-4</v>
      </c>
    </row>
    <row r="92" spans="1:66" x14ac:dyDescent="0.25">
      <c r="A92" s="22"/>
      <c r="B92" t="s">
        <v>48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>
        <v>24</v>
      </c>
      <c r="AT92" s="1">
        <f>12+7+6+8+5+4+4+13+3</f>
        <v>62</v>
      </c>
      <c r="AU92" s="1">
        <v>133</v>
      </c>
      <c r="AV92" s="1">
        <f>8+8+5+5+9+4+11+6+7+4+17+5+2+8+7+10+8+9+4</f>
        <v>137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>
        <f t="shared" si="13"/>
        <v>356</v>
      </c>
      <c r="BN92" s="6">
        <f t="shared" si="3"/>
        <v>4.4444444444444446E-2</v>
      </c>
    </row>
    <row r="93" spans="1:66" x14ac:dyDescent="0.25">
      <c r="A93" s="22"/>
      <c r="B93" s="1" t="s">
        <v>13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>
        <f t="shared" si="13"/>
        <v>0</v>
      </c>
      <c r="BN93" s="6">
        <f t="shared" si="3"/>
        <v>0</v>
      </c>
    </row>
    <row r="94" spans="1:66" x14ac:dyDescent="0.25">
      <c r="A94" s="22"/>
      <c r="B94" s="1" t="s">
        <v>14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>
        <v>45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>
        <f t="shared" si="13"/>
        <v>45</v>
      </c>
      <c r="BN94" s="6">
        <f t="shared" si="3"/>
        <v>5.6179775280898875E-3</v>
      </c>
    </row>
    <row r="95" spans="1:66" x14ac:dyDescent="0.25">
      <c r="A95" s="22"/>
      <c r="B95" s="1" t="s">
        <v>16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>
        <v>5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>
        <f t="shared" si="13"/>
        <v>5</v>
      </c>
      <c r="BN95" s="6">
        <f t="shared" si="3"/>
        <v>6.2421972534332086E-4</v>
      </c>
    </row>
    <row r="96" spans="1:66" x14ac:dyDescent="0.25">
      <c r="A96" s="22"/>
      <c r="B96" s="1" t="s">
        <v>19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>
        <f t="shared" si="13"/>
        <v>0</v>
      </c>
      <c r="BN96" s="6">
        <f t="shared" si="3"/>
        <v>0</v>
      </c>
    </row>
    <row r="97" spans="1:66" x14ac:dyDescent="0.25">
      <c r="A97" s="22"/>
      <c r="B97" s="1" t="s">
        <v>17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>
        <f t="shared" si="13"/>
        <v>0</v>
      </c>
      <c r="BN97" s="6">
        <f t="shared" si="3"/>
        <v>0</v>
      </c>
    </row>
    <row r="98" spans="1:66" x14ac:dyDescent="0.25">
      <c r="A98" s="22"/>
      <c r="B98" s="1" t="s">
        <v>18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>
        <v>8</v>
      </c>
      <c r="AT98" s="1"/>
      <c r="AU98" s="1"/>
      <c r="AV98" s="1">
        <v>12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>
        <f t="shared" si="13"/>
        <v>20</v>
      </c>
      <c r="BN98" s="6">
        <f t="shared" si="3"/>
        <v>2.4968789013732834E-3</v>
      </c>
    </row>
    <row r="99" spans="1:66" x14ac:dyDescent="0.25">
      <c r="A99" s="22"/>
      <c r="B99" s="1" t="s">
        <v>20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>
        <f t="shared" si="13"/>
        <v>0</v>
      </c>
      <c r="BN99" s="6">
        <f t="shared" si="3"/>
        <v>0</v>
      </c>
    </row>
    <row r="100" spans="1:66" x14ac:dyDescent="0.25">
      <c r="A100" s="22"/>
      <c r="B100" s="1" t="s">
        <v>21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>
        <f t="shared" si="13"/>
        <v>0</v>
      </c>
      <c r="BN100" s="6">
        <f t="shared" si="3"/>
        <v>0</v>
      </c>
    </row>
    <row r="101" spans="1:66" s="11" customFormat="1" x14ac:dyDescent="0.25">
      <c r="A101" s="23"/>
      <c r="B101" s="9" t="s">
        <v>34</v>
      </c>
      <c r="C101" s="9">
        <f>SUM(C83:C100)</f>
        <v>0</v>
      </c>
      <c r="D101" s="9">
        <f t="shared" ref="D101:BL101" si="14">SUM(D83:D100)</f>
        <v>0</v>
      </c>
      <c r="E101" s="9">
        <f t="shared" si="14"/>
        <v>0</v>
      </c>
      <c r="F101" s="9">
        <f t="shared" si="14"/>
        <v>0</v>
      </c>
      <c r="G101" s="9">
        <f t="shared" si="14"/>
        <v>0</v>
      </c>
      <c r="H101" s="9">
        <f t="shared" si="14"/>
        <v>0</v>
      </c>
      <c r="I101" s="9">
        <f t="shared" si="14"/>
        <v>0</v>
      </c>
      <c r="J101" s="9">
        <f t="shared" si="14"/>
        <v>0</v>
      </c>
      <c r="K101" s="9">
        <f t="shared" si="14"/>
        <v>0</v>
      </c>
      <c r="L101" s="9">
        <f t="shared" si="14"/>
        <v>0</v>
      </c>
      <c r="M101" s="9">
        <f t="shared" si="14"/>
        <v>0</v>
      </c>
      <c r="N101" s="9">
        <f t="shared" si="14"/>
        <v>0</v>
      </c>
      <c r="O101" s="9">
        <f t="shared" si="14"/>
        <v>0</v>
      </c>
      <c r="P101" s="9">
        <f t="shared" si="14"/>
        <v>0</v>
      </c>
      <c r="Q101" s="9">
        <f t="shared" si="14"/>
        <v>0</v>
      </c>
      <c r="R101" s="9">
        <f t="shared" si="14"/>
        <v>0</v>
      </c>
      <c r="S101" s="9">
        <f t="shared" si="14"/>
        <v>0</v>
      </c>
      <c r="T101" s="9">
        <f t="shared" si="14"/>
        <v>0</v>
      </c>
      <c r="U101" s="9">
        <f t="shared" si="14"/>
        <v>0</v>
      </c>
      <c r="V101" s="9">
        <f t="shared" si="14"/>
        <v>0</v>
      </c>
      <c r="W101" s="9">
        <f t="shared" si="14"/>
        <v>0</v>
      </c>
      <c r="X101" s="9">
        <f t="shared" si="14"/>
        <v>0</v>
      </c>
      <c r="Y101" s="9">
        <f t="shared" si="14"/>
        <v>0</v>
      </c>
      <c r="Z101" s="9">
        <f t="shared" si="14"/>
        <v>0</v>
      </c>
      <c r="AA101" s="9">
        <f t="shared" si="14"/>
        <v>0</v>
      </c>
      <c r="AB101" s="9">
        <f t="shared" si="14"/>
        <v>0</v>
      </c>
      <c r="AC101" s="9">
        <f t="shared" si="14"/>
        <v>0</v>
      </c>
      <c r="AD101" s="9">
        <f t="shared" si="14"/>
        <v>0</v>
      </c>
      <c r="AE101" s="9">
        <f t="shared" si="14"/>
        <v>0</v>
      </c>
      <c r="AF101" s="9">
        <f t="shared" si="14"/>
        <v>0</v>
      </c>
      <c r="AG101" s="9">
        <f t="shared" si="14"/>
        <v>0</v>
      </c>
      <c r="AH101" s="9">
        <f t="shared" si="14"/>
        <v>0</v>
      </c>
      <c r="AI101" s="9">
        <f t="shared" si="14"/>
        <v>0</v>
      </c>
      <c r="AJ101" s="9">
        <f t="shared" si="14"/>
        <v>0</v>
      </c>
      <c r="AK101" s="9">
        <f t="shared" si="14"/>
        <v>0</v>
      </c>
      <c r="AL101" s="9">
        <f t="shared" si="14"/>
        <v>0</v>
      </c>
      <c r="AM101" s="9">
        <f t="shared" si="14"/>
        <v>0</v>
      </c>
      <c r="AN101" s="9">
        <f t="shared" si="14"/>
        <v>0</v>
      </c>
      <c r="AO101" s="9">
        <f t="shared" si="14"/>
        <v>0</v>
      </c>
      <c r="AP101" s="9">
        <f t="shared" si="14"/>
        <v>0</v>
      </c>
      <c r="AQ101" s="9">
        <f t="shared" si="14"/>
        <v>0</v>
      </c>
      <c r="AR101" s="9">
        <f t="shared" si="14"/>
        <v>0</v>
      </c>
      <c r="AS101" s="9">
        <f t="shared" si="14"/>
        <v>37</v>
      </c>
      <c r="AT101" s="9">
        <f t="shared" si="14"/>
        <v>106</v>
      </c>
      <c r="AU101" s="9">
        <f t="shared" si="14"/>
        <v>133</v>
      </c>
      <c r="AV101" s="9">
        <f t="shared" si="14"/>
        <v>219</v>
      </c>
      <c r="AW101" s="9">
        <f t="shared" si="14"/>
        <v>0</v>
      </c>
      <c r="AX101" s="9">
        <f t="shared" si="14"/>
        <v>0</v>
      </c>
      <c r="AY101" s="9">
        <f t="shared" si="14"/>
        <v>0</v>
      </c>
      <c r="AZ101" s="9">
        <f t="shared" si="14"/>
        <v>0</v>
      </c>
      <c r="BA101" s="9">
        <f t="shared" si="14"/>
        <v>0</v>
      </c>
      <c r="BB101" s="9">
        <f t="shared" si="14"/>
        <v>0</v>
      </c>
      <c r="BC101" s="9">
        <f t="shared" si="14"/>
        <v>0</v>
      </c>
      <c r="BD101" s="9">
        <f t="shared" si="14"/>
        <v>0</v>
      </c>
      <c r="BE101" s="9">
        <f t="shared" si="14"/>
        <v>0</v>
      </c>
      <c r="BF101" s="9">
        <f t="shared" si="14"/>
        <v>0</v>
      </c>
      <c r="BG101" s="9">
        <f t="shared" si="14"/>
        <v>0</v>
      </c>
      <c r="BH101" s="9">
        <f t="shared" si="14"/>
        <v>0</v>
      </c>
      <c r="BI101" s="9">
        <f t="shared" si="14"/>
        <v>0</v>
      </c>
      <c r="BJ101" s="9">
        <f t="shared" si="14"/>
        <v>0</v>
      </c>
      <c r="BK101" s="9">
        <f t="shared" si="14"/>
        <v>0</v>
      </c>
      <c r="BL101" s="9">
        <f t="shared" si="14"/>
        <v>0</v>
      </c>
      <c r="BM101" s="10">
        <f>SUM(BM88:BM100)</f>
        <v>460</v>
      </c>
      <c r="BN101" s="6">
        <f t="shared" si="3"/>
        <v>5.742821473158552E-2</v>
      </c>
    </row>
    <row r="102" spans="1:66" s="11" customFormat="1" x14ac:dyDescent="0.25">
      <c r="A102" s="21" t="s">
        <v>6</v>
      </c>
      <c r="B102" s="16" t="s">
        <v>46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>
        <f>9</f>
        <v>9</v>
      </c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8">
        <f t="shared" ref="BM102:BM119" si="15">SUM(C102:BL102)</f>
        <v>9</v>
      </c>
      <c r="BN102" s="6">
        <f t="shared" ref="BN102" si="16">BM102/BM$5</f>
        <v>1.1235955056179776E-3</v>
      </c>
    </row>
    <row r="103" spans="1:66" x14ac:dyDescent="0.25">
      <c r="A103" s="22"/>
      <c r="B103" s="2" t="s">
        <v>41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8">
        <f t="shared" si="15"/>
        <v>0</v>
      </c>
      <c r="BN103" s="6">
        <f>BM103/BM$5</f>
        <v>0</v>
      </c>
    </row>
    <row r="104" spans="1:66" x14ac:dyDescent="0.25">
      <c r="A104" s="22"/>
      <c r="B104" s="2" t="s">
        <v>43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8">
        <f t="shared" si="15"/>
        <v>0</v>
      </c>
      <c r="BN104" s="6">
        <f t="shared" ref="BN104:BN138" si="17">BM104/BM$5</f>
        <v>0</v>
      </c>
    </row>
    <row r="105" spans="1:66" x14ac:dyDescent="0.25">
      <c r="A105" s="22"/>
      <c r="B105" s="2" t="s">
        <v>42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8">
        <f t="shared" si="15"/>
        <v>0</v>
      </c>
      <c r="BN105" s="6">
        <f t="shared" si="17"/>
        <v>0</v>
      </c>
    </row>
    <row r="106" spans="1:66" x14ac:dyDescent="0.25">
      <c r="A106" s="22"/>
      <c r="B106" s="1" t="s">
        <v>15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8">
        <f t="shared" si="15"/>
        <v>0</v>
      </c>
      <c r="BN106" s="6">
        <f t="shared" si="17"/>
        <v>0</v>
      </c>
    </row>
    <row r="107" spans="1:66" s="11" customFormat="1" x14ac:dyDescent="0.25">
      <c r="A107" s="22"/>
      <c r="B107" s="16" t="s">
        <v>45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8">
        <f t="shared" si="15"/>
        <v>0</v>
      </c>
      <c r="BN107" s="6">
        <f t="shared" si="17"/>
        <v>0</v>
      </c>
    </row>
    <row r="108" spans="1:66" s="11" customFormat="1" x14ac:dyDescent="0.25">
      <c r="A108" s="22"/>
      <c r="B108" s="16" t="s">
        <v>44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8">
        <f t="shared" si="15"/>
        <v>0</v>
      </c>
      <c r="BN108" s="6">
        <f t="shared" si="17"/>
        <v>0</v>
      </c>
    </row>
    <row r="109" spans="1:66" x14ac:dyDescent="0.25">
      <c r="A109" s="22"/>
      <c r="B109" s="1" t="s">
        <v>12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8">
        <f t="shared" si="15"/>
        <v>0</v>
      </c>
      <c r="BN109" s="6">
        <f t="shared" si="17"/>
        <v>0</v>
      </c>
    </row>
    <row r="110" spans="1:66" x14ac:dyDescent="0.25">
      <c r="A110" s="22"/>
      <c r="B110" s="1" t="s">
        <v>47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8">
        <f t="shared" si="15"/>
        <v>0</v>
      </c>
      <c r="BN110" s="6">
        <f t="shared" si="17"/>
        <v>0</v>
      </c>
    </row>
    <row r="111" spans="1:66" x14ac:dyDescent="0.25">
      <c r="A111" s="22"/>
      <c r="B111" t="s">
        <v>48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>
        <v>34</v>
      </c>
      <c r="AR111" s="1"/>
      <c r="AS111" s="1">
        <v>25</v>
      </c>
      <c r="AT111" s="1">
        <v>5</v>
      </c>
      <c r="AU111" s="1">
        <f>12+11+15</f>
        <v>38</v>
      </c>
      <c r="AV111" s="1">
        <f>8+8+5+5+9+4+11+6+7+4+12+5+5</f>
        <v>89</v>
      </c>
      <c r="AW111" s="1"/>
      <c r="AX111" s="1">
        <f>6+5+6+10</f>
        <v>27</v>
      </c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8">
        <f t="shared" si="15"/>
        <v>218</v>
      </c>
      <c r="BN111" s="6">
        <f t="shared" si="17"/>
        <v>2.7215980024968788E-2</v>
      </c>
    </row>
    <row r="112" spans="1:66" x14ac:dyDescent="0.25">
      <c r="A112" s="22"/>
      <c r="B112" s="1" t="s">
        <v>13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8">
        <f t="shared" si="15"/>
        <v>0</v>
      </c>
      <c r="BN112" s="6">
        <f t="shared" si="17"/>
        <v>0</v>
      </c>
    </row>
    <row r="113" spans="1:66" x14ac:dyDescent="0.25">
      <c r="A113" s="22"/>
      <c r="B113" s="1" t="s">
        <v>14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>
        <v>60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8">
        <f t="shared" si="15"/>
        <v>60</v>
      </c>
      <c r="BN113" s="6">
        <f t="shared" si="17"/>
        <v>7.4906367041198503E-3</v>
      </c>
    </row>
    <row r="114" spans="1:66" x14ac:dyDescent="0.25">
      <c r="A114" s="22"/>
      <c r="B114" s="1" t="s">
        <v>16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8">
        <f t="shared" si="15"/>
        <v>0</v>
      </c>
      <c r="BN114" s="6">
        <f t="shared" si="17"/>
        <v>0</v>
      </c>
    </row>
    <row r="115" spans="1:66" x14ac:dyDescent="0.25">
      <c r="A115" s="22"/>
      <c r="B115" s="1" t="s">
        <v>19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8">
        <f t="shared" si="15"/>
        <v>0</v>
      </c>
      <c r="BN115" s="6">
        <f t="shared" si="17"/>
        <v>0</v>
      </c>
    </row>
    <row r="116" spans="1:66" x14ac:dyDescent="0.25">
      <c r="A116" s="22"/>
      <c r="B116" s="1" t="s">
        <v>17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8">
        <f t="shared" si="15"/>
        <v>0</v>
      </c>
      <c r="BN116" s="6">
        <f t="shared" si="17"/>
        <v>0</v>
      </c>
    </row>
    <row r="117" spans="1:66" x14ac:dyDescent="0.25">
      <c r="A117" s="22"/>
      <c r="B117" s="1" t="s">
        <v>18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8">
        <f t="shared" si="15"/>
        <v>0</v>
      </c>
      <c r="BN117" s="6">
        <f t="shared" si="17"/>
        <v>0</v>
      </c>
    </row>
    <row r="118" spans="1:66" x14ac:dyDescent="0.25">
      <c r="A118" s="22"/>
      <c r="B118" s="1" t="s">
        <v>20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8">
        <f t="shared" si="15"/>
        <v>0</v>
      </c>
      <c r="BN118" s="6">
        <f t="shared" si="17"/>
        <v>0</v>
      </c>
    </row>
    <row r="119" spans="1:66" x14ac:dyDescent="0.25">
      <c r="A119" s="22"/>
      <c r="B119" s="1" t="s">
        <v>21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>
        <v>5</v>
      </c>
      <c r="AR119" s="1"/>
      <c r="AS119" s="1">
        <v>5</v>
      </c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8">
        <f t="shared" si="15"/>
        <v>10</v>
      </c>
      <c r="BN119" s="6">
        <f t="shared" si="17"/>
        <v>1.2484394506866417E-3</v>
      </c>
    </row>
    <row r="120" spans="1:66" s="11" customFormat="1" x14ac:dyDescent="0.25">
      <c r="A120" s="23"/>
      <c r="B120" s="9" t="s">
        <v>34</v>
      </c>
      <c r="C120" s="9">
        <f t="shared" ref="C120:BK120" si="18">SUM(C102:C119)</f>
        <v>0</v>
      </c>
      <c r="D120" s="9">
        <f t="shared" si="18"/>
        <v>0</v>
      </c>
      <c r="E120" s="9">
        <f t="shared" si="18"/>
        <v>0</v>
      </c>
      <c r="F120" s="9">
        <f t="shared" si="18"/>
        <v>0</v>
      </c>
      <c r="G120" s="9">
        <f t="shared" si="18"/>
        <v>0</v>
      </c>
      <c r="H120" s="9">
        <f t="shared" si="18"/>
        <v>0</v>
      </c>
      <c r="I120" s="9">
        <f t="shared" si="18"/>
        <v>0</v>
      </c>
      <c r="J120" s="9">
        <f t="shared" si="18"/>
        <v>0</v>
      </c>
      <c r="K120" s="9">
        <f t="shared" si="18"/>
        <v>0</v>
      </c>
      <c r="L120" s="9">
        <f t="shared" si="18"/>
        <v>0</v>
      </c>
      <c r="M120" s="9">
        <f t="shared" si="18"/>
        <v>0</v>
      </c>
      <c r="N120" s="9">
        <f t="shared" si="18"/>
        <v>0</v>
      </c>
      <c r="O120" s="9">
        <f t="shared" si="18"/>
        <v>0</v>
      </c>
      <c r="P120" s="9">
        <f t="shared" si="18"/>
        <v>0</v>
      </c>
      <c r="Q120" s="9">
        <f t="shared" si="18"/>
        <v>0</v>
      </c>
      <c r="R120" s="9">
        <f t="shared" si="18"/>
        <v>0</v>
      </c>
      <c r="S120" s="9">
        <f t="shared" si="18"/>
        <v>0</v>
      </c>
      <c r="T120" s="9">
        <f t="shared" si="18"/>
        <v>0</v>
      </c>
      <c r="U120" s="9">
        <f t="shared" si="18"/>
        <v>0</v>
      </c>
      <c r="V120" s="9">
        <f t="shared" si="18"/>
        <v>0</v>
      </c>
      <c r="W120" s="9">
        <f t="shared" si="18"/>
        <v>0</v>
      </c>
      <c r="X120" s="9">
        <f t="shared" si="18"/>
        <v>0</v>
      </c>
      <c r="Y120" s="9">
        <f t="shared" si="18"/>
        <v>0</v>
      </c>
      <c r="Z120" s="9">
        <f t="shared" si="18"/>
        <v>0</v>
      </c>
      <c r="AA120" s="9">
        <f t="shared" si="18"/>
        <v>0</v>
      </c>
      <c r="AB120" s="9">
        <f t="shared" si="18"/>
        <v>0</v>
      </c>
      <c r="AC120" s="9">
        <f t="shared" si="18"/>
        <v>0</v>
      </c>
      <c r="AD120" s="9">
        <f t="shared" si="18"/>
        <v>0</v>
      </c>
      <c r="AE120" s="9">
        <f t="shared" si="18"/>
        <v>0</v>
      </c>
      <c r="AF120" s="9">
        <f t="shared" si="18"/>
        <v>0</v>
      </c>
      <c r="AG120" s="9">
        <f t="shared" si="18"/>
        <v>0</v>
      </c>
      <c r="AH120" s="9">
        <f t="shared" si="18"/>
        <v>0</v>
      </c>
      <c r="AI120" s="9">
        <f t="shared" si="18"/>
        <v>0</v>
      </c>
      <c r="AJ120" s="9">
        <f t="shared" si="18"/>
        <v>0</v>
      </c>
      <c r="AK120" s="9">
        <f t="shared" si="18"/>
        <v>0</v>
      </c>
      <c r="AL120" s="9">
        <f t="shared" si="18"/>
        <v>0</v>
      </c>
      <c r="AM120" s="9">
        <f t="shared" si="18"/>
        <v>0</v>
      </c>
      <c r="AN120" s="9">
        <f t="shared" si="18"/>
        <v>0</v>
      </c>
      <c r="AO120" s="9">
        <f t="shared" si="18"/>
        <v>0</v>
      </c>
      <c r="AP120" s="9">
        <f t="shared" si="18"/>
        <v>0</v>
      </c>
      <c r="AQ120" s="9">
        <f t="shared" si="18"/>
        <v>39</v>
      </c>
      <c r="AR120" s="9">
        <f t="shared" si="18"/>
        <v>0</v>
      </c>
      <c r="AS120" s="9">
        <f t="shared" si="18"/>
        <v>30</v>
      </c>
      <c r="AT120" s="9">
        <f t="shared" si="18"/>
        <v>5</v>
      </c>
      <c r="AU120" s="9">
        <f t="shared" si="18"/>
        <v>38</v>
      </c>
      <c r="AV120" s="9">
        <f t="shared" si="18"/>
        <v>98</v>
      </c>
      <c r="AW120" s="9">
        <f t="shared" si="18"/>
        <v>0</v>
      </c>
      <c r="AX120" s="9">
        <f t="shared" si="18"/>
        <v>87</v>
      </c>
      <c r="AY120" s="9">
        <f t="shared" si="18"/>
        <v>0</v>
      </c>
      <c r="AZ120" s="9">
        <f t="shared" si="18"/>
        <v>0</v>
      </c>
      <c r="BA120" s="9">
        <f t="shared" si="18"/>
        <v>0</v>
      </c>
      <c r="BB120" s="9">
        <f t="shared" si="18"/>
        <v>0</v>
      </c>
      <c r="BC120" s="9">
        <f t="shared" si="18"/>
        <v>0</v>
      </c>
      <c r="BD120" s="9">
        <f t="shared" si="18"/>
        <v>0</v>
      </c>
      <c r="BE120" s="9">
        <f t="shared" si="18"/>
        <v>0</v>
      </c>
      <c r="BF120" s="9">
        <f t="shared" si="18"/>
        <v>0</v>
      </c>
      <c r="BG120" s="9">
        <f t="shared" si="18"/>
        <v>0</v>
      </c>
      <c r="BH120" s="9">
        <f t="shared" si="18"/>
        <v>0</v>
      </c>
      <c r="BI120" s="9">
        <f t="shared" si="18"/>
        <v>0</v>
      </c>
      <c r="BJ120" s="9">
        <f t="shared" si="18"/>
        <v>0</v>
      </c>
      <c r="BK120" s="9">
        <f t="shared" si="18"/>
        <v>0</v>
      </c>
      <c r="BL120" s="9">
        <f>SUM(BL102:BL119)</f>
        <v>0</v>
      </c>
      <c r="BM120" s="10">
        <f>SUM(BM107:BM119)</f>
        <v>288</v>
      </c>
      <c r="BN120" s="6">
        <f t="shared" si="17"/>
        <v>3.5955056179775284E-2</v>
      </c>
    </row>
    <row r="121" spans="1:66" s="11" customFormat="1" x14ac:dyDescent="0.25">
      <c r="A121" s="21" t="s">
        <v>7</v>
      </c>
      <c r="B121" s="16" t="s">
        <v>46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8">
        <f t="shared" ref="BM121:BM138" si="19">SUM(C121:BL121)</f>
        <v>0</v>
      </c>
      <c r="BN121" s="6">
        <f t="shared" si="17"/>
        <v>0</v>
      </c>
    </row>
    <row r="122" spans="1:66" x14ac:dyDescent="0.25">
      <c r="A122" s="22"/>
      <c r="B122" s="2" t="s">
        <v>41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8">
        <f t="shared" si="19"/>
        <v>0</v>
      </c>
      <c r="BN122" s="6">
        <f t="shared" si="17"/>
        <v>0</v>
      </c>
    </row>
    <row r="123" spans="1:66" x14ac:dyDescent="0.25">
      <c r="A123" s="22"/>
      <c r="B123" s="2" t="s">
        <v>43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8">
        <f t="shared" si="19"/>
        <v>0</v>
      </c>
      <c r="BN123" s="6">
        <f t="shared" si="17"/>
        <v>0</v>
      </c>
    </row>
    <row r="124" spans="1:66" x14ac:dyDescent="0.25">
      <c r="A124" s="22"/>
      <c r="B124" s="2" t="s">
        <v>42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8">
        <f t="shared" si="19"/>
        <v>0</v>
      </c>
      <c r="BN124" s="6">
        <f t="shared" si="17"/>
        <v>0</v>
      </c>
    </row>
    <row r="125" spans="1:66" x14ac:dyDescent="0.25">
      <c r="A125" s="22"/>
      <c r="B125" s="1" t="s">
        <v>15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8">
        <f t="shared" si="19"/>
        <v>0</v>
      </c>
      <c r="BN125" s="6">
        <f t="shared" si="17"/>
        <v>0</v>
      </c>
    </row>
    <row r="126" spans="1:66" s="11" customFormat="1" x14ac:dyDescent="0.25">
      <c r="A126" s="22"/>
      <c r="B126" s="16" t="s">
        <v>45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8">
        <f t="shared" si="19"/>
        <v>0</v>
      </c>
      <c r="BN126" s="6">
        <f t="shared" si="17"/>
        <v>0</v>
      </c>
    </row>
    <row r="127" spans="1:66" s="11" customFormat="1" x14ac:dyDescent="0.25">
      <c r="A127" s="22"/>
      <c r="B127" s="16" t="s">
        <v>44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8">
        <f t="shared" si="19"/>
        <v>0</v>
      </c>
      <c r="BN127" s="6">
        <f t="shared" si="17"/>
        <v>0</v>
      </c>
    </row>
    <row r="128" spans="1:66" x14ac:dyDescent="0.25">
      <c r="A128" s="22"/>
      <c r="B128" s="1" t="s">
        <v>12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8">
        <f t="shared" si="19"/>
        <v>0</v>
      </c>
      <c r="BN128" s="6">
        <f t="shared" si="17"/>
        <v>0</v>
      </c>
    </row>
    <row r="129" spans="1:66" x14ac:dyDescent="0.25">
      <c r="A129" s="22"/>
      <c r="B129" s="1" t="s">
        <v>47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>
        <f>11+4+3+10+7+4</f>
        <v>39</v>
      </c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8">
        <f t="shared" si="19"/>
        <v>39</v>
      </c>
      <c r="BN129" s="6">
        <f t="shared" si="17"/>
        <v>4.8689138576779025E-3</v>
      </c>
    </row>
    <row r="130" spans="1:66" x14ac:dyDescent="0.25">
      <c r="A130" s="22"/>
      <c r="B130" t="s">
        <v>48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>
        <f>5+8+4+5+3+7</f>
        <v>32</v>
      </c>
      <c r="AR130" s="1"/>
      <c r="AS130" s="1">
        <f>5+20+15</f>
        <v>40</v>
      </c>
      <c r="AT130" s="1"/>
      <c r="AU130" s="1">
        <v>58</v>
      </c>
      <c r="AV130" s="1">
        <f>6+5+9+17+16+7</f>
        <v>60</v>
      </c>
      <c r="AW130" s="1"/>
      <c r="AX130" s="1">
        <f>7+10+8+7+14</f>
        <v>46</v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8">
        <f t="shared" si="19"/>
        <v>236</v>
      </c>
      <c r="BN130" s="6">
        <f t="shared" si="17"/>
        <v>2.9463171036204744E-2</v>
      </c>
    </row>
    <row r="131" spans="1:66" x14ac:dyDescent="0.25">
      <c r="A131" s="22"/>
      <c r="B131" s="1" t="s">
        <v>13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>
        <f>10</f>
        <v>10</v>
      </c>
      <c r="AW131" s="1"/>
      <c r="AX131" s="1">
        <v>20</v>
      </c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8">
        <f t="shared" si="19"/>
        <v>30</v>
      </c>
      <c r="BN131" s="6">
        <f t="shared" si="17"/>
        <v>3.7453183520599251E-3</v>
      </c>
    </row>
    <row r="132" spans="1:66" x14ac:dyDescent="0.25">
      <c r="A132" s="22"/>
      <c r="B132" s="1" t="s">
        <v>14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>
        <v>110</v>
      </c>
      <c r="AW132" s="1"/>
      <c r="AX132" s="1">
        <v>40</v>
      </c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8">
        <f t="shared" si="19"/>
        <v>150</v>
      </c>
      <c r="BN132" s="6">
        <f t="shared" si="17"/>
        <v>1.8726591760299626E-2</v>
      </c>
    </row>
    <row r="133" spans="1:66" x14ac:dyDescent="0.25">
      <c r="A133" s="22"/>
      <c r="B133" s="1" t="s">
        <v>16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8">
        <f t="shared" si="19"/>
        <v>0</v>
      </c>
      <c r="BN133" s="6">
        <f t="shared" si="17"/>
        <v>0</v>
      </c>
    </row>
    <row r="134" spans="1:66" x14ac:dyDescent="0.25">
      <c r="A134" s="22"/>
      <c r="B134" s="1" t="s">
        <v>19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8">
        <f t="shared" si="19"/>
        <v>0</v>
      </c>
      <c r="BN134" s="6">
        <f t="shared" si="17"/>
        <v>0</v>
      </c>
    </row>
    <row r="135" spans="1:66" x14ac:dyDescent="0.25">
      <c r="A135" s="22"/>
      <c r="B135" s="1" t="s">
        <v>17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8">
        <f t="shared" si="19"/>
        <v>0</v>
      </c>
      <c r="BN135" s="6">
        <f t="shared" si="17"/>
        <v>0</v>
      </c>
    </row>
    <row r="136" spans="1:66" x14ac:dyDescent="0.25">
      <c r="A136" s="22"/>
      <c r="B136" s="1" t="s">
        <v>18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8">
        <f t="shared" si="19"/>
        <v>0</v>
      </c>
      <c r="BN136" s="6">
        <f t="shared" si="17"/>
        <v>0</v>
      </c>
    </row>
    <row r="137" spans="1:66" x14ac:dyDescent="0.25">
      <c r="A137" s="22"/>
      <c r="B137" s="1" t="s">
        <v>20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8">
        <f t="shared" si="19"/>
        <v>0</v>
      </c>
      <c r="BN137" s="6">
        <f t="shared" si="17"/>
        <v>0</v>
      </c>
    </row>
    <row r="138" spans="1:66" x14ac:dyDescent="0.25">
      <c r="A138" s="22"/>
      <c r="B138" s="1" t="s">
        <v>21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>
        <v>6</v>
      </c>
      <c r="AV138" s="1"/>
      <c r="AW138" s="1"/>
      <c r="AX138" s="1">
        <v>10</v>
      </c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8">
        <f t="shared" si="19"/>
        <v>16</v>
      </c>
      <c r="BN138" s="6">
        <f t="shared" si="17"/>
        <v>1.9975031210986267E-3</v>
      </c>
    </row>
    <row r="139" spans="1:66" s="11" customFormat="1" x14ac:dyDescent="0.25">
      <c r="A139" s="23"/>
      <c r="B139" s="9" t="s">
        <v>34</v>
      </c>
      <c r="C139" s="9">
        <f>SUM(C121:C138)</f>
        <v>0</v>
      </c>
      <c r="D139" s="9">
        <f t="shared" ref="D139:BL139" si="20">SUM(D121:D138)</f>
        <v>0</v>
      </c>
      <c r="E139" s="9">
        <f t="shared" si="20"/>
        <v>0</v>
      </c>
      <c r="F139" s="9">
        <f t="shared" si="20"/>
        <v>0</v>
      </c>
      <c r="G139" s="9">
        <f t="shared" si="20"/>
        <v>0</v>
      </c>
      <c r="H139" s="9">
        <f t="shared" si="20"/>
        <v>0</v>
      </c>
      <c r="I139" s="9">
        <f t="shared" si="20"/>
        <v>0</v>
      </c>
      <c r="J139" s="9">
        <f t="shared" si="20"/>
        <v>0</v>
      </c>
      <c r="K139" s="9">
        <f t="shared" si="20"/>
        <v>0</v>
      </c>
      <c r="L139" s="9">
        <f t="shared" si="20"/>
        <v>0</v>
      </c>
      <c r="M139" s="9">
        <f t="shared" si="20"/>
        <v>0</v>
      </c>
      <c r="N139" s="9">
        <f t="shared" si="20"/>
        <v>0</v>
      </c>
      <c r="O139" s="9">
        <f t="shared" si="20"/>
        <v>0</v>
      </c>
      <c r="P139" s="9">
        <f t="shared" si="20"/>
        <v>0</v>
      </c>
      <c r="Q139" s="9">
        <f t="shared" si="20"/>
        <v>0</v>
      </c>
      <c r="R139" s="9">
        <f t="shared" si="20"/>
        <v>0</v>
      </c>
      <c r="S139" s="9">
        <f t="shared" si="20"/>
        <v>0</v>
      </c>
      <c r="T139" s="9">
        <f t="shared" si="20"/>
        <v>0</v>
      </c>
      <c r="U139" s="9">
        <f t="shared" si="20"/>
        <v>0</v>
      </c>
      <c r="V139" s="9">
        <f t="shared" si="20"/>
        <v>0</v>
      </c>
      <c r="W139" s="9">
        <f t="shared" si="20"/>
        <v>0</v>
      </c>
      <c r="X139" s="9">
        <f t="shared" si="20"/>
        <v>0</v>
      </c>
      <c r="Y139" s="9">
        <f t="shared" si="20"/>
        <v>0</v>
      </c>
      <c r="Z139" s="9">
        <f t="shared" si="20"/>
        <v>0</v>
      </c>
      <c r="AA139" s="9">
        <f t="shared" si="20"/>
        <v>0</v>
      </c>
      <c r="AB139" s="9">
        <f t="shared" si="20"/>
        <v>0</v>
      </c>
      <c r="AC139" s="9">
        <f t="shared" si="20"/>
        <v>0</v>
      </c>
      <c r="AD139" s="9">
        <f t="shared" si="20"/>
        <v>0</v>
      </c>
      <c r="AE139" s="9">
        <f t="shared" si="20"/>
        <v>0</v>
      </c>
      <c r="AF139" s="9">
        <f t="shared" si="20"/>
        <v>0</v>
      </c>
      <c r="AG139" s="9">
        <f t="shared" si="20"/>
        <v>0</v>
      </c>
      <c r="AH139" s="9">
        <f t="shared" si="20"/>
        <v>0</v>
      </c>
      <c r="AI139" s="9">
        <f t="shared" si="20"/>
        <v>0</v>
      </c>
      <c r="AJ139" s="9">
        <f t="shared" si="20"/>
        <v>0</v>
      </c>
      <c r="AK139" s="9">
        <f t="shared" si="20"/>
        <v>0</v>
      </c>
      <c r="AL139" s="9">
        <f t="shared" si="20"/>
        <v>0</v>
      </c>
      <c r="AM139" s="9">
        <f t="shared" si="20"/>
        <v>0</v>
      </c>
      <c r="AN139" s="9">
        <f t="shared" si="20"/>
        <v>0</v>
      </c>
      <c r="AO139" s="9">
        <f t="shared" si="20"/>
        <v>0</v>
      </c>
      <c r="AP139" s="9">
        <f t="shared" si="20"/>
        <v>0</v>
      </c>
      <c r="AQ139" s="9">
        <f t="shared" si="20"/>
        <v>32</v>
      </c>
      <c r="AR139" s="9">
        <f t="shared" si="20"/>
        <v>0</v>
      </c>
      <c r="AS139" s="9">
        <f t="shared" si="20"/>
        <v>40</v>
      </c>
      <c r="AT139" s="9">
        <f t="shared" si="20"/>
        <v>39</v>
      </c>
      <c r="AU139" s="9">
        <f t="shared" si="20"/>
        <v>64</v>
      </c>
      <c r="AV139" s="9">
        <f t="shared" si="20"/>
        <v>180</v>
      </c>
      <c r="AW139" s="9">
        <f t="shared" si="20"/>
        <v>0</v>
      </c>
      <c r="AX139" s="9">
        <f t="shared" si="20"/>
        <v>116</v>
      </c>
      <c r="AY139" s="9">
        <f t="shared" si="20"/>
        <v>0</v>
      </c>
      <c r="AZ139" s="9">
        <f t="shared" si="20"/>
        <v>0</v>
      </c>
      <c r="BA139" s="9">
        <f t="shared" si="20"/>
        <v>0</v>
      </c>
      <c r="BB139" s="9">
        <f t="shared" si="20"/>
        <v>0</v>
      </c>
      <c r="BC139" s="9">
        <f t="shared" si="20"/>
        <v>0</v>
      </c>
      <c r="BD139" s="9">
        <f t="shared" si="20"/>
        <v>0</v>
      </c>
      <c r="BE139" s="9">
        <f t="shared" si="20"/>
        <v>0</v>
      </c>
      <c r="BF139" s="9">
        <f t="shared" si="20"/>
        <v>0</v>
      </c>
      <c r="BG139" s="9">
        <f t="shared" si="20"/>
        <v>0</v>
      </c>
      <c r="BH139" s="9">
        <f t="shared" si="20"/>
        <v>0</v>
      </c>
      <c r="BI139" s="9">
        <f t="shared" si="20"/>
        <v>0</v>
      </c>
      <c r="BJ139" s="9">
        <f t="shared" si="20"/>
        <v>0</v>
      </c>
      <c r="BK139" s="9">
        <f t="shared" si="20"/>
        <v>0</v>
      </c>
      <c r="BL139" s="9">
        <f t="shared" si="20"/>
        <v>0</v>
      </c>
      <c r="BM139" s="10">
        <f>SUM(BM126:BM138)</f>
        <v>471</v>
      </c>
      <c r="BN139" s="6">
        <f t="shared" ref="BN139:BN174" si="21">BM139/BM$5</f>
        <v>5.8801498127340826E-2</v>
      </c>
    </row>
    <row r="140" spans="1:66" x14ac:dyDescent="0.25">
      <c r="A140" s="21" t="s">
        <v>8</v>
      </c>
      <c r="B140" s="16" t="s">
        <v>46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7">
        <f t="shared" ref="BM140:BM157" si="22">SUM(C140:BL140)</f>
        <v>0</v>
      </c>
      <c r="BN140" s="6">
        <f t="shared" ref="BN140:BN157" si="23">BM140/BM$5</f>
        <v>0</v>
      </c>
    </row>
    <row r="141" spans="1:66" x14ac:dyDescent="0.25">
      <c r="A141" s="22"/>
      <c r="B141" s="2" t="s">
        <v>41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7">
        <f t="shared" si="22"/>
        <v>0</v>
      </c>
      <c r="BN141" s="6">
        <f t="shared" si="23"/>
        <v>0</v>
      </c>
    </row>
    <row r="142" spans="1:66" x14ac:dyDescent="0.25">
      <c r="A142" s="22"/>
      <c r="B142" s="2" t="s">
        <v>43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7">
        <f t="shared" si="22"/>
        <v>0</v>
      </c>
      <c r="BN142" s="6">
        <f t="shared" si="23"/>
        <v>0</v>
      </c>
    </row>
    <row r="143" spans="1:66" x14ac:dyDescent="0.25">
      <c r="A143" s="22"/>
      <c r="B143" s="2" t="s">
        <v>42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7">
        <f t="shared" si="22"/>
        <v>0</v>
      </c>
      <c r="BN143" s="6">
        <f t="shared" si="23"/>
        <v>0</v>
      </c>
    </row>
    <row r="144" spans="1:66" x14ac:dyDescent="0.25">
      <c r="A144" s="22"/>
      <c r="B144" s="1" t="s">
        <v>15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7">
        <f t="shared" si="22"/>
        <v>0</v>
      </c>
      <c r="BN144" s="6">
        <f t="shared" si="23"/>
        <v>0</v>
      </c>
    </row>
    <row r="145" spans="1:66" x14ac:dyDescent="0.25">
      <c r="A145" s="22"/>
      <c r="B145" s="16" t="s">
        <v>45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7">
        <f t="shared" si="22"/>
        <v>0</v>
      </c>
      <c r="BN145" s="6">
        <f t="shared" si="23"/>
        <v>0</v>
      </c>
    </row>
    <row r="146" spans="1:66" x14ac:dyDescent="0.25">
      <c r="A146" s="22"/>
      <c r="B146" s="16" t="s">
        <v>44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7">
        <f t="shared" si="22"/>
        <v>0</v>
      </c>
      <c r="BN146" s="6">
        <f t="shared" si="23"/>
        <v>0</v>
      </c>
    </row>
    <row r="147" spans="1:66" x14ac:dyDescent="0.25">
      <c r="A147" s="22"/>
      <c r="B147" s="1" t="s">
        <v>12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7">
        <f t="shared" si="22"/>
        <v>0</v>
      </c>
      <c r="BN147" s="6">
        <f t="shared" si="23"/>
        <v>0</v>
      </c>
    </row>
    <row r="148" spans="1:66" x14ac:dyDescent="0.25">
      <c r="A148" s="22"/>
      <c r="B148" s="1" t="s">
        <v>47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>
        <f>6+3</f>
        <v>9</v>
      </c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7">
        <f t="shared" si="22"/>
        <v>9</v>
      </c>
      <c r="BN148" s="6">
        <f t="shared" si="23"/>
        <v>1.1235955056179776E-3</v>
      </c>
    </row>
    <row r="149" spans="1:66" x14ac:dyDescent="0.25">
      <c r="A149" s="22"/>
      <c r="B149" t="s">
        <v>48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>
        <f>10+15+10+10+15</f>
        <v>60</v>
      </c>
      <c r="AT149" s="1">
        <f>8+5</f>
        <v>13</v>
      </c>
      <c r="AU149" s="1">
        <f>8+20+15</f>
        <v>43</v>
      </c>
      <c r="AV149" s="1">
        <f>8+3+15+7+12+10</f>
        <v>55</v>
      </c>
      <c r="AW149" s="1"/>
      <c r="AX149" s="1">
        <f>5+10+8+5+14+8+12+5</f>
        <v>67</v>
      </c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7">
        <f t="shared" si="22"/>
        <v>238</v>
      </c>
      <c r="BN149" s="6">
        <f t="shared" si="23"/>
        <v>2.9712858926342071E-2</v>
      </c>
    </row>
    <row r="150" spans="1:66" x14ac:dyDescent="0.25">
      <c r="A150" s="22"/>
      <c r="B150" s="1" t="s">
        <v>13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7">
        <f t="shared" si="22"/>
        <v>0</v>
      </c>
      <c r="BN150" s="6">
        <f t="shared" si="23"/>
        <v>0</v>
      </c>
    </row>
    <row r="151" spans="1:66" x14ac:dyDescent="0.25">
      <c r="A151" s="22"/>
      <c r="B151" s="1" t="s">
        <v>14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>
        <v>70</v>
      </c>
      <c r="AW151" s="1"/>
      <c r="AX151" s="1">
        <f>55+22+35</f>
        <v>112</v>
      </c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7">
        <f t="shared" si="22"/>
        <v>182</v>
      </c>
      <c r="BN151" s="6">
        <f t="shared" si="23"/>
        <v>2.272159800249688E-2</v>
      </c>
    </row>
    <row r="152" spans="1:66" x14ac:dyDescent="0.25">
      <c r="A152" s="22"/>
      <c r="B152" s="1" t="s">
        <v>16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7">
        <f t="shared" si="22"/>
        <v>0</v>
      </c>
      <c r="BN152" s="6">
        <f t="shared" si="23"/>
        <v>0</v>
      </c>
    </row>
    <row r="153" spans="1:66" x14ac:dyDescent="0.25">
      <c r="A153" s="22"/>
      <c r="B153" s="1" t="s">
        <v>19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7">
        <f t="shared" si="22"/>
        <v>0</v>
      </c>
      <c r="BN153" s="6">
        <f t="shared" si="23"/>
        <v>0</v>
      </c>
    </row>
    <row r="154" spans="1:66" x14ac:dyDescent="0.25">
      <c r="A154" s="22"/>
      <c r="B154" s="1" t="s">
        <v>17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7">
        <f t="shared" si="22"/>
        <v>0</v>
      </c>
      <c r="BN154" s="6">
        <f t="shared" si="23"/>
        <v>0</v>
      </c>
    </row>
    <row r="155" spans="1:66" x14ac:dyDescent="0.25">
      <c r="A155" s="22"/>
      <c r="B155" s="1" t="s">
        <v>18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7">
        <f t="shared" si="22"/>
        <v>0</v>
      </c>
      <c r="BN155" s="6">
        <f t="shared" si="23"/>
        <v>0</v>
      </c>
    </row>
    <row r="156" spans="1:66" x14ac:dyDescent="0.25">
      <c r="A156" s="22"/>
      <c r="B156" s="1" t="s">
        <v>20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7">
        <f t="shared" si="22"/>
        <v>0</v>
      </c>
      <c r="BN156" s="6">
        <f t="shared" si="23"/>
        <v>0</v>
      </c>
    </row>
    <row r="157" spans="1:66" x14ac:dyDescent="0.25">
      <c r="A157" s="22"/>
      <c r="B157" s="1" t="s">
        <v>21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>
        <f>8+5</f>
        <v>13</v>
      </c>
      <c r="AT157" s="1"/>
      <c r="AU157" s="1">
        <v>8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7">
        <f t="shared" si="22"/>
        <v>21</v>
      </c>
      <c r="BN157" s="6">
        <f t="shared" si="23"/>
        <v>2.6217228464419477E-3</v>
      </c>
    </row>
    <row r="158" spans="1:66" s="11" customFormat="1" x14ac:dyDescent="0.25">
      <c r="A158" s="23"/>
      <c r="B158" s="9" t="s">
        <v>34</v>
      </c>
      <c r="C158" s="9">
        <f t="shared" ref="C158:BK158" si="24">SUM(C140:C157)</f>
        <v>0</v>
      </c>
      <c r="D158" s="9">
        <f t="shared" si="24"/>
        <v>0</v>
      </c>
      <c r="E158" s="9">
        <f t="shared" si="24"/>
        <v>0</v>
      </c>
      <c r="F158" s="9">
        <f t="shared" si="24"/>
        <v>0</v>
      </c>
      <c r="G158" s="9">
        <f t="shared" si="24"/>
        <v>0</v>
      </c>
      <c r="H158" s="9">
        <f t="shared" si="24"/>
        <v>0</v>
      </c>
      <c r="I158" s="9">
        <f t="shared" si="24"/>
        <v>0</v>
      </c>
      <c r="J158" s="9">
        <f t="shared" si="24"/>
        <v>0</v>
      </c>
      <c r="K158" s="9">
        <f t="shared" si="24"/>
        <v>0</v>
      </c>
      <c r="L158" s="9">
        <f t="shared" si="24"/>
        <v>0</v>
      </c>
      <c r="M158" s="9">
        <f t="shared" si="24"/>
        <v>0</v>
      </c>
      <c r="N158" s="9">
        <f t="shared" si="24"/>
        <v>0</v>
      </c>
      <c r="O158" s="9">
        <f t="shared" si="24"/>
        <v>0</v>
      </c>
      <c r="P158" s="9">
        <f t="shared" si="24"/>
        <v>0</v>
      </c>
      <c r="Q158" s="9">
        <f t="shared" si="24"/>
        <v>0</v>
      </c>
      <c r="R158" s="9">
        <f t="shared" si="24"/>
        <v>0</v>
      </c>
      <c r="S158" s="9">
        <f t="shared" si="24"/>
        <v>0</v>
      </c>
      <c r="T158" s="9">
        <f t="shared" si="24"/>
        <v>0</v>
      </c>
      <c r="U158" s="9">
        <f t="shared" si="24"/>
        <v>0</v>
      </c>
      <c r="V158" s="9">
        <f t="shared" si="24"/>
        <v>0</v>
      </c>
      <c r="W158" s="9">
        <f t="shared" si="24"/>
        <v>0</v>
      </c>
      <c r="X158" s="9">
        <f t="shared" si="24"/>
        <v>0</v>
      </c>
      <c r="Y158" s="9">
        <f t="shared" si="24"/>
        <v>0</v>
      </c>
      <c r="Z158" s="9">
        <f t="shared" si="24"/>
        <v>0</v>
      </c>
      <c r="AA158" s="9">
        <f t="shared" si="24"/>
        <v>0</v>
      </c>
      <c r="AB158" s="9">
        <f t="shared" si="24"/>
        <v>0</v>
      </c>
      <c r="AC158" s="9">
        <f t="shared" si="24"/>
        <v>0</v>
      </c>
      <c r="AD158" s="9">
        <f t="shared" si="24"/>
        <v>0</v>
      </c>
      <c r="AE158" s="9">
        <f t="shared" si="24"/>
        <v>0</v>
      </c>
      <c r="AF158" s="9">
        <f t="shared" si="24"/>
        <v>0</v>
      </c>
      <c r="AG158" s="9">
        <f t="shared" si="24"/>
        <v>0</v>
      </c>
      <c r="AH158" s="9">
        <f t="shared" si="24"/>
        <v>0</v>
      </c>
      <c r="AI158" s="9">
        <f t="shared" si="24"/>
        <v>0</v>
      </c>
      <c r="AJ158" s="9">
        <f t="shared" si="24"/>
        <v>0</v>
      </c>
      <c r="AK158" s="9">
        <f t="shared" si="24"/>
        <v>0</v>
      </c>
      <c r="AL158" s="9">
        <f t="shared" si="24"/>
        <v>0</v>
      </c>
      <c r="AM158" s="9">
        <f t="shared" si="24"/>
        <v>0</v>
      </c>
      <c r="AN158" s="9">
        <f t="shared" si="24"/>
        <v>0</v>
      </c>
      <c r="AO158" s="9">
        <f t="shared" si="24"/>
        <v>0</v>
      </c>
      <c r="AP158" s="9">
        <f t="shared" si="24"/>
        <v>0</v>
      </c>
      <c r="AQ158" s="9">
        <f t="shared" si="24"/>
        <v>0</v>
      </c>
      <c r="AR158" s="9">
        <f t="shared" si="24"/>
        <v>9</v>
      </c>
      <c r="AS158" s="9">
        <f t="shared" si="24"/>
        <v>73</v>
      </c>
      <c r="AT158" s="9">
        <f t="shared" si="24"/>
        <v>13</v>
      </c>
      <c r="AU158" s="9">
        <f t="shared" si="24"/>
        <v>51</v>
      </c>
      <c r="AV158" s="9">
        <f t="shared" si="24"/>
        <v>125</v>
      </c>
      <c r="AW158" s="9">
        <f t="shared" si="24"/>
        <v>0</v>
      </c>
      <c r="AX158" s="9">
        <f t="shared" si="24"/>
        <v>179</v>
      </c>
      <c r="AY158" s="9">
        <f t="shared" si="24"/>
        <v>0</v>
      </c>
      <c r="AZ158" s="9">
        <f t="shared" si="24"/>
        <v>0</v>
      </c>
      <c r="BA158" s="9">
        <f t="shared" si="24"/>
        <v>0</v>
      </c>
      <c r="BB158" s="9">
        <f t="shared" si="24"/>
        <v>0</v>
      </c>
      <c r="BC158" s="9">
        <f t="shared" si="24"/>
        <v>0</v>
      </c>
      <c r="BD158" s="9">
        <f t="shared" si="24"/>
        <v>0</v>
      </c>
      <c r="BE158" s="9">
        <f t="shared" si="24"/>
        <v>0</v>
      </c>
      <c r="BF158" s="9">
        <f t="shared" si="24"/>
        <v>0</v>
      </c>
      <c r="BG158" s="9">
        <f t="shared" si="24"/>
        <v>0</v>
      </c>
      <c r="BH158" s="9">
        <f t="shared" si="24"/>
        <v>0</v>
      </c>
      <c r="BI158" s="9">
        <f t="shared" si="24"/>
        <v>0</v>
      </c>
      <c r="BJ158" s="9">
        <f t="shared" si="24"/>
        <v>0</v>
      </c>
      <c r="BK158" s="9">
        <f t="shared" si="24"/>
        <v>0</v>
      </c>
      <c r="BL158" s="9">
        <f>SUM(BL140:BL157)</f>
        <v>0</v>
      </c>
      <c r="BM158" s="10">
        <f>SUM(BM141:BM157)</f>
        <v>450</v>
      </c>
      <c r="BN158" s="6">
        <f t="shared" si="21"/>
        <v>5.6179775280898875E-2</v>
      </c>
    </row>
    <row r="159" spans="1:66" s="4" customFormat="1" x14ac:dyDescent="0.25">
      <c r="A159" s="15"/>
      <c r="B159" s="3" t="s">
        <v>35</v>
      </c>
      <c r="C159" s="3" t="e">
        <f t="shared" ref="C159:AH159" si="25">SUMIF($B11:$B158,"รวมเวลาหยุด",C11:C158)/C4</f>
        <v>#DIV/0!</v>
      </c>
      <c r="D159" s="3" t="e">
        <f t="shared" si="25"/>
        <v>#DIV/0!</v>
      </c>
      <c r="E159" s="3" t="e">
        <f t="shared" si="25"/>
        <v>#DIV/0!</v>
      </c>
      <c r="F159" s="3" t="e">
        <f t="shared" si="25"/>
        <v>#DIV/0!</v>
      </c>
      <c r="G159" s="3" t="e">
        <f t="shared" si="25"/>
        <v>#DIV/0!</v>
      </c>
      <c r="H159" s="3" t="e">
        <f t="shared" si="25"/>
        <v>#DIV/0!</v>
      </c>
      <c r="I159" s="3" t="e">
        <f t="shared" si="25"/>
        <v>#DIV/0!</v>
      </c>
      <c r="J159" s="3" t="e">
        <f t="shared" si="25"/>
        <v>#DIV/0!</v>
      </c>
      <c r="K159" s="3" t="e">
        <f t="shared" si="25"/>
        <v>#DIV/0!</v>
      </c>
      <c r="L159" s="3" t="e">
        <f t="shared" si="25"/>
        <v>#DIV/0!</v>
      </c>
      <c r="M159" s="3" t="e">
        <f t="shared" si="25"/>
        <v>#DIV/0!</v>
      </c>
      <c r="N159" s="3" t="e">
        <f t="shared" si="25"/>
        <v>#DIV/0!</v>
      </c>
      <c r="O159" s="3">
        <f t="shared" si="25"/>
        <v>290</v>
      </c>
      <c r="P159" s="3">
        <f t="shared" si="25"/>
        <v>0</v>
      </c>
      <c r="Q159" s="3">
        <f t="shared" si="25"/>
        <v>51</v>
      </c>
      <c r="R159" s="3">
        <f t="shared" si="25"/>
        <v>142</v>
      </c>
      <c r="S159" s="3" t="e">
        <f t="shared" si="25"/>
        <v>#DIV/0!</v>
      </c>
      <c r="T159" s="3" t="e">
        <f t="shared" si="25"/>
        <v>#DIV/0!</v>
      </c>
      <c r="U159" s="3" t="e">
        <f t="shared" si="25"/>
        <v>#DIV/0!</v>
      </c>
      <c r="V159" s="3" t="e">
        <f t="shared" si="25"/>
        <v>#DIV/0!</v>
      </c>
      <c r="W159" s="3" t="e">
        <f t="shared" si="25"/>
        <v>#DIV/0!</v>
      </c>
      <c r="X159" s="3" t="e">
        <f t="shared" si="25"/>
        <v>#DIV/0!</v>
      </c>
      <c r="Y159" s="3" t="e">
        <f t="shared" si="25"/>
        <v>#DIV/0!</v>
      </c>
      <c r="Z159" s="3" t="e">
        <f t="shared" si="25"/>
        <v>#DIV/0!</v>
      </c>
      <c r="AA159" s="3" t="e">
        <f t="shared" si="25"/>
        <v>#DIV/0!</v>
      </c>
      <c r="AB159" s="3" t="e">
        <f t="shared" si="25"/>
        <v>#DIV/0!</v>
      </c>
      <c r="AC159" s="3" t="e">
        <f t="shared" si="25"/>
        <v>#DIV/0!</v>
      </c>
      <c r="AD159" s="3" t="e">
        <f t="shared" si="25"/>
        <v>#DIV/0!</v>
      </c>
      <c r="AE159" s="3" t="e">
        <f t="shared" si="25"/>
        <v>#DIV/0!</v>
      </c>
      <c r="AF159" s="3" t="e">
        <f t="shared" si="25"/>
        <v>#DIV/0!</v>
      </c>
      <c r="AG159" s="3" t="e">
        <f t="shared" si="25"/>
        <v>#DIV/0!</v>
      </c>
      <c r="AH159" s="3" t="e">
        <f t="shared" si="25"/>
        <v>#DIV/0!</v>
      </c>
      <c r="AI159" s="3" t="e">
        <f t="shared" ref="AI159:BM159" si="26">SUMIF($B11:$B158,"รวมเวลาหยุด",AI11:AI158)/AI4</f>
        <v>#DIV/0!</v>
      </c>
      <c r="AJ159" s="3" t="e">
        <f t="shared" si="26"/>
        <v>#DIV/0!</v>
      </c>
      <c r="AK159" s="3" t="e">
        <f t="shared" si="26"/>
        <v>#DIV/0!</v>
      </c>
      <c r="AL159" s="3" t="e">
        <f t="shared" si="26"/>
        <v>#DIV/0!</v>
      </c>
      <c r="AM159" s="3" t="e">
        <f t="shared" si="26"/>
        <v>#DIV/0!</v>
      </c>
      <c r="AN159" s="3" t="e">
        <f t="shared" si="26"/>
        <v>#DIV/0!</v>
      </c>
      <c r="AO159" s="3" t="e">
        <f t="shared" si="26"/>
        <v>#DIV/0!</v>
      </c>
      <c r="AP159" s="3" t="e">
        <f t="shared" si="26"/>
        <v>#DIV/0!</v>
      </c>
      <c r="AQ159" s="3">
        <f t="shared" si="26"/>
        <v>59.285714285714285</v>
      </c>
      <c r="AR159" s="3">
        <f t="shared" si="26"/>
        <v>31</v>
      </c>
      <c r="AS159" s="3">
        <f t="shared" si="26"/>
        <v>42.857142857142854</v>
      </c>
      <c r="AT159" s="3">
        <f t="shared" si="26"/>
        <v>87</v>
      </c>
      <c r="AU159" s="3">
        <f t="shared" si="26"/>
        <v>107.14285714285714</v>
      </c>
      <c r="AV159" s="3">
        <f t="shared" si="26"/>
        <v>198.375</v>
      </c>
      <c r="AW159" s="3">
        <f t="shared" si="26"/>
        <v>114.25</v>
      </c>
      <c r="AX159" s="3">
        <f t="shared" si="26"/>
        <v>247.28571428571428</v>
      </c>
      <c r="AY159" s="3" t="e">
        <f t="shared" si="26"/>
        <v>#DIV/0!</v>
      </c>
      <c r="AZ159" s="3" t="e">
        <f t="shared" si="26"/>
        <v>#DIV/0!</v>
      </c>
      <c r="BA159" s="3" t="e">
        <f t="shared" si="26"/>
        <v>#DIV/0!</v>
      </c>
      <c r="BB159" s="3" t="e">
        <f t="shared" si="26"/>
        <v>#DIV/0!</v>
      </c>
      <c r="BC159" s="3" t="e">
        <f t="shared" si="26"/>
        <v>#DIV/0!</v>
      </c>
      <c r="BD159" s="3" t="e">
        <f t="shared" si="26"/>
        <v>#DIV/0!</v>
      </c>
      <c r="BE159" s="3" t="e">
        <f t="shared" si="26"/>
        <v>#DIV/0!</v>
      </c>
      <c r="BF159" s="3" t="e">
        <f t="shared" si="26"/>
        <v>#DIV/0!</v>
      </c>
      <c r="BG159" s="3" t="e">
        <f t="shared" si="26"/>
        <v>#DIV/0!</v>
      </c>
      <c r="BH159" s="3" t="e">
        <f t="shared" si="26"/>
        <v>#DIV/0!</v>
      </c>
      <c r="BI159" s="3" t="e">
        <f t="shared" si="26"/>
        <v>#DIV/0!</v>
      </c>
      <c r="BJ159" s="3" t="e">
        <f t="shared" si="26"/>
        <v>#DIV/0!</v>
      </c>
      <c r="BK159" s="3" t="e">
        <f t="shared" si="26"/>
        <v>#DIV/0!</v>
      </c>
      <c r="BL159" s="3" t="e">
        <f t="shared" si="26"/>
        <v>#DIV/0!</v>
      </c>
      <c r="BM159" s="20">
        <f t="shared" si="26"/>
        <v>109.46666666666667</v>
      </c>
      <c r="BN159" s="6">
        <f t="shared" si="21"/>
        <v>1.3666250520183105E-2</v>
      </c>
    </row>
    <row r="160" spans="1:66" x14ac:dyDescent="0.25">
      <c r="A160" s="27" t="s">
        <v>9</v>
      </c>
      <c r="B160" s="1" t="s">
        <v>22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>
        <v>5</v>
      </c>
      <c r="AU160" s="1"/>
      <c r="AV160" s="1"/>
      <c r="AW160" s="1">
        <f>7+10</f>
        <v>17</v>
      </c>
      <c r="AX160" s="1">
        <f>5+5</f>
        <v>10</v>
      </c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>
        <f t="shared" ref="BM160" si="27">SUM(C160:BL160)</f>
        <v>32</v>
      </c>
      <c r="BN160" s="6">
        <f t="shared" si="21"/>
        <v>3.9950062421972533E-3</v>
      </c>
    </row>
    <row r="161" spans="1:66" x14ac:dyDescent="0.25">
      <c r="A161" s="27"/>
      <c r="B161" s="1" t="s">
        <v>23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>
        <f>SUM(C161:BL161)</f>
        <v>0</v>
      </c>
      <c r="BN161" s="6">
        <f t="shared" si="21"/>
        <v>0</v>
      </c>
    </row>
    <row r="162" spans="1:66" x14ac:dyDescent="0.25">
      <c r="A162" s="27"/>
      <c r="B162" s="1" t="s">
        <v>24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>
        <f t="shared" ref="BM162:BM171" si="28">SUM(C162:BL162)</f>
        <v>0</v>
      </c>
      <c r="BN162" s="6">
        <f t="shared" si="21"/>
        <v>0</v>
      </c>
    </row>
    <row r="163" spans="1:66" x14ac:dyDescent="0.25">
      <c r="A163" s="27"/>
      <c r="B163" s="1" t="s">
        <v>49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>
        <v>1</v>
      </c>
      <c r="AU163" s="1"/>
      <c r="AV163" s="1">
        <v>5</v>
      </c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>
        <f t="shared" si="28"/>
        <v>6</v>
      </c>
      <c r="BN163" s="6">
        <f t="shared" si="21"/>
        <v>7.4906367041198505E-4</v>
      </c>
    </row>
    <row r="164" spans="1:66" x14ac:dyDescent="0.25">
      <c r="A164" s="27"/>
      <c r="B164" s="1" t="s">
        <v>25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>
        <f t="shared" si="28"/>
        <v>0</v>
      </c>
      <c r="BN164" s="6">
        <f t="shared" si="21"/>
        <v>0</v>
      </c>
    </row>
    <row r="165" spans="1:66" x14ac:dyDescent="0.25">
      <c r="A165" s="27"/>
      <c r="B165" s="1" t="s">
        <v>26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>
        <f t="shared" si="28"/>
        <v>0</v>
      </c>
      <c r="BN165" s="6">
        <f t="shared" si="21"/>
        <v>0</v>
      </c>
    </row>
    <row r="166" spans="1:66" x14ac:dyDescent="0.25">
      <c r="A166" s="27" t="s">
        <v>10</v>
      </c>
      <c r="B166" s="1" t="s">
        <v>27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>
        <f>1+3+1</f>
        <v>5</v>
      </c>
      <c r="AU166" s="1"/>
      <c r="AV166" s="1">
        <f>3+1+2+2</f>
        <v>8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>
        <f t="shared" si="28"/>
        <v>13</v>
      </c>
      <c r="BN166" s="6">
        <f t="shared" si="21"/>
        <v>1.6229712858926342E-3</v>
      </c>
    </row>
    <row r="167" spans="1:66" x14ac:dyDescent="0.25">
      <c r="A167" s="27"/>
      <c r="B167" s="1" t="s">
        <v>28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>
        <f t="shared" si="28"/>
        <v>0</v>
      </c>
      <c r="BN167" s="6">
        <f t="shared" si="21"/>
        <v>0</v>
      </c>
    </row>
    <row r="168" spans="1:66" x14ac:dyDescent="0.25">
      <c r="A168" s="27"/>
      <c r="B168" s="1" t="s">
        <v>29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>
        <v>3</v>
      </c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>
        <f t="shared" si="28"/>
        <v>3</v>
      </c>
      <c r="BN168" s="6">
        <f t="shared" si="21"/>
        <v>3.7453183520599252E-4</v>
      </c>
    </row>
    <row r="169" spans="1:66" x14ac:dyDescent="0.25">
      <c r="A169" s="27"/>
      <c r="B169" s="1" t="s">
        <v>49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>
        <f>2+3</f>
        <v>5</v>
      </c>
      <c r="AT169" s="1">
        <f>2+1+3+5+3+2+1+2+1</f>
        <v>20</v>
      </c>
      <c r="AU169" s="1">
        <f>4+5+3+2</f>
        <v>14</v>
      </c>
      <c r="AV169" s="1"/>
      <c r="AW169" s="1"/>
      <c r="AX169" s="1">
        <v>1</v>
      </c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>
        <f t="shared" si="28"/>
        <v>40</v>
      </c>
      <c r="BN169" s="6"/>
    </row>
    <row r="170" spans="1:66" x14ac:dyDescent="0.25">
      <c r="A170" s="27"/>
      <c r="B170" s="1" t="s">
        <v>25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>
        <v>2</v>
      </c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>
        <f t="shared" si="28"/>
        <v>2</v>
      </c>
      <c r="BN170" s="6"/>
    </row>
    <row r="171" spans="1:66" x14ac:dyDescent="0.25">
      <c r="A171" s="27"/>
      <c r="B171" s="1" t="s">
        <v>30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>
        <v>5</v>
      </c>
      <c r="AS171" s="1"/>
      <c r="AT171" s="1">
        <f>8+4+5+5</f>
        <v>22</v>
      </c>
      <c r="AU171" s="1"/>
      <c r="AV171" s="1">
        <f>11+10</f>
        <v>21</v>
      </c>
      <c r="AW171" s="1"/>
      <c r="AX171" s="1">
        <f>5+5+11+9+3+9+5</f>
        <v>47</v>
      </c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>
        <f t="shared" si="28"/>
        <v>95</v>
      </c>
      <c r="BN171" s="6">
        <f t="shared" si="21"/>
        <v>1.1860174781523096E-2</v>
      </c>
    </row>
    <row r="172" spans="1:66" s="11" customFormat="1" x14ac:dyDescent="0.25">
      <c r="A172" s="9"/>
      <c r="B172" s="9" t="s">
        <v>34</v>
      </c>
      <c r="C172" s="9">
        <f>SUM(C160:C171)</f>
        <v>0</v>
      </c>
      <c r="D172" s="9">
        <f t="shared" ref="D172:BL172" si="29">SUM(D160:D171)</f>
        <v>0</v>
      </c>
      <c r="E172" s="9">
        <f t="shared" si="29"/>
        <v>0</v>
      </c>
      <c r="F172" s="9">
        <f t="shared" si="29"/>
        <v>0</v>
      </c>
      <c r="G172" s="9">
        <f t="shared" si="29"/>
        <v>0</v>
      </c>
      <c r="H172" s="9">
        <f t="shared" si="29"/>
        <v>0</v>
      </c>
      <c r="I172" s="9">
        <f t="shared" si="29"/>
        <v>0</v>
      </c>
      <c r="J172" s="9">
        <f t="shared" si="29"/>
        <v>0</v>
      </c>
      <c r="K172" s="9">
        <f t="shared" si="29"/>
        <v>0</v>
      </c>
      <c r="L172" s="9">
        <f t="shared" si="29"/>
        <v>0</v>
      </c>
      <c r="M172" s="9">
        <f t="shared" si="29"/>
        <v>0</v>
      </c>
      <c r="N172" s="9">
        <f t="shared" si="29"/>
        <v>0</v>
      </c>
      <c r="O172" s="9">
        <f t="shared" si="29"/>
        <v>0</v>
      </c>
      <c r="P172" s="9">
        <f t="shared" si="29"/>
        <v>0</v>
      </c>
      <c r="Q172" s="9">
        <f t="shared" si="29"/>
        <v>0</v>
      </c>
      <c r="R172" s="9">
        <f t="shared" si="29"/>
        <v>0</v>
      </c>
      <c r="S172" s="9">
        <f t="shared" si="29"/>
        <v>0</v>
      </c>
      <c r="T172" s="9">
        <f t="shared" si="29"/>
        <v>0</v>
      </c>
      <c r="U172" s="9">
        <f t="shared" si="29"/>
        <v>0</v>
      </c>
      <c r="V172" s="9">
        <f t="shared" si="29"/>
        <v>0</v>
      </c>
      <c r="W172" s="9">
        <f t="shared" si="29"/>
        <v>0</v>
      </c>
      <c r="X172" s="9">
        <f t="shared" si="29"/>
        <v>0</v>
      </c>
      <c r="Y172" s="9">
        <f t="shared" si="29"/>
        <v>0</v>
      </c>
      <c r="Z172" s="9">
        <f t="shared" si="29"/>
        <v>0</v>
      </c>
      <c r="AA172" s="9">
        <f t="shared" si="29"/>
        <v>0</v>
      </c>
      <c r="AB172" s="9">
        <f t="shared" si="29"/>
        <v>0</v>
      </c>
      <c r="AC172" s="9">
        <f t="shared" si="29"/>
        <v>0</v>
      </c>
      <c r="AD172" s="9">
        <f t="shared" si="29"/>
        <v>0</v>
      </c>
      <c r="AE172" s="9">
        <f t="shared" si="29"/>
        <v>0</v>
      </c>
      <c r="AF172" s="9">
        <f t="shared" si="29"/>
        <v>0</v>
      </c>
      <c r="AG172" s="9">
        <f t="shared" si="29"/>
        <v>0</v>
      </c>
      <c r="AH172" s="9">
        <f t="shared" si="29"/>
        <v>0</v>
      </c>
      <c r="AI172" s="9">
        <f t="shared" si="29"/>
        <v>0</v>
      </c>
      <c r="AJ172" s="9">
        <f t="shared" si="29"/>
        <v>0</v>
      </c>
      <c r="AK172" s="9">
        <f t="shared" si="29"/>
        <v>0</v>
      </c>
      <c r="AL172" s="9">
        <f t="shared" si="29"/>
        <v>0</v>
      </c>
      <c r="AM172" s="9">
        <f t="shared" si="29"/>
        <v>0</v>
      </c>
      <c r="AN172" s="9">
        <f t="shared" si="29"/>
        <v>0</v>
      </c>
      <c r="AO172" s="9">
        <f t="shared" si="29"/>
        <v>0</v>
      </c>
      <c r="AP172" s="9">
        <f t="shared" si="29"/>
        <v>0</v>
      </c>
      <c r="AQ172" s="9">
        <f t="shared" si="29"/>
        <v>0</v>
      </c>
      <c r="AR172" s="9">
        <f t="shared" si="29"/>
        <v>5</v>
      </c>
      <c r="AS172" s="9">
        <f t="shared" si="29"/>
        <v>5</v>
      </c>
      <c r="AT172" s="9">
        <f t="shared" si="29"/>
        <v>53</v>
      </c>
      <c r="AU172" s="9">
        <f t="shared" si="29"/>
        <v>14</v>
      </c>
      <c r="AV172" s="9">
        <f t="shared" si="29"/>
        <v>34</v>
      </c>
      <c r="AW172" s="9">
        <f t="shared" si="29"/>
        <v>17</v>
      </c>
      <c r="AX172" s="9">
        <f t="shared" si="29"/>
        <v>63</v>
      </c>
      <c r="AY172" s="9">
        <f t="shared" si="29"/>
        <v>0</v>
      </c>
      <c r="AZ172" s="9">
        <f t="shared" si="29"/>
        <v>0</v>
      </c>
      <c r="BA172" s="9">
        <f t="shared" si="29"/>
        <v>0</v>
      </c>
      <c r="BB172" s="9">
        <f t="shared" si="29"/>
        <v>0</v>
      </c>
      <c r="BC172" s="9">
        <f t="shared" si="29"/>
        <v>0</v>
      </c>
      <c r="BD172" s="9">
        <f t="shared" si="29"/>
        <v>0</v>
      </c>
      <c r="BE172" s="9">
        <f t="shared" si="29"/>
        <v>0</v>
      </c>
      <c r="BF172" s="9">
        <f t="shared" si="29"/>
        <v>0</v>
      </c>
      <c r="BG172" s="9">
        <f t="shared" si="29"/>
        <v>0</v>
      </c>
      <c r="BH172" s="9">
        <f t="shared" si="29"/>
        <v>0</v>
      </c>
      <c r="BI172" s="9">
        <f t="shared" si="29"/>
        <v>0</v>
      </c>
      <c r="BJ172" s="9">
        <f t="shared" si="29"/>
        <v>0</v>
      </c>
      <c r="BK172" s="9">
        <f t="shared" si="29"/>
        <v>0</v>
      </c>
      <c r="BL172" s="9">
        <f t="shared" si="29"/>
        <v>0</v>
      </c>
      <c r="BM172" s="11">
        <f>SUM(C172:BL172)</f>
        <v>191</v>
      </c>
      <c r="BN172" s="6">
        <f t="shared" si="21"/>
        <v>2.3845193508114856E-2</v>
      </c>
    </row>
    <row r="173" spans="1:66" s="4" customFormat="1" x14ac:dyDescent="0.25">
      <c r="B173" s="12" t="s">
        <v>38</v>
      </c>
      <c r="C173" s="4" t="e">
        <f>C159+C172</f>
        <v>#DIV/0!</v>
      </c>
      <c r="D173" s="4" t="e">
        <f t="shared" ref="D173:BJ173" si="30">D159+D172</f>
        <v>#DIV/0!</v>
      </c>
      <c r="E173" s="4" t="e">
        <f t="shared" ref="E173" si="31">E159+E172</f>
        <v>#DIV/0!</v>
      </c>
      <c r="F173" s="4" t="e">
        <f t="shared" ref="F173" si="32">F159+F172</f>
        <v>#DIV/0!</v>
      </c>
      <c r="G173" s="4" t="e">
        <f t="shared" si="30"/>
        <v>#DIV/0!</v>
      </c>
      <c r="H173" s="4" t="e">
        <f t="shared" si="30"/>
        <v>#DIV/0!</v>
      </c>
      <c r="I173" s="4" t="e">
        <f t="shared" si="30"/>
        <v>#DIV/0!</v>
      </c>
      <c r="J173" s="4" t="e">
        <f t="shared" si="30"/>
        <v>#DIV/0!</v>
      </c>
      <c r="K173" s="4" t="e">
        <f t="shared" si="30"/>
        <v>#DIV/0!</v>
      </c>
      <c r="L173" s="4" t="e">
        <f t="shared" si="30"/>
        <v>#DIV/0!</v>
      </c>
      <c r="M173" s="4" t="e">
        <f t="shared" si="30"/>
        <v>#DIV/0!</v>
      </c>
      <c r="N173" s="4" t="e">
        <f t="shared" si="30"/>
        <v>#DIV/0!</v>
      </c>
      <c r="O173" s="4">
        <f t="shared" si="30"/>
        <v>290</v>
      </c>
      <c r="P173" s="4">
        <f t="shared" si="30"/>
        <v>0</v>
      </c>
      <c r="Q173" s="4">
        <f t="shared" si="30"/>
        <v>51</v>
      </c>
      <c r="R173" s="4">
        <f t="shared" si="30"/>
        <v>142</v>
      </c>
      <c r="S173" s="4" t="e">
        <f t="shared" si="30"/>
        <v>#DIV/0!</v>
      </c>
      <c r="T173" s="4" t="e">
        <f t="shared" si="30"/>
        <v>#DIV/0!</v>
      </c>
      <c r="U173" s="4" t="e">
        <f t="shared" si="30"/>
        <v>#DIV/0!</v>
      </c>
      <c r="V173" s="4" t="e">
        <f t="shared" si="30"/>
        <v>#DIV/0!</v>
      </c>
      <c r="W173" s="4" t="e">
        <f t="shared" si="30"/>
        <v>#DIV/0!</v>
      </c>
      <c r="X173" s="4" t="e">
        <f t="shared" si="30"/>
        <v>#DIV/0!</v>
      </c>
      <c r="Y173" s="4" t="e">
        <f t="shared" si="30"/>
        <v>#DIV/0!</v>
      </c>
      <c r="Z173" s="4" t="e">
        <f t="shared" si="30"/>
        <v>#DIV/0!</v>
      </c>
      <c r="AA173" s="4" t="e">
        <f t="shared" si="30"/>
        <v>#DIV/0!</v>
      </c>
      <c r="AB173" s="4" t="e">
        <f t="shared" si="30"/>
        <v>#DIV/0!</v>
      </c>
      <c r="AC173" s="4" t="e">
        <f t="shared" si="30"/>
        <v>#DIV/0!</v>
      </c>
      <c r="AD173" s="4" t="e">
        <f t="shared" si="30"/>
        <v>#DIV/0!</v>
      </c>
      <c r="AE173" s="4" t="e">
        <f t="shared" si="30"/>
        <v>#DIV/0!</v>
      </c>
      <c r="AF173" s="4" t="e">
        <f t="shared" si="30"/>
        <v>#DIV/0!</v>
      </c>
      <c r="AG173" s="4" t="e">
        <f t="shared" si="30"/>
        <v>#DIV/0!</v>
      </c>
      <c r="AH173" s="4" t="e">
        <f t="shared" si="30"/>
        <v>#DIV/0!</v>
      </c>
      <c r="AI173" s="4" t="e">
        <f t="shared" si="30"/>
        <v>#DIV/0!</v>
      </c>
      <c r="AJ173" s="4" t="e">
        <f t="shared" si="30"/>
        <v>#DIV/0!</v>
      </c>
      <c r="AK173" s="4" t="e">
        <f t="shared" si="30"/>
        <v>#DIV/0!</v>
      </c>
      <c r="AL173" s="4" t="e">
        <f t="shared" si="30"/>
        <v>#DIV/0!</v>
      </c>
      <c r="AM173" s="4" t="e">
        <f t="shared" si="30"/>
        <v>#DIV/0!</v>
      </c>
      <c r="AN173" s="4" t="e">
        <f t="shared" si="30"/>
        <v>#DIV/0!</v>
      </c>
      <c r="AO173" s="4" t="e">
        <f t="shared" si="30"/>
        <v>#DIV/0!</v>
      </c>
      <c r="AP173" s="4" t="e">
        <f t="shared" si="30"/>
        <v>#DIV/0!</v>
      </c>
      <c r="AQ173" s="4">
        <f t="shared" si="30"/>
        <v>59.285714285714285</v>
      </c>
      <c r="AR173" s="4">
        <f t="shared" si="30"/>
        <v>36</v>
      </c>
      <c r="AS173" s="4">
        <f t="shared" si="30"/>
        <v>47.857142857142854</v>
      </c>
      <c r="AT173" s="4">
        <f t="shared" si="30"/>
        <v>140</v>
      </c>
      <c r="AU173" s="4">
        <f t="shared" si="30"/>
        <v>121.14285714285714</v>
      </c>
      <c r="AV173" s="4">
        <f t="shared" si="30"/>
        <v>232.375</v>
      </c>
      <c r="AW173" s="4">
        <f t="shared" si="30"/>
        <v>131.25</v>
      </c>
      <c r="AX173" s="4">
        <f t="shared" si="30"/>
        <v>310.28571428571428</v>
      </c>
      <c r="AY173" s="4" t="e">
        <f t="shared" si="30"/>
        <v>#DIV/0!</v>
      </c>
      <c r="AZ173" s="4" t="e">
        <f t="shared" si="30"/>
        <v>#DIV/0!</v>
      </c>
      <c r="BA173" s="4" t="e">
        <f t="shared" si="30"/>
        <v>#DIV/0!</v>
      </c>
      <c r="BB173" s="4" t="e">
        <f t="shared" si="30"/>
        <v>#DIV/0!</v>
      </c>
      <c r="BC173" s="4" t="e">
        <f t="shared" si="30"/>
        <v>#DIV/0!</v>
      </c>
      <c r="BD173" s="4" t="e">
        <f t="shared" si="30"/>
        <v>#DIV/0!</v>
      </c>
      <c r="BE173" s="4" t="e">
        <f t="shared" si="30"/>
        <v>#DIV/0!</v>
      </c>
      <c r="BF173" s="4" t="e">
        <f t="shared" si="30"/>
        <v>#DIV/0!</v>
      </c>
      <c r="BG173" s="4" t="e">
        <f t="shared" si="30"/>
        <v>#DIV/0!</v>
      </c>
      <c r="BH173" s="4" t="e">
        <f t="shared" si="30"/>
        <v>#DIV/0!</v>
      </c>
      <c r="BI173" s="4" t="e">
        <f t="shared" si="30"/>
        <v>#DIV/0!</v>
      </c>
      <c r="BJ173" s="4" t="e">
        <f t="shared" si="30"/>
        <v>#DIV/0!</v>
      </c>
      <c r="BK173" s="4" t="e">
        <f t="shared" ref="BK173" si="33">BK159+BK172</f>
        <v>#DIV/0!</v>
      </c>
      <c r="BL173" s="4" t="e">
        <f t="shared" ref="BL173:BM173" si="34">BL159+BL172</f>
        <v>#DIV/0!</v>
      </c>
      <c r="BM173" s="4">
        <f t="shared" si="34"/>
        <v>300.4666666666667</v>
      </c>
      <c r="BN173" s="13">
        <f t="shared" si="21"/>
        <v>3.7511444028297966E-2</v>
      </c>
    </row>
    <row r="174" spans="1:66" s="4" customFormat="1" x14ac:dyDescent="0.25">
      <c r="C174" s="14" t="e">
        <f t="shared" ref="C174:AH174" si="35">C173/C5</f>
        <v>#DIV/0!</v>
      </c>
      <c r="D174" s="14" t="e">
        <f t="shared" si="35"/>
        <v>#DIV/0!</v>
      </c>
      <c r="E174" s="14" t="e">
        <f t="shared" si="35"/>
        <v>#DIV/0!</v>
      </c>
      <c r="F174" s="14" t="e">
        <f t="shared" si="35"/>
        <v>#DIV/0!</v>
      </c>
      <c r="G174" s="14" t="e">
        <f t="shared" si="35"/>
        <v>#DIV/0!</v>
      </c>
      <c r="H174" s="14" t="e">
        <f t="shared" si="35"/>
        <v>#DIV/0!</v>
      </c>
      <c r="I174" s="14" t="e">
        <f t="shared" si="35"/>
        <v>#DIV/0!</v>
      </c>
      <c r="J174" s="14" t="e">
        <f t="shared" si="35"/>
        <v>#DIV/0!</v>
      </c>
      <c r="K174" s="14" t="e">
        <f t="shared" si="35"/>
        <v>#DIV/0!</v>
      </c>
      <c r="L174" s="14" t="e">
        <f t="shared" si="35"/>
        <v>#DIV/0!</v>
      </c>
      <c r="M174" s="14" t="e">
        <f t="shared" si="35"/>
        <v>#DIV/0!</v>
      </c>
      <c r="N174" s="14" t="e">
        <f t="shared" si="35"/>
        <v>#DIV/0!</v>
      </c>
      <c r="O174" s="14">
        <f t="shared" si="35"/>
        <v>0.2196969696969697</v>
      </c>
      <c r="P174" s="14">
        <f t="shared" si="35"/>
        <v>0</v>
      </c>
      <c r="Q174" s="14">
        <f t="shared" si="35"/>
        <v>7.7272727272727271E-2</v>
      </c>
      <c r="R174" s="14">
        <f t="shared" si="35"/>
        <v>0.21515151515151515</v>
      </c>
      <c r="S174" s="14" t="e">
        <f t="shared" si="35"/>
        <v>#DIV/0!</v>
      </c>
      <c r="T174" s="14" t="e">
        <f t="shared" si="35"/>
        <v>#DIV/0!</v>
      </c>
      <c r="U174" s="14" t="e">
        <f t="shared" si="35"/>
        <v>#DIV/0!</v>
      </c>
      <c r="V174" s="14" t="e">
        <f t="shared" si="35"/>
        <v>#DIV/0!</v>
      </c>
      <c r="W174" s="14" t="e">
        <f t="shared" si="35"/>
        <v>#DIV/0!</v>
      </c>
      <c r="X174" s="14" t="e">
        <f t="shared" si="35"/>
        <v>#DIV/0!</v>
      </c>
      <c r="Y174" s="14" t="e">
        <f t="shared" si="35"/>
        <v>#DIV/0!</v>
      </c>
      <c r="Z174" s="14" t="e">
        <f t="shared" si="35"/>
        <v>#DIV/0!</v>
      </c>
      <c r="AA174" s="14" t="e">
        <f t="shared" si="35"/>
        <v>#DIV/0!</v>
      </c>
      <c r="AB174" s="14" t="e">
        <f t="shared" si="35"/>
        <v>#DIV/0!</v>
      </c>
      <c r="AC174" s="14" t="e">
        <f t="shared" si="35"/>
        <v>#DIV/0!</v>
      </c>
      <c r="AD174" s="14" t="e">
        <f t="shared" si="35"/>
        <v>#DIV/0!</v>
      </c>
      <c r="AE174" s="14" t="e">
        <f t="shared" si="35"/>
        <v>#DIV/0!</v>
      </c>
      <c r="AF174" s="14" t="e">
        <f t="shared" si="35"/>
        <v>#DIV/0!</v>
      </c>
      <c r="AG174" s="14" t="e">
        <f t="shared" si="35"/>
        <v>#DIV/0!</v>
      </c>
      <c r="AH174" s="14" t="e">
        <f t="shared" si="35"/>
        <v>#DIV/0!</v>
      </c>
      <c r="AI174" s="14" t="e">
        <f t="shared" ref="AI174:BM174" si="36">AI173/AI5</f>
        <v>#DIV/0!</v>
      </c>
      <c r="AJ174" s="14" t="e">
        <f t="shared" si="36"/>
        <v>#DIV/0!</v>
      </c>
      <c r="AK174" s="14" t="e">
        <f t="shared" si="36"/>
        <v>#DIV/0!</v>
      </c>
      <c r="AL174" s="14" t="e">
        <f t="shared" si="36"/>
        <v>#DIV/0!</v>
      </c>
      <c r="AM174" s="14" t="e">
        <f t="shared" si="36"/>
        <v>#DIV/0!</v>
      </c>
      <c r="AN174" s="14" t="e">
        <f t="shared" si="36"/>
        <v>#DIV/0!</v>
      </c>
      <c r="AO174" s="14" t="e">
        <f t="shared" si="36"/>
        <v>#DIV/0!</v>
      </c>
      <c r="AP174" s="14" t="e">
        <f t="shared" si="36"/>
        <v>#DIV/0!</v>
      </c>
      <c r="AQ174" s="14">
        <f t="shared" si="36"/>
        <v>8.9826839826839824E-2</v>
      </c>
      <c r="AR174" s="14">
        <f t="shared" si="36"/>
        <v>5.4545454545454543E-2</v>
      </c>
      <c r="AS174" s="14">
        <f t="shared" si="36"/>
        <v>7.2510822510822512E-2</v>
      </c>
      <c r="AT174" s="14">
        <f t="shared" si="36"/>
        <v>0.21212121212121213</v>
      </c>
      <c r="AU174" s="14">
        <f t="shared" si="36"/>
        <v>0.18354978354978355</v>
      </c>
      <c r="AV174" s="14">
        <f t="shared" si="36"/>
        <v>0.35208333333333336</v>
      </c>
      <c r="AW174" s="14">
        <f t="shared" si="36"/>
        <v>0.19886363636363635</v>
      </c>
      <c r="AX174" s="14">
        <f t="shared" si="36"/>
        <v>0.47012987012987012</v>
      </c>
      <c r="AY174" s="14" t="e">
        <f t="shared" si="36"/>
        <v>#DIV/0!</v>
      </c>
      <c r="AZ174" s="14" t="e">
        <f t="shared" si="36"/>
        <v>#DIV/0!</v>
      </c>
      <c r="BA174" s="14" t="e">
        <f t="shared" si="36"/>
        <v>#DIV/0!</v>
      </c>
      <c r="BB174" s="14" t="e">
        <f t="shared" si="36"/>
        <v>#DIV/0!</v>
      </c>
      <c r="BC174" s="14" t="e">
        <f t="shared" si="36"/>
        <v>#DIV/0!</v>
      </c>
      <c r="BD174" s="14" t="e">
        <f t="shared" si="36"/>
        <v>#DIV/0!</v>
      </c>
      <c r="BE174" s="14" t="e">
        <f t="shared" si="36"/>
        <v>#DIV/0!</v>
      </c>
      <c r="BF174" s="14" t="e">
        <f t="shared" si="36"/>
        <v>#DIV/0!</v>
      </c>
      <c r="BG174" s="14" t="e">
        <f t="shared" si="36"/>
        <v>#DIV/0!</v>
      </c>
      <c r="BH174" s="14" t="e">
        <f t="shared" si="36"/>
        <v>#DIV/0!</v>
      </c>
      <c r="BI174" s="14" t="e">
        <f t="shared" si="36"/>
        <v>#DIV/0!</v>
      </c>
      <c r="BJ174" s="14" t="e">
        <f t="shared" si="36"/>
        <v>#DIV/0!</v>
      </c>
      <c r="BK174" s="14" t="e">
        <f t="shared" si="36"/>
        <v>#DIV/0!</v>
      </c>
      <c r="BL174" s="14" t="e">
        <f t="shared" si="36"/>
        <v>#DIV/0!</v>
      </c>
      <c r="BM174" s="14">
        <f t="shared" si="36"/>
        <v>3.7511444028297966E-2</v>
      </c>
      <c r="BN174" s="13">
        <f t="shared" si="21"/>
        <v>4.6830766577151021E-6</v>
      </c>
    </row>
    <row r="177" spans="2:65" x14ac:dyDescent="0.25">
      <c r="B177" t="s">
        <v>1</v>
      </c>
      <c r="C177" s="5" t="e">
        <f t="shared" ref="C177:AH177" si="37">C25/$C5</f>
        <v>#DIV/0!</v>
      </c>
      <c r="D177" s="5" t="e">
        <f t="shared" si="37"/>
        <v>#DIV/0!</v>
      </c>
      <c r="E177" s="5" t="e">
        <f t="shared" si="37"/>
        <v>#DIV/0!</v>
      </c>
      <c r="F177" s="5" t="e">
        <f t="shared" si="37"/>
        <v>#DIV/0!</v>
      </c>
      <c r="G177" s="5" t="e">
        <f t="shared" si="37"/>
        <v>#DIV/0!</v>
      </c>
      <c r="H177" s="5" t="e">
        <f t="shared" si="37"/>
        <v>#DIV/0!</v>
      </c>
      <c r="I177" s="5" t="e">
        <f t="shared" si="37"/>
        <v>#DIV/0!</v>
      </c>
      <c r="J177" s="5" t="e">
        <f t="shared" si="37"/>
        <v>#DIV/0!</v>
      </c>
      <c r="K177" s="5" t="e">
        <f t="shared" si="37"/>
        <v>#DIV/0!</v>
      </c>
      <c r="L177" s="5" t="e">
        <f t="shared" si="37"/>
        <v>#DIV/0!</v>
      </c>
      <c r="M177" s="5" t="e">
        <f t="shared" si="37"/>
        <v>#DIV/0!</v>
      </c>
      <c r="N177" s="5" t="e">
        <f t="shared" si="37"/>
        <v>#DIV/0!</v>
      </c>
      <c r="O177" s="5" t="e">
        <f t="shared" si="37"/>
        <v>#DIV/0!</v>
      </c>
      <c r="P177" s="5" t="e">
        <f t="shared" si="37"/>
        <v>#DIV/0!</v>
      </c>
      <c r="Q177" s="5" t="e">
        <f t="shared" si="37"/>
        <v>#DIV/0!</v>
      </c>
      <c r="R177" s="5" t="e">
        <f t="shared" si="37"/>
        <v>#DIV/0!</v>
      </c>
      <c r="S177" s="5" t="e">
        <f t="shared" si="37"/>
        <v>#DIV/0!</v>
      </c>
      <c r="T177" s="5" t="e">
        <f t="shared" si="37"/>
        <v>#DIV/0!</v>
      </c>
      <c r="U177" s="5" t="e">
        <f t="shared" si="37"/>
        <v>#DIV/0!</v>
      </c>
      <c r="V177" s="5" t="e">
        <f t="shared" si="37"/>
        <v>#DIV/0!</v>
      </c>
      <c r="W177" s="5" t="e">
        <f t="shared" si="37"/>
        <v>#DIV/0!</v>
      </c>
      <c r="X177" s="5" t="e">
        <f t="shared" si="37"/>
        <v>#DIV/0!</v>
      </c>
      <c r="Y177" s="5" t="e">
        <f t="shared" si="37"/>
        <v>#DIV/0!</v>
      </c>
      <c r="Z177" s="5" t="e">
        <f t="shared" si="37"/>
        <v>#DIV/0!</v>
      </c>
      <c r="AA177" s="5" t="e">
        <f t="shared" si="37"/>
        <v>#DIV/0!</v>
      </c>
      <c r="AB177" s="5" t="e">
        <f t="shared" si="37"/>
        <v>#DIV/0!</v>
      </c>
      <c r="AC177" s="5" t="e">
        <f t="shared" si="37"/>
        <v>#DIV/0!</v>
      </c>
      <c r="AD177" s="5" t="e">
        <f t="shared" si="37"/>
        <v>#DIV/0!</v>
      </c>
      <c r="AE177" s="5" t="e">
        <f t="shared" si="37"/>
        <v>#DIV/0!</v>
      </c>
      <c r="AF177" s="5" t="e">
        <f t="shared" si="37"/>
        <v>#DIV/0!</v>
      </c>
      <c r="AG177" s="5" t="e">
        <f t="shared" si="37"/>
        <v>#DIV/0!</v>
      </c>
      <c r="AH177" s="5" t="e">
        <f t="shared" si="37"/>
        <v>#DIV/0!</v>
      </c>
      <c r="AI177" s="5" t="e">
        <f t="shared" ref="AI177:BM177" si="38">AI25/$C5</f>
        <v>#DIV/0!</v>
      </c>
      <c r="AJ177" s="5" t="e">
        <f t="shared" si="38"/>
        <v>#DIV/0!</v>
      </c>
      <c r="AK177" s="5" t="e">
        <f t="shared" si="38"/>
        <v>#DIV/0!</v>
      </c>
      <c r="AL177" s="5" t="e">
        <f t="shared" si="38"/>
        <v>#DIV/0!</v>
      </c>
      <c r="AM177" s="5" t="e">
        <f t="shared" si="38"/>
        <v>#DIV/0!</v>
      </c>
      <c r="AN177" s="5" t="e">
        <f t="shared" si="38"/>
        <v>#DIV/0!</v>
      </c>
      <c r="AO177" s="5" t="e">
        <f t="shared" si="38"/>
        <v>#DIV/0!</v>
      </c>
      <c r="AP177" s="5" t="e">
        <f t="shared" si="38"/>
        <v>#DIV/0!</v>
      </c>
      <c r="AQ177" s="5" t="e">
        <f t="shared" si="38"/>
        <v>#DIV/0!</v>
      </c>
      <c r="AR177" s="5" t="e">
        <f t="shared" si="38"/>
        <v>#DIV/0!</v>
      </c>
      <c r="AS177" s="5" t="e">
        <f t="shared" si="38"/>
        <v>#DIV/0!</v>
      </c>
      <c r="AT177" s="5" t="e">
        <f t="shared" si="38"/>
        <v>#DIV/0!</v>
      </c>
      <c r="AU177" s="5" t="e">
        <f t="shared" si="38"/>
        <v>#DIV/0!</v>
      </c>
      <c r="AV177" s="5" t="e">
        <f t="shared" si="38"/>
        <v>#DIV/0!</v>
      </c>
      <c r="AW177" s="5" t="e">
        <f t="shared" si="38"/>
        <v>#DIV/0!</v>
      </c>
      <c r="AX177" s="5" t="e">
        <f t="shared" si="38"/>
        <v>#DIV/0!</v>
      </c>
      <c r="AY177" s="5" t="e">
        <f t="shared" si="38"/>
        <v>#DIV/0!</v>
      </c>
      <c r="AZ177" s="5" t="e">
        <f t="shared" si="38"/>
        <v>#DIV/0!</v>
      </c>
      <c r="BA177" s="5" t="e">
        <f t="shared" si="38"/>
        <v>#DIV/0!</v>
      </c>
      <c r="BB177" s="5" t="e">
        <f t="shared" si="38"/>
        <v>#DIV/0!</v>
      </c>
      <c r="BC177" s="5" t="e">
        <f t="shared" si="38"/>
        <v>#DIV/0!</v>
      </c>
      <c r="BD177" s="5" t="e">
        <f t="shared" si="38"/>
        <v>#DIV/0!</v>
      </c>
      <c r="BE177" s="5" t="e">
        <f t="shared" si="38"/>
        <v>#DIV/0!</v>
      </c>
      <c r="BF177" s="5" t="e">
        <f t="shared" si="38"/>
        <v>#DIV/0!</v>
      </c>
      <c r="BG177" s="5" t="e">
        <f t="shared" si="38"/>
        <v>#DIV/0!</v>
      </c>
      <c r="BH177" s="5" t="e">
        <f t="shared" si="38"/>
        <v>#DIV/0!</v>
      </c>
      <c r="BI177" s="5" t="e">
        <f t="shared" si="38"/>
        <v>#DIV/0!</v>
      </c>
      <c r="BJ177" s="5" t="e">
        <f t="shared" si="38"/>
        <v>#DIV/0!</v>
      </c>
      <c r="BK177" s="5" t="e">
        <f t="shared" si="38"/>
        <v>#DIV/0!</v>
      </c>
      <c r="BL177" s="5" t="e">
        <f t="shared" si="38"/>
        <v>#DIV/0!</v>
      </c>
      <c r="BM177" s="5" t="e">
        <f t="shared" si="38"/>
        <v>#DIV/0!</v>
      </c>
    </row>
    <row r="178" spans="2:65" x14ac:dyDescent="0.25">
      <c r="B178" t="s">
        <v>2</v>
      </c>
      <c r="C178" s="5" t="e">
        <f t="shared" ref="C178:AH178" si="39">C44/$C5</f>
        <v>#DIV/0!</v>
      </c>
      <c r="D178" s="5" t="e">
        <f t="shared" si="39"/>
        <v>#DIV/0!</v>
      </c>
      <c r="E178" s="5" t="e">
        <f t="shared" si="39"/>
        <v>#DIV/0!</v>
      </c>
      <c r="F178" s="5" t="e">
        <f t="shared" si="39"/>
        <v>#DIV/0!</v>
      </c>
      <c r="G178" s="5" t="e">
        <f t="shared" si="39"/>
        <v>#DIV/0!</v>
      </c>
      <c r="H178" s="5" t="e">
        <f t="shared" si="39"/>
        <v>#DIV/0!</v>
      </c>
      <c r="I178" s="5" t="e">
        <f t="shared" si="39"/>
        <v>#DIV/0!</v>
      </c>
      <c r="J178" s="5" t="e">
        <f t="shared" si="39"/>
        <v>#DIV/0!</v>
      </c>
      <c r="K178" s="5" t="e">
        <f t="shared" si="39"/>
        <v>#DIV/0!</v>
      </c>
      <c r="L178" s="5" t="e">
        <f t="shared" si="39"/>
        <v>#DIV/0!</v>
      </c>
      <c r="M178" s="5" t="e">
        <f t="shared" si="39"/>
        <v>#DIV/0!</v>
      </c>
      <c r="N178" s="5" t="e">
        <f t="shared" si="39"/>
        <v>#DIV/0!</v>
      </c>
      <c r="O178" s="5" t="e">
        <f t="shared" si="39"/>
        <v>#DIV/0!</v>
      </c>
      <c r="P178" s="5" t="e">
        <f t="shared" si="39"/>
        <v>#DIV/0!</v>
      </c>
      <c r="Q178" s="5" t="e">
        <f t="shared" si="39"/>
        <v>#DIV/0!</v>
      </c>
      <c r="R178" s="5" t="e">
        <f t="shared" si="39"/>
        <v>#DIV/0!</v>
      </c>
      <c r="S178" s="5" t="e">
        <f t="shared" si="39"/>
        <v>#DIV/0!</v>
      </c>
      <c r="T178" s="5" t="e">
        <f t="shared" si="39"/>
        <v>#DIV/0!</v>
      </c>
      <c r="U178" s="5" t="e">
        <f t="shared" si="39"/>
        <v>#DIV/0!</v>
      </c>
      <c r="V178" s="5" t="e">
        <f t="shared" si="39"/>
        <v>#DIV/0!</v>
      </c>
      <c r="W178" s="5" t="e">
        <f t="shared" si="39"/>
        <v>#DIV/0!</v>
      </c>
      <c r="X178" s="5" t="e">
        <f t="shared" si="39"/>
        <v>#DIV/0!</v>
      </c>
      <c r="Y178" s="5" t="e">
        <f t="shared" si="39"/>
        <v>#DIV/0!</v>
      </c>
      <c r="Z178" s="5" t="e">
        <f t="shared" si="39"/>
        <v>#DIV/0!</v>
      </c>
      <c r="AA178" s="5" t="e">
        <f t="shared" si="39"/>
        <v>#DIV/0!</v>
      </c>
      <c r="AB178" s="5" t="e">
        <f t="shared" si="39"/>
        <v>#DIV/0!</v>
      </c>
      <c r="AC178" s="5" t="e">
        <f t="shared" si="39"/>
        <v>#DIV/0!</v>
      </c>
      <c r="AD178" s="5" t="e">
        <f t="shared" si="39"/>
        <v>#DIV/0!</v>
      </c>
      <c r="AE178" s="5" t="e">
        <f t="shared" si="39"/>
        <v>#DIV/0!</v>
      </c>
      <c r="AF178" s="5" t="e">
        <f t="shared" si="39"/>
        <v>#DIV/0!</v>
      </c>
      <c r="AG178" s="5" t="e">
        <f t="shared" si="39"/>
        <v>#DIV/0!</v>
      </c>
      <c r="AH178" s="5" t="e">
        <f t="shared" si="39"/>
        <v>#DIV/0!</v>
      </c>
      <c r="AI178" s="5" t="e">
        <f t="shared" ref="AI178:BM178" si="40">AI44/$C5</f>
        <v>#DIV/0!</v>
      </c>
      <c r="AJ178" s="5" t="e">
        <f t="shared" si="40"/>
        <v>#DIV/0!</v>
      </c>
      <c r="AK178" s="5" t="e">
        <f t="shared" si="40"/>
        <v>#DIV/0!</v>
      </c>
      <c r="AL178" s="5" t="e">
        <f t="shared" si="40"/>
        <v>#DIV/0!</v>
      </c>
      <c r="AM178" s="5" t="e">
        <f t="shared" si="40"/>
        <v>#DIV/0!</v>
      </c>
      <c r="AN178" s="5" t="e">
        <f t="shared" si="40"/>
        <v>#DIV/0!</v>
      </c>
      <c r="AO178" s="5" t="e">
        <f t="shared" si="40"/>
        <v>#DIV/0!</v>
      </c>
      <c r="AP178" s="5" t="e">
        <f t="shared" si="40"/>
        <v>#DIV/0!</v>
      </c>
      <c r="AQ178" s="5" t="e">
        <f t="shared" si="40"/>
        <v>#DIV/0!</v>
      </c>
      <c r="AR178" s="5" t="e">
        <f t="shared" si="40"/>
        <v>#DIV/0!</v>
      </c>
      <c r="AS178" s="5" t="e">
        <f t="shared" si="40"/>
        <v>#DIV/0!</v>
      </c>
      <c r="AT178" s="5" t="e">
        <f t="shared" si="40"/>
        <v>#DIV/0!</v>
      </c>
      <c r="AU178" s="5" t="e">
        <f t="shared" si="40"/>
        <v>#DIV/0!</v>
      </c>
      <c r="AV178" s="5" t="e">
        <f t="shared" si="40"/>
        <v>#DIV/0!</v>
      </c>
      <c r="AW178" s="5" t="e">
        <f t="shared" si="40"/>
        <v>#DIV/0!</v>
      </c>
      <c r="AX178" s="5" t="e">
        <f t="shared" si="40"/>
        <v>#DIV/0!</v>
      </c>
      <c r="AY178" s="5" t="e">
        <f t="shared" si="40"/>
        <v>#DIV/0!</v>
      </c>
      <c r="AZ178" s="5" t="e">
        <f t="shared" si="40"/>
        <v>#DIV/0!</v>
      </c>
      <c r="BA178" s="5" t="e">
        <f t="shared" si="40"/>
        <v>#DIV/0!</v>
      </c>
      <c r="BB178" s="5" t="e">
        <f t="shared" si="40"/>
        <v>#DIV/0!</v>
      </c>
      <c r="BC178" s="5" t="e">
        <f t="shared" si="40"/>
        <v>#DIV/0!</v>
      </c>
      <c r="BD178" s="5" t="e">
        <f t="shared" si="40"/>
        <v>#DIV/0!</v>
      </c>
      <c r="BE178" s="5" t="e">
        <f t="shared" si="40"/>
        <v>#DIV/0!</v>
      </c>
      <c r="BF178" s="5" t="e">
        <f t="shared" si="40"/>
        <v>#DIV/0!</v>
      </c>
      <c r="BG178" s="5" t="e">
        <f t="shared" si="40"/>
        <v>#DIV/0!</v>
      </c>
      <c r="BH178" s="5" t="e">
        <f t="shared" si="40"/>
        <v>#DIV/0!</v>
      </c>
      <c r="BI178" s="5" t="e">
        <f t="shared" si="40"/>
        <v>#DIV/0!</v>
      </c>
      <c r="BJ178" s="5" t="e">
        <f t="shared" si="40"/>
        <v>#DIV/0!</v>
      </c>
      <c r="BK178" s="5" t="e">
        <f t="shared" si="40"/>
        <v>#DIV/0!</v>
      </c>
      <c r="BL178" s="5" t="e">
        <f t="shared" si="40"/>
        <v>#DIV/0!</v>
      </c>
      <c r="BM178" s="5" t="e">
        <f t="shared" si="40"/>
        <v>#DIV/0!</v>
      </c>
    </row>
    <row r="179" spans="2:65" x14ac:dyDescent="0.25">
      <c r="B179" t="s">
        <v>3</v>
      </c>
      <c r="C179" s="5" t="e">
        <f t="shared" ref="C179:AH179" si="41">C63/$C5</f>
        <v>#DIV/0!</v>
      </c>
      <c r="D179" s="5" t="e">
        <f t="shared" si="41"/>
        <v>#DIV/0!</v>
      </c>
      <c r="E179" s="5" t="e">
        <f t="shared" si="41"/>
        <v>#DIV/0!</v>
      </c>
      <c r="F179" s="5" t="e">
        <f t="shared" si="41"/>
        <v>#DIV/0!</v>
      </c>
      <c r="G179" s="5" t="e">
        <f t="shared" si="41"/>
        <v>#DIV/0!</v>
      </c>
      <c r="H179" s="5" t="e">
        <f t="shared" si="41"/>
        <v>#DIV/0!</v>
      </c>
      <c r="I179" s="5" t="e">
        <f t="shared" si="41"/>
        <v>#DIV/0!</v>
      </c>
      <c r="J179" s="5" t="e">
        <f t="shared" si="41"/>
        <v>#DIV/0!</v>
      </c>
      <c r="K179" s="5" t="e">
        <f t="shared" si="41"/>
        <v>#DIV/0!</v>
      </c>
      <c r="L179" s="5" t="e">
        <f t="shared" si="41"/>
        <v>#DIV/0!</v>
      </c>
      <c r="M179" s="5" t="e">
        <f t="shared" si="41"/>
        <v>#DIV/0!</v>
      </c>
      <c r="N179" s="5" t="e">
        <f t="shared" si="41"/>
        <v>#DIV/0!</v>
      </c>
      <c r="O179" s="5" t="e">
        <f t="shared" si="41"/>
        <v>#DIV/0!</v>
      </c>
      <c r="P179" s="5" t="e">
        <f t="shared" si="41"/>
        <v>#DIV/0!</v>
      </c>
      <c r="Q179" s="5" t="e">
        <f t="shared" si="41"/>
        <v>#DIV/0!</v>
      </c>
      <c r="R179" s="5" t="e">
        <f t="shared" si="41"/>
        <v>#DIV/0!</v>
      </c>
      <c r="S179" s="5" t="e">
        <f t="shared" si="41"/>
        <v>#DIV/0!</v>
      </c>
      <c r="T179" s="5" t="e">
        <f t="shared" si="41"/>
        <v>#DIV/0!</v>
      </c>
      <c r="U179" s="5" t="e">
        <f t="shared" si="41"/>
        <v>#DIV/0!</v>
      </c>
      <c r="V179" s="5" t="e">
        <f t="shared" si="41"/>
        <v>#DIV/0!</v>
      </c>
      <c r="W179" s="5" t="e">
        <f t="shared" si="41"/>
        <v>#DIV/0!</v>
      </c>
      <c r="X179" s="5" t="e">
        <f t="shared" si="41"/>
        <v>#DIV/0!</v>
      </c>
      <c r="Y179" s="5" t="e">
        <f t="shared" si="41"/>
        <v>#DIV/0!</v>
      </c>
      <c r="Z179" s="5" t="e">
        <f t="shared" si="41"/>
        <v>#DIV/0!</v>
      </c>
      <c r="AA179" s="5" t="e">
        <f t="shared" si="41"/>
        <v>#DIV/0!</v>
      </c>
      <c r="AB179" s="5" t="e">
        <f t="shared" si="41"/>
        <v>#DIV/0!</v>
      </c>
      <c r="AC179" s="5" t="e">
        <f t="shared" si="41"/>
        <v>#DIV/0!</v>
      </c>
      <c r="AD179" s="5" t="e">
        <f t="shared" si="41"/>
        <v>#DIV/0!</v>
      </c>
      <c r="AE179" s="5" t="e">
        <f t="shared" si="41"/>
        <v>#DIV/0!</v>
      </c>
      <c r="AF179" s="5" t="e">
        <f t="shared" si="41"/>
        <v>#DIV/0!</v>
      </c>
      <c r="AG179" s="5" t="e">
        <f t="shared" si="41"/>
        <v>#DIV/0!</v>
      </c>
      <c r="AH179" s="5" t="e">
        <f t="shared" si="41"/>
        <v>#DIV/0!</v>
      </c>
      <c r="AI179" s="5" t="e">
        <f t="shared" ref="AI179:BM179" si="42">AI63/$C5</f>
        <v>#DIV/0!</v>
      </c>
      <c r="AJ179" s="5" t="e">
        <f t="shared" si="42"/>
        <v>#DIV/0!</v>
      </c>
      <c r="AK179" s="5" t="e">
        <f t="shared" si="42"/>
        <v>#DIV/0!</v>
      </c>
      <c r="AL179" s="5" t="e">
        <f t="shared" si="42"/>
        <v>#DIV/0!</v>
      </c>
      <c r="AM179" s="5" t="e">
        <f t="shared" si="42"/>
        <v>#DIV/0!</v>
      </c>
      <c r="AN179" s="5" t="e">
        <f t="shared" si="42"/>
        <v>#DIV/0!</v>
      </c>
      <c r="AO179" s="5" t="e">
        <f t="shared" si="42"/>
        <v>#DIV/0!</v>
      </c>
      <c r="AP179" s="5" t="e">
        <f t="shared" si="42"/>
        <v>#DIV/0!</v>
      </c>
      <c r="AQ179" s="5" t="e">
        <f t="shared" si="42"/>
        <v>#DIV/0!</v>
      </c>
      <c r="AR179" s="5" t="e">
        <f t="shared" si="42"/>
        <v>#DIV/0!</v>
      </c>
      <c r="AS179" s="5" t="e">
        <f t="shared" si="42"/>
        <v>#DIV/0!</v>
      </c>
      <c r="AT179" s="5" t="e">
        <f t="shared" si="42"/>
        <v>#DIV/0!</v>
      </c>
      <c r="AU179" s="5" t="e">
        <f t="shared" si="42"/>
        <v>#DIV/0!</v>
      </c>
      <c r="AV179" s="5" t="e">
        <f t="shared" si="42"/>
        <v>#DIV/0!</v>
      </c>
      <c r="AW179" s="5" t="e">
        <f t="shared" si="42"/>
        <v>#DIV/0!</v>
      </c>
      <c r="AX179" s="5" t="e">
        <f t="shared" si="42"/>
        <v>#DIV/0!</v>
      </c>
      <c r="AY179" s="5" t="e">
        <f t="shared" si="42"/>
        <v>#DIV/0!</v>
      </c>
      <c r="AZ179" s="5" t="e">
        <f t="shared" si="42"/>
        <v>#DIV/0!</v>
      </c>
      <c r="BA179" s="5" t="e">
        <f t="shared" si="42"/>
        <v>#DIV/0!</v>
      </c>
      <c r="BB179" s="5" t="e">
        <f t="shared" si="42"/>
        <v>#DIV/0!</v>
      </c>
      <c r="BC179" s="5" t="e">
        <f t="shared" si="42"/>
        <v>#DIV/0!</v>
      </c>
      <c r="BD179" s="5" t="e">
        <f t="shared" si="42"/>
        <v>#DIV/0!</v>
      </c>
      <c r="BE179" s="5" t="e">
        <f t="shared" si="42"/>
        <v>#DIV/0!</v>
      </c>
      <c r="BF179" s="5" t="e">
        <f t="shared" si="42"/>
        <v>#DIV/0!</v>
      </c>
      <c r="BG179" s="5" t="e">
        <f t="shared" si="42"/>
        <v>#DIV/0!</v>
      </c>
      <c r="BH179" s="5" t="e">
        <f t="shared" si="42"/>
        <v>#DIV/0!</v>
      </c>
      <c r="BI179" s="5" t="e">
        <f t="shared" si="42"/>
        <v>#DIV/0!</v>
      </c>
      <c r="BJ179" s="5" t="e">
        <f t="shared" si="42"/>
        <v>#DIV/0!</v>
      </c>
      <c r="BK179" s="5" t="e">
        <f t="shared" si="42"/>
        <v>#DIV/0!</v>
      </c>
      <c r="BL179" s="5" t="e">
        <f t="shared" si="42"/>
        <v>#DIV/0!</v>
      </c>
      <c r="BM179" s="5" t="e">
        <f t="shared" si="42"/>
        <v>#DIV/0!</v>
      </c>
    </row>
    <row r="180" spans="2:65" x14ac:dyDescent="0.25">
      <c r="B180" t="s">
        <v>4</v>
      </c>
      <c r="C180" s="5" t="e">
        <f t="shared" ref="C180:AH180" si="43">C82/$C5</f>
        <v>#DIV/0!</v>
      </c>
      <c r="D180" s="5" t="e">
        <f t="shared" si="43"/>
        <v>#DIV/0!</v>
      </c>
      <c r="E180" s="5" t="e">
        <f t="shared" si="43"/>
        <v>#DIV/0!</v>
      </c>
      <c r="F180" s="5" t="e">
        <f t="shared" si="43"/>
        <v>#DIV/0!</v>
      </c>
      <c r="G180" s="5" t="e">
        <f t="shared" si="43"/>
        <v>#DIV/0!</v>
      </c>
      <c r="H180" s="5" t="e">
        <f t="shared" si="43"/>
        <v>#DIV/0!</v>
      </c>
      <c r="I180" s="5" t="e">
        <f t="shared" si="43"/>
        <v>#DIV/0!</v>
      </c>
      <c r="J180" s="5" t="e">
        <f t="shared" si="43"/>
        <v>#DIV/0!</v>
      </c>
      <c r="K180" s="5" t="e">
        <f t="shared" si="43"/>
        <v>#DIV/0!</v>
      </c>
      <c r="L180" s="5" t="e">
        <f t="shared" si="43"/>
        <v>#DIV/0!</v>
      </c>
      <c r="M180" s="5" t="e">
        <f t="shared" si="43"/>
        <v>#DIV/0!</v>
      </c>
      <c r="N180" s="5" t="e">
        <f t="shared" si="43"/>
        <v>#DIV/0!</v>
      </c>
      <c r="O180" s="5" t="e">
        <f t="shared" si="43"/>
        <v>#DIV/0!</v>
      </c>
      <c r="P180" s="5" t="e">
        <f t="shared" si="43"/>
        <v>#DIV/0!</v>
      </c>
      <c r="Q180" s="5" t="e">
        <f t="shared" si="43"/>
        <v>#DIV/0!</v>
      </c>
      <c r="R180" s="5" t="e">
        <f t="shared" si="43"/>
        <v>#DIV/0!</v>
      </c>
      <c r="S180" s="5" t="e">
        <f t="shared" si="43"/>
        <v>#DIV/0!</v>
      </c>
      <c r="T180" s="5" t="e">
        <f t="shared" si="43"/>
        <v>#DIV/0!</v>
      </c>
      <c r="U180" s="5" t="e">
        <f t="shared" si="43"/>
        <v>#DIV/0!</v>
      </c>
      <c r="V180" s="5" t="e">
        <f t="shared" si="43"/>
        <v>#DIV/0!</v>
      </c>
      <c r="W180" s="5" t="e">
        <f t="shared" si="43"/>
        <v>#DIV/0!</v>
      </c>
      <c r="X180" s="5" t="e">
        <f t="shared" si="43"/>
        <v>#DIV/0!</v>
      </c>
      <c r="Y180" s="5" t="e">
        <f t="shared" si="43"/>
        <v>#DIV/0!</v>
      </c>
      <c r="Z180" s="5" t="e">
        <f t="shared" si="43"/>
        <v>#DIV/0!</v>
      </c>
      <c r="AA180" s="5" t="e">
        <f t="shared" si="43"/>
        <v>#DIV/0!</v>
      </c>
      <c r="AB180" s="5" t="e">
        <f t="shared" si="43"/>
        <v>#DIV/0!</v>
      </c>
      <c r="AC180" s="5" t="e">
        <f t="shared" si="43"/>
        <v>#DIV/0!</v>
      </c>
      <c r="AD180" s="5" t="e">
        <f t="shared" si="43"/>
        <v>#DIV/0!</v>
      </c>
      <c r="AE180" s="5" t="e">
        <f t="shared" si="43"/>
        <v>#DIV/0!</v>
      </c>
      <c r="AF180" s="5" t="e">
        <f t="shared" si="43"/>
        <v>#DIV/0!</v>
      </c>
      <c r="AG180" s="5" t="e">
        <f t="shared" si="43"/>
        <v>#DIV/0!</v>
      </c>
      <c r="AH180" s="5" t="e">
        <f t="shared" si="43"/>
        <v>#DIV/0!</v>
      </c>
      <c r="AI180" s="5" t="e">
        <f t="shared" ref="AI180:BM180" si="44">AI82/$C5</f>
        <v>#DIV/0!</v>
      </c>
      <c r="AJ180" s="5" t="e">
        <f t="shared" si="44"/>
        <v>#DIV/0!</v>
      </c>
      <c r="AK180" s="5" t="e">
        <f t="shared" si="44"/>
        <v>#DIV/0!</v>
      </c>
      <c r="AL180" s="5" t="e">
        <f t="shared" si="44"/>
        <v>#DIV/0!</v>
      </c>
      <c r="AM180" s="5" t="e">
        <f t="shared" si="44"/>
        <v>#DIV/0!</v>
      </c>
      <c r="AN180" s="5" t="e">
        <f t="shared" si="44"/>
        <v>#DIV/0!</v>
      </c>
      <c r="AO180" s="5" t="e">
        <f t="shared" si="44"/>
        <v>#DIV/0!</v>
      </c>
      <c r="AP180" s="5" t="e">
        <f t="shared" si="44"/>
        <v>#DIV/0!</v>
      </c>
      <c r="AQ180" s="5" t="e">
        <f t="shared" si="44"/>
        <v>#DIV/0!</v>
      </c>
      <c r="AR180" s="5" t="e">
        <f t="shared" si="44"/>
        <v>#DIV/0!</v>
      </c>
      <c r="AS180" s="5" t="e">
        <f t="shared" si="44"/>
        <v>#DIV/0!</v>
      </c>
      <c r="AT180" s="5" t="e">
        <f t="shared" si="44"/>
        <v>#DIV/0!</v>
      </c>
      <c r="AU180" s="5" t="e">
        <f t="shared" si="44"/>
        <v>#DIV/0!</v>
      </c>
      <c r="AV180" s="5" t="e">
        <f t="shared" si="44"/>
        <v>#DIV/0!</v>
      </c>
      <c r="AW180" s="5" t="e">
        <f t="shared" si="44"/>
        <v>#DIV/0!</v>
      </c>
      <c r="AX180" s="5" t="e">
        <f t="shared" si="44"/>
        <v>#DIV/0!</v>
      </c>
      <c r="AY180" s="5" t="e">
        <f t="shared" si="44"/>
        <v>#DIV/0!</v>
      </c>
      <c r="AZ180" s="5" t="e">
        <f t="shared" si="44"/>
        <v>#DIV/0!</v>
      </c>
      <c r="BA180" s="5" t="e">
        <f t="shared" si="44"/>
        <v>#DIV/0!</v>
      </c>
      <c r="BB180" s="5" t="e">
        <f t="shared" si="44"/>
        <v>#DIV/0!</v>
      </c>
      <c r="BC180" s="5" t="e">
        <f t="shared" si="44"/>
        <v>#DIV/0!</v>
      </c>
      <c r="BD180" s="5" t="e">
        <f t="shared" si="44"/>
        <v>#DIV/0!</v>
      </c>
      <c r="BE180" s="5" t="e">
        <f t="shared" si="44"/>
        <v>#DIV/0!</v>
      </c>
      <c r="BF180" s="5" t="e">
        <f t="shared" si="44"/>
        <v>#DIV/0!</v>
      </c>
      <c r="BG180" s="5" t="e">
        <f t="shared" si="44"/>
        <v>#DIV/0!</v>
      </c>
      <c r="BH180" s="5" t="e">
        <f t="shared" si="44"/>
        <v>#DIV/0!</v>
      </c>
      <c r="BI180" s="5" t="e">
        <f t="shared" si="44"/>
        <v>#DIV/0!</v>
      </c>
      <c r="BJ180" s="5" t="e">
        <f t="shared" si="44"/>
        <v>#DIV/0!</v>
      </c>
      <c r="BK180" s="5" t="e">
        <f t="shared" si="44"/>
        <v>#DIV/0!</v>
      </c>
      <c r="BL180" s="5" t="e">
        <f t="shared" si="44"/>
        <v>#DIV/0!</v>
      </c>
      <c r="BM180" s="5" t="e">
        <f t="shared" si="44"/>
        <v>#DIV/0!</v>
      </c>
    </row>
    <row r="181" spans="2:65" x14ac:dyDescent="0.25">
      <c r="B181" t="s">
        <v>5</v>
      </c>
      <c r="C181" s="5" t="e">
        <f t="shared" ref="C181:AH181" si="45">C101/$C5</f>
        <v>#DIV/0!</v>
      </c>
      <c r="D181" s="5" t="e">
        <f t="shared" si="45"/>
        <v>#DIV/0!</v>
      </c>
      <c r="E181" s="5" t="e">
        <f t="shared" si="45"/>
        <v>#DIV/0!</v>
      </c>
      <c r="F181" s="5" t="e">
        <f t="shared" si="45"/>
        <v>#DIV/0!</v>
      </c>
      <c r="G181" s="5" t="e">
        <f t="shared" si="45"/>
        <v>#DIV/0!</v>
      </c>
      <c r="H181" s="5" t="e">
        <f t="shared" si="45"/>
        <v>#DIV/0!</v>
      </c>
      <c r="I181" s="5" t="e">
        <f t="shared" si="45"/>
        <v>#DIV/0!</v>
      </c>
      <c r="J181" s="5" t="e">
        <f t="shared" si="45"/>
        <v>#DIV/0!</v>
      </c>
      <c r="K181" s="5" t="e">
        <f t="shared" si="45"/>
        <v>#DIV/0!</v>
      </c>
      <c r="L181" s="5" t="e">
        <f t="shared" si="45"/>
        <v>#DIV/0!</v>
      </c>
      <c r="M181" s="5" t="e">
        <f t="shared" si="45"/>
        <v>#DIV/0!</v>
      </c>
      <c r="N181" s="5" t="e">
        <f t="shared" si="45"/>
        <v>#DIV/0!</v>
      </c>
      <c r="O181" s="5" t="e">
        <f t="shared" si="45"/>
        <v>#DIV/0!</v>
      </c>
      <c r="P181" s="5" t="e">
        <f t="shared" si="45"/>
        <v>#DIV/0!</v>
      </c>
      <c r="Q181" s="5" t="e">
        <f t="shared" si="45"/>
        <v>#DIV/0!</v>
      </c>
      <c r="R181" s="5" t="e">
        <f t="shared" si="45"/>
        <v>#DIV/0!</v>
      </c>
      <c r="S181" s="5" t="e">
        <f t="shared" si="45"/>
        <v>#DIV/0!</v>
      </c>
      <c r="T181" s="5" t="e">
        <f t="shared" si="45"/>
        <v>#DIV/0!</v>
      </c>
      <c r="U181" s="5" t="e">
        <f t="shared" si="45"/>
        <v>#DIV/0!</v>
      </c>
      <c r="V181" s="5" t="e">
        <f t="shared" si="45"/>
        <v>#DIV/0!</v>
      </c>
      <c r="W181" s="5" t="e">
        <f t="shared" si="45"/>
        <v>#DIV/0!</v>
      </c>
      <c r="X181" s="5" t="e">
        <f t="shared" si="45"/>
        <v>#DIV/0!</v>
      </c>
      <c r="Y181" s="5" t="e">
        <f t="shared" si="45"/>
        <v>#DIV/0!</v>
      </c>
      <c r="Z181" s="5" t="e">
        <f t="shared" si="45"/>
        <v>#DIV/0!</v>
      </c>
      <c r="AA181" s="5" t="e">
        <f t="shared" si="45"/>
        <v>#DIV/0!</v>
      </c>
      <c r="AB181" s="5" t="e">
        <f t="shared" si="45"/>
        <v>#DIV/0!</v>
      </c>
      <c r="AC181" s="5" t="e">
        <f t="shared" si="45"/>
        <v>#DIV/0!</v>
      </c>
      <c r="AD181" s="5" t="e">
        <f t="shared" si="45"/>
        <v>#DIV/0!</v>
      </c>
      <c r="AE181" s="5" t="e">
        <f t="shared" si="45"/>
        <v>#DIV/0!</v>
      </c>
      <c r="AF181" s="5" t="e">
        <f t="shared" si="45"/>
        <v>#DIV/0!</v>
      </c>
      <c r="AG181" s="5" t="e">
        <f t="shared" si="45"/>
        <v>#DIV/0!</v>
      </c>
      <c r="AH181" s="5" t="e">
        <f t="shared" si="45"/>
        <v>#DIV/0!</v>
      </c>
      <c r="AI181" s="5" t="e">
        <f t="shared" ref="AI181:BM181" si="46">AI101/$C5</f>
        <v>#DIV/0!</v>
      </c>
      <c r="AJ181" s="5" t="e">
        <f t="shared" si="46"/>
        <v>#DIV/0!</v>
      </c>
      <c r="AK181" s="5" t="e">
        <f t="shared" si="46"/>
        <v>#DIV/0!</v>
      </c>
      <c r="AL181" s="5" t="e">
        <f t="shared" si="46"/>
        <v>#DIV/0!</v>
      </c>
      <c r="AM181" s="5" t="e">
        <f t="shared" si="46"/>
        <v>#DIV/0!</v>
      </c>
      <c r="AN181" s="5" t="e">
        <f t="shared" si="46"/>
        <v>#DIV/0!</v>
      </c>
      <c r="AO181" s="5" t="e">
        <f t="shared" si="46"/>
        <v>#DIV/0!</v>
      </c>
      <c r="AP181" s="5" t="e">
        <f t="shared" si="46"/>
        <v>#DIV/0!</v>
      </c>
      <c r="AQ181" s="5" t="e">
        <f t="shared" si="46"/>
        <v>#DIV/0!</v>
      </c>
      <c r="AR181" s="5" t="e">
        <f t="shared" si="46"/>
        <v>#DIV/0!</v>
      </c>
      <c r="AS181" s="5" t="e">
        <f t="shared" si="46"/>
        <v>#DIV/0!</v>
      </c>
      <c r="AT181" s="5" t="e">
        <f t="shared" si="46"/>
        <v>#DIV/0!</v>
      </c>
      <c r="AU181" s="5" t="e">
        <f t="shared" si="46"/>
        <v>#DIV/0!</v>
      </c>
      <c r="AV181" s="5" t="e">
        <f t="shared" si="46"/>
        <v>#DIV/0!</v>
      </c>
      <c r="AW181" s="5" t="e">
        <f t="shared" si="46"/>
        <v>#DIV/0!</v>
      </c>
      <c r="AX181" s="5" t="e">
        <f t="shared" si="46"/>
        <v>#DIV/0!</v>
      </c>
      <c r="AY181" s="5" t="e">
        <f t="shared" si="46"/>
        <v>#DIV/0!</v>
      </c>
      <c r="AZ181" s="5" t="e">
        <f t="shared" si="46"/>
        <v>#DIV/0!</v>
      </c>
      <c r="BA181" s="5" t="e">
        <f t="shared" si="46"/>
        <v>#DIV/0!</v>
      </c>
      <c r="BB181" s="5" t="e">
        <f t="shared" si="46"/>
        <v>#DIV/0!</v>
      </c>
      <c r="BC181" s="5" t="e">
        <f t="shared" si="46"/>
        <v>#DIV/0!</v>
      </c>
      <c r="BD181" s="5" t="e">
        <f t="shared" si="46"/>
        <v>#DIV/0!</v>
      </c>
      <c r="BE181" s="5" t="e">
        <f t="shared" si="46"/>
        <v>#DIV/0!</v>
      </c>
      <c r="BF181" s="5" t="e">
        <f t="shared" si="46"/>
        <v>#DIV/0!</v>
      </c>
      <c r="BG181" s="5" t="e">
        <f t="shared" si="46"/>
        <v>#DIV/0!</v>
      </c>
      <c r="BH181" s="5" t="e">
        <f t="shared" si="46"/>
        <v>#DIV/0!</v>
      </c>
      <c r="BI181" s="5" t="e">
        <f t="shared" si="46"/>
        <v>#DIV/0!</v>
      </c>
      <c r="BJ181" s="5" t="e">
        <f t="shared" si="46"/>
        <v>#DIV/0!</v>
      </c>
      <c r="BK181" s="5" t="e">
        <f t="shared" si="46"/>
        <v>#DIV/0!</v>
      </c>
      <c r="BL181" s="5" t="e">
        <f t="shared" si="46"/>
        <v>#DIV/0!</v>
      </c>
      <c r="BM181" s="5" t="e">
        <f t="shared" si="46"/>
        <v>#DIV/0!</v>
      </c>
    </row>
    <row r="182" spans="2:65" x14ac:dyDescent="0.25">
      <c r="B182" t="s">
        <v>6</v>
      </c>
      <c r="C182" s="5" t="e">
        <f t="shared" ref="C182:AH182" si="47">C120/$C5</f>
        <v>#DIV/0!</v>
      </c>
      <c r="D182" s="5" t="e">
        <f t="shared" si="47"/>
        <v>#DIV/0!</v>
      </c>
      <c r="E182" s="5" t="e">
        <f t="shared" si="47"/>
        <v>#DIV/0!</v>
      </c>
      <c r="F182" s="5" t="e">
        <f t="shared" si="47"/>
        <v>#DIV/0!</v>
      </c>
      <c r="G182" s="5" t="e">
        <f t="shared" si="47"/>
        <v>#DIV/0!</v>
      </c>
      <c r="H182" s="5" t="e">
        <f t="shared" si="47"/>
        <v>#DIV/0!</v>
      </c>
      <c r="I182" s="5" t="e">
        <f t="shared" si="47"/>
        <v>#DIV/0!</v>
      </c>
      <c r="J182" s="5" t="e">
        <f t="shared" si="47"/>
        <v>#DIV/0!</v>
      </c>
      <c r="K182" s="5" t="e">
        <f t="shared" si="47"/>
        <v>#DIV/0!</v>
      </c>
      <c r="L182" s="5" t="e">
        <f t="shared" si="47"/>
        <v>#DIV/0!</v>
      </c>
      <c r="M182" s="5" t="e">
        <f t="shared" si="47"/>
        <v>#DIV/0!</v>
      </c>
      <c r="N182" s="5" t="e">
        <f t="shared" si="47"/>
        <v>#DIV/0!</v>
      </c>
      <c r="O182" s="5" t="e">
        <f t="shared" si="47"/>
        <v>#DIV/0!</v>
      </c>
      <c r="P182" s="5" t="e">
        <f t="shared" si="47"/>
        <v>#DIV/0!</v>
      </c>
      <c r="Q182" s="5" t="e">
        <f t="shared" si="47"/>
        <v>#DIV/0!</v>
      </c>
      <c r="R182" s="5" t="e">
        <f t="shared" si="47"/>
        <v>#DIV/0!</v>
      </c>
      <c r="S182" s="5" t="e">
        <f t="shared" si="47"/>
        <v>#DIV/0!</v>
      </c>
      <c r="T182" s="5" t="e">
        <f t="shared" si="47"/>
        <v>#DIV/0!</v>
      </c>
      <c r="U182" s="5" t="e">
        <f t="shared" si="47"/>
        <v>#DIV/0!</v>
      </c>
      <c r="V182" s="5" t="e">
        <f t="shared" si="47"/>
        <v>#DIV/0!</v>
      </c>
      <c r="W182" s="5" t="e">
        <f t="shared" si="47"/>
        <v>#DIV/0!</v>
      </c>
      <c r="X182" s="5" t="e">
        <f t="shared" si="47"/>
        <v>#DIV/0!</v>
      </c>
      <c r="Y182" s="5" t="e">
        <f t="shared" si="47"/>
        <v>#DIV/0!</v>
      </c>
      <c r="Z182" s="5" t="e">
        <f t="shared" si="47"/>
        <v>#DIV/0!</v>
      </c>
      <c r="AA182" s="5" t="e">
        <f t="shared" si="47"/>
        <v>#DIV/0!</v>
      </c>
      <c r="AB182" s="5" t="e">
        <f t="shared" si="47"/>
        <v>#DIV/0!</v>
      </c>
      <c r="AC182" s="5" t="e">
        <f t="shared" si="47"/>
        <v>#DIV/0!</v>
      </c>
      <c r="AD182" s="5" t="e">
        <f t="shared" si="47"/>
        <v>#DIV/0!</v>
      </c>
      <c r="AE182" s="5" t="e">
        <f t="shared" si="47"/>
        <v>#DIV/0!</v>
      </c>
      <c r="AF182" s="5" t="e">
        <f t="shared" si="47"/>
        <v>#DIV/0!</v>
      </c>
      <c r="AG182" s="5" t="e">
        <f t="shared" si="47"/>
        <v>#DIV/0!</v>
      </c>
      <c r="AH182" s="5" t="e">
        <f t="shared" si="47"/>
        <v>#DIV/0!</v>
      </c>
      <c r="AI182" s="5" t="e">
        <f t="shared" ref="AI182:BM182" si="48">AI120/$C5</f>
        <v>#DIV/0!</v>
      </c>
      <c r="AJ182" s="5" t="e">
        <f t="shared" si="48"/>
        <v>#DIV/0!</v>
      </c>
      <c r="AK182" s="5" t="e">
        <f t="shared" si="48"/>
        <v>#DIV/0!</v>
      </c>
      <c r="AL182" s="5" t="e">
        <f t="shared" si="48"/>
        <v>#DIV/0!</v>
      </c>
      <c r="AM182" s="5" t="e">
        <f t="shared" si="48"/>
        <v>#DIV/0!</v>
      </c>
      <c r="AN182" s="5" t="e">
        <f t="shared" si="48"/>
        <v>#DIV/0!</v>
      </c>
      <c r="AO182" s="5" t="e">
        <f t="shared" si="48"/>
        <v>#DIV/0!</v>
      </c>
      <c r="AP182" s="5" t="e">
        <f t="shared" si="48"/>
        <v>#DIV/0!</v>
      </c>
      <c r="AQ182" s="5" t="e">
        <f t="shared" si="48"/>
        <v>#DIV/0!</v>
      </c>
      <c r="AR182" s="5" t="e">
        <f t="shared" si="48"/>
        <v>#DIV/0!</v>
      </c>
      <c r="AS182" s="5" t="e">
        <f t="shared" si="48"/>
        <v>#DIV/0!</v>
      </c>
      <c r="AT182" s="5" t="e">
        <f t="shared" si="48"/>
        <v>#DIV/0!</v>
      </c>
      <c r="AU182" s="5" t="e">
        <f t="shared" si="48"/>
        <v>#DIV/0!</v>
      </c>
      <c r="AV182" s="5" t="e">
        <f t="shared" si="48"/>
        <v>#DIV/0!</v>
      </c>
      <c r="AW182" s="5" t="e">
        <f t="shared" si="48"/>
        <v>#DIV/0!</v>
      </c>
      <c r="AX182" s="5" t="e">
        <f t="shared" si="48"/>
        <v>#DIV/0!</v>
      </c>
      <c r="AY182" s="5" t="e">
        <f t="shared" si="48"/>
        <v>#DIV/0!</v>
      </c>
      <c r="AZ182" s="5" t="e">
        <f t="shared" si="48"/>
        <v>#DIV/0!</v>
      </c>
      <c r="BA182" s="5" t="e">
        <f t="shared" si="48"/>
        <v>#DIV/0!</v>
      </c>
      <c r="BB182" s="5" t="e">
        <f t="shared" si="48"/>
        <v>#DIV/0!</v>
      </c>
      <c r="BC182" s="5" t="e">
        <f t="shared" si="48"/>
        <v>#DIV/0!</v>
      </c>
      <c r="BD182" s="5" t="e">
        <f t="shared" si="48"/>
        <v>#DIV/0!</v>
      </c>
      <c r="BE182" s="5" t="e">
        <f t="shared" si="48"/>
        <v>#DIV/0!</v>
      </c>
      <c r="BF182" s="5" t="e">
        <f t="shared" si="48"/>
        <v>#DIV/0!</v>
      </c>
      <c r="BG182" s="5" t="e">
        <f t="shared" si="48"/>
        <v>#DIV/0!</v>
      </c>
      <c r="BH182" s="5" t="e">
        <f t="shared" si="48"/>
        <v>#DIV/0!</v>
      </c>
      <c r="BI182" s="5" t="e">
        <f t="shared" si="48"/>
        <v>#DIV/0!</v>
      </c>
      <c r="BJ182" s="5" t="e">
        <f t="shared" si="48"/>
        <v>#DIV/0!</v>
      </c>
      <c r="BK182" s="5" t="e">
        <f t="shared" si="48"/>
        <v>#DIV/0!</v>
      </c>
      <c r="BL182" s="5" t="e">
        <f t="shared" si="48"/>
        <v>#DIV/0!</v>
      </c>
      <c r="BM182" s="5" t="e">
        <f t="shared" si="48"/>
        <v>#DIV/0!</v>
      </c>
    </row>
    <row r="183" spans="2:65" x14ac:dyDescent="0.25">
      <c r="B183" t="s">
        <v>7</v>
      </c>
      <c r="C183" s="5" t="e">
        <f t="shared" ref="C183:AH183" si="49">C139/$C5</f>
        <v>#DIV/0!</v>
      </c>
      <c r="D183" s="5" t="e">
        <f t="shared" si="49"/>
        <v>#DIV/0!</v>
      </c>
      <c r="E183" s="5" t="e">
        <f t="shared" si="49"/>
        <v>#DIV/0!</v>
      </c>
      <c r="F183" s="5" t="e">
        <f t="shared" si="49"/>
        <v>#DIV/0!</v>
      </c>
      <c r="G183" s="5" t="e">
        <f t="shared" si="49"/>
        <v>#DIV/0!</v>
      </c>
      <c r="H183" s="5" t="e">
        <f t="shared" si="49"/>
        <v>#DIV/0!</v>
      </c>
      <c r="I183" s="5" t="e">
        <f t="shared" si="49"/>
        <v>#DIV/0!</v>
      </c>
      <c r="J183" s="5" t="e">
        <f t="shared" si="49"/>
        <v>#DIV/0!</v>
      </c>
      <c r="K183" s="5" t="e">
        <f t="shared" si="49"/>
        <v>#DIV/0!</v>
      </c>
      <c r="L183" s="5" t="e">
        <f t="shared" si="49"/>
        <v>#DIV/0!</v>
      </c>
      <c r="M183" s="5" t="e">
        <f t="shared" si="49"/>
        <v>#DIV/0!</v>
      </c>
      <c r="N183" s="5" t="e">
        <f t="shared" si="49"/>
        <v>#DIV/0!</v>
      </c>
      <c r="O183" s="5" t="e">
        <f t="shared" si="49"/>
        <v>#DIV/0!</v>
      </c>
      <c r="P183" s="5" t="e">
        <f t="shared" si="49"/>
        <v>#DIV/0!</v>
      </c>
      <c r="Q183" s="5" t="e">
        <f t="shared" si="49"/>
        <v>#DIV/0!</v>
      </c>
      <c r="R183" s="5" t="e">
        <f t="shared" si="49"/>
        <v>#DIV/0!</v>
      </c>
      <c r="S183" s="5" t="e">
        <f t="shared" si="49"/>
        <v>#DIV/0!</v>
      </c>
      <c r="T183" s="5" t="e">
        <f t="shared" si="49"/>
        <v>#DIV/0!</v>
      </c>
      <c r="U183" s="5" t="e">
        <f t="shared" si="49"/>
        <v>#DIV/0!</v>
      </c>
      <c r="V183" s="5" t="e">
        <f t="shared" si="49"/>
        <v>#DIV/0!</v>
      </c>
      <c r="W183" s="5" t="e">
        <f t="shared" si="49"/>
        <v>#DIV/0!</v>
      </c>
      <c r="X183" s="5" t="e">
        <f t="shared" si="49"/>
        <v>#DIV/0!</v>
      </c>
      <c r="Y183" s="5" t="e">
        <f t="shared" si="49"/>
        <v>#DIV/0!</v>
      </c>
      <c r="Z183" s="5" t="e">
        <f t="shared" si="49"/>
        <v>#DIV/0!</v>
      </c>
      <c r="AA183" s="5" t="e">
        <f t="shared" si="49"/>
        <v>#DIV/0!</v>
      </c>
      <c r="AB183" s="5" t="e">
        <f t="shared" si="49"/>
        <v>#DIV/0!</v>
      </c>
      <c r="AC183" s="5" t="e">
        <f t="shared" si="49"/>
        <v>#DIV/0!</v>
      </c>
      <c r="AD183" s="5" t="e">
        <f t="shared" si="49"/>
        <v>#DIV/0!</v>
      </c>
      <c r="AE183" s="5" t="e">
        <f t="shared" si="49"/>
        <v>#DIV/0!</v>
      </c>
      <c r="AF183" s="5" t="e">
        <f t="shared" si="49"/>
        <v>#DIV/0!</v>
      </c>
      <c r="AG183" s="5" t="e">
        <f t="shared" si="49"/>
        <v>#DIV/0!</v>
      </c>
      <c r="AH183" s="5" t="e">
        <f t="shared" si="49"/>
        <v>#DIV/0!</v>
      </c>
      <c r="AI183" s="5" t="e">
        <f t="shared" ref="AI183:BM183" si="50">AI139/$C5</f>
        <v>#DIV/0!</v>
      </c>
      <c r="AJ183" s="5" t="e">
        <f t="shared" si="50"/>
        <v>#DIV/0!</v>
      </c>
      <c r="AK183" s="5" t="e">
        <f t="shared" si="50"/>
        <v>#DIV/0!</v>
      </c>
      <c r="AL183" s="5" t="e">
        <f t="shared" si="50"/>
        <v>#DIV/0!</v>
      </c>
      <c r="AM183" s="5" t="e">
        <f t="shared" si="50"/>
        <v>#DIV/0!</v>
      </c>
      <c r="AN183" s="5" t="e">
        <f t="shared" si="50"/>
        <v>#DIV/0!</v>
      </c>
      <c r="AO183" s="5" t="e">
        <f t="shared" si="50"/>
        <v>#DIV/0!</v>
      </c>
      <c r="AP183" s="5" t="e">
        <f t="shared" si="50"/>
        <v>#DIV/0!</v>
      </c>
      <c r="AQ183" s="5" t="e">
        <f t="shared" si="50"/>
        <v>#DIV/0!</v>
      </c>
      <c r="AR183" s="5" t="e">
        <f t="shared" si="50"/>
        <v>#DIV/0!</v>
      </c>
      <c r="AS183" s="5" t="e">
        <f t="shared" si="50"/>
        <v>#DIV/0!</v>
      </c>
      <c r="AT183" s="5" t="e">
        <f t="shared" si="50"/>
        <v>#DIV/0!</v>
      </c>
      <c r="AU183" s="5" t="e">
        <f t="shared" si="50"/>
        <v>#DIV/0!</v>
      </c>
      <c r="AV183" s="5" t="e">
        <f t="shared" si="50"/>
        <v>#DIV/0!</v>
      </c>
      <c r="AW183" s="5" t="e">
        <f t="shared" si="50"/>
        <v>#DIV/0!</v>
      </c>
      <c r="AX183" s="5" t="e">
        <f t="shared" si="50"/>
        <v>#DIV/0!</v>
      </c>
      <c r="AY183" s="5" t="e">
        <f t="shared" si="50"/>
        <v>#DIV/0!</v>
      </c>
      <c r="AZ183" s="5" t="e">
        <f t="shared" si="50"/>
        <v>#DIV/0!</v>
      </c>
      <c r="BA183" s="5" t="e">
        <f t="shared" si="50"/>
        <v>#DIV/0!</v>
      </c>
      <c r="BB183" s="5" t="e">
        <f t="shared" si="50"/>
        <v>#DIV/0!</v>
      </c>
      <c r="BC183" s="5" t="e">
        <f t="shared" si="50"/>
        <v>#DIV/0!</v>
      </c>
      <c r="BD183" s="5" t="e">
        <f t="shared" si="50"/>
        <v>#DIV/0!</v>
      </c>
      <c r="BE183" s="5" t="e">
        <f t="shared" si="50"/>
        <v>#DIV/0!</v>
      </c>
      <c r="BF183" s="5" t="e">
        <f t="shared" si="50"/>
        <v>#DIV/0!</v>
      </c>
      <c r="BG183" s="5" t="e">
        <f t="shared" si="50"/>
        <v>#DIV/0!</v>
      </c>
      <c r="BH183" s="5" t="e">
        <f t="shared" si="50"/>
        <v>#DIV/0!</v>
      </c>
      <c r="BI183" s="5" t="e">
        <f t="shared" si="50"/>
        <v>#DIV/0!</v>
      </c>
      <c r="BJ183" s="5" t="e">
        <f t="shared" si="50"/>
        <v>#DIV/0!</v>
      </c>
      <c r="BK183" s="5" t="e">
        <f t="shared" si="50"/>
        <v>#DIV/0!</v>
      </c>
      <c r="BL183" s="5" t="e">
        <f t="shared" si="50"/>
        <v>#DIV/0!</v>
      </c>
      <c r="BM183" s="5" t="e">
        <f t="shared" si="50"/>
        <v>#DIV/0!</v>
      </c>
    </row>
    <row r="184" spans="2:65" x14ac:dyDescent="0.25">
      <c r="B184" t="s">
        <v>8</v>
      </c>
      <c r="C184" s="5" t="e">
        <f t="shared" ref="C184:AH184" si="51">C158/$C5</f>
        <v>#DIV/0!</v>
      </c>
      <c r="D184" s="5" t="e">
        <f t="shared" si="51"/>
        <v>#DIV/0!</v>
      </c>
      <c r="E184" s="5" t="e">
        <f t="shared" si="51"/>
        <v>#DIV/0!</v>
      </c>
      <c r="F184" s="5" t="e">
        <f t="shared" si="51"/>
        <v>#DIV/0!</v>
      </c>
      <c r="G184" s="5" t="e">
        <f t="shared" si="51"/>
        <v>#DIV/0!</v>
      </c>
      <c r="H184" s="5" t="e">
        <f t="shared" si="51"/>
        <v>#DIV/0!</v>
      </c>
      <c r="I184" s="5" t="e">
        <f t="shared" si="51"/>
        <v>#DIV/0!</v>
      </c>
      <c r="J184" s="5" t="e">
        <f t="shared" si="51"/>
        <v>#DIV/0!</v>
      </c>
      <c r="K184" s="5" t="e">
        <f t="shared" si="51"/>
        <v>#DIV/0!</v>
      </c>
      <c r="L184" s="5" t="e">
        <f t="shared" si="51"/>
        <v>#DIV/0!</v>
      </c>
      <c r="M184" s="5" t="e">
        <f t="shared" si="51"/>
        <v>#DIV/0!</v>
      </c>
      <c r="N184" s="5" t="e">
        <f t="shared" si="51"/>
        <v>#DIV/0!</v>
      </c>
      <c r="O184" s="5" t="e">
        <f t="shared" si="51"/>
        <v>#DIV/0!</v>
      </c>
      <c r="P184" s="5" t="e">
        <f t="shared" si="51"/>
        <v>#DIV/0!</v>
      </c>
      <c r="Q184" s="5" t="e">
        <f t="shared" si="51"/>
        <v>#DIV/0!</v>
      </c>
      <c r="R184" s="5" t="e">
        <f t="shared" si="51"/>
        <v>#DIV/0!</v>
      </c>
      <c r="S184" s="5" t="e">
        <f t="shared" si="51"/>
        <v>#DIV/0!</v>
      </c>
      <c r="T184" s="5" t="e">
        <f t="shared" si="51"/>
        <v>#DIV/0!</v>
      </c>
      <c r="U184" s="5" t="e">
        <f t="shared" si="51"/>
        <v>#DIV/0!</v>
      </c>
      <c r="V184" s="5" t="e">
        <f t="shared" si="51"/>
        <v>#DIV/0!</v>
      </c>
      <c r="W184" s="5" t="e">
        <f t="shared" si="51"/>
        <v>#DIV/0!</v>
      </c>
      <c r="X184" s="5" t="e">
        <f t="shared" si="51"/>
        <v>#DIV/0!</v>
      </c>
      <c r="Y184" s="5" t="e">
        <f t="shared" si="51"/>
        <v>#DIV/0!</v>
      </c>
      <c r="Z184" s="5" t="e">
        <f t="shared" si="51"/>
        <v>#DIV/0!</v>
      </c>
      <c r="AA184" s="5" t="e">
        <f t="shared" si="51"/>
        <v>#DIV/0!</v>
      </c>
      <c r="AB184" s="5" t="e">
        <f t="shared" si="51"/>
        <v>#DIV/0!</v>
      </c>
      <c r="AC184" s="5" t="e">
        <f t="shared" si="51"/>
        <v>#DIV/0!</v>
      </c>
      <c r="AD184" s="5" t="e">
        <f t="shared" si="51"/>
        <v>#DIV/0!</v>
      </c>
      <c r="AE184" s="5" t="e">
        <f t="shared" si="51"/>
        <v>#DIV/0!</v>
      </c>
      <c r="AF184" s="5" t="e">
        <f t="shared" si="51"/>
        <v>#DIV/0!</v>
      </c>
      <c r="AG184" s="5" t="e">
        <f t="shared" si="51"/>
        <v>#DIV/0!</v>
      </c>
      <c r="AH184" s="5" t="e">
        <f t="shared" si="51"/>
        <v>#DIV/0!</v>
      </c>
      <c r="AI184" s="5" t="e">
        <f t="shared" ref="AI184:BM184" si="52">AI158/$C5</f>
        <v>#DIV/0!</v>
      </c>
      <c r="AJ184" s="5" t="e">
        <f t="shared" si="52"/>
        <v>#DIV/0!</v>
      </c>
      <c r="AK184" s="5" t="e">
        <f t="shared" si="52"/>
        <v>#DIV/0!</v>
      </c>
      <c r="AL184" s="5" t="e">
        <f t="shared" si="52"/>
        <v>#DIV/0!</v>
      </c>
      <c r="AM184" s="5" t="e">
        <f t="shared" si="52"/>
        <v>#DIV/0!</v>
      </c>
      <c r="AN184" s="5" t="e">
        <f t="shared" si="52"/>
        <v>#DIV/0!</v>
      </c>
      <c r="AO184" s="5" t="e">
        <f t="shared" si="52"/>
        <v>#DIV/0!</v>
      </c>
      <c r="AP184" s="5" t="e">
        <f t="shared" si="52"/>
        <v>#DIV/0!</v>
      </c>
      <c r="AQ184" s="5" t="e">
        <f t="shared" si="52"/>
        <v>#DIV/0!</v>
      </c>
      <c r="AR184" s="5" t="e">
        <f t="shared" si="52"/>
        <v>#DIV/0!</v>
      </c>
      <c r="AS184" s="5" t="e">
        <f t="shared" si="52"/>
        <v>#DIV/0!</v>
      </c>
      <c r="AT184" s="5" t="e">
        <f t="shared" si="52"/>
        <v>#DIV/0!</v>
      </c>
      <c r="AU184" s="5" t="e">
        <f t="shared" si="52"/>
        <v>#DIV/0!</v>
      </c>
      <c r="AV184" s="5" t="e">
        <f t="shared" si="52"/>
        <v>#DIV/0!</v>
      </c>
      <c r="AW184" s="5" t="e">
        <f t="shared" si="52"/>
        <v>#DIV/0!</v>
      </c>
      <c r="AX184" s="5" t="e">
        <f t="shared" si="52"/>
        <v>#DIV/0!</v>
      </c>
      <c r="AY184" s="5" t="e">
        <f t="shared" si="52"/>
        <v>#DIV/0!</v>
      </c>
      <c r="AZ184" s="5" t="e">
        <f t="shared" si="52"/>
        <v>#DIV/0!</v>
      </c>
      <c r="BA184" s="5" t="e">
        <f t="shared" si="52"/>
        <v>#DIV/0!</v>
      </c>
      <c r="BB184" s="5" t="e">
        <f t="shared" si="52"/>
        <v>#DIV/0!</v>
      </c>
      <c r="BC184" s="5" t="e">
        <f t="shared" si="52"/>
        <v>#DIV/0!</v>
      </c>
      <c r="BD184" s="5" t="e">
        <f t="shared" si="52"/>
        <v>#DIV/0!</v>
      </c>
      <c r="BE184" s="5" t="e">
        <f t="shared" si="52"/>
        <v>#DIV/0!</v>
      </c>
      <c r="BF184" s="5" t="e">
        <f t="shared" si="52"/>
        <v>#DIV/0!</v>
      </c>
      <c r="BG184" s="5" t="e">
        <f t="shared" si="52"/>
        <v>#DIV/0!</v>
      </c>
      <c r="BH184" s="5" t="e">
        <f t="shared" si="52"/>
        <v>#DIV/0!</v>
      </c>
      <c r="BI184" s="5" t="e">
        <f t="shared" si="52"/>
        <v>#DIV/0!</v>
      </c>
      <c r="BJ184" s="5" t="e">
        <f t="shared" si="52"/>
        <v>#DIV/0!</v>
      </c>
      <c r="BK184" s="5" t="e">
        <f t="shared" si="52"/>
        <v>#DIV/0!</v>
      </c>
      <c r="BL184" s="5" t="e">
        <f t="shared" si="52"/>
        <v>#DIV/0!</v>
      </c>
      <c r="BM184" s="5" t="e">
        <f t="shared" si="52"/>
        <v>#DIV/0!</v>
      </c>
    </row>
    <row r="185" spans="2:65" x14ac:dyDescent="0.25">
      <c r="B185" t="s">
        <v>39</v>
      </c>
      <c r="C185" s="5" t="e">
        <f t="shared" ref="C185:AH185" si="53">C172/$C5</f>
        <v>#DIV/0!</v>
      </c>
      <c r="D185" s="5" t="e">
        <f t="shared" si="53"/>
        <v>#DIV/0!</v>
      </c>
      <c r="E185" s="5" t="e">
        <f t="shared" si="53"/>
        <v>#DIV/0!</v>
      </c>
      <c r="F185" s="5" t="e">
        <f t="shared" si="53"/>
        <v>#DIV/0!</v>
      </c>
      <c r="G185" s="5" t="e">
        <f t="shared" si="53"/>
        <v>#DIV/0!</v>
      </c>
      <c r="H185" s="5" t="e">
        <f t="shared" si="53"/>
        <v>#DIV/0!</v>
      </c>
      <c r="I185" s="5" t="e">
        <f t="shared" si="53"/>
        <v>#DIV/0!</v>
      </c>
      <c r="J185" s="5" t="e">
        <f t="shared" si="53"/>
        <v>#DIV/0!</v>
      </c>
      <c r="K185" s="5" t="e">
        <f t="shared" si="53"/>
        <v>#DIV/0!</v>
      </c>
      <c r="L185" s="5" t="e">
        <f t="shared" si="53"/>
        <v>#DIV/0!</v>
      </c>
      <c r="M185" s="5" t="e">
        <f t="shared" si="53"/>
        <v>#DIV/0!</v>
      </c>
      <c r="N185" s="5" t="e">
        <f t="shared" si="53"/>
        <v>#DIV/0!</v>
      </c>
      <c r="O185" s="5" t="e">
        <f t="shared" si="53"/>
        <v>#DIV/0!</v>
      </c>
      <c r="P185" s="5" t="e">
        <f t="shared" si="53"/>
        <v>#DIV/0!</v>
      </c>
      <c r="Q185" s="5" t="e">
        <f t="shared" si="53"/>
        <v>#DIV/0!</v>
      </c>
      <c r="R185" s="5" t="e">
        <f t="shared" si="53"/>
        <v>#DIV/0!</v>
      </c>
      <c r="S185" s="5" t="e">
        <f t="shared" si="53"/>
        <v>#DIV/0!</v>
      </c>
      <c r="T185" s="5" t="e">
        <f t="shared" si="53"/>
        <v>#DIV/0!</v>
      </c>
      <c r="U185" s="5" t="e">
        <f t="shared" si="53"/>
        <v>#DIV/0!</v>
      </c>
      <c r="V185" s="5" t="e">
        <f t="shared" si="53"/>
        <v>#DIV/0!</v>
      </c>
      <c r="W185" s="5" t="e">
        <f t="shared" si="53"/>
        <v>#DIV/0!</v>
      </c>
      <c r="X185" s="5" t="e">
        <f t="shared" si="53"/>
        <v>#DIV/0!</v>
      </c>
      <c r="Y185" s="5" t="e">
        <f t="shared" si="53"/>
        <v>#DIV/0!</v>
      </c>
      <c r="Z185" s="5" t="e">
        <f t="shared" si="53"/>
        <v>#DIV/0!</v>
      </c>
      <c r="AA185" s="5" t="e">
        <f t="shared" si="53"/>
        <v>#DIV/0!</v>
      </c>
      <c r="AB185" s="5" t="e">
        <f t="shared" si="53"/>
        <v>#DIV/0!</v>
      </c>
      <c r="AC185" s="5" t="e">
        <f t="shared" si="53"/>
        <v>#DIV/0!</v>
      </c>
      <c r="AD185" s="5" t="e">
        <f t="shared" si="53"/>
        <v>#DIV/0!</v>
      </c>
      <c r="AE185" s="5" t="e">
        <f t="shared" si="53"/>
        <v>#DIV/0!</v>
      </c>
      <c r="AF185" s="5" t="e">
        <f t="shared" si="53"/>
        <v>#DIV/0!</v>
      </c>
      <c r="AG185" s="5" t="e">
        <f t="shared" si="53"/>
        <v>#DIV/0!</v>
      </c>
      <c r="AH185" s="5" t="e">
        <f t="shared" si="53"/>
        <v>#DIV/0!</v>
      </c>
      <c r="AI185" s="5" t="e">
        <f t="shared" ref="AI185:BM185" si="54">AI172/$C5</f>
        <v>#DIV/0!</v>
      </c>
      <c r="AJ185" s="5" t="e">
        <f t="shared" si="54"/>
        <v>#DIV/0!</v>
      </c>
      <c r="AK185" s="5" t="e">
        <f t="shared" si="54"/>
        <v>#DIV/0!</v>
      </c>
      <c r="AL185" s="5" t="e">
        <f t="shared" si="54"/>
        <v>#DIV/0!</v>
      </c>
      <c r="AM185" s="5" t="e">
        <f t="shared" si="54"/>
        <v>#DIV/0!</v>
      </c>
      <c r="AN185" s="5" t="e">
        <f t="shared" si="54"/>
        <v>#DIV/0!</v>
      </c>
      <c r="AO185" s="5" t="e">
        <f t="shared" si="54"/>
        <v>#DIV/0!</v>
      </c>
      <c r="AP185" s="5" t="e">
        <f t="shared" si="54"/>
        <v>#DIV/0!</v>
      </c>
      <c r="AQ185" s="5" t="e">
        <f t="shared" si="54"/>
        <v>#DIV/0!</v>
      </c>
      <c r="AR185" s="5" t="e">
        <f t="shared" si="54"/>
        <v>#DIV/0!</v>
      </c>
      <c r="AS185" s="5" t="e">
        <f t="shared" si="54"/>
        <v>#DIV/0!</v>
      </c>
      <c r="AT185" s="5" t="e">
        <f t="shared" si="54"/>
        <v>#DIV/0!</v>
      </c>
      <c r="AU185" s="5" t="e">
        <f t="shared" si="54"/>
        <v>#DIV/0!</v>
      </c>
      <c r="AV185" s="5" t="e">
        <f t="shared" si="54"/>
        <v>#DIV/0!</v>
      </c>
      <c r="AW185" s="5" t="e">
        <f t="shared" si="54"/>
        <v>#DIV/0!</v>
      </c>
      <c r="AX185" s="5" t="e">
        <f t="shared" si="54"/>
        <v>#DIV/0!</v>
      </c>
      <c r="AY185" s="5" t="e">
        <f t="shared" si="54"/>
        <v>#DIV/0!</v>
      </c>
      <c r="AZ185" s="5" t="e">
        <f t="shared" si="54"/>
        <v>#DIV/0!</v>
      </c>
      <c r="BA185" s="5" t="e">
        <f t="shared" si="54"/>
        <v>#DIV/0!</v>
      </c>
      <c r="BB185" s="5" t="e">
        <f t="shared" si="54"/>
        <v>#DIV/0!</v>
      </c>
      <c r="BC185" s="5" t="e">
        <f t="shared" si="54"/>
        <v>#DIV/0!</v>
      </c>
      <c r="BD185" s="5" t="e">
        <f t="shared" si="54"/>
        <v>#DIV/0!</v>
      </c>
      <c r="BE185" s="5" t="e">
        <f t="shared" si="54"/>
        <v>#DIV/0!</v>
      </c>
      <c r="BF185" s="5" t="e">
        <f t="shared" si="54"/>
        <v>#DIV/0!</v>
      </c>
      <c r="BG185" s="5" t="e">
        <f t="shared" si="54"/>
        <v>#DIV/0!</v>
      </c>
      <c r="BH185" s="5" t="e">
        <f t="shared" si="54"/>
        <v>#DIV/0!</v>
      </c>
      <c r="BI185" s="5" t="e">
        <f t="shared" si="54"/>
        <v>#DIV/0!</v>
      </c>
      <c r="BJ185" s="5" t="e">
        <f t="shared" si="54"/>
        <v>#DIV/0!</v>
      </c>
      <c r="BK185" s="5" t="e">
        <f t="shared" si="54"/>
        <v>#DIV/0!</v>
      </c>
      <c r="BL185" s="5" t="e">
        <f t="shared" si="54"/>
        <v>#DIV/0!</v>
      </c>
      <c r="BM185" s="5" t="e">
        <f t="shared" si="54"/>
        <v>#DIV/0!</v>
      </c>
    </row>
  </sheetData>
  <mergeCells count="45">
    <mergeCell ref="A121:A139"/>
    <mergeCell ref="A140:A158"/>
    <mergeCell ref="A26:A44"/>
    <mergeCell ref="A64:A82"/>
    <mergeCell ref="A83:A101"/>
    <mergeCell ref="A102:A120"/>
    <mergeCell ref="A166:A171"/>
    <mergeCell ref="C1:AG1"/>
    <mergeCell ref="C2:D2"/>
    <mergeCell ref="E2:F2"/>
    <mergeCell ref="G2:H2"/>
    <mergeCell ref="I2:J2"/>
    <mergeCell ref="K2:L2"/>
    <mergeCell ref="M2:N2"/>
    <mergeCell ref="O2:P2"/>
    <mergeCell ref="Q2:R2"/>
    <mergeCell ref="A160:A165"/>
    <mergeCell ref="A1:B3"/>
    <mergeCell ref="AE2:AF2"/>
    <mergeCell ref="AG2:AH2"/>
    <mergeCell ref="A5:B5"/>
    <mergeCell ref="A45:A63"/>
    <mergeCell ref="Y2:Z2"/>
    <mergeCell ref="AI2:AJ2"/>
    <mergeCell ref="AK2:AL2"/>
    <mergeCell ref="AM2:AN2"/>
    <mergeCell ref="AO2:AP2"/>
    <mergeCell ref="AA2:AB2"/>
    <mergeCell ref="AC2:AD2"/>
    <mergeCell ref="A7:A25"/>
    <mergeCell ref="BK2:BL2"/>
    <mergeCell ref="AQ2:AR2"/>
    <mergeCell ref="AS2:AT2"/>
    <mergeCell ref="AU2:AV2"/>
    <mergeCell ref="AW2:AX2"/>
    <mergeCell ref="AY2:AZ2"/>
    <mergeCell ref="BA2:BB2"/>
    <mergeCell ref="BG2:BH2"/>
    <mergeCell ref="BI2:BJ2"/>
    <mergeCell ref="BC2:BD2"/>
    <mergeCell ref="BE2:BF2"/>
    <mergeCell ref="A4:B4"/>
    <mergeCell ref="S2:T2"/>
    <mergeCell ref="U2:V2"/>
    <mergeCell ref="W2:X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DD5F-9A9F-425F-956A-B47D26C697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Thanawat Yampuang</dc:creator>
  <cp:lastModifiedBy>Sonsawan Sonkeaw</cp:lastModifiedBy>
  <dcterms:created xsi:type="dcterms:W3CDTF">2015-06-05T18:17:20Z</dcterms:created>
  <dcterms:modified xsi:type="dcterms:W3CDTF">2026-09-25T06:50:23Z</dcterms:modified>
</cp:coreProperties>
</file>