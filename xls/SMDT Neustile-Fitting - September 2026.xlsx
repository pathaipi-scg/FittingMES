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1020" activeTab="3"/>
  </bookViews>
  <sheets>
    <sheet name="1" sheetId="1" r:id="rId1"/>
    <sheet name="Sheet2" sheetId="2" r:id="rId2"/>
    <sheet name="Master ShotCut" sheetId="3" r:id="rId3"/>
    <sheet name="Machine" sheetId="4" r:id="rId4"/>
    <sheet name="Sheet4" sheetId="5" r:id="rId5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" i="1"/>
  <c r="BM9"/>
  <c r="BM10"/>
  <c r="BM11"/>
  <c r="BM12"/>
  <c r="BM13"/>
  <c r="BM14"/>
  <c r="BM15"/>
  <c r="BM16"/>
  <c r="BM17"/>
  <c r="BM18"/>
  <c r="BM19"/>
  <c r="BM20"/>
  <c r="BM21"/>
  <c r="BM22"/>
  <c r="BM23"/>
  <c r="BM24"/>
  <c r="BM103"/>
  <c r="BM104"/>
  <c r="BM105"/>
  <c r="BM106"/>
  <c r="BM107"/>
  <c r="BM108"/>
  <c r="BM109"/>
  <c r="BM110"/>
  <c r="BM111"/>
  <c r="BM112"/>
  <c r="BM113"/>
  <c r="BM114"/>
  <c r="BM115"/>
  <c r="BM116"/>
  <c r="BM117"/>
  <c r="BM118"/>
  <c r="BM119"/>
  <c r="BM122"/>
  <c r="BM123"/>
  <c r="BM124"/>
  <c r="BM125"/>
  <c r="BM126"/>
  <c r="BM127"/>
  <c r="BM128"/>
  <c r="BM129"/>
  <c r="BM130"/>
  <c r="BM131"/>
  <c r="BM132"/>
  <c r="BM133"/>
  <c r="BM134"/>
  <c r="BM135"/>
  <c r="BM136"/>
  <c r="BM137"/>
  <c r="BM138"/>
  <c r="BM121"/>
  <c r="BM141"/>
  <c r="BM142"/>
  <c r="BM143"/>
  <c r="BM144"/>
  <c r="BM145"/>
  <c r="BM146"/>
  <c r="BM147"/>
  <c r="BM148"/>
  <c r="BM149"/>
  <c r="BM150"/>
  <c r="BM151"/>
  <c r="BM152"/>
  <c r="BM153"/>
  <c r="BM154"/>
  <c r="BM155"/>
  <c r="BM156"/>
  <c r="BM157"/>
  <c r="BM169"/>
  <c r="BM170"/>
  <c r="BM171" l="1"/>
  <c r="BM168"/>
  <c r="BM167"/>
  <c r="BM166"/>
  <c r="BM165"/>
  <c r="BM164"/>
  <c r="BM163"/>
  <c r="BM162"/>
  <c r="BM160"/>
  <c r="BM140"/>
  <c r="BM102"/>
  <c r="BM100"/>
  <c r="BM99"/>
  <c r="BM98"/>
  <c r="BM97"/>
  <c r="BM96"/>
  <c r="BM95"/>
  <c r="BM94"/>
  <c r="BM93"/>
  <c r="BM92"/>
  <c r="BM91"/>
  <c r="BM90"/>
  <c r="BM89"/>
  <c r="BM88"/>
  <c r="BM87"/>
  <c r="BM86"/>
  <c r="BM85"/>
  <c r="BM84"/>
  <c r="BM81"/>
  <c r="BM80"/>
  <c r="BM79"/>
  <c r="BM78"/>
  <c r="BM77"/>
  <c r="BM76"/>
  <c r="BM75"/>
  <c r="BM74"/>
  <c r="BM73"/>
  <c r="BM72"/>
  <c r="BM71"/>
  <c r="BM70"/>
  <c r="BM69"/>
  <c r="BM68"/>
  <c r="BM67"/>
  <c r="BM66"/>
  <c r="BM65"/>
  <c r="BM62"/>
  <c r="BM61"/>
  <c r="BM60"/>
  <c r="BM59"/>
  <c r="BM58"/>
  <c r="BM57"/>
  <c r="BM56"/>
  <c r="BM55"/>
  <c r="BM54"/>
  <c r="BM53"/>
  <c r="BM52"/>
  <c r="BM51"/>
  <c r="BM50"/>
  <c r="BM49"/>
  <c r="BM48"/>
  <c r="BM47"/>
  <c r="BM46"/>
  <c r="BM43"/>
  <c r="BM42"/>
  <c r="BM41"/>
  <c r="BM40"/>
  <c r="BM39"/>
  <c r="BM38"/>
  <c r="BM37"/>
  <c r="BM36"/>
  <c r="BM35"/>
  <c r="BM34"/>
  <c r="BM33"/>
  <c r="BM32"/>
  <c r="BM31"/>
  <c r="BM30"/>
  <c r="BM29"/>
  <c r="BM28"/>
  <c r="BM27"/>
  <c r="BL172"/>
  <c r="BK172"/>
  <c r="BJ172"/>
  <c r="BI172"/>
  <c r="BH172"/>
  <c r="BG172"/>
  <c r="BF172"/>
  <c r="BE172"/>
  <c r="BD172"/>
  <c r="BC172"/>
  <c r="BB172"/>
  <c r="BA172"/>
  <c r="AZ172"/>
  <c r="AY172"/>
  <c r="AX172"/>
  <c r="AW172"/>
  <c r="AV172"/>
  <c r="AU172"/>
  <c r="AT172"/>
  <c r="AS172"/>
  <c r="AR172"/>
  <c r="AQ172"/>
  <c r="AP172"/>
  <c r="AO172"/>
  <c r="AN172"/>
  <c r="AM172"/>
  <c r="AL172"/>
  <c r="AK172"/>
  <c r="AJ172"/>
  <c r="AI172"/>
  <c r="AH172"/>
  <c r="AG172"/>
  <c r="AF172"/>
  <c r="AE172"/>
  <c r="AD172"/>
  <c r="AC172"/>
  <c r="AB172"/>
  <c r="AA172"/>
  <c r="Z172"/>
  <c r="Y172"/>
  <c r="X172"/>
  <c r="W172"/>
  <c r="V172"/>
  <c r="U172"/>
  <c r="T172"/>
  <c r="S172"/>
  <c r="R172"/>
  <c r="Q172"/>
  <c r="P172"/>
  <c r="O172"/>
  <c r="N172"/>
  <c r="M172"/>
  <c r="L172"/>
  <c r="K172"/>
  <c r="J172"/>
  <c r="I172"/>
  <c r="H172"/>
  <c r="G172"/>
  <c r="F172"/>
  <c r="E172"/>
  <c r="D172"/>
  <c r="BK158"/>
  <c r="BJ158"/>
  <c r="BI158"/>
  <c r="BH158"/>
  <c r="BG158"/>
  <c r="BF158"/>
  <c r="BE158"/>
  <c r="BD158"/>
  <c r="BC158"/>
  <c r="BB158"/>
  <c r="BA158"/>
  <c r="AZ158"/>
  <c r="AY158"/>
  <c r="AX158"/>
  <c r="AW158"/>
  <c r="AV158"/>
  <c r="AU158"/>
  <c r="AT158"/>
  <c r="AS158"/>
  <c r="AR158"/>
  <c r="AQ158"/>
  <c r="AP158"/>
  <c r="AO158"/>
  <c r="AN158"/>
  <c r="AM158"/>
  <c r="AL158"/>
  <c r="AK158"/>
  <c r="AJ158"/>
  <c r="AI158"/>
  <c r="AH158"/>
  <c r="AG158"/>
  <c r="AF158"/>
  <c r="AE158"/>
  <c r="AD158"/>
  <c r="AC158"/>
  <c r="AB158"/>
  <c r="AA158"/>
  <c r="Z158"/>
  <c r="Y158"/>
  <c r="X158"/>
  <c r="W158"/>
  <c r="V158"/>
  <c r="U158"/>
  <c r="T158"/>
  <c r="S158"/>
  <c r="R158"/>
  <c r="Q158"/>
  <c r="P158"/>
  <c r="O158"/>
  <c r="N158"/>
  <c r="M158"/>
  <c r="L158"/>
  <c r="K158"/>
  <c r="J158"/>
  <c r="I158"/>
  <c r="H158"/>
  <c r="G158"/>
  <c r="F158"/>
  <c r="E158"/>
  <c r="D158"/>
  <c r="C158"/>
  <c r="BL158"/>
  <c r="BL139"/>
  <c r="BK139"/>
  <c r="BJ139"/>
  <c r="BI139"/>
  <c r="BH139"/>
  <c r="BG139"/>
  <c r="BF139"/>
  <c r="BE139"/>
  <c r="BD139"/>
  <c r="BC139"/>
  <c r="BB139"/>
  <c r="BA139"/>
  <c r="AZ139"/>
  <c r="AY139"/>
  <c r="AX139"/>
  <c r="AW139"/>
  <c r="AV139"/>
  <c r="AU139"/>
  <c r="AT139"/>
  <c r="AS139"/>
  <c r="AR139"/>
  <c r="AQ139"/>
  <c r="AP139"/>
  <c r="AO139"/>
  <c r="AN139"/>
  <c r="AM139"/>
  <c r="AL139"/>
  <c r="AK139"/>
  <c r="AJ139"/>
  <c r="AI139"/>
  <c r="AH139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K120"/>
  <c r="BJ120"/>
  <c r="BI120"/>
  <c r="BH120"/>
  <c r="BG120"/>
  <c r="BF120"/>
  <c r="BE120"/>
  <c r="BD120"/>
  <c r="BC120"/>
  <c r="BB120"/>
  <c r="BA120"/>
  <c r="AZ120"/>
  <c r="AY120"/>
  <c r="AX120"/>
  <c r="AW120"/>
  <c r="AV120"/>
  <c r="AU120"/>
  <c r="AT120"/>
  <c r="AS120"/>
  <c r="AR120"/>
  <c r="AQ120"/>
  <c r="AP120"/>
  <c r="AO120"/>
  <c r="AN120"/>
  <c r="AM120"/>
  <c r="AL120"/>
  <c r="AK120"/>
  <c r="AJ120"/>
  <c r="AI120"/>
  <c r="AH120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L120"/>
  <c r="BL101"/>
  <c r="BK101"/>
  <c r="BJ101"/>
  <c r="BI101"/>
  <c r="BH101"/>
  <c r="BG101"/>
  <c r="BF101"/>
  <c r="BE101"/>
  <c r="BD101"/>
  <c r="BC101"/>
  <c r="BB101"/>
  <c r="BA101"/>
  <c r="AZ101"/>
  <c r="AY101"/>
  <c r="AX101"/>
  <c r="AW101"/>
  <c r="AV101"/>
  <c r="AU101"/>
  <c r="AT101"/>
  <c r="AS101"/>
  <c r="AR101"/>
  <c r="AQ101"/>
  <c r="AP101"/>
  <c r="AO101"/>
  <c r="AN101"/>
  <c r="AM101"/>
  <c r="AL101"/>
  <c r="AK101"/>
  <c r="AJ101"/>
  <c r="AI101"/>
  <c r="AH101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K82"/>
  <c r="BJ82"/>
  <c r="BI82"/>
  <c r="BH82"/>
  <c r="BG82"/>
  <c r="BF82"/>
  <c r="BE82"/>
  <c r="BD82"/>
  <c r="BC82"/>
  <c r="BB82"/>
  <c r="BA82"/>
  <c r="AZ82"/>
  <c r="AY82"/>
  <c r="AX82"/>
  <c r="AW82"/>
  <c r="AV82"/>
  <c r="AU82"/>
  <c r="AT82"/>
  <c r="AS82"/>
  <c r="AR82"/>
  <c r="AQ82"/>
  <c r="AP82"/>
  <c r="AO82"/>
  <c r="AN82"/>
  <c r="AM82"/>
  <c r="AL82"/>
  <c r="AK82"/>
  <c r="AJ82"/>
  <c r="AI82"/>
  <c r="AH82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L82"/>
  <c r="BL63"/>
  <c r="BK63"/>
  <c r="BJ63"/>
  <c r="BI63"/>
  <c r="BH63"/>
  <c r="BG63"/>
  <c r="BF63"/>
  <c r="BE63"/>
  <c r="BD63"/>
  <c r="BC63"/>
  <c r="BB63"/>
  <c r="BA63"/>
  <c r="AZ63"/>
  <c r="AY63"/>
  <c r="AX63"/>
  <c r="AW63"/>
  <c r="AV63"/>
  <c r="AU63"/>
  <c r="AT63"/>
  <c r="AS63"/>
  <c r="AR63"/>
  <c r="AQ63"/>
  <c r="AP63"/>
  <c r="AO63"/>
  <c r="AN63"/>
  <c r="AM63"/>
  <c r="AL63"/>
  <c r="AK63"/>
  <c r="AJ63"/>
  <c r="AI63"/>
  <c r="AH63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K44"/>
  <c r="BJ44"/>
  <c r="BI44"/>
  <c r="BH44"/>
  <c r="BG44"/>
  <c r="BF44"/>
  <c r="BE44"/>
  <c r="BD44"/>
  <c r="BC44"/>
  <c r="BB44"/>
  <c r="BA44"/>
  <c r="AZ44"/>
  <c r="AY44"/>
  <c r="AX44"/>
  <c r="AW44"/>
  <c r="AV44"/>
  <c r="AU44"/>
  <c r="AT44"/>
  <c r="AS44"/>
  <c r="AR44"/>
  <c r="AQ44"/>
  <c r="AP44"/>
  <c r="AO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L44"/>
  <c r="BL25"/>
  <c r="BK25"/>
  <c r="BJ25"/>
  <c r="BI25"/>
  <c r="BH25"/>
  <c r="BG25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M26" l="1"/>
  <c r="BM83" l="1"/>
  <c r="BM45" l="1"/>
  <c r="BM64" l="1"/>
  <c r="BM7"/>
  <c r="C172" l="1"/>
  <c r="BM172" l="1"/>
  <c r="BM4"/>
  <c r="F185"/>
  <c r="H185"/>
  <c r="I185"/>
  <c r="J185"/>
  <c r="L185"/>
  <c r="M185"/>
  <c r="N185"/>
  <c r="R185"/>
  <c r="T185"/>
  <c r="X185"/>
  <c r="Z185"/>
  <c r="AC185"/>
  <c r="AE185"/>
  <c r="AF185"/>
  <c r="AG185"/>
  <c r="AH185"/>
  <c r="AM185"/>
  <c r="AN185"/>
  <c r="AP185"/>
  <c r="AU185"/>
  <c r="AV185"/>
  <c r="AW185"/>
  <c r="AX185"/>
  <c r="BB185"/>
  <c r="BC185"/>
  <c r="BD185"/>
  <c r="BE185"/>
  <c r="BF185"/>
  <c r="BG185"/>
  <c r="BH185"/>
  <c r="BK185"/>
  <c r="BL185"/>
  <c r="BM161"/>
  <c r="E185"/>
  <c r="K185"/>
  <c r="S185"/>
  <c r="U185"/>
  <c r="V185"/>
  <c r="AA185"/>
  <c r="AB185"/>
  <c r="AD185"/>
  <c r="AI185"/>
  <c r="AJ185"/>
  <c r="AK185"/>
  <c r="AL185"/>
  <c r="AQ185"/>
  <c r="AR185"/>
  <c r="AS185"/>
  <c r="AT185"/>
  <c r="AY185"/>
  <c r="AZ185"/>
  <c r="BA185"/>
  <c r="BI185"/>
  <c r="BJ185"/>
  <c r="C185"/>
  <c r="BM5"/>
  <c r="D179"/>
  <c r="E179"/>
  <c r="F179"/>
  <c r="G179"/>
  <c r="H179"/>
  <c r="I179"/>
  <c r="J179"/>
  <c r="K179"/>
  <c r="L179"/>
  <c r="M179"/>
  <c r="N179"/>
  <c r="P179"/>
  <c r="Q179"/>
  <c r="R179"/>
  <c r="S179"/>
  <c r="T179"/>
  <c r="V179"/>
  <c r="X179"/>
  <c r="Y179"/>
  <c r="Z179"/>
  <c r="AA179"/>
  <c r="AB179"/>
  <c r="AC179"/>
  <c r="AD179"/>
  <c r="AE179"/>
  <c r="AF179"/>
  <c r="AG179"/>
  <c r="AH179"/>
  <c r="AI179"/>
  <c r="AJ179"/>
  <c r="AK179"/>
  <c r="AL179"/>
  <c r="AM179"/>
  <c r="AN179"/>
  <c r="AO179"/>
  <c r="AP179"/>
  <c r="AQ179"/>
  <c r="AR179"/>
  <c r="AS179"/>
  <c r="AT179"/>
  <c r="AU179"/>
  <c r="AV179"/>
  <c r="AW179"/>
  <c r="AX179"/>
  <c r="AY179"/>
  <c r="AZ179"/>
  <c r="BA179"/>
  <c r="BB179"/>
  <c r="BC179"/>
  <c r="BD179"/>
  <c r="BE179"/>
  <c r="BF179"/>
  <c r="BG179"/>
  <c r="BH179"/>
  <c r="BI179"/>
  <c r="BJ179"/>
  <c r="BK179"/>
  <c r="BL179"/>
  <c r="D180"/>
  <c r="E180"/>
  <c r="F180"/>
  <c r="G180"/>
  <c r="H180"/>
  <c r="I180"/>
  <c r="J180"/>
  <c r="K180"/>
  <c r="L180"/>
  <c r="M180"/>
  <c r="N180"/>
  <c r="O180"/>
  <c r="P180"/>
  <c r="Q180"/>
  <c r="R180"/>
  <c r="S180"/>
  <c r="T180"/>
  <c r="U180"/>
  <c r="V180"/>
  <c r="W180"/>
  <c r="X180"/>
  <c r="Y180"/>
  <c r="Z180"/>
  <c r="AA180"/>
  <c r="AB180"/>
  <c r="AC180"/>
  <c r="AD180"/>
  <c r="AE180"/>
  <c r="AF180"/>
  <c r="AG180"/>
  <c r="AH180"/>
  <c r="AI180"/>
  <c r="AJ180"/>
  <c r="AK180"/>
  <c r="AL180"/>
  <c r="AM180"/>
  <c r="AN180"/>
  <c r="AO180"/>
  <c r="AP180"/>
  <c r="AQ180"/>
  <c r="AR180"/>
  <c r="AS180"/>
  <c r="AT180"/>
  <c r="AU180"/>
  <c r="AV180"/>
  <c r="AW180"/>
  <c r="AX180"/>
  <c r="AY180"/>
  <c r="AZ180"/>
  <c r="BA180"/>
  <c r="BB180"/>
  <c r="BC180"/>
  <c r="BD180"/>
  <c r="BE180"/>
  <c r="BF180"/>
  <c r="BG180"/>
  <c r="BH180"/>
  <c r="BI180"/>
  <c r="BJ180"/>
  <c r="BK180"/>
  <c r="BL180"/>
  <c r="D181"/>
  <c r="E181"/>
  <c r="F181"/>
  <c r="G181"/>
  <c r="H181"/>
  <c r="I181"/>
  <c r="J181"/>
  <c r="K181"/>
  <c r="L181"/>
  <c r="M181"/>
  <c r="N181"/>
  <c r="O181"/>
  <c r="P181"/>
  <c r="Q181"/>
  <c r="R181"/>
  <c r="S181"/>
  <c r="T181"/>
  <c r="U181"/>
  <c r="V181"/>
  <c r="W181"/>
  <c r="X181"/>
  <c r="Y181"/>
  <c r="Z181"/>
  <c r="AA181"/>
  <c r="AB181"/>
  <c r="AC181"/>
  <c r="AD181"/>
  <c r="AE181"/>
  <c r="AF181"/>
  <c r="AG181"/>
  <c r="AH181"/>
  <c r="AI181"/>
  <c r="AJ181"/>
  <c r="AK181"/>
  <c r="AL181"/>
  <c r="AM181"/>
  <c r="AN181"/>
  <c r="AO181"/>
  <c r="AP181"/>
  <c r="AQ181"/>
  <c r="AR181"/>
  <c r="AS181"/>
  <c r="AT181"/>
  <c r="AU181"/>
  <c r="AV181"/>
  <c r="AW181"/>
  <c r="AX181"/>
  <c r="AY181"/>
  <c r="AZ181"/>
  <c r="BA181"/>
  <c r="BB181"/>
  <c r="BC181"/>
  <c r="BD181"/>
  <c r="BE181"/>
  <c r="BF181"/>
  <c r="BG181"/>
  <c r="BH181"/>
  <c r="BI181"/>
  <c r="BJ181"/>
  <c r="BK181"/>
  <c r="BL181"/>
  <c r="D182"/>
  <c r="F182"/>
  <c r="G182"/>
  <c r="H182"/>
  <c r="I182"/>
  <c r="J182"/>
  <c r="K182"/>
  <c r="L182"/>
  <c r="M182"/>
  <c r="N182"/>
  <c r="O182"/>
  <c r="P182"/>
  <c r="Q182"/>
  <c r="R182"/>
  <c r="S182"/>
  <c r="T182"/>
  <c r="U182"/>
  <c r="V182"/>
  <c r="W182"/>
  <c r="X182"/>
  <c r="Y182"/>
  <c r="Z182"/>
  <c r="AA182"/>
  <c r="AB182"/>
  <c r="AC182"/>
  <c r="AD182"/>
  <c r="AE182"/>
  <c r="AF182"/>
  <c r="AG182"/>
  <c r="AH182"/>
  <c r="AI182"/>
  <c r="AJ182"/>
  <c r="AK182"/>
  <c r="AL182"/>
  <c r="AM182"/>
  <c r="AN182"/>
  <c r="AO182"/>
  <c r="AP182"/>
  <c r="AQ182"/>
  <c r="AR182"/>
  <c r="AS182"/>
  <c r="AT182"/>
  <c r="AU182"/>
  <c r="AV182"/>
  <c r="AW182"/>
  <c r="AX182"/>
  <c r="AY182"/>
  <c r="AZ182"/>
  <c r="BA182"/>
  <c r="BB182"/>
  <c r="BC182"/>
  <c r="BD182"/>
  <c r="BE182"/>
  <c r="BF182"/>
  <c r="BG182"/>
  <c r="BH182"/>
  <c r="BI182"/>
  <c r="BJ182"/>
  <c r="BK182"/>
  <c r="BL182"/>
  <c r="D183"/>
  <c r="E183"/>
  <c r="F183"/>
  <c r="G183"/>
  <c r="H183"/>
  <c r="I183"/>
  <c r="J183"/>
  <c r="K183"/>
  <c r="L183"/>
  <c r="M183"/>
  <c r="N183"/>
  <c r="O183"/>
  <c r="P183"/>
  <c r="Q183"/>
  <c r="R183"/>
  <c r="S183"/>
  <c r="T183"/>
  <c r="U183"/>
  <c r="V183"/>
  <c r="W183"/>
  <c r="X183"/>
  <c r="Y183"/>
  <c r="Z183"/>
  <c r="AA183"/>
  <c r="AB183"/>
  <c r="AC183"/>
  <c r="AD183"/>
  <c r="AE183"/>
  <c r="AF183"/>
  <c r="AG183"/>
  <c r="AH183"/>
  <c r="AI183"/>
  <c r="AJ183"/>
  <c r="AK183"/>
  <c r="AL183"/>
  <c r="AM183"/>
  <c r="AN183"/>
  <c r="AO183"/>
  <c r="AP183"/>
  <c r="AQ183"/>
  <c r="AR183"/>
  <c r="AS183"/>
  <c r="AT183"/>
  <c r="AU183"/>
  <c r="AV183"/>
  <c r="AW183"/>
  <c r="AX183"/>
  <c r="AY183"/>
  <c r="AZ183"/>
  <c r="BA183"/>
  <c r="BB183"/>
  <c r="BC183"/>
  <c r="BD183"/>
  <c r="BE183"/>
  <c r="BF183"/>
  <c r="BG183"/>
  <c r="BH183"/>
  <c r="BI183"/>
  <c r="BJ183"/>
  <c r="BK183"/>
  <c r="BL183"/>
  <c r="D184"/>
  <c r="E184"/>
  <c r="F184"/>
  <c r="G184"/>
  <c r="H184"/>
  <c r="I184"/>
  <c r="J184"/>
  <c r="K184"/>
  <c r="L184"/>
  <c r="M184"/>
  <c r="N184"/>
  <c r="O184"/>
  <c r="P184"/>
  <c r="Q184"/>
  <c r="R184"/>
  <c r="S184"/>
  <c r="T184"/>
  <c r="U184"/>
  <c r="V184"/>
  <c r="W184"/>
  <c r="X184"/>
  <c r="Y184"/>
  <c r="Z184"/>
  <c r="AA184"/>
  <c r="AB184"/>
  <c r="AC184"/>
  <c r="AD184"/>
  <c r="AE184"/>
  <c r="AF184"/>
  <c r="AG184"/>
  <c r="AH184"/>
  <c r="AI184"/>
  <c r="AJ184"/>
  <c r="AK184"/>
  <c r="AL184"/>
  <c r="AM184"/>
  <c r="AN184"/>
  <c r="AO184"/>
  <c r="AP184"/>
  <c r="AQ184"/>
  <c r="AR184"/>
  <c r="AS184"/>
  <c r="AT184"/>
  <c r="AU184"/>
  <c r="AV184"/>
  <c r="AW184"/>
  <c r="AX184"/>
  <c r="AY184"/>
  <c r="AZ184"/>
  <c r="BA184"/>
  <c r="BB184"/>
  <c r="BC184"/>
  <c r="BD184"/>
  <c r="BE184"/>
  <c r="BF184"/>
  <c r="BG184"/>
  <c r="BH184"/>
  <c r="BI184"/>
  <c r="BJ184"/>
  <c r="BK184"/>
  <c r="BL184"/>
  <c r="D178"/>
  <c r="E178"/>
  <c r="F178"/>
  <c r="G178"/>
  <c r="H178"/>
  <c r="I178"/>
  <c r="J178"/>
  <c r="K178"/>
  <c r="L178"/>
  <c r="M178"/>
  <c r="N178"/>
  <c r="O178"/>
  <c r="P178"/>
  <c r="Q178"/>
  <c r="R178"/>
  <c r="U178"/>
  <c r="V178"/>
  <c r="W178"/>
  <c r="X178"/>
  <c r="Y178"/>
  <c r="Z178"/>
  <c r="AA178"/>
  <c r="AB178"/>
  <c r="AC178"/>
  <c r="AD178"/>
  <c r="AE178"/>
  <c r="AF178"/>
  <c r="AG178"/>
  <c r="AH178"/>
  <c r="AI178"/>
  <c r="AJ178"/>
  <c r="AK178"/>
  <c r="AL178"/>
  <c r="AM178"/>
  <c r="AN178"/>
  <c r="AO178"/>
  <c r="AP178"/>
  <c r="AQ178"/>
  <c r="AR178"/>
  <c r="AS178"/>
  <c r="AT178"/>
  <c r="AU178"/>
  <c r="AV178"/>
  <c r="AW178"/>
  <c r="AX178"/>
  <c r="AY178"/>
  <c r="AZ178"/>
  <c r="BA178"/>
  <c r="BB178"/>
  <c r="BC178"/>
  <c r="BD178"/>
  <c r="BE178"/>
  <c r="BF178"/>
  <c r="BG178"/>
  <c r="BH178"/>
  <c r="BI178"/>
  <c r="BJ178"/>
  <c r="BK178"/>
  <c r="BL178"/>
  <c r="D177"/>
  <c r="E177"/>
  <c r="F177"/>
  <c r="G177"/>
  <c r="H177"/>
  <c r="I177"/>
  <c r="M177"/>
  <c r="N177"/>
  <c r="O177"/>
  <c r="P177"/>
  <c r="S177"/>
  <c r="T177"/>
  <c r="U177"/>
  <c r="V177"/>
  <c r="W177"/>
  <c r="X177"/>
  <c r="Y159"/>
  <c r="Z177"/>
  <c r="AB177"/>
  <c r="AC177"/>
  <c r="AE177"/>
  <c r="AF177"/>
  <c r="AG177"/>
  <c r="AH177"/>
  <c r="AI177"/>
  <c r="AJ177"/>
  <c r="AK177"/>
  <c r="AL177"/>
  <c r="AN159"/>
  <c r="AN173" s="1"/>
  <c r="AN174" s="1"/>
  <c r="AO159"/>
  <c r="AQ177"/>
  <c r="AR177"/>
  <c r="AS177"/>
  <c r="AT177"/>
  <c r="AV159"/>
  <c r="AW177"/>
  <c r="AZ177"/>
  <c r="BA177"/>
  <c r="BB177"/>
  <c r="BD159"/>
  <c r="BE159"/>
  <c r="BF159"/>
  <c r="BG159"/>
  <c r="BG173" s="1"/>
  <c r="BG174" s="1"/>
  <c r="BH177"/>
  <c r="BI177"/>
  <c r="BJ177"/>
  <c r="BL159"/>
  <c r="C184"/>
  <c r="C183"/>
  <c r="C182"/>
  <c r="C180"/>
  <c r="C179"/>
  <c r="C178"/>
  <c r="C177"/>
  <c r="BN171" l="1"/>
  <c r="BN161"/>
  <c r="BN151"/>
  <c r="BN143"/>
  <c r="BN133"/>
  <c r="BN125"/>
  <c r="BN117"/>
  <c r="BN109"/>
  <c r="BN99"/>
  <c r="BN91"/>
  <c r="BN81"/>
  <c r="BN73"/>
  <c r="BN65"/>
  <c r="BN55"/>
  <c r="BN46"/>
  <c r="BN37"/>
  <c r="BN29"/>
  <c r="BN19"/>
  <c r="BN11"/>
  <c r="BN110"/>
  <c r="BN74"/>
  <c r="BN20"/>
  <c r="BN168"/>
  <c r="BN160"/>
  <c r="BN150"/>
  <c r="BN142"/>
  <c r="BN132"/>
  <c r="BN124"/>
  <c r="BN116"/>
  <c r="BN108"/>
  <c r="BN98"/>
  <c r="BN90"/>
  <c r="BN80"/>
  <c r="BN72"/>
  <c r="BN62"/>
  <c r="BN54"/>
  <c r="BN45"/>
  <c r="BN36"/>
  <c r="BN28"/>
  <c r="BN18"/>
  <c r="BN10"/>
  <c r="BN126"/>
  <c r="BN100"/>
  <c r="BN47"/>
  <c r="BN167"/>
  <c r="BN157"/>
  <c r="BN149"/>
  <c r="BN140"/>
  <c r="BN131"/>
  <c r="BN123"/>
  <c r="BN115"/>
  <c r="BN107"/>
  <c r="BN97"/>
  <c r="BN89"/>
  <c r="BN79"/>
  <c r="BN71"/>
  <c r="BN61"/>
  <c r="BN53"/>
  <c r="BN43"/>
  <c r="BN35"/>
  <c r="BN27"/>
  <c r="BN17"/>
  <c r="BN9"/>
  <c r="BN134"/>
  <c r="BN92"/>
  <c r="BN30"/>
  <c r="BN166"/>
  <c r="BN156"/>
  <c r="BN148"/>
  <c r="BN138"/>
  <c r="BN130"/>
  <c r="BN122"/>
  <c r="BN114"/>
  <c r="BN106"/>
  <c r="BN96"/>
  <c r="BN88"/>
  <c r="BN78"/>
  <c r="BN70"/>
  <c r="BN60"/>
  <c r="BN52"/>
  <c r="BN42"/>
  <c r="BN34"/>
  <c r="BN24"/>
  <c r="BN16"/>
  <c r="BN8"/>
  <c r="BN118"/>
  <c r="BN165"/>
  <c r="BN155"/>
  <c r="BN147"/>
  <c r="BN137"/>
  <c r="BN129"/>
  <c r="BN121"/>
  <c r="BN113"/>
  <c r="BN105"/>
  <c r="BN95"/>
  <c r="BN87"/>
  <c r="BN77"/>
  <c r="BN69"/>
  <c r="BN59"/>
  <c r="BN51"/>
  <c r="BN41"/>
  <c r="BN33"/>
  <c r="BN23"/>
  <c r="BN15"/>
  <c r="BN144"/>
  <c r="BN56"/>
  <c r="BN164"/>
  <c r="BN154"/>
  <c r="BN146"/>
  <c r="BN136"/>
  <c r="BN128"/>
  <c r="BN112"/>
  <c r="BN104"/>
  <c r="BN94"/>
  <c r="BN86"/>
  <c r="BN76"/>
  <c r="BN68"/>
  <c r="BN58"/>
  <c r="BN50"/>
  <c r="BN40"/>
  <c r="BN32"/>
  <c r="BN22"/>
  <c r="BN14"/>
  <c r="BN152"/>
  <c r="BN84"/>
  <c r="BN38"/>
  <c r="BN163"/>
  <c r="BN153"/>
  <c r="BN145"/>
  <c r="BN135"/>
  <c r="BN127"/>
  <c r="BN119"/>
  <c r="BN111"/>
  <c r="BN102"/>
  <c r="BN93"/>
  <c r="BN85"/>
  <c r="BN75"/>
  <c r="BN67"/>
  <c r="BN57"/>
  <c r="BN48"/>
  <c r="BN39"/>
  <c r="BN31"/>
  <c r="BN21"/>
  <c r="BN13"/>
  <c r="BN162"/>
  <c r="BN66"/>
  <c r="BN12"/>
  <c r="D185"/>
  <c r="BN26"/>
  <c r="BN83"/>
  <c r="BM139"/>
  <c r="BM183" s="1"/>
  <c r="BM120"/>
  <c r="BM182" s="1"/>
  <c r="BM82"/>
  <c r="BM180" s="1"/>
  <c r="BM44"/>
  <c r="BM178" s="1"/>
  <c r="BM25"/>
  <c r="BN64"/>
  <c r="BN7"/>
  <c r="BN103"/>
  <c r="BM101"/>
  <c r="BM181" s="1"/>
  <c r="BM158"/>
  <c r="BM63"/>
  <c r="BM179" s="1"/>
  <c r="BN141"/>
  <c r="BE173"/>
  <c r="BE174" s="1"/>
  <c r="AY159"/>
  <c r="AY173" s="1"/>
  <c r="AY174" s="1"/>
  <c r="AA159"/>
  <c r="AA173" s="1"/>
  <c r="AA174" s="1"/>
  <c r="AX159"/>
  <c r="AX173" s="1"/>
  <c r="AX174" s="1"/>
  <c r="AP159"/>
  <c r="AP173" s="1"/>
  <c r="AP174" s="1"/>
  <c r="AM159"/>
  <c r="AM173" s="1"/>
  <c r="AM174" s="1"/>
  <c r="BK159"/>
  <c r="BK173" s="1"/>
  <c r="BK174" s="1"/>
  <c r="AD159"/>
  <c r="AD173" s="1"/>
  <c r="AD174" s="1"/>
  <c r="BC159"/>
  <c r="BC173" s="1"/>
  <c r="BC174" s="1"/>
  <c r="AU159"/>
  <c r="AU173" s="1"/>
  <c r="AU174" s="1"/>
  <c r="BF177"/>
  <c r="AX177"/>
  <c r="L159"/>
  <c r="L173" s="1"/>
  <c r="L174" s="1"/>
  <c r="W159"/>
  <c r="W173" s="1"/>
  <c r="W174" s="1"/>
  <c r="AO177"/>
  <c r="AC159"/>
  <c r="AC173" s="1"/>
  <c r="AC174" s="1"/>
  <c r="O159"/>
  <c r="O173" s="1"/>
  <c r="O174" s="1"/>
  <c r="BG177"/>
  <c r="AY177"/>
  <c r="AP177"/>
  <c r="AD177"/>
  <c r="BJ159"/>
  <c r="BJ173" s="1"/>
  <c r="BJ174" s="1"/>
  <c r="BB159"/>
  <c r="BB173" s="1"/>
  <c r="BB174" s="1"/>
  <c r="AT159"/>
  <c r="AT173" s="1"/>
  <c r="AT174" s="1"/>
  <c r="AL159"/>
  <c r="AL173" s="1"/>
  <c r="AL174" s="1"/>
  <c r="AA177"/>
  <c r="AK159"/>
  <c r="AK173" s="1"/>
  <c r="AK174" s="1"/>
  <c r="U159"/>
  <c r="U173" s="1"/>
  <c r="U174" s="1"/>
  <c r="BE177"/>
  <c r="AV177"/>
  <c r="AN177"/>
  <c r="Y177"/>
  <c r="BH159"/>
  <c r="BH173" s="1"/>
  <c r="BH174" s="1"/>
  <c r="AZ159"/>
  <c r="AZ173" s="1"/>
  <c r="AZ174" s="1"/>
  <c r="AR159"/>
  <c r="AR173" s="1"/>
  <c r="AR174" s="1"/>
  <c r="AJ159"/>
  <c r="AJ173" s="1"/>
  <c r="AJ174" s="1"/>
  <c r="AB159"/>
  <c r="AB173" s="1"/>
  <c r="AB174" s="1"/>
  <c r="BI159"/>
  <c r="BI173" s="1"/>
  <c r="BI174" s="1"/>
  <c r="Q159"/>
  <c r="Q173" s="1"/>
  <c r="Q174" s="1"/>
  <c r="BL177"/>
  <c r="BD177"/>
  <c r="AU177"/>
  <c r="AM177"/>
  <c r="AQ159"/>
  <c r="AQ173" s="1"/>
  <c r="AQ174" s="1"/>
  <c r="AI159"/>
  <c r="AI173" s="1"/>
  <c r="AI174" s="1"/>
  <c r="R159"/>
  <c r="R173" s="1"/>
  <c r="R174" s="1"/>
  <c r="BK177"/>
  <c r="BC177"/>
  <c r="AH159"/>
  <c r="AH173" s="1"/>
  <c r="AH174" s="1"/>
  <c r="Z159"/>
  <c r="Z173" s="1"/>
  <c r="Z174" s="1"/>
  <c r="AS159"/>
  <c r="AS173" s="1"/>
  <c r="AS174" s="1"/>
  <c r="T159"/>
  <c r="T173" s="1"/>
  <c r="T174" s="1"/>
  <c r="AW159"/>
  <c r="AW173" s="1"/>
  <c r="AW174" s="1"/>
  <c r="AG159"/>
  <c r="AG173" s="1"/>
  <c r="AG174" s="1"/>
  <c r="BA159"/>
  <c r="BA173" s="1"/>
  <c r="BA174" s="1"/>
  <c r="S159"/>
  <c r="S173" s="1"/>
  <c r="S174" s="1"/>
  <c r="AF159"/>
  <c r="AF173" s="1"/>
  <c r="AF174" s="1"/>
  <c r="X159"/>
  <c r="X173" s="1"/>
  <c r="X174" s="1"/>
  <c r="Y173"/>
  <c r="Y174" s="1"/>
  <c r="AE159"/>
  <c r="AE173" s="1"/>
  <c r="AE174" s="1"/>
  <c r="T178"/>
  <c r="E182"/>
  <c r="C181"/>
  <c r="W179"/>
  <c r="O179"/>
  <c r="U179"/>
  <c r="V159"/>
  <c r="V173" s="1"/>
  <c r="V174" s="1"/>
  <c r="J159"/>
  <c r="J173" s="1"/>
  <c r="J174" s="1"/>
  <c r="S178"/>
  <c r="N159"/>
  <c r="N173" s="1"/>
  <c r="N174" s="1"/>
  <c r="K159"/>
  <c r="K173" s="1"/>
  <c r="K174" s="1"/>
  <c r="M159"/>
  <c r="M173" s="1"/>
  <c r="M174" s="1"/>
  <c r="F159"/>
  <c r="F173" s="1"/>
  <c r="F174" s="1"/>
  <c r="E159"/>
  <c r="E173" s="1"/>
  <c r="E174" s="1"/>
  <c r="R177"/>
  <c r="D159"/>
  <c r="D173" s="1"/>
  <c r="D174" s="1"/>
  <c r="Q177"/>
  <c r="C159"/>
  <c r="C173" s="1"/>
  <c r="L177"/>
  <c r="I159"/>
  <c r="I173" s="1"/>
  <c r="I174" s="1"/>
  <c r="K177"/>
  <c r="P159"/>
  <c r="P173" s="1"/>
  <c r="P174" s="1"/>
  <c r="H159"/>
  <c r="H173" s="1"/>
  <c r="H174" s="1"/>
  <c r="G159"/>
  <c r="G173" s="1"/>
  <c r="G174" s="1"/>
  <c r="J177"/>
  <c r="AO173"/>
  <c r="AO174" s="1"/>
  <c r="BN49"/>
  <c r="Q185"/>
  <c r="P185"/>
  <c r="Y185"/>
  <c r="W185"/>
  <c r="O185"/>
  <c r="G185"/>
  <c r="AO185"/>
  <c r="BL173"/>
  <c r="BL174" s="1"/>
  <c r="BD173"/>
  <c r="BD174" s="1"/>
  <c r="AV173"/>
  <c r="AV174" s="1"/>
  <c r="BF173"/>
  <c r="BF174" s="1"/>
  <c r="BN120" l="1"/>
  <c r="BM159"/>
  <c r="BM173" s="1"/>
  <c r="BN101"/>
  <c r="BN63"/>
  <c r="BN44"/>
  <c r="BN172"/>
  <c r="BM185"/>
  <c r="BN158"/>
  <c r="BM184"/>
  <c r="BN139"/>
  <c r="BN82"/>
  <c r="BN25"/>
  <c r="BM177"/>
  <c r="C174"/>
  <c r="BN159" l="1"/>
  <c r="BM174"/>
  <c r="BN174" s="1"/>
  <c r="BN173"/>
</calcChain>
</file>

<file path=xl/sharedStrings.xml><?xml version="1.0" encoding="utf-8"?>
<sst xmlns="http://schemas.openxmlformats.org/spreadsheetml/2006/main" count="588" uniqueCount="144">
  <si>
    <t>เครื่องจักร</t>
  </si>
  <si>
    <t>F7</t>
  </si>
  <si>
    <t>F8</t>
  </si>
  <si>
    <t>F9</t>
  </si>
  <si>
    <t>F10</t>
  </si>
  <si>
    <t>F11</t>
  </si>
  <si>
    <t>F12</t>
  </si>
  <si>
    <t>F13</t>
  </si>
  <si>
    <t>F14</t>
  </si>
  <si>
    <t>เวลาผลิต</t>
  </si>
  <si>
    <t>ปรับตั้งเครื่องจักร น้อยกว่า 10 นาที</t>
  </si>
  <si>
    <t>รอปูน</t>
  </si>
  <si>
    <t>รอแบบ</t>
  </si>
  <si>
    <t>ทำความสะอาด ชุดจ่ายปูน/โม่/Mix</t>
  </si>
  <si>
    <t>ปรับตั้งชุดรับแบบ</t>
  </si>
  <si>
    <t>ปรับตั้งชุดวาง Product กลาง Line</t>
  </si>
  <si>
    <t>ปรับตั้งโมล</t>
  </si>
  <si>
    <t>ปรับตั้งชุดเสริฟ</t>
  </si>
  <si>
    <t>แบบขัดตัว</t>
  </si>
  <si>
    <t>อื่นๆ</t>
  </si>
  <si>
    <t>ท่อสีเบสแตก</t>
  </si>
  <si>
    <t>ท่อสีโอเวอร์แตก</t>
  </si>
  <si>
    <t>สีผสมไม่ทัน</t>
  </si>
  <si>
    <t>แบบติดสายพาน</t>
  </si>
  <si>
    <t>สีหนา,สีบาง</t>
  </si>
  <si>
    <t>หัวพ่นน้ำยาตัน</t>
  </si>
  <si>
    <t>ทำความสะอาดชุดพ่นสี</t>
  </si>
  <si>
    <t>ทำความสะอาดชุดน้ำยา</t>
  </si>
  <si>
    <t>Rack เต็ม</t>
  </si>
  <si>
    <t>วันที่</t>
  </si>
  <si>
    <t>กะ1</t>
  </si>
  <si>
    <t>กะ2</t>
  </si>
  <si>
    <t>รวมเวลาหยุด</t>
  </si>
  <si>
    <t>รวมเวลาหยุด/จำนวนเครื่องที่ผลิต</t>
  </si>
  <si>
    <t>จำนวนเครื่องที่ผลิต</t>
  </si>
  <si>
    <t>ปัญหาเครื่องจักร</t>
  </si>
  <si>
    <t>เวลาหยุดรวมของเครื่องจักร</t>
  </si>
  <si>
    <t>Slurry+X shield</t>
  </si>
  <si>
    <t xml:space="preserve">SMDT </t>
  </si>
  <si>
    <t>ขึ้นแหย่คอถ้วยจ่าย</t>
  </si>
  <si>
    <t>Robot Alam เคลียร์งาน</t>
  </si>
  <si>
    <t>ส่วนผสมไม่เท่ากัน</t>
  </si>
  <si>
    <t>วางครอบไม่ได้</t>
  </si>
  <si>
    <t>เคลียร์ปูนที่เรือ</t>
  </si>
  <si>
    <t>ปูนติดโมล</t>
  </si>
  <si>
    <t>สายพานเส้น 7-14 หยุด</t>
  </si>
  <si>
    <t>Line สี หยุด</t>
  </si>
  <si>
    <t>สายพานหยุด/สลิป/หลุด</t>
  </si>
  <si>
    <t>F1</t>
  </si>
  <si>
    <t>F2</t>
  </si>
  <si>
    <t>F3</t>
  </si>
  <si>
    <t>F4</t>
  </si>
  <si>
    <t>F5</t>
  </si>
  <si>
    <t>Primer</t>
  </si>
  <si>
    <t>สายพานหยุด</t>
  </si>
  <si>
    <t>M/C</t>
  </si>
  <si>
    <t>Mould</t>
  </si>
  <si>
    <t>ถ้วยจ่าย</t>
  </si>
  <si>
    <t>6.SMDT</t>
  </si>
  <si>
    <t>6.5 อื่นๆ</t>
  </si>
  <si>
    <t>Robot</t>
  </si>
  <si>
    <t>5.CLEAN</t>
  </si>
  <si>
    <t>5.1 Clean ระหว่างผลิต</t>
  </si>
  <si>
    <t>โม่</t>
  </si>
  <si>
    <t>เรือ</t>
  </si>
  <si>
    <t>--</t>
  </si>
  <si>
    <t>2.Setup</t>
  </si>
  <si>
    <t>6.6 ปรับตั้ง ระหว่งผลิต</t>
  </si>
  <si>
    <t>LINE1</t>
  </si>
  <si>
    <t>MIXER</t>
  </si>
  <si>
    <t>sub/relate M/C</t>
  </si>
  <si>
    <t>Type</t>
  </si>
  <si>
    <t>subType</t>
  </si>
  <si>
    <t>Cause</t>
  </si>
  <si>
    <t xml:space="preserve"> --</t>
  </si>
  <si>
    <t>M/E/O</t>
  </si>
  <si>
    <t>O</t>
  </si>
  <si>
    <t>M</t>
  </si>
  <si>
    <t>ขุดรับแบบ</t>
  </si>
  <si>
    <t>ชุดเสริฟ</t>
  </si>
  <si>
    <t>ชุดวางProduct</t>
  </si>
  <si>
    <t>แบบ</t>
  </si>
  <si>
    <t>7.BD</t>
  </si>
  <si>
    <t>4.4 ไม่มีแบบ</t>
  </si>
  <si>
    <t>4.Idle</t>
  </si>
  <si>
    <t>note</t>
  </si>
  <si>
    <t>โมลแตก</t>
  </si>
  <si>
    <t>Machine</t>
  </si>
  <si>
    <t>Relate</t>
  </si>
  <si>
    <t>SANDMIX</t>
  </si>
  <si>
    <t>LINE</t>
  </si>
  <si>
    <t>LINE(dry)</t>
  </si>
  <si>
    <t>F</t>
  </si>
  <si>
    <t>ü</t>
  </si>
  <si>
    <t xml:space="preserve">CABLE CAR </t>
  </si>
  <si>
    <t>Equipment</t>
  </si>
  <si>
    <t>McId</t>
  </si>
  <si>
    <t>subMcId</t>
  </si>
  <si>
    <t>SubMachine Table</t>
  </si>
  <si>
    <t>MainMachine Table</t>
  </si>
  <si>
    <t>ชุดวาง Product</t>
  </si>
  <si>
    <t>Hydraulic Pump</t>
  </si>
  <si>
    <t>Press Cylinder</t>
  </si>
  <si>
    <t>Control System</t>
  </si>
  <si>
    <t>StopType</t>
  </si>
  <si>
    <t>TypeID</t>
  </si>
  <si>
    <t>RUN</t>
  </si>
  <si>
    <t>SETUP</t>
  </si>
  <si>
    <t>CHGOVER</t>
  </si>
  <si>
    <t>IDLE</t>
  </si>
  <si>
    <t>CLEAN</t>
  </si>
  <si>
    <t>SMDT</t>
  </si>
  <si>
    <t>BD</t>
  </si>
  <si>
    <t xml:space="preserve">Cause </t>
  </si>
  <si>
    <t>SubStopType</t>
  </si>
  <si>
    <t>เปลี่ยน Color</t>
  </si>
  <si>
    <t>เปลี่ยน Mould</t>
  </si>
  <si>
    <t>เปลี่ยนผ้าตะแกรง</t>
  </si>
  <si>
    <t>ไม่มีแผนผลิต</t>
  </si>
  <si>
    <t xml:space="preserve">ทดลองผลิต </t>
  </si>
  <si>
    <t>ที่กองเต็ม</t>
  </si>
  <si>
    <t>ไม่มีแบบ</t>
  </si>
  <si>
    <t>ไฟฟ้าดับ/น้ำปะปาไม่ไหล</t>
  </si>
  <si>
    <t>ครอบไม่แห้งรอแกะ</t>
  </si>
  <si>
    <t>ผู้รับเหมาทำไม่ทัน</t>
  </si>
  <si>
    <t xml:space="preserve">Forklift เสีย / วิ่งไม่ทัน </t>
  </si>
  <si>
    <t>วัตถุดิบหมด</t>
  </si>
  <si>
    <t>StopId</t>
  </si>
  <si>
    <t>subStopId</t>
  </si>
  <si>
    <t>SubMcId</t>
  </si>
  <si>
    <t>ชุดจ่ายปูน</t>
  </si>
  <si>
    <t>Clean ระหว่างผลิต</t>
  </si>
  <si>
    <t>Clean หลังผลิต</t>
  </si>
  <si>
    <t>6,7</t>
  </si>
  <si>
    <t>20,21</t>
  </si>
  <si>
    <t>ผ้า/ตะแกรง</t>
  </si>
  <si>
    <t>Clear Coat</t>
  </si>
  <si>
    <t>Color Spray</t>
  </si>
  <si>
    <t>Other</t>
  </si>
  <si>
    <t>Conv</t>
  </si>
  <si>
    <t>No</t>
  </si>
  <si>
    <t>Gripper</t>
  </si>
  <si>
    <t>Arm</t>
  </si>
  <si>
    <t>CABLE CAR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</si>
</sst>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2" fillId="0" borderId="1" xfId="0" applyFont="1" applyBorder="1"/>
    <xf numFmtId="0" fontId="2" fillId="0" borderId="0" xfId="0" applyFont="1"/>
    <xf numFmtId="9" fontId="0" fillId="0" borderId="0" xfId="1" applyFont="1"/>
    <xf numFmtId="10" fontId="0" fillId="0" borderId="0" xfId="1" applyNumberFormat="1" applyFont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3" xfId="0" applyFill="1" applyBorder="1"/>
    <xf numFmtId="0" fontId="0" fillId="3" borderId="0" xfId="0" applyFill="1"/>
    <xf numFmtId="0" fontId="2" fillId="0" borderId="3" xfId="0" applyFont="1" applyFill="1" applyBorder="1"/>
    <xf numFmtId="10" fontId="2" fillId="0" borderId="0" xfId="1" applyNumberFormat="1" applyFont="1"/>
    <xf numFmtId="9" fontId="2" fillId="0" borderId="0" xfId="1" applyNumberFormat="1" applyFont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0" fillId="5" borderId="0" xfId="0" applyFill="1" applyBorder="1"/>
    <xf numFmtId="10" fontId="0" fillId="5" borderId="0" xfId="1" applyNumberFormat="1" applyFont="1" applyFill="1"/>
    <xf numFmtId="2" fontId="2" fillId="0" borderId="1" xfId="0" applyNumberFormat="1" applyFont="1" applyBorder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0" xfId="0" applyBorder="1"/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7" xfId="0" applyBorder="1"/>
    <xf numFmtId="0" fontId="0" fillId="0" borderId="0" xfId="0" applyBorder="1" applyAlignment="1">
      <alignment horizontal="center"/>
    </xf>
    <xf numFmtId="0" fontId="0" fillId="0" borderId="12" xfId="0" applyBorder="1"/>
    <xf numFmtId="0" fontId="0" fillId="0" borderId="1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185"/>
  <sheetViews>
    <sheetView zoomScale="86" zoomScaleNormal="86" workbookViewId="0">
      <pane xSplit="2" ySplit="3" topLeftCell="AY4" activePane="bottomRight" state="frozen"/>
      <selection pane="topRight" activeCell="D1" sqref="D1"/>
      <selection pane="bottomLeft" activeCell="A4" sqref="A4"/>
      <selection pane="bottomRight" activeCell="B6" sqref="B6:B24"/>
    </sheetView>
  </sheetViews>
  <sheetFormatPr defaultRowHeight="14.5"/>
  <cols>
    <col min="1" max="1" width="9.453125" bestFit="1" customWidth="1"/>
    <col min="2" max="2" width="31.1796875" bestFit="1" customWidth="1"/>
    <col min="3" max="3" width="5.1796875" customWidth="1"/>
    <col min="4" max="64" width="4.7265625" customWidth="1"/>
  </cols>
  <sheetData>
    <row r="1" spans="1:66">
      <c r="A1" s="24" t="s">
        <v>38</v>
      </c>
      <c r="B1" s="24"/>
      <c r="C1" s="25" t="s">
        <v>29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6">
      <c r="A2" s="24"/>
      <c r="B2" s="24"/>
      <c r="C2" s="25">
        <v>1</v>
      </c>
      <c r="D2" s="25"/>
      <c r="E2" s="25">
        <v>2</v>
      </c>
      <c r="F2" s="25"/>
      <c r="G2" s="25">
        <v>3</v>
      </c>
      <c r="H2" s="25"/>
      <c r="I2" s="25">
        <v>4</v>
      </c>
      <c r="J2" s="25"/>
      <c r="K2" s="25">
        <v>5</v>
      </c>
      <c r="L2" s="25"/>
      <c r="M2" s="25">
        <v>6</v>
      </c>
      <c r="N2" s="25"/>
      <c r="O2" s="25">
        <v>7</v>
      </c>
      <c r="P2" s="25"/>
      <c r="Q2" s="25">
        <v>8</v>
      </c>
      <c r="R2" s="25"/>
      <c r="S2" s="25">
        <v>9</v>
      </c>
      <c r="T2" s="25"/>
      <c r="U2" s="25">
        <v>10</v>
      </c>
      <c r="V2" s="25"/>
      <c r="W2" s="25">
        <v>11</v>
      </c>
      <c r="X2" s="25"/>
      <c r="Y2" s="25">
        <v>12</v>
      </c>
      <c r="Z2" s="25"/>
      <c r="AA2" s="25">
        <v>13</v>
      </c>
      <c r="AB2" s="25"/>
      <c r="AC2" s="25">
        <v>14</v>
      </c>
      <c r="AD2" s="25"/>
      <c r="AE2" s="25">
        <v>15</v>
      </c>
      <c r="AF2" s="25"/>
      <c r="AG2" s="25">
        <v>16</v>
      </c>
      <c r="AH2" s="25"/>
      <c r="AI2" s="25">
        <v>17</v>
      </c>
      <c r="AJ2" s="25"/>
      <c r="AK2" s="25">
        <v>18</v>
      </c>
      <c r="AL2" s="25"/>
      <c r="AM2" s="25">
        <v>19</v>
      </c>
      <c r="AN2" s="25"/>
      <c r="AO2" s="25">
        <v>20</v>
      </c>
      <c r="AP2" s="25"/>
      <c r="AQ2" s="25">
        <v>21</v>
      </c>
      <c r="AR2" s="25"/>
      <c r="AS2" s="25">
        <v>22</v>
      </c>
      <c r="AT2" s="25"/>
      <c r="AU2" s="25">
        <v>23</v>
      </c>
      <c r="AV2" s="25"/>
      <c r="AW2" s="25">
        <v>24</v>
      </c>
      <c r="AX2" s="25"/>
      <c r="AY2" s="25">
        <v>25</v>
      </c>
      <c r="AZ2" s="25"/>
      <c r="BA2" s="25">
        <v>26</v>
      </c>
      <c r="BB2" s="25"/>
      <c r="BC2" s="25">
        <v>27</v>
      </c>
      <c r="BD2" s="25"/>
      <c r="BE2" s="25">
        <v>28</v>
      </c>
      <c r="BF2" s="25"/>
      <c r="BG2" s="25">
        <v>29</v>
      </c>
      <c r="BH2" s="25"/>
      <c r="BI2" s="25">
        <v>30</v>
      </c>
      <c r="BJ2" s="25"/>
      <c r="BK2" s="25">
        <v>31</v>
      </c>
      <c r="BL2" s="25"/>
    </row>
    <row r="3" spans="1:66">
      <c r="A3" s="24"/>
      <c r="B3" s="24"/>
      <c r="C3" s="1" t="s">
        <v>30</v>
      </c>
      <c r="D3" s="1" t="s">
        <v>31</v>
      </c>
      <c r="E3" s="1" t="s">
        <v>30</v>
      </c>
      <c r="F3" s="1" t="s">
        <v>31</v>
      </c>
      <c r="G3" s="1" t="s">
        <v>30</v>
      </c>
      <c r="H3" s="1" t="s">
        <v>31</v>
      </c>
      <c r="I3" s="1" t="s">
        <v>30</v>
      </c>
      <c r="J3" s="1" t="s">
        <v>31</v>
      </c>
      <c r="K3" s="1" t="s">
        <v>30</v>
      </c>
      <c r="L3" s="1" t="s">
        <v>31</v>
      </c>
      <c r="M3" s="1" t="s">
        <v>30</v>
      </c>
      <c r="N3" s="1" t="s">
        <v>31</v>
      </c>
      <c r="O3" s="1" t="s">
        <v>30</v>
      </c>
      <c r="P3" s="1" t="s">
        <v>31</v>
      </c>
      <c r="Q3" s="1" t="s">
        <v>30</v>
      </c>
      <c r="R3" s="1" t="s">
        <v>31</v>
      </c>
      <c r="S3" s="1" t="s">
        <v>30</v>
      </c>
      <c r="T3" s="1" t="s">
        <v>31</v>
      </c>
      <c r="U3" s="1" t="s">
        <v>30</v>
      </c>
      <c r="V3" s="1" t="s">
        <v>31</v>
      </c>
      <c r="W3" s="1" t="s">
        <v>30</v>
      </c>
      <c r="X3" s="1" t="s">
        <v>31</v>
      </c>
      <c r="Y3" s="1" t="s">
        <v>30</v>
      </c>
      <c r="Z3" s="1" t="s">
        <v>31</v>
      </c>
      <c r="AA3" s="1" t="s">
        <v>30</v>
      </c>
      <c r="AB3" s="1" t="s">
        <v>31</v>
      </c>
      <c r="AC3" s="1" t="s">
        <v>30</v>
      </c>
      <c r="AD3" s="1" t="s">
        <v>31</v>
      </c>
      <c r="AE3" s="1" t="s">
        <v>30</v>
      </c>
      <c r="AF3" s="1" t="s">
        <v>31</v>
      </c>
      <c r="AG3" s="1" t="s">
        <v>30</v>
      </c>
      <c r="AH3" s="1" t="s">
        <v>31</v>
      </c>
      <c r="AI3" s="1" t="s">
        <v>30</v>
      </c>
      <c r="AJ3" s="1" t="s">
        <v>31</v>
      </c>
      <c r="AK3" s="1" t="s">
        <v>30</v>
      </c>
      <c r="AL3" s="1" t="s">
        <v>31</v>
      </c>
      <c r="AM3" s="1" t="s">
        <v>30</v>
      </c>
      <c r="AN3" s="1" t="s">
        <v>31</v>
      </c>
      <c r="AO3" s="1" t="s">
        <v>30</v>
      </c>
      <c r="AP3" s="1" t="s">
        <v>31</v>
      </c>
      <c r="AQ3" s="1" t="s">
        <v>30</v>
      </c>
      <c r="AR3" s="1" t="s">
        <v>31</v>
      </c>
      <c r="AS3" s="1" t="s">
        <v>30</v>
      </c>
      <c r="AT3" s="1" t="s">
        <v>31</v>
      </c>
      <c r="AU3" s="1" t="s">
        <v>30</v>
      </c>
      <c r="AV3" s="1" t="s">
        <v>31</v>
      </c>
      <c r="AW3" s="1" t="s">
        <v>30</v>
      </c>
      <c r="AX3" s="1" t="s">
        <v>31</v>
      </c>
      <c r="AY3" s="1" t="s">
        <v>30</v>
      </c>
      <c r="AZ3" s="1" t="s">
        <v>31</v>
      </c>
      <c r="BA3" s="1" t="s">
        <v>30</v>
      </c>
      <c r="BB3" s="1" t="s">
        <v>31</v>
      </c>
      <c r="BC3" s="1" t="s">
        <v>30</v>
      </c>
      <c r="BD3" s="1" t="s">
        <v>31</v>
      </c>
      <c r="BE3" s="1" t="s">
        <v>30</v>
      </c>
      <c r="BF3" s="1" t="s">
        <v>31</v>
      </c>
      <c r="BG3" s="1" t="s">
        <v>30</v>
      </c>
      <c r="BH3" s="1" t="s">
        <v>31</v>
      </c>
      <c r="BI3" s="1" t="s">
        <v>30</v>
      </c>
      <c r="BJ3" s="1" t="s">
        <v>31</v>
      </c>
      <c r="BK3" s="1" t="s">
        <v>30</v>
      </c>
      <c r="BL3" s="1" t="s">
        <v>31</v>
      </c>
    </row>
    <row r="4" spans="1:66">
      <c r="A4" s="26" t="s">
        <v>34</v>
      </c>
      <c r="B4" s="2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>
        <v>5</v>
      </c>
      <c r="AR4" s="1"/>
      <c r="AS4" s="1">
        <v>4</v>
      </c>
      <c r="AT4" s="1"/>
      <c r="AU4" s="1">
        <v>3</v>
      </c>
      <c r="AV4" s="1"/>
      <c r="AW4" s="1"/>
      <c r="AX4" s="1"/>
      <c r="AY4" s="1">
        <v>5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>
        <f>SUM(C4:BL4)</f>
        <v>17</v>
      </c>
    </row>
    <row r="5" spans="1:66">
      <c r="A5" s="26" t="s">
        <v>9</v>
      </c>
      <c r="B5" s="2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>
        <v>600</v>
      </c>
      <c r="AR5" s="1"/>
      <c r="AS5" s="1">
        <v>600</v>
      </c>
      <c r="AT5" s="1"/>
      <c r="AU5" s="1">
        <v>600</v>
      </c>
      <c r="AV5" s="1"/>
      <c r="AW5" s="1"/>
      <c r="AX5" s="1"/>
      <c r="AY5" s="1">
        <v>600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>
        <f>SUM(C5:BL5)</f>
        <v>2400</v>
      </c>
    </row>
    <row r="6" spans="1:66">
      <c r="A6" s="2" t="s">
        <v>0</v>
      </c>
      <c r="B6" s="2" t="s">
        <v>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8"/>
    </row>
    <row r="7" spans="1:66">
      <c r="A7" s="21" t="s">
        <v>48</v>
      </c>
      <c r="B7" s="16" t="s">
        <v>44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>
        <v>26</v>
      </c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7">
        <f t="shared" ref="BM7:BM24" si="0">SUM(C7:BL7)</f>
        <v>26</v>
      </c>
      <c r="BN7" s="6">
        <f t="shared" ref="BN7:BN24" si="1">BM7/BM$5</f>
        <v>1.0833333333333334E-2</v>
      </c>
    </row>
    <row r="8" spans="1:66">
      <c r="A8" s="22"/>
      <c r="B8" s="2" t="s">
        <v>39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7">
        <f t="shared" si="0"/>
        <v>0</v>
      </c>
      <c r="BN8" s="6">
        <f t="shared" si="1"/>
        <v>0</v>
      </c>
    </row>
    <row r="9" spans="1:66">
      <c r="A9" s="22"/>
      <c r="B9" s="2" t="s">
        <v>41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7">
        <f t="shared" si="0"/>
        <v>0</v>
      </c>
      <c r="BN9" s="6">
        <f t="shared" si="1"/>
        <v>0</v>
      </c>
    </row>
    <row r="10" spans="1:66">
      <c r="A10" s="22"/>
      <c r="B10" s="2" t="s">
        <v>40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7">
        <f t="shared" si="0"/>
        <v>0</v>
      </c>
      <c r="BN10" s="6">
        <f t="shared" si="1"/>
        <v>0</v>
      </c>
    </row>
    <row r="11" spans="1:66">
      <c r="A11" s="22"/>
      <c r="B11" s="1" t="s">
        <v>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7">
        <f t="shared" si="0"/>
        <v>0</v>
      </c>
      <c r="BN11" s="6">
        <f t="shared" si="1"/>
        <v>0</v>
      </c>
    </row>
    <row r="12" spans="1:66">
      <c r="A12" s="22"/>
      <c r="B12" s="16" t="s">
        <v>43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7">
        <f t="shared" si="0"/>
        <v>0</v>
      </c>
      <c r="BN12" s="6">
        <f t="shared" si="1"/>
        <v>0</v>
      </c>
    </row>
    <row r="13" spans="1:66">
      <c r="A13" s="22"/>
      <c r="B13" s="16" t="s">
        <v>42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7">
        <f t="shared" si="0"/>
        <v>0</v>
      </c>
      <c r="BN13" s="6">
        <f t="shared" si="1"/>
        <v>0</v>
      </c>
    </row>
    <row r="14" spans="1:66">
      <c r="A14" s="22"/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>
        <v>28</v>
      </c>
      <c r="AR14" s="1"/>
      <c r="AS14" s="1"/>
      <c r="AT14" s="1"/>
      <c r="AU14" s="1">
        <v>14</v>
      </c>
      <c r="AV14" s="1"/>
      <c r="AW14" s="1"/>
      <c r="AX14" s="1"/>
      <c r="AY14" s="1">
        <v>18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7">
        <f t="shared" si="0"/>
        <v>60</v>
      </c>
      <c r="BN14" s="6">
        <f t="shared" si="1"/>
        <v>2.5000000000000001E-2</v>
      </c>
    </row>
    <row r="15" spans="1:66">
      <c r="A15" s="22"/>
      <c r="B15" s="1" t="s">
        <v>54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>
        <v>8</v>
      </c>
      <c r="AR15" s="1"/>
      <c r="AS15" s="1"/>
      <c r="AT15" s="1"/>
      <c r="AU15" s="1">
        <v>4</v>
      </c>
      <c r="AV15" s="1"/>
      <c r="AW15" s="1"/>
      <c r="AX15" s="1"/>
      <c r="AY15" s="1">
        <v>14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7">
        <f t="shared" si="0"/>
        <v>26</v>
      </c>
      <c r="BN15" s="6">
        <f t="shared" si="1"/>
        <v>1.0833333333333334E-2</v>
      </c>
    </row>
    <row r="16" spans="1:66">
      <c r="A16" s="22"/>
      <c r="B16" t="s">
        <v>46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>
        <v>5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7">
        <f t="shared" si="0"/>
        <v>5</v>
      </c>
      <c r="BN16" s="6">
        <f t="shared" si="1"/>
        <v>2.0833333333333333E-3</v>
      </c>
    </row>
    <row r="17" spans="1:66">
      <c r="A17" s="22"/>
      <c r="B17" s="1" t="s">
        <v>11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>
        <v>30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7">
        <f t="shared" si="0"/>
        <v>30</v>
      </c>
      <c r="BN17" s="6">
        <f t="shared" si="1"/>
        <v>1.2500000000000001E-2</v>
      </c>
    </row>
    <row r="18" spans="1:66">
      <c r="A18" s="22"/>
      <c r="B18" s="1" t="s">
        <v>12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7">
        <f t="shared" si="0"/>
        <v>0</v>
      </c>
      <c r="BN18" s="6">
        <f t="shared" si="1"/>
        <v>0</v>
      </c>
    </row>
    <row r="19" spans="1:66">
      <c r="A19" s="22"/>
      <c r="B19" s="1" t="s">
        <v>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7">
        <f t="shared" si="0"/>
        <v>0</v>
      </c>
      <c r="BN19" s="6">
        <f t="shared" si="1"/>
        <v>0</v>
      </c>
    </row>
    <row r="20" spans="1:66" ht="15.75" customHeight="1">
      <c r="A20" s="22"/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7">
        <f t="shared" si="0"/>
        <v>0</v>
      </c>
      <c r="BN20" s="6">
        <f t="shared" si="1"/>
        <v>0</v>
      </c>
    </row>
    <row r="21" spans="1:66" ht="15.75" customHeight="1">
      <c r="A21" s="22"/>
      <c r="B21" s="1" t="s">
        <v>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7">
        <f t="shared" si="0"/>
        <v>0</v>
      </c>
      <c r="BN21" s="6">
        <f t="shared" si="1"/>
        <v>0</v>
      </c>
    </row>
    <row r="22" spans="1:66">
      <c r="A22" s="22"/>
      <c r="B22" s="1" t="s">
        <v>16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>
        <v>24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7">
        <f t="shared" si="0"/>
        <v>24</v>
      </c>
      <c r="BN22" s="6">
        <f t="shared" si="1"/>
        <v>0.01</v>
      </c>
    </row>
    <row r="23" spans="1:66" ht="16.5" customHeight="1">
      <c r="A23" s="22"/>
      <c r="B23" s="1" t="s">
        <v>18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7">
        <f t="shared" si="0"/>
        <v>0</v>
      </c>
      <c r="BN23" s="6">
        <f t="shared" si="1"/>
        <v>0</v>
      </c>
    </row>
    <row r="24" spans="1:66" ht="15.75" customHeight="1">
      <c r="A24" s="22"/>
      <c r="B24" s="1" t="s">
        <v>19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>
        <v>45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7">
        <f t="shared" si="0"/>
        <v>45</v>
      </c>
      <c r="BN24" s="6">
        <f t="shared" si="1"/>
        <v>1.8749999999999999E-2</v>
      </c>
    </row>
    <row r="25" spans="1:66" s="11" customFormat="1" ht="15.75" customHeight="1">
      <c r="A25" s="23"/>
      <c r="B25" s="9" t="s">
        <v>32</v>
      </c>
      <c r="C25" s="9">
        <f>SUM(C7:C24)</f>
        <v>0</v>
      </c>
      <c r="D25" s="9">
        <f t="shared" ref="D25:BL25" si="2">SUM(D7:D24)</f>
        <v>0</v>
      </c>
      <c r="E25" s="9">
        <f t="shared" si="2"/>
        <v>0</v>
      </c>
      <c r="F25" s="9">
        <f t="shared" si="2"/>
        <v>0</v>
      </c>
      <c r="G25" s="9">
        <f t="shared" si="2"/>
        <v>0</v>
      </c>
      <c r="H25" s="9">
        <f t="shared" si="2"/>
        <v>0</v>
      </c>
      <c r="I25" s="9">
        <f t="shared" si="2"/>
        <v>0</v>
      </c>
      <c r="J25" s="9">
        <f t="shared" si="2"/>
        <v>0</v>
      </c>
      <c r="K25" s="9">
        <f t="shared" si="2"/>
        <v>0</v>
      </c>
      <c r="L25" s="9">
        <f t="shared" si="2"/>
        <v>0</v>
      </c>
      <c r="M25" s="9">
        <f t="shared" si="2"/>
        <v>0</v>
      </c>
      <c r="N25" s="9">
        <f t="shared" si="2"/>
        <v>0</v>
      </c>
      <c r="O25" s="9">
        <f t="shared" si="2"/>
        <v>0</v>
      </c>
      <c r="P25" s="9">
        <f t="shared" si="2"/>
        <v>0</v>
      </c>
      <c r="Q25" s="9">
        <f t="shared" si="2"/>
        <v>0</v>
      </c>
      <c r="R25" s="9">
        <f t="shared" si="2"/>
        <v>0</v>
      </c>
      <c r="S25" s="9">
        <f t="shared" si="2"/>
        <v>0</v>
      </c>
      <c r="T25" s="9">
        <f t="shared" si="2"/>
        <v>0</v>
      </c>
      <c r="U25" s="9">
        <f t="shared" si="2"/>
        <v>0</v>
      </c>
      <c r="V25" s="9">
        <f t="shared" si="2"/>
        <v>0</v>
      </c>
      <c r="W25" s="9">
        <f t="shared" si="2"/>
        <v>0</v>
      </c>
      <c r="X25" s="9">
        <f t="shared" si="2"/>
        <v>0</v>
      </c>
      <c r="Y25" s="9">
        <f t="shared" si="2"/>
        <v>0</v>
      </c>
      <c r="Z25" s="9">
        <f t="shared" si="2"/>
        <v>0</v>
      </c>
      <c r="AA25" s="9">
        <f t="shared" si="2"/>
        <v>0</v>
      </c>
      <c r="AB25" s="9">
        <f t="shared" si="2"/>
        <v>0</v>
      </c>
      <c r="AC25" s="9">
        <f t="shared" si="2"/>
        <v>0</v>
      </c>
      <c r="AD25" s="9">
        <f t="shared" si="2"/>
        <v>0</v>
      </c>
      <c r="AE25" s="9">
        <f t="shared" si="2"/>
        <v>0</v>
      </c>
      <c r="AF25" s="9">
        <f t="shared" si="2"/>
        <v>0</v>
      </c>
      <c r="AG25" s="9">
        <f t="shared" si="2"/>
        <v>0</v>
      </c>
      <c r="AH25" s="9">
        <f t="shared" si="2"/>
        <v>0</v>
      </c>
      <c r="AI25" s="9">
        <f t="shared" si="2"/>
        <v>0</v>
      </c>
      <c r="AJ25" s="9">
        <f t="shared" si="2"/>
        <v>0</v>
      </c>
      <c r="AK25" s="9">
        <f t="shared" si="2"/>
        <v>0</v>
      </c>
      <c r="AL25" s="9">
        <f t="shared" si="2"/>
        <v>0</v>
      </c>
      <c r="AM25" s="9">
        <f t="shared" si="2"/>
        <v>0</v>
      </c>
      <c r="AN25" s="9">
        <f t="shared" si="2"/>
        <v>0</v>
      </c>
      <c r="AO25" s="9">
        <f t="shared" si="2"/>
        <v>0</v>
      </c>
      <c r="AP25" s="9">
        <f t="shared" si="2"/>
        <v>0</v>
      </c>
      <c r="AQ25" s="9">
        <f t="shared" si="2"/>
        <v>81</v>
      </c>
      <c r="AR25" s="9">
        <f t="shared" si="2"/>
        <v>0</v>
      </c>
      <c r="AS25" s="9">
        <f t="shared" si="2"/>
        <v>0</v>
      </c>
      <c r="AT25" s="9">
        <f t="shared" si="2"/>
        <v>0</v>
      </c>
      <c r="AU25" s="9">
        <f t="shared" si="2"/>
        <v>47</v>
      </c>
      <c r="AV25" s="9">
        <f t="shared" si="2"/>
        <v>0</v>
      </c>
      <c r="AW25" s="9">
        <f t="shared" si="2"/>
        <v>0</v>
      </c>
      <c r="AX25" s="9">
        <f t="shared" si="2"/>
        <v>0</v>
      </c>
      <c r="AY25" s="9">
        <f t="shared" si="2"/>
        <v>88</v>
      </c>
      <c r="AZ25" s="9">
        <f t="shared" si="2"/>
        <v>0</v>
      </c>
      <c r="BA25" s="9">
        <f t="shared" si="2"/>
        <v>0</v>
      </c>
      <c r="BB25" s="9">
        <f t="shared" si="2"/>
        <v>0</v>
      </c>
      <c r="BC25" s="9">
        <f t="shared" si="2"/>
        <v>0</v>
      </c>
      <c r="BD25" s="9">
        <f t="shared" si="2"/>
        <v>0</v>
      </c>
      <c r="BE25" s="9">
        <f t="shared" si="2"/>
        <v>0</v>
      </c>
      <c r="BF25" s="9">
        <f t="shared" si="2"/>
        <v>0</v>
      </c>
      <c r="BG25" s="9">
        <f t="shared" si="2"/>
        <v>0</v>
      </c>
      <c r="BH25" s="9">
        <f t="shared" si="2"/>
        <v>0</v>
      </c>
      <c r="BI25" s="9">
        <f t="shared" si="2"/>
        <v>0</v>
      </c>
      <c r="BJ25" s="9">
        <f t="shared" si="2"/>
        <v>0</v>
      </c>
      <c r="BK25" s="9">
        <f t="shared" si="2"/>
        <v>0</v>
      </c>
      <c r="BL25" s="9">
        <f t="shared" si="2"/>
        <v>0</v>
      </c>
      <c r="BM25" s="10">
        <f>SUM(BM7:BM24)</f>
        <v>216</v>
      </c>
      <c r="BN25" s="6">
        <f t="shared" ref="BN25:BN101" si="3">BM25/BM$5</f>
        <v>0.09</v>
      </c>
    </row>
    <row r="26" spans="1:66" s="11" customFormat="1" ht="15.75" customHeight="1">
      <c r="A26" s="21" t="s">
        <v>49</v>
      </c>
      <c r="B26" s="16" t="s">
        <v>44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8">
        <f t="shared" ref="BM26:BM43" si="4">SUM(C26:BL26)</f>
        <v>0</v>
      </c>
      <c r="BN26" s="6">
        <f t="shared" ref="BN26:BN43" si="5">BM26/BM$5</f>
        <v>0</v>
      </c>
    </row>
    <row r="27" spans="1:66">
      <c r="A27" s="22"/>
      <c r="B27" s="2" t="s">
        <v>39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7">
        <f t="shared" si="4"/>
        <v>0</v>
      </c>
      <c r="BN27" s="6">
        <f t="shared" si="5"/>
        <v>0</v>
      </c>
    </row>
    <row r="28" spans="1:66">
      <c r="A28" s="22"/>
      <c r="B28" s="2" t="s">
        <v>41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7">
        <f t="shared" si="4"/>
        <v>0</v>
      </c>
      <c r="BN28" s="6">
        <f t="shared" si="5"/>
        <v>0</v>
      </c>
    </row>
    <row r="29" spans="1:66">
      <c r="A29" s="22"/>
      <c r="B29" s="2" t="s">
        <v>40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7">
        <f t="shared" si="4"/>
        <v>0</v>
      </c>
      <c r="BN29" s="6">
        <f t="shared" si="5"/>
        <v>0</v>
      </c>
    </row>
    <row r="30" spans="1:66" ht="15.75" customHeight="1">
      <c r="A30" s="22"/>
      <c r="B30" s="1" t="s">
        <v>13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>
        <f t="shared" si="4"/>
        <v>0</v>
      </c>
      <c r="BN30" s="6">
        <f t="shared" si="5"/>
        <v>0</v>
      </c>
    </row>
    <row r="31" spans="1:66" s="11" customFormat="1" ht="15.75" customHeight="1">
      <c r="A31" s="22"/>
      <c r="B31" s="16" t="s">
        <v>43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8">
        <f t="shared" si="4"/>
        <v>0</v>
      </c>
      <c r="BN31" s="19">
        <f t="shared" si="5"/>
        <v>0</v>
      </c>
    </row>
    <row r="32" spans="1:66" s="11" customFormat="1" ht="15.75" customHeight="1">
      <c r="A32" s="22"/>
      <c r="B32" s="16" t="s">
        <v>42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8">
        <f t="shared" si="4"/>
        <v>0</v>
      </c>
      <c r="BN32" s="19">
        <f t="shared" si="5"/>
        <v>0</v>
      </c>
    </row>
    <row r="33" spans="1:66">
      <c r="A33" s="22"/>
      <c r="B33" s="1" t="s">
        <v>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>
        <v>23</v>
      </c>
      <c r="AR33" s="1"/>
      <c r="AS33" s="1"/>
      <c r="AT33" s="1"/>
      <c r="AU33" s="1"/>
      <c r="AV33" s="1"/>
      <c r="AW33" s="1"/>
      <c r="AX33" s="1"/>
      <c r="AY33" s="1">
        <v>14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>
        <f t="shared" si="4"/>
        <v>37</v>
      </c>
      <c r="BN33" s="6">
        <f t="shared" si="5"/>
        <v>1.5416666666666667E-2</v>
      </c>
    </row>
    <row r="34" spans="1:66">
      <c r="A34" s="22"/>
      <c r="B34" s="1" t="s">
        <v>54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>
        <v>11</v>
      </c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>
        <f t="shared" si="4"/>
        <v>11</v>
      </c>
      <c r="BN34" s="6">
        <f t="shared" si="5"/>
        <v>4.5833333333333334E-3</v>
      </c>
    </row>
    <row r="35" spans="1:66">
      <c r="A35" s="22"/>
      <c r="B35" t="s">
        <v>46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>
        <v>8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>
        <f t="shared" si="4"/>
        <v>8</v>
      </c>
      <c r="BN35" s="6">
        <f t="shared" si="5"/>
        <v>3.3333333333333335E-3</v>
      </c>
    </row>
    <row r="36" spans="1:66">
      <c r="A36" s="22"/>
      <c r="B36" s="1" t="s">
        <v>11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>
        <v>40</v>
      </c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>
        <f t="shared" si="4"/>
        <v>40</v>
      </c>
      <c r="BN36" s="6">
        <f t="shared" si="5"/>
        <v>1.6666666666666666E-2</v>
      </c>
    </row>
    <row r="37" spans="1:66">
      <c r="A37" s="22"/>
      <c r="B37" s="1" t="s">
        <v>12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>
        <f t="shared" si="4"/>
        <v>0</v>
      </c>
      <c r="BN37" s="6">
        <f t="shared" si="5"/>
        <v>0</v>
      </c>
    </row>
    <row r="38" spans="1:66">
      <c r="A38" s="22"/>
      <c r="B38" s="1" t="s">
        <v>14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>
        <v>20</v>
      </c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>
        <f t="shared" si="4"/>
        <v>20</v>
      </c>
      <c r="BN38" s="6">
        <f t="shared" si="5"/>
        <v>8.3333333333333332E-3</v>
      </c>
    </row>
    <row r="39" spans="1:66">
      <c r="A39" s="22"/>
      <c r="B39" s="1" t="s">
        <v>17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>
        <f t="shared" si="4"/>
        <v>0</v>
      </c>
      <c r="BN39" s="6">
        <f t="shared" si="5"/>
        <v>0</v>
      </c>
    </row>
    <row r="40" spans="1:66">
      <c r="A40" s="22"/>
      <c r="B40" s="1" t="s">
        <v>15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>
        <f t="shared" si="4"/>
        <v>0</v>
      </c>
      <c r="BN40" s="6">
        <f t="shared" si="5"/>
        <v>0</v>
      </c>
    </row>
    <row r="41" spans="1:66">
      <c r="A41" s="22"/>
      <c r="B41" s="1" t="s">
        <v>16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>
        <v>50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>
        <f t="shared" si="4"/>
        <v>50</v>
      </c>
      <c r="BN41" s="6">
        <f t="shared" si="5"/>
        <v>2.0833333333333332E-2</v>
      </c>
    </row>
    <row r="42" spans="1:66">
      <c r="A42" s="22"/>
      <c r="B42" s="1" t="s">
        <v>18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>
        <f t="shared" si="4"/>
        <v>0</v>
      </c>
      <c r="BN42" s="6">
        <f t="shared" si="5"/>
        <v>0</v>
      </c>
    </row>
    <row r="43" spans="1:66">
      <c r="A43" s="22"/>
      <c r="B43" s="1" t="s">
        <v>19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>
        <f t="shared" si="4"/>
        <v>0</v>
      </c>
      <c r="BN43" s="6">
        <f t="shared" si="5"/>
        <v>0</v>
      </c>
    </row>
    <row r="44" spans="1:66" s="11" customFormat="1">
      <c r="A44" s="23"/>
      <c r="B44" s="9" t="s">
        <v>32</v>
      </c>
      <c r="C44" s="9">
        <f t="shared" ref="C44:BK44" si="6">SUM(C26:C43)</f>
        <v>0</v>
      </c>
      <c r="D44" s="9">
        <f t="shared" si="6"/>
        <v>0</v>
      </c>
      <c r="E44" s="9">
        <f t="shared" si="6"/>
        <v>0</v>
      </c>
      <c r="F44" s="9">
        <f t="shared" si="6"/>
        <v>0</v>
      </c>
      <c r="G44" s="9">
        <f t="shared" si="6"/>
        <v>0</v>
      </c>
      <c r="H44" s="9">
        <f t="shared" si="6"/>
        <v>0</v>
      </c>
      <c r="I44" s="9">
        <f t="shared" si="6"/>
        <v>0</v>
      </c>
      <c r="J44" s="9">
        <f t="shared" si="6"/>
        <v>0</v>
      </c>
      <c r="K44" s="9">
        <f t="shared" si="6"/>
        <v>0</v>
      </c>
      <c r="L44" s="9">
        <f t="shared" si="6"/>
        <v>0</v>
      </c>
      <c r="M44" s="9">
        <f t="shared" si="6"/>
        <v>0</v>
      </c>
      <c r="N44" s="9">
        <f t="shared" si="6"/>
        <v>0</v>
      </c>
      <c r="O44" s="9">
        <f t="shared" si="6"/>
        <v>0</v>
      </c>
      <c r="P44" s="9">
        <f t="shared" si="6"/>
        <v>0</v>
      </c>
      <c r="Q44" s="9">
        <f t="shared" si="6"/>
        <v>0</v>
      </c>
      <c r="R44" s="9">
        <f t="shared" si="6"/>
        <v>0</v>
      </c>
      <c r="S44" s="9">
        <f t="shared" si="6"/>
        <v>0</v>
      </c>
      <c r="T44" s="9">
        <f t="shared" si="6"/>
        <v>0</v>
      </c>
      <c r="U44" s="9">
        <f t="shared" si="6"/>
        <v>0</v>
      </c>
      <c r="V44" s="9">
        <f t="shared" si="6"/>
        <v>0</v>
      </c>
      <c r="W44" s="9">
        <f t="shared" si="6"/>
        <v>0</v>
      </c>
      <c r="X44" s="9">
        <f t="shared" si="6"/>
        <v>0</v>
      </c>
      <c r="Y44" s="9">
        <f t="shared" si="6"/>
        <v>0</v>
      </c>
      <c r="Z44" s="9">
        <f t="shared" si="6"/>
        <v>0</v>
      </c>
      <c r="AA44" s="9">
        <f t="shared" si="6"/>
        <v>0</v>
      </c>
      <c r="AB44" s="9">
        <f t="shared" si="6"/>
        <v>0</v>
      </c>
      <c r="AC44" s="9">
        <f t="shared" si="6"/>
        <v>0</v>
      </c>
      <c r="AD44" s="9">
        <f t="shared" si="6"/>
        <v>0</v>
      </c>
      <c r="AE44" s="9">
        <f t="shared" si="6"/>
        <v>0</v>
      </c>
      <c r="AF44" s="9">
        <f t="shared" si="6"/>
        <v>0</v>
      </c>
      <c r="AG44" s="9">
        <f t="shared" si="6"/>
        <v>0</v>
      </c>
      <c r="AH44" s="9">
        <f t="shared" si="6"/>
        <v>0</v>
      </c>
      <c r="AI44" s="9">
        <f t="shared" si="6"/>
        <v>0</v>
      </c>
      <c r="AJ44" s="9">
        <f t="shared" si="6"/>
        <v>0</v>
      </c>
      <c r="AK44" s="9">
        <f t="shared" si="6"/>
        <v>0</v>
      </c>
      <c r="AL44" s="9">
        <f t="shared" si="6"/>
        <v>0</v>
      </c>
      <c r="AM44" s="9">
        <f t="shared" si="6"/>
        <v>0</v>
      </c>
      <c r="AN44" s="9">
        <f t="shared" si="6"/>
        <v>0</v>
      </c>
      <c r="AO44" s="9">
        <f t="shared" si="6"/>
        <v>0</v>
      </c>
      <c r="AP44" s="9">
        <f t="shared" si="6"/>
        <v>0</v>
      </c>
      <c r="AQ44" s="9">
        <f t="shared" si="6"/>
        <v>23</v>
      </c>
      <c r="AR44" s="9">
        <f t="shared" si="6"/>
        <v>0</v>
      </c>
      <c r="AS44" s="9">
        <f t="shared" si="6"/>
        <v>11</v>
      </c>
      <c r="AT44" s="9">
        <f t="shared" si="6"/>
        <v>0</v>
      </c>
      <c r="AU44" s="9">
        <f t="shared" si="6"/>
        <v>0</v>
      </c>
      <c r="AV44" s="9">
        <f t="shared" si="6"/>
        <v>0</v>
      </c>
      <c r="AW44" s="9">
        <f t="shared" si="6"/>
        <v>0</v>
      </c>
      <c r="AX44" s="9">
        <f t="shared" si="6"/>
        <v>0</v>
      </c>
      <c r="AY44" s="9">
        <f t="shared" si="6"/>
        <v>132</v>
      </c>
      <c r="AZ44" s="9">
        <f t="shared" si="6"/>
        <v>0</v>
      </c>
      <c r="BA44" s="9">
        <f t="shared" si="6"/>
        <v>0</v>
      </c>
      <c r="BB44" s="9">
        <f t="shared" si="6"/>
        <v>0</v>
      </c>
      <c r="BC44" s="9">
        <f t="shared" si="6"/>
        <v>0</v>
      </c>
      <c r="BD44" s="9">
        <f t="shared" si="6"/>
        <v>0</v>
      </c>
      <c r="BE44" s="9">
        <f t="shared" si="6"/>
        <v>0</v>
      </c>
      <c r="BF44" s="9">
        <f t="shared" si="6"/>
        <v>0</v>
      </c>
      <c r="BG44" s="9">
        <f t="shared" si="6"/>
        <v>0</v>
      </c>
      <c r="BH44" s="9">
        <f t="shared" si="6"/>
        <v>0</v>
      </c>
      <c r="BI44" s="9">
        <f t="shared" si="6"/>
        <v>0</v>
      </c>
      <c r="BJ44" s="9">
        <f t="shared" si="6"/>
        <v>0</v>
      </c>
      <c r="BK44" s="9">
        <f t="shared" si="6"/>
        <v>0</v>
      </c>
      <c r="BL44" s="9">
        <f>SUM(BL26:BL43)</f>
        <v>0</v>
      </c>
      <c r="BM44" s="10">
        <f>SUM(BM32:BM43)</f>
        <v>166</v>
      </c>
      <c r="BN44" s="6">
        <f t="shared" si="3"/>
        <v>6.9166666666666668E-2</v>
      </c>
    </row>
    <row r="45" spans="1:66">
      <c r="A45" s="21" t="s">
        <v>50</v>
      </c>
      <c r="B45" s="16" t="s">
        <v>44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7">
        <f t="shared" ref="BM45:BM62" si="7">SUM(C45:BL45)</f>
        <v>0</v>
      </c>
      <c r="BN45" s="6">
        <f t="shared" si="3"/>
        <v>0</v>
      </c>
    </row>
    <row r="46" spans="1:66">
      <c r="A46" s="22"/>
      <c r="B46" s="2" t="s">
        <v>39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7">
        <f t="shared" si="7"/>
        <v>0</v>
      </c>
      <c r="BN46" s="6">
        <f t="shared" si="3"/>
        <v>0</v>
      </c>
    </row>
    <row r="47" spans="1:66">
      <c r="A47" s="22"/>
      <c r="B47" s="2" t="s">
        <v>41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7">
        <f t="shared" si="7"/>
        <v>0</v>
      </c>
      <c r="BN47" s="6">
        <f t="shared" si="3"/>
        <v>0</v>
      </c>
    </row>
    <row r="48" spans="1:66">
      <c r="A48" s="22"/>
      <c r="B48" s="2" t="s">
        <v>40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7">
        <f t="shared" si="7"/>
        <v>0</v>
      </c>
      <c r="BN48" s="6">
        <f t="shared" si="3"/>
        <v>0</v>
      </c>
    </row>
    <row r="49" spans="1:66">
      <c r="A49" s="22"/>
      <c r="B49" s="1" t="s">
        <v>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>
        <f t="shared" si="7"/>
        <v>0</v>
      </c>
      <c r="BN49" s="6">
        <f>BM49/BM$5</f>
        <v>0</v>
      </c>
    </row>
    <row r="50" spans="1:66">
      <c r="A50" s="22"/>
      <c r="B50" s="16" t="s">
        <v>43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7">
        <f t="shared" si="7"/>
        <v>0</v>
      </c>
      <c r="BN50" s="6">
        <f t="shared" ref="BN50:BN62" si="8">BM50/BM$5</f>
        <v>0</v>
      </c>
    </row>
    <row r="51" spans="1:66">
      <c r="A51" s="22"/>
      <c r="B51" s="16" t="s">
        <v>42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7">
        <f t="shared" si="7"/>
        <v>0</v>
      </c>
      <c r="BN51" s="6">
        <f t="shared" si="8"/>
        <v>0</v>
      </c>
    </row>
    <row r="52" spans="1:66">
      <c r="A52" s="22"/>
      <c r="B52" s="1" t="s">
        <v>10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>
        <v>8</v>
      </c>
      <c r="AR52" s="1"/>
      <c r="AS52" s="1">
        <v>11</v>
      </c>
      <c r="AT52" s="1"/>
      <c r="AU52" s="1">
        <v>7</v>
      </c>
      <c r="AV52" s="1"/>
      <c r="AW52" s="1"/>
      <c r="AX52" s="1"/>
      <c r="AY52" s="1">
        <v>28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>
        <f t="shared" si="7"/>
        <v>54</v>
      </c>
      <c r="BN52" s="6">
        <f t="shared" si="8"/>
        <v>2.2499999999999999E-2</v>
      </c>
    </row>
    <row r="53" spans="1:66">
      <c r="A53" s="22"/>
      <c r="B53" s="1" t="s">
        <v>54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>
        <v>4</v>
      </c>
      <c r="AV53" s="1"/>
      <c r="AW53" s="1"/>
      <c r="AX53" s="1"/>
      <c r="AY53" s="1">
        <v>14</v>
      </c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>
        <f t="shared" si="7"/>
        <v>18</v>
      </c>
      <c r="BN53" s="6">
        <f t="shared" si="8"/>
        <v>7.4999999999999997E-3</v>
      </c>
    </row>
    <row r="54" spans="1:66">
      <c r="A54" s="22"/>
      <c r="B54" t="s">
        <v>46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>
        <v>5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>
        <f t="shared" si="7"/>
        <v>5</v>
      </c>
      <c r="BN54" s="6">
        <f t="shared" si="8"/>
        <v>2.0833333333333333E-3</v>
      </c>
    </row>
    <row r="55" spans="1:66">
      <c r="A55" s="22"/>
      <c r="B55" s="1" t="s">
        <v>11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>
        <f t="shared" si="7"/>
        <v>0</v>
      </c>
      <c r="BN55" s="6">
        <f t="shared" si="8"/>
        <v>0</v>
      </c>
    </row>
    <row r="56" spans="1:66">
      <c r="A56" s="22"/>
      <c r="B56" s="1" t="s">
        <v>12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>
        <f t="shared" si="7"/>
        <v>0</v>
      </c>
      <c r="BN56" s="6">
        <f t="shared" si="8"/>
        <v>0</v>
      </c>
    </row>
    <row r="57" spans="1:66">
      <c r="A57" s="22"/>
      <c r="B57" s="1" t="s">
        <v>14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>
        <v>13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>
        <f t="shared" si="7"/>
        <v>13</v>
      </c>
      <c r="BN57" s="6">
        <f t="shared" si="8"/>
        <v>5.4166666666666669E-3</v>
      </c>
    </row>
    <row r="58" spans="1:66">
      <c r="A58" s="22"/>
      <c r="B58" s="1" t="s">
        <v>17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>
        <f t="shared" si="7"/>
        <v>0</v>
      </c>
      <c r="BN58" s="6">
        <f t="shared" si="8"/>
        <v>0</v>
      </c>
    </row>
    <row r="59" spans="1:66">
      <c r="A59" s="22"/>
      <c r="B59" s="1" t="s">
        <v>15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>
        <f t="shared" si="7"/>
        <v>0</v>
      </c>
      <c r="BN59" s="6">
        <f t="shared" si="8"/>
        <v>0</v>
      </c>
    </row>
    <row r="60" spans="1:66">
      <c r="A60" s="22"/>
      <c r="B60" s="1" t="s">
        <v>16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>
        <v>60</v>
      </c>
      <c r="AR60" s="1"/>
      <c r="AS60" s="1"/>
      <c r="AT60" s="1"/>
      <c r="AU60" s="1">
        <v>20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>
        <f t="shared" si="7"/>
        <v>80</v>
      </c>
      <c r="BN60" s="6">
        <f t="shared" si="8"/>
        <v>3.3333333333333333E-2</v>
      </c>
    </row>
    <row r="61" spans="1:66">
      <c r="A61" s="22"/>
      <c r="B61" s="1" t="s">
        <v>18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>
        <f t="shared" si="7"/>
        <v>0</v>
      </c>
      <c r="BN61" s="6">
        <f t="shared" si="8"/>
        <v>0</v>
      </c>
    </row>
    <row r="62" spans="1:66">
      <c r="A62" s="22"/>
      <c r="B62" s="1" t="s">
        <v>19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>
        <f t="shared" si="7"/>
        <v>0</v>
      </c>
      <c r="BN62" s="6">
        <f t="shared" si="8"/>
        <v>0</v>
      </c>
    </row>
    <row r="63" spans="1:66" s="11" customFormat="1">
      <c r="A63" s="23"/>
      <c r="B63" s="9" t="s">
        <v>32</v>
      </c>
      <c r="C63" s="9">
        <f>SUM(C45:C62)</f>
        <v>0</v>
      </c>
      <c r="D63" s="9">
        <f t="shared" ref="D63:BL63" si="9">SUM(D45:D62)</f>
        <v>0</v>
      </c>
      <c r="E63" s="9">
        <f t="shared" si="9"/>
        <v>0</v>
      </c>
      <c r="F63" s="9">
        <f t="shared" si="9"/>
        <v>0</v>
      </c>
      <c r="G63" s="9">
        <f t="shared" si="9"/>
        <v>0</v>
      </c>
      <c r="H63" s="9">
        <f t="shared" si="9"/>
        <v>0</v>
      </c>
      <c r="I63" s="9">
        <f t="shared" si="9"/>
        <v>0</v>
      </c>
      <c r="J63" s="9">
        <f t="shared" si="9"/>
        <v>0</v>
      </c>
      <c r="K63" s="9">
        <f t="shared" si="9"/>
        <v>0</v>
      </c>
      <c r="L63" s="9">
        <f t="shared" si="9"/>
        <v>0</v>
      </c>
      <c r="M63" s="9">
        <f t="shared" si="9"/>
        <v>0</v>
      </c>
      <c r="N63" s="9">
        <f t="shared" si="9"/>
        <v>0</v>
      </c>
      <c r="O63" s="9">
        <f t="shared" si="9"/>
        <v>0</v>
      </c>
      <c r="P63" s="9">
        <f t="shared" si="9"/>
        <v>0</v>
      </c>
      <c r="Q63" s="9">
        <f t="shared" si="9"/>
        <v>0</v>
      </c>
      <c r="R63" s="9">
        <f t="shared" si="9"/>
        <v>0</v>
      </c>
      <c r="S63" s="9">
        <f t="shared" si="9"/>
        <v>0</v>
      </c>
      <c r="T63" s="9">
        <f t="shared" si="9"/>
        <v>0</v>
      </c>
      <c r="U63" s="9">
        <f t="shared" si="9"/>
        <v>0</v>
      </c>
      <c r="V63" s="9">
        <f t="shared" si="9"/>
        <v>0</v>
      </c>
      <c r="W63" s="9">
        <f t="shared" si="9"/>
        <v>0</v>
      </c>
      <c r="X63" s="9">
        <f t="shared" si="9"/>
        <v>0</v>
      </c>
      <c r="Y63" s="9">
        <f t="shared" si="9"/>
        <v>0</v>
      </c>
      <c r="Z63" s="9">
        <f t="shared" si="9"/>
        <v>0</v>
      </c>
      <c r="AA63" s="9">
        <f t="shared" si="9"/>
        <v>0</v>
      </c>
      <c r="AB63" s="9">
        <f t="shared" si="9"/>
        <v>0</v>
      </c>
      <c r="AC63" s="9">
        <f t="shared" si="9"/>
        <v>0</v>
      </c>
      <c r="AD63" s="9">
        <f t="shared" si="9"/>
        <v>0</v>
      </c>
      <c r="AE63" s="9">
        <f t="shared" si="9"/>
        <v>0</v>
      </c>
      <c r="AF63" s="9">
        <f t="shared" si="9"/>
        <v>0</v>
      </c>
      <c r="AG63" s="9">
        <f t="shared" si="9"/>
        <v>0</v>
      </c>
      <c r="AH63" s="9">
        <f t="shared" si="9"/>
        <v>0</v>
      </c>
      <c r="AI63" s="9">
        <f t="shared" si="9"/>
        <v>0</v>
      </c>
      <c r="AJ63" s="9">
        <f t="shared" si="9"/>
        <v>0</v>
      </c>
      <c r="AK63" s="9">
        <f t="shared" si="9"/>
        <v>0</v>
      </c>
      <c r="AL63" s="9">
        <f t="shared" si="9"/>
        <v>0</v>
      </c>
      <c r="AM63" s="9">
        <f t="shared" si="9"/>
        <v>0</v>
      </c>
      <c r="AN63" s="9">
        <f t="shared" si="9"/>
        <v>0</v>
      </c>
      <c r="AO63" s="9">
        <f t="shared" si="9"/>
        <v>0</v>
      </c>
      <c r="AP63" s="9">
        <f t="shared" si="9"/>
        <v>0</v>
      </c>
      <c r="AQ63" s="9">
        <f t="shared" si="9"/>
        <v>68</v>
      </c>
      <c r="AR63" s="9">
        <f t="shared" si="9"/>
        <v>0</v>
      </c>
      <c r="AS63" s="9">
        <f t="shared" si="9"/>
        <v>11</v>
      </c>
      <c r="AT63" s="9">
        <f t="shared" si="9"/>
        <v>0</v>
      </c>
      <c r="AU63" s="9">
        <f t="shared" si="9"/>
        <v>49</v>
      </c>
      <c r="AV63" s="9">
        <f t="shared" si="9"/>
        <v>0</v>
      </c>
      <c r="AW63" s="9">
        <f t="shared" si="9"/>
        <v>0</v>
      </c>
      <c r="AX63" s="9">
        <f t="shared" si="9"/>
        <v>0</v>
      </c>
      <c r="AY63" s="9">
        <f t="shared" si="9"/>
        <v>42</v>
      </c>
      <c r="AZ63" s="9">
        <f t="shared" si="9"/>
        <v>0</v>
      </c>
      <c r="BA63" s="9">
        <f t="shared" si="9"/>
        <v>0</v>
      </c>
      <c r="BB63" s="9">
        <f t="shared" si="9"/>
        <v>0</v>
      </c>
      <c r="BC63" s="9">
        <f t="shared" si="9"/>
        <v>0</v>
      </c>
      <c r="BD63" s="9">
        <f t="shared" si="9"/>
        <v>0</v>
      </c>
      <c r="BE63" s="9">
        <f t="shared" si="9"/>
        <v>0</v>
      </c>
      <c r="BF63" s="9">
        <f t="shared" si="9"/>
        <v>0</v>
      </c>
      <c r="BG63" s="9">
        <f t="shared" si="9"/>
        <v>0</v>
      </c>
      <c r="BH63" s="9">
        <f t="shared" si="9"/>
        <v>0</v>
      </c>
      <c r="BI63" s="9">
        <f t="shared" si="9"/>
        <v>0</v>
      </c>
      <c r="BJ63" s="9">
        <f t="shared" si="9"/>
        <v>0</v>
      </c>
      <c r="BK63" s="9">
        <f t="shared" si="9"/>
        <v>0</v>
      </c>
      <c r="BL63" s="9">
        <f t="shared" si="9"/>
        <v>0</v>
      </c>
      <c r="BM63" s="10">
        <f>SUM(BM46:BM62)</f>
        <v>170</v>
      </c>
      <c r="BN63" s="6">
        <f t="shared" si="3"/>
        <v>7.0833333333333331E-2</v>
      </c>
    </row>
    <row r="64" spans="1:66" s="11" customFormat="1">
      <c r="A64" s="21" t="s">
        <v>51</v>
      </c>
      <c r="B64" s="16" t="s">
        <v>44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8">
        <f>SUM(C64:BL64)</f>
        <v>0</v>
      </c>
      <c r="BN64" s="6">
        <f>BM64/BM$5</f>
        <v>0</v>
      </c>
    </row>
    <row r="65" spans="1:66">
      <c r="A65" s="22"/>
      <c r="B65" s="2" t="s">
        <v>39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7">
        <f t="shared" ref="BM65:BM81" si="10">SUM(C65:BL65)</f>
        <v>0</v>
      </c>
      <c r="BN65" s="6">
        <f t="shared" ref="BN65:BN81" si="11">BM65/BM$5</f>
        <v>0</v>
      </c>
    </row>
    <row r="66" spans="1:66">
      <c r="A66" s="22"/>
      <c r="B66" s="2" t="s">
        <v>41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7">
        <f t="shared" si="10"/>
        <v>0</v>
      </c>
      <c r="BN66" s="6">
        <f t="shared" si="11"/>
        <v>0</v>
      </c>
    </row>
    <row r="67" spans="1:66">
      <c r="A67" s="22"/>
      <c r="B67" s="2" t="s">
        <v>40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7">
        <f t="shared" si="10"/>
        <v>0</v>
      </c>
      <c r="BN67" s="6">
        <f t="shared" si="11"/>
        <v>0</v>
      </c>
    </row>
    <row r="68" spans="1:66">
      <c r="A68" s="22"/>
      <c r="B68" s="1" t="s">
        <v>13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>
        <f t="shared" si="10"/>
        <v>0</v>
      </c>
      <c r="BN68" s="6">
        <f t="shared" si="11"/>
        <v>0</v>
      </c>
    </row>
    <row r="69" spans="1:66" s="11" customFormat="1">
      <c r="A69" s="22"/>
      <c r="B69" s="16" t="s">
        <v>43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8">
        <f t="shared" si="10"/>
        <v>0</v>
      </c>
      <c r="BN69" s="6">
        <f t="shared" si="11"/>
        <v>0</v>
      </c>
    </row>
    <row r="70" spans="1:66" s="11" customFormat="1">
      <c r="A70" s="22"/>
      <c r="B70" s="16" t="s">
        <v>42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8">
        <f t="shared" si="10"/>
        <v>0</v>
      </c>
      <c r="BN70" s="6">
        <f t="shared" si="11"/>
        <v>0</v>
      </c>
    </row>
    <row r="71" spans="1:66">
      <c r="A71" s="22"/>
      <c r="B71" s="1" t="s">
        <v>10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>
        <v>26</v>
      </c>
      <c r="AR71" s="1"/>
      <c r="AS71" s="1">
        <v>15</v>
      </c>
      <c r="AT71" s="1"/>
      <c r="AU71" s="1"/>
      <c r="AV71" s="1"/>
      <c r="AW71" s="1"/>
      <c r="AX71" s="1"/>
      <c r="AY71" s="1">
        <v>26</v>
      </c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>
        <f t="shared" si="10"/>
        <v>67</v>
      </c>
      <c r="BN71" s="6">
        <f t="shared" si="11"/>
        <v>2.7916666666666666E-2</v>
      </c>
    </row>
    <row r="72" spans="1:66">
      <c r="A72" s="22"/>
      <c r="B72" s="1" t="s">
        <v>54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>
        <v>8</v>
      </c>
      <c r="AR72" s="1"/>
      <c r="AS72" s="1">
        <v>11</v>
      </c>
      <c r="AT72" s="1"/>
      <c r="AU72" s="1"/>
      <c r="AV72" s="1"/>
      <c r="AW72" s="1"/>
      <c r="AX72" s="1"/>
      <c r="AY72" s="1">
        <v>14</v>
      </c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>
        <f t="shared" si="10"/>
        <v>33</v>
      </c>
      <c r="BN72" s="6">
        <f t="shared" si="11"/>
        <v>1.375E-2</v>
      </c>
    </row>
    <row r="73" spans="1:66">
      <c r="A73" s="22"/>
      <c r="B73" t="s">
        <v>46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>
        <f t="shared" si="10"/>
        <v>0</v>
      </c>
      <c r="BN73" s="6">
        <f t="shared" si="11"/>
        <v>0</v>
      </c>
    </row>
    <row r="74" spans="1:66">
      <c r="A74" s="22"/>
      <c r="B74" s="1" t="s">
        <v>11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>
        <f t="shared" si="10"/>
        <v>0</v>
      </c>
      <c r="BN74" s="6">
        <f t="shared" si="11"/>
        <v>0</v>
      </c>
    </row>
    <row r="75" spans="1:66">
      <c r="A75" s="22"/>
      <c r="B75" s="1" t="s">
        <v>12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>
        <f t="shared" si="10"/>
        <v>0</v>
      </c>
      <c r="BN75" s="6">
        <f t="shared" si="11"/>
        <v>0</v>
      </c>
    </row>
    <row r="76" spans="1:66">
      <c r="A76" s="22"/>
      <c r="B76" s="1" t="s">
        <v>14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>
        <f t="shared" si="10"/>
        <v>0</v>
      </c>
      <c r="BN76" s="6">
        <f t="shared" si="11"/>
        <v>0</v>
      </c>
    </row>
    <row r="77" spans="1:66">
      <c r="A77" s="22"/>
      <c r="B77" s="1" t="s">
        <v>17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>
        <f t="shared" si="10"/>
        <v>0</v>
      </c>
      <c r="BN77" s="6">
        <f t="shared" si="11"/>
        <v>0</v>
      </c>
    </row>
    <row r="78" spans="1:66">
      <c r="A78" s="22"/>
      <c r="B78" s="1" t="s">
        <v>15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>
        <f t="shared" si="10"/>
        <v>0</v>
      </c>
      <c r="BN78" s="6">
        <f t="shared" si="11"/>
        <v>0</v>
      </c>
    </row>
    <row r="79" spans="1:66">
      <c r="A79" s="22"/>
      <c r="B79" s="1" t="s">
        <v>16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>
        <f t="shared" si="10"/>
        <v>0</v>
      </c>
      <c r="BN79" s="6">
        <f t="shared" si="11"/>
        <v>0</v>
      </c>
    </row>
    <row r="80" spans="1:66">
      <c r="A80" s="22"/>
      <c r="B80" s="1" t="s">
        <v>18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>
        <f t="shared" si="10"/>
        <v>0</v>
      </c>
      <c r="BN80" s="6">
        <f t="shared" si="11"/>
        <v>0</v>
      </c>
    </row>
    <row r="81" spans="1:66">
      <c r="A81" s="22"/>
      <c r="B81" s="1" t="s">
        <v>19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>
        <f t="shared" si="10"/>
        <v>0</v>
      </c>
      <c r="BN81" s="6">
        <f t="shared" si="11"/>
        <v>0</v>
      </c>
    </row>
    <row r="82" spans="1:66" s="11" customFormat="1">
      <c r="A82" s="23"/>
      <c r="B82" s="9" t="s">
        <v>32</v>
      </c>
      <c r="C82" s="9">
        <f t="shared" ref="C82:BK82" si="12">SUM(C64:C81)</f>
        <v>0</v>
      </c>
      <c r="D82" s="9">
        <f t="shared" si="12"/>
        <v>0</v>
      </c>
      <c r="E82" s="9">
        <f t="shared" si="12"/>
        <v>0</v>
      </c>
      <c r="F82" s="9">
        <f t="shared" si="12"/>
        <v>0</v>
      </c>
      <c r="G82" s="9">
        <f t="shared" si="12"/>
        <v>0</v>
      </c>
      <c r="H82" s="9">
        <f t="shared" si="12"/>
        <v>0</v>
      </c>
      <c r="I82" s="9">
        <f t="shared" si="12"/>
        <v>0</v>
      </c>
      <c r="J82" s="9">
        <f t="shared" si="12"/>
        <v>0</v>
      </c>
      <c r="K82" s="9">
        <f t="shared" si="12"/>
        <v>0</v>
      </c>
      <c r="L82" s="9">
        <f t="shared" si="12"/>
        <v>0</v>
      </c>
      <c r="M82" s="9">
        <f t="shared" si="12"/>
        <v>0</v>
      </c>
      <c r="N82" s="9">
        <f t="shared" si="12"/>
        <v>0</v>
      </c>
      <c r="O82" s="9">
        <f t="shared" si="12"/>
        <v>0</v>
      </c>
      <c r="P82" s="9">
        <f t="shared" si="12"/>
        <v>0</v>
      </c>
      <c r="Q82" s="9">
        <f t="shared" si="12"/>
        <v>0</v>
      </c>
      <c r="R82" s="9">
        <f t="shared" si="12"/>
        <v>0</v>
      </c>
      <c r="S82" s="9">
        <f t="shared" si="12"/>
        <v>0</v>
      </c>
      <c r="T82" s="9">
        <f t="shared" si="12"/>
        <v>0</v>
      </c>
      <c r="U82" s="9">
        <f t="shared" si="12"/>
        <v>0</v>
      </c>
      <c r="V82" s="9">
        <f t="shared" si="12"/>
        <v>0</v>
      </c>
      <c r="W82" s="9">
        <f t="shared" si="12"/>
        <v>0</v>
      </c>
      <c r="X82" s="9">
        <f t="shared" si="12"/>
        <v>0</v>
      </c>
      <c r="Y82" s="9">
        <f t="shared" si="12"/>
        <v>0</v>
      </c>
      <c r="Z82" s="9">
        <f t="shared" si="12"/>
        <v>0</v>
      </c>
      <c r="AA82" s="9">
        <f t="shared" si="12"/>
        <v>0</v>
      </c>
      <c r="AB82" s="9">
        <f t="shared" si="12"/>
        <v>0</v>
      </c>
      <c r="AC82" s="9">
        <f t="shared" si="12"/>
        <v>0</v>
      </c>
      <c r="AD82" s="9">
        <f t="shared" si="12"/>
        <v>0</v>
      </c>
      <c r="AE82" s="9">
        <f t="shared" si="12"/>
        <v>0</v>
      </c>
      <c r="AF82" s="9">
        <f t="shared" si="12"/>
        <v>0</v>
      </c>
      <c r="AG82" s="9">
        <f t="shared" si="12"/>
        <v>0</v>
      </c>
      <c r="AH82" s="9">
        <f t="shared" si="12"/>
        <v>0</v>
      </c>
      <c r="AI82" s="9">
        <f t="shared" si="12"/>
        <v>0</v>
      </c>
      <c r="AJ82" s="9">
        <f t="shared" si="12"/>
        <v>0</v>
      </c>
      <c r="AK82" s="9">
        <f t="shared" si="12"/>
        <v>0</v>
      </c>
      <c r="AL82" s="9">
        <f t="shared" si="12"/>
        <v>0</v>
      </c>
      <c r="AM82" s="9">
        <f t="shared" si="12"/>
        <v>0</v>
      </c>
      <c r="AN82" s="9">
        <f t="shared" si="12"/>
        <v>0</v>
      </c>
      <c r="AO82" s="9">
        <f t="shared" si="12"/>
        <v>0</v>
      </c>
      <c r="AP82" s="9">
        <f t="shared" si="12"/>
        <v>0</v>
      </c>
      <c r="AQ82" s="9">
        <f t="shared" si="12"/>
        <v>34</v>
      </c>
      <c r="AR82" s="9">
        <f t="shared" si="12"/>
        <v>0</v>
      </c>
      <c r="AS82" s="9">
        <f t="shared" si="12"/>
        <v>26</v>
      </c>
      <c r="AT82" s="9">
        <f t="shared" si="12"/>
        <v>0</v>
      </c>
      <c r="AU82" s="9">
        <f t="shared" si="12"/>
        <v>0</v>
      </c>
      <c r="AV82" s="9">
        <f t="shared" si="12"/>
        <v>0</v>
      </c>
      <c r="AW82" s="9">
        <f t="shared" si="12"/>
        <v>0</v>
      </c>
      <c r="AX82" s="9">
        <f t="shared" si="12"/>
        <v>0</v>
      </c>
      <c r="AY82" s="9">
        <f t="shared" si="12"/>
        <v>40</v>
      </c>
      <c r="AZ82" s="9">
        <f t="shared" si="12"/>
        <v>0</v>
      </c>
      <c r="BA82" s="9">
        <f t="shared" si="12"/>
        <v>0</v>
      </c>
      <c r="BB82" s="9">
        <f t="shared" si="12"/>
        <v>0</v>
      </c>
      <c r="BC82" s="9">
        <f t="shared" si="12"/>
        <v>0</v>
      </c>
      <c r="BD82" s="9">
        <f t="shared" si="12"/>
        <v>0</v>
      </c>
      <c r="BE82" s="9">
        <f t="shared" si="12"/>
        <v>0</v>
      </c>
      <c r="BF82" s="9">
        <f t="shared" si="12"/>
        <v>0</v>
      </c>
      <c r="BG82" s="9">
        <f t="shared" si="12"/>
        <v>0</v>
      </c>
      <c r="BH82" s="9">
        <f t="shared" si="12"/>
        <v>0</v>
      </c>
      <c r="BI82" s="9">
        <f t="shared" si="12"/>
        <v>0</v>
      </c>
      <c r="BJ82" s="9">
        <f t="shared" si="12"/>
        <v>0</v>
      </c>
      <c r="BK82" s="9">
        <f t="shared" si="12"/>
        <v>0</v>
      </c>
      <c r="BL82" s="9">
        <f>SUM(BL64:BL81)</f>
        <v>0</v>
      </c>
      <c r="BM82" s="10">
        <f>SUM(BM70:BM81)</f>
        <v>100</v>
      </c>
      <c r="BN82" s="6">
        <f t="shared" si="3"/>
        <v>4.1666666666666664E-2</v>
      </c>
    </row>
    <row r="83" spans="1:66">
      <c r="A83" s="21" t="s">
        <v>52</v>
      </c>
      <c r="B83" s="16" t="s">
        <v>44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7">
        <f t="shared" ref="BM83:BM100" si="13">SUM(C83:BL83)</f>
        <v>0</v>
      </c>
      <c r="BN83" s="6">
        <f t="shared" si="3"/>
        <v>0</v>
      </c>
    </row>
    <row r="84" spans="1:66">
      <c r="A84" s="22"/>
      <c r="B84" s="2" t="s">
        <v>39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7">
        <f t="shared" si="13"/>
        <v>0</v>
      </c>
      <c r="BN84" s="6">
        <f t="shared" si="3"/>
        <v>0</v>
      </c>
    </row>
    <row r="85" spans="1:66">
      <c r="A85" s="22"/>
      <c r="B85" s="2" t="s">
        <v>41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7">
        <f t="shared" si="13"/>
        <v>0</v>
      </c>
      <c r="BN85" s="6">
        <f t="shared" si="3"/>
        <v>0</v>
      </c>
    </row>
    <row r="86" spans="1:66">
      <c r="A86" s="22"/>
      <c r="B86" s="2" t="s">
        <v>40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7">
        <f t="shared" si="13"/>
        <v>0</v>
      </c>
      <c r="BN86" s="6">
        <f t="shared" si="3"/>
        <v>0</v>
      </c>
    </row>
    <row r="87" spans="1:66">
      <c r="A87" s="22"/>
      <c r="B87" s="1" t="s">
        <v>13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>
        <f t="shared" si="13"/>
        <v>0</v>
      </c>
      <c r="BN87" s="6">
        <f t="shared" si="3"/>
        <v>0</v>
      </c>
    </row>
    <row r="88" spans="1:66" s="11" customFormat="1">
      <c r="A88" s="22"/>
      <c r="B88" s="16" t="s">
        <v>43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8">
        <f t="shared" si="13"/>
        <v>0</v>
      </c>
      <c r="BN88" s="6">
        <f t="shared" si="3"/>
        <v>0</v>
      </c>
    </row>
    <row r="89" spans="1:66" s="11" customFormat="1">
      <c r="A89" s="22"/>
      <c r="B89" s="16" t="s">
        <v>42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8">
        <f t="shared" si="13"/>
        <v>0</v>
      </c>
      <c r="BN89" s="6">
        <f t="shared" si="3"/>
        <v>0</v>
      </c>
    </row>
    <row r="90" spans="1:66">
      <c r="A90" s="22"/>
      <c r="B90" s="1" t="s">
        <v>10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>
        <v>40</v>
      </c>
      <c r="AR90" s="1"/>
      <c r="AS90" s="1">
        <v>11</v>
      </c>
      <c r="AT90" s="1"/>
      <c r="AU90" s="1">
        <v>19</v>
      </c>
      <c r="AV90" s="1"/>
      <c r="AW90" s="1"/>
      <c r="AX90" s="1"/>
      <c r="AY90" s="1">
        <v>19</v>
      </c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>
        <f t="shared" si="13"/>
        <v>89</v>
      </c>
      <c r="BN90" s="6">
        <f t="shared" si="3"/>
        <v>3.7083333333333336E-2</v>
      </c>
    </row>
    <row r="91" spans="1:66">
      <c r="A91" s="22"/>
      <c r="B91" s="1" t="s">
        <v>54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>
        <v>8</v>
      </c>
      <c r="AR91" s="1"/>
      <c r="AS91" s="1">
        <v>11</v>
      </c>
      <c r="AT91" s="1"/>
      <c r="AU91" s="1">
        <v>11</v>
      </c>
      <c r="AV91" s="1"/>
      <c r="AW91" s="1"/>
      <c r="AX91" s="1"/>
      <c r="AY91" s="1">
        <v>14</v>
      </c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>
        <f t="shared" si="13"/>
        <v>44</v>
      </c>
      <c r="BN91" s="6">
        <f t="shared" si="3"/>
        <v>1.8333333333333333E-2</v>
      </c>
    </row>
    <row r="92" spans="1:66">
      <c r="A92" s="22"/>
      <c r="B92" t="s">
        <v>46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>
        <f t="shared" si="13"/>
        <v>0</v>
      </c>
      <c r="BN92" s="6">
        <f t="shared" si="3"/>
        <v>0</v>
      </c>
    </row>
    <row r="93" spans="1:66">
      <c r="A93" s="22"/>
      <c r="B93" s="1" t="s">
        <v>11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>
        <f t="shared" si="13"/>
        <v>0</v>
      </c>
      <c r="BN93" s="6">
        <f t="shared" si="3"/>
        <v>0</v>
      </c>
    </row>
    <row r="94" spans="1:66">
      <c r="A94" s="22"/>
      <c r="B94" s="1" t="s">
        <v>12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>
        <f t="shared" si="13"/>
        <v>0</v>
      </c>
      <c r="BN94" s="6">
        <f t="shared" si="3"/>
        <v>0</v>
      </c>
    </row>
    <row r="95" spans="1:66">
      <c r="A95" s="22"/>
      <c r="B95" s="1" t="s">
        <v>14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>
        <f t="shared" si="13"/>
        <v>0</v>
      </c>
      <c r="BN95" s="6">
        <f t="shared" si="3"/>
        <v>0</v>
      </c>
    </row>
    <row r="96" spans="1:66">
      <c r="A96" s="22"/>
      <c r="B96" s="1" t="s">
        <v>17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>
        <f t="shared" si="13"/>
        <v>0</v>
      </c>
      <c r="BN96" s="6">
        <f t="shared" si="3"/>
        <v>0</v>
      </c>
    </row>
    <row r="97" spans="1:66">
      <c r="A97" s="22"/>
      <c r="B97" s="1" t="s">
        <v>15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>
        <f t="shared" si="13"/>
        <v>0</v>
      </c>
      <c r="BN97" s="6">
        <f t="shared" si="3"/>
        <v>0</v>
      </c>
    </row>
    <row r="98" spans="1:66">
      <c r="A98" s="22"/>
      <c r="B98" s="1" t="s">
        <v>16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>
        <f t="shared" si="13"/>
        <v>0</v>
      </c>
      <c r="BN98" s="6">
        <f t="shared" si="3"/>
        <v>0</v>
      </c>
    </row>
    <row r="99" spans="1:66">
      <c r="A99" s="22"/>
      <c r="B99" s="1" t="s">
        <v>18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>
        <f t="shared" si="13"/>
        <v>0</v>
      </c>
      <c r="BN99" s="6">
        <f t="shared" si="3"/>
        <v>0</v>
      </c>
    </row>
    <row r="100" spans="1:66">
      <c r="A100" s="22"/>
      <c r="B100" s="1" t="s">
        <v>19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>
        <f t="shared" si="13"/>
        <v>0</v>
      </c>
      <c r="BN100" s="6">
        <f t="shared" si="3"/>
        <v>0</v>
      </c>
    </row>
    <row r="101" spans="1:66" s="11" customFormat="1">
      <c r="A101" s="23"/>
      <c r="B101" s="9" t="s">
        <v>32</v>
      </c>
      <c r="C101" s="9">
        <f>SUM(C83:C100)</f>
        <v>0</v>
      </c>
      <c r="D101" s="9">
        <f t="shared" ref="D101:BL101" si="14">SUM(D83:D100)</f>
        <v>0</v>
      </c>
      <c r="E101" s="9">
        <f t="shared" si="14"/>
        <v>0</v>
      </c>
      <c r="F101" s="9">
        <f t="shared" si="14"/>
        <v>0</v>
      </c>
      <c r="G101" s="9">
        <f t="shared" si="14"/>
        <v>0</v>
      </c>
      <c r="H101" s="9">
        <f t="shared" si="14"/>
        <v>0</v>
      </c>
      <c r="I101" s="9">
        <f t="shared" si="14"/>
        <v>0</v>
      </c>
      <c r="J101" s="9">
        <f t="shared" si="14"/>
        <v>0</v>
      </c>
      <c r="K101" s="9">
        <f t="shared" si="14"/>
        <v>0</v>
      </c>
      <c r="L101" s="9">
        <f t="shared" si="14"/>
        <v>0</v>
      </c>
      <c r="M101" s="9">
        <f t="shared" si="14"/>
        <v>0</v>
      </c>
      <c r="N101" s="9">
        <f t="shared" si="14"/>
        <v>0</v>
      </c>
      <c r="O101" s="9">
        <f t="shared" si="14"/>
        <v>0</v>
      </c>
      <c r="P101" s="9">
        <f t="shared" si="14"/>
        <v>0</v>
      </c>
      <c r="Q101" s="9">
        <f t="shared" si="14"/>
        <v>0</v>
      </c>
      <c r="R101" s="9">
        <f t="shared" si="14"/>
        <v>0</v>
      </c>
      <c r="S101" s="9">
        <f t="shared" si="14"/>
        <v>0</v>
      </c>
      <c r="T101" s="9">
        <f t="shared" si="14"/>
        <v>0</v>
      </c>
      <c r="U101" s="9">
        <f t="shared" si="14"/>
        <v>0</v>
      </c>
      <c r="V101" s="9">
        <f t="shared" si="14"/>
        <v>0</v>
      </c>
      <c r="W101" s="9">
        <f t="shared" si="14"/>
        <v>0</v>
      </c>
      <c r="X101" s="9">
        <f t="shared" si="14"/>
        <v>0</v>
      </c>
      <c r="Y101" s="9">
        <f t="shared" si="14"/>
        <v>0</v>
      </c>
      <c r="Z101" s="9">
        <f t="shared" si="14"/>
        <v>0</v>
      </c>
      <c r="AA101" s="9">
        <f t="shared" si="14"/>
        <v>0</v>
      </c>
      <c r="AB101" s="9">
        <f t="shared" si="14"/>
        <v>0</v>
      </c>
      <c r="AC101" s="9">
        <f t="shared" si="14"/>
        <v>0</v>
      </c>
      <c r="AD101" s="9">
        <f t="shared" si="14"/>
        <v>0</v>
      </c>
      <c r="AE101" s="9">
        <f t="shared" si="14"/>
        <v>0</v>
      </c>
      <c r="AF101" s="9">
        <f t="shared" si="14"/>
        <v>0</v>
      </c>
      <c r="AG101" s="9">
        <f t="shared" si="14"/>
        <v>0</v>
      </c>
      <c r="AH101" s="9">
        <f t="shared" si="14"/>
        <v>0</v>
      </c>
      <c r="AI101" s="9">
        <f t="shared" si="14"/>
        <v>0</v>
      </c>
      <c r="AJ101" s="9">
        <f t="shared" si="14"/>
        <v>0</v>
      </c>
      <c r="AK101" s="9">
        <f t="shared" si="14"/>
        <v>0</v>
      </c>
      <c r="AL101" s="9">
        <f t="shared" si="14"/>
        <v>0</v>
      </c>
      <c r="AM101" s="9">
        <f t="shared" si="14"/>
        <v>0</v>
      </c>
      <c r="AN101" s="9">
        <f t="shared" si="14"/>
        <v>0</v>
      </c>
      <c r="AO101" s="9">
        <f t="shared" si="14"/>
        <v>0</v>
      </c>
      <c r="AP101" s="9">
        <f t="shared" si="14"/>
        <v>0</v>
      </c>
      <c r="AQ101" s="9">
        <f t="shared" si="14"/>
        <v>48</v>
      </c>
      <c r="AR101" s="9">
        <f t="shared" si="14"/>
        <v>0</v>
      </c>
      <c r="AS101" s="9">
        <f t="shared" si="14"/>
        <v>22</v>
      </c>
      <c r="AT101" s="9">
        <f t="shared" si="14"/>
        <v>0</v>
      </c>
      <c r="AU101" s="9">
        <f t="shared" si="14"/>
        <v>30</v>
      </c>
      <c r="AV101" s="9">
        <f t="shared" si="14"/>
        <v>0</v>
      </c>
      <c r="AW101" s="9">
        <f t="shared" si="14"/>
        <v>0</v>
      </c>
      <c r="AX101" s="9">
        <f t="shared" si="14"/>
        <v>0</v>
      </c>
      <c r="AY101" s="9">
        <f t="shared" si="14"/>
        <v>33</v>
      </c>
      <c r="AZ101" s="9">
        <f t="shared" si="14"/>
        <v>0</v>
      </c>
      <c r="BA101" s="9">
        <f t="shared" si="14"/>
        <v>0</v>
      </c>
      <c r="BB101" s="9">
        <f t="shared" si="14"/>
        <v>0</v>
      </c>
      <c r="BC101" s="9">
        <f t="shared" si="14"/>
        <v>0</v>
      </c>
      <c r="BD101" s="9">
        <f t="shared" si="14"/>
        <v>0</v>
      </c>
      <c r="BE101" s="9">
        <f t="shared" si="14"/>
        <v>0</v>
      </c>
      <c r="BF101" s="9">
        <f t="shared" si="14"/>
        <v>0</v>
      </c>
      <c r="BG101" s="9">
        <f t="shared" si="14"/>
        <v>0</v>
      </c>
      <c r="BH101" s="9">
        <f t="shared" si="14"/>
        <v>0</v>
      </c>
      <c r="BI101" s="9">
        <f t="shared" si="14"/>
        <v>0</v>
      </c>
      <c r="BJ101" s="9">
        <f t="shared" si="14"/>
        <v>0</v>
      </c>
      <c r="BK101" s="9">
        <f t="shared" si="14"/>
        <v>0</v>
      </c>
      <c r="BL101" s="9">
        <f t="shared" si="14"/>
        <v>0</v>
      </c>
      <c r="BM101" s="10">
        <f>SUM(BM88:BM100)</f>
        <v>133</v>
      </c>
      <c r="BN101" s="6">
        <f t="shared" si="3"/>
        <v>5.541666666666667E-2</v>
      </c>
    </row>
    <row r="102" spans="1:66" s="11" customFormat="1" hidden="1">
      <c r="A102" s="21" t="s">
        <v>6</v>
      </c>
      <c r="B102" s="16" t="s">
        <v>44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8">
        <f t="shared" ref="BM102:BM119" si="15">SUM(C102:BL102)</f>
        <v>0</v>
      </c>
      <c r="BN102" s="6">
        <f t="shared" ref="BN102" si="16">BM102/BM$5</f>
        <v>0</v>
      </c>
    </row>
    <row r="103" spans="1:66" hidden="1">
      <c r="A103" s="22"/>
      <c r="B103" s="2" t="s">
        <v>39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8">
        <f t="shared" si="15"/>
        <v>0</v>
      </c>
      <c r="BN103" s="6">
        <f>BM103/BM$5</f>
        <v>0</v>
      </c>
    </row>
    <row r="104" spans="1:66" hidden="1">
      <c r="A104" s="22"/>
      <c r="B104" s="2" t="s">
        <v>41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8">
        <f t="shared" si="15"/>
        <v>0</v>
      </c>
      <c r="BN104" s="6">
        <f t="shared" ref="BN104:BN138" si="17">BM104/BM$5</f>
        <v>0</v>
      </c>
    </row>
    <row r="105" spans="1:66" hidden="1">
      <c r="A105" s="22"/>
      <c r="B105" s="2" t="s">
        <v>40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8">
        <f t="shared" si="15"/>
        <v>0</v>
      </c>
      <c r="BN105" s="6">
        <f t="shared" si="17"/>
        <v>0</v>
      </c>
    </row>
    <row r="106" spans="1:66" hidden="1">
      <c r="A106" s="22"/>
      <c r="B106" s="1" t="s">
        <v>13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8">
        <f t="shared" si="15"/>
        <v>0</v>
      </c>
      <c r="BN106" s="6">
        <f t="shared" si="17"/>
        <v>0</v>
      </c>
    </row>
    <row r="107" spans="1:66" s="11" customFormat="1" hidden="1">
      <c r="A107" s="22"/>
      <c r="B107" s="16" t="s">
        <v>43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8">
        <f t="shared" si="15"/>
        <v>0</v>
      </c>
      <c r="BN107" s="6">
        <f t="shared" si="17"/>
        <v>0</v>
      </c>
    </row>
    <row r="108" spans="1:66" s="11" customFormat="1" hidden="1">
      <c r="A108" s="22"/>
      <c r="B108" s="16" t="s">
        <v>42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8">
        <f t="shared" si="15"/>
        <v>0</v>
      </c>
      <c r="BN108" s="6">
        <f t="shared" si="17"/>
        <v>0</v>
      </c>
    </row>
    <row r="109" spans="1:66" hidden="1">
      <c r="A109" s="22"/>
      <c r="B109" s="1" t="s">
        <v>10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8">
        <f t="shared" si="15"/>
        <v>0</v>
      </c>
      <c r="BN109" s="6">
        <f t="shared" si="17"/>
        <v>0</v>
      </c>
    </row>
    <row r="110" spans="1:66" hidden="1">
      <c r="A110" s="22"/>
      <c r="B110" s="1" t="s">
        <v>45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8">
        <f t="shared" si="15"/>
        <v>0</v>
      </c>
      <c r="BN110" s="6">
        <f t="shared" si="17"/>
        <v>0</v>
      </c>
    </row>
    <row r="111" spans="1:66" hidden="1">
      <c r="A111" s="22"/>
      <c r="B111" t="s">
        <v>46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8">
        <f t="shared" si="15"/>
        <v>0</v>
      </c>
      <c r="BN111" s="6">
        <f t="shared" si="17"/>
        <v>0</v>
      </c>
    </row>
    <row r="112" spans="1:66" hidden="1">
      <c r="A112" s="22"/>
      <c r="B112" s="1" t="s">
        <v>11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8">
        <f t="shared" si="15"/>
        <v>0</v>
      </c>
      <c r="BN112" s="6">
        <f t="shared" si="17"/>
        <v>0</v>
      </c>
    </row>
    <row r="113" spans="1:66" hidden="1">
      <c r="A113" s="22"/>
      <c r="B113" s="1" t="s">
        <v>12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8">
        <f t="shared" si="15"/>
        <v>0</v>
      </c>
      <c r="BN113" s="6">
        <f t="shared" si="17"/>
        <v>0</v>
      </c>
    </row>
    <row r="114" spans="1:66" hidden="1">
      <c r="A114" s="22"/>
      <c r="B114" s="1" t="s">
        <v>14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8">
        <f t="shared" si="15"/>
        <v>0</v>
      </c>
      <c r="BN114" s="6">
        <f t="shared" si="17"/>
        <v>0</v>
      </c>
    </row>
    <row r="115" spans="1:66" hidden="1">
      <c r="A115" s="22"/>
      <c r="B115" s="1" t="s">
        <v>17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8">
        <f t="shared" si="15"/>
        <v>0</v>
      </c>
      <c r="BN115" s="6">
        <f t="shared" si="17"/>
        <v>0</v>
      </c>
    </row>
    <row r="116" spans="1:66" hidden="1">
      <c r="A116" s="22"/>
      <c r="B116" s="1" t="s">
        <v>15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8">
        <f t="shared" si="15"/>
        <v>0</v>
      </c>
      <c r="BN116" s="6">
        <f t="shared" si="17"/>
        <v>0</v>
      </c>
    </row>
    <row r="117" spans="1:66" hidden="1">
      <c r="A117" s="22"/>
      <c r="B117" s="1" t="s">
        <v>16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8">
        <f t="shared" si="15"/>
        <v>0</v>
      </c>
      <c r="BN117" s="6">
        <f t="shared" si="17"/>
        <v>0</v>
      </c>
    </row>
    <row r="118" spans="1:66" hidden="1">
      <c r="A118" s="22"/>
      <c r="B118" s="1" t="s">
        <v>18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8">
        <f t="shared" si="15"/>
        <v>0</v>
      </c>
      <c r="BN118" s="6">
        <f t="shared" si="17"/>
        <v>0</v>
      </c>
    </row>
    <row r="119" spans="1:66" hidden="1">
      <c r="A119" s="22"/>
      <c r="B119" s="1" t="s">
        <v>19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8">
        <f t="shared" si="15"/>
        <v>0</v>
      </c>
      <c r="BN119" s="6">
        <f t="shared" si="17"/>
        <v>0</v>
      </c>
    </row>
    <row r="120" spans="1:66" s="11" customFormat="1" hidden="1">
      <c r="A120" s="23"/>
      <c r="B120" s="9" t="s">
        <v>32</v>
      </c>
      <c r="C120" s="9">
        <f t="shared" ref="C120:BK120" si="18">SUM(C102:C119)</f>
        <v>0</v>
      </c>
      <c r="D120" s="9">
        <f t="shared" si="18"/>
        <v>0</v>
      </c>
      <c r="E120" s="9">
        <f t="shared" si="18"/>
        <v>0</v>
      </c>
      <c r="F120" s="9">
        <f t="shared" si="18"/>
        <v>0</v>
      </c>
      <c r="G120" s="9">
        <f t="shared" si="18"/>
        <v>0</v>
      </c>
      <c r="H120" s="9">
        <f t="shared" si="18"/>
        <v>0</v>
      </c>
      <c r="I120" s="9">
        <f t="shared" si="18"/>
        <v>0</v>
      </c>
      <c r="J120" s="9">
        <f t="shared" si="18"/>
        <v>0</v>
      </c>
      <c r="K120" s="9">
        <f t="shared" si="18"/>
        <v>0</v>
      </c>
      <c r="L120" s="9">
        <f t="shared" si="18"/>
        <v>0</v>
      </c>
      <c r="M120" s="9">
        <f t="shared" si="18"/>
        <v>0</v>
      </c>
      <c r="N120" s="9">
        <f t="shared" si="18"/>
        <v>0</v>
      </c>
      <c r="O120" s="9">
        <f t="shared" si="18"/>
        <v>0</v>
      </c>
      <c r="P120" s="9">
        <f t="shared" si="18"/>
        <v>0</v>
      </c>
      <c r="Q120" s="9">
        <f t="shared" si="18"/>
        <v>0</v>
      </c>
      <c r="R120" s="9">
        <f t="shared" si="18"/>
        <v>0</v>
      </c>
      <c r="S120" s="9">
        <f t="shared" si="18"/>
        <v>0</v>
      </c>
      <c r="T120" s="9">
        <f t="shared" si="18"/>
        <v>0</v>
      </c>
      <c r="U120" s="9">
        <f t="shared" si="18"/>
        <v>0</v>
      </c>
      <c r="V120" s="9">
        <f t="shared" si="18"/>
        <v>0</v>
      </c>
      <c r="W120" s="9">
        <f t="shared" si="18"/>
        <v>0</v>
      </c>
      <c r="X120" s="9">
        <f t="shared" si="18"/>
        <v>0</v>
      </c>
      <c r="Y120" s="9">
        <f t="shared" si="18"/>
        <v>0</v>
      </c>
      <c r="Z120" s="9">
        <f t="shared" si="18"/>
        <v>0</v>
      </c>
      <c r="AA120" s="9">
        <f t="shared" si="18"/>
        <v>0</v>
      </c>
      <c r="AB120" s="9">
        <f t="shared" si="18"/>
        <v>0</v>
      </c>
      <c r="AC120" s="9">
        <f t="shared" si="18"/>
        <v>0</v>
      </c>
      <c r="AD120" s="9">
        <f t="shared" si="18"/>
        <v>0</v>
      </c>
      <c r="AE120" s="9">
        <f t="shared" si="18"/>
        <v>0</v>
      </c>
      <c r="AF120" s="9">
        <f t="shared" si="18"/>
        <v>0</v>
      </c>
      <c r="AG120" s="9">
        <f t="shared" si="18"/>
        <v>0</v>
      </c>
      <c r="AH120" s="9">
        <f t="shared" si="18"/>
        <v>0</v>
      </c>
      <c r="AI120" s="9">
        <f t="shared" si="18"/>
        <v>0</v>
      </c>
      <c r="AJ120" s="9">
        <f t="shared" si="18"/>
        <v>0</v>
      </c>
      <c r="AK120" s="9">
        <f t="shared" si="18"/>
        <v>0</v>
      </c>
      <c r="AL120" s="9">
        <f t="shared" si="18"/>
        <v>0</v>
      </c>
      <c r="AM120" s="9">
        <f t="shared" si="18"/>
        <v>0</v>
      </c>
      <c r="AN120" s="9">
        <f t="shared" si="18"/>
        <v>0</v>
      </c>
      <c r="AO120" s="9">
        <f t="shared" si="18"/>
        <v>0</v>
      </c>
      <c r="AP120" s="9">
        <f t="shared" si="18"/>
        <v>0</v>
      </c>
      <c r="AQ120" s="9">
        <f t="shared" si="18"/>
        <v>0</v>
      </c>
      <c r="AR120" s="9">
        <f t="shared" si="18"/>
        <v>0</v>
      </c>
      <c r="AS120" s="9">
        <f t="shared" si="18"/>
        <v>0</v>
      </c>
      <c r="AT120" s="9">
        <f t="shared" si="18"/>
        <v>0</v>
      </c>
      <c r="AU120" s="9">
        <f t="shared" si="18"/>
        <v>0</v>
      </c>
      <c r="AV120" s="9">
        <f t="shared" si="18"/>
        <v>0</v>
      </c>
      <c r="AW120" s="9">
        <f t="shared" si="18"/>
        <v>0</v>
      </c>
      <c r="AX120" s="9">
        <f t="shared" si="18"/>
        <v>0</v>
      </c>
      <c r="AY120" s="9">
        <f t="shared" si="18"/>
        <v>0</v>
      </c>
      <c r="AZ120" s="9">
        <f t="shared" si="18"/>
        <v>0</v>
      </c>
      <c r="BA120" s="9">
        <f t="shared" si="18"/>
        <v>0</v>
      </c>
      <c r="BB120" s="9">
        <f t="shared" si="18"/>
        <v>0</v>
      </c>
      <c r="BC120" s="9">
        <f t="shared" si="18"/>
        <v>0</v>
      </c>
      <c r="BD120" s="9">
        <f t="shared" si="18"/>
        <v>0</v>
      </c>
      <c r="BE120" s="9">
        <f t="shared" si="18"/>
        <v>0</v>
      </c>
      <c r="BF120" s="9">
        <f t="shared" si="18"/>
        <v>0</v>
      </c>
      <c r="BG120" s="9">
        <f t="shared" si="18"/>
        <v>0</v>
      </c>
      <c r="BH120" s="9">
        <f t="shared" si="18"/>
        <v>0</v>
      </c>
      <c r="BI120" s="9">
        <f t="shared" si="18"/>
        <v>0</v>
      </c>
      <c r="BJ120" s="9">
        <f t="shared" si="18"/>
        <v>0</v>
      </c>
      <c r="BK120" s="9">
        <f t="shared" si="18"/>
        <v>0</v>
      </c>
      <c r="BL120" s="9">
        <f>SUM(BL102:BL119)</f>
        <v>0</v>
      </c>
      <c r="BM120" s="10">
        <f>SUM(BM107:BM119)</f>
        <v>0</v>
      </c>
      <c r="BN120" s="6">
        <f t="shared" si="17"/>
        <v>0</v>
      </c>
    </row>
    <row r="121" spans="1:66" s="11" customFormat="1" hidden="1">
      <c r="A121" s="21" t="s">
        <v>7</v>
      </c>
      <c r="B121" s="16" t="s">
        <v>44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8">
        <f t="shared" ref="BM121:BM138" si="19">SUM(C121:BL121)</f>
        <v>0</v>
      </c>
      <c r="BN121" s="6">
        <f t="shared" si="17"/>
        <v>0</v>
      </c>
    </row>
    <row r="122" spans="1:66" hidden="1">
      <c r="A122" s="22"/>
      <c r="B122" s="2" t="s">
        <v>39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8">
        <f t="shared" si="19"/>
        <v>0</v>
      </c>
      <c r="BN122" s="6">
        <f t="shared" si="17"/>
        <v>0</v>
      </c>
    </row>
    <row r="123" spans="1:66" hidden="1">
      <c r="A123" s="22"/>
      <c r="B123" s="2" t="s">
        <v>41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8">
        <f t="shared" si="19"/>
        <v>0</v>
      </c>
      <c r="BN123" s="6">
        <f t="shared" si="17"/>
        <v>0</v>
      </c>
    </row>
    <row r="124" spans="1:66" hidden="1">
      <c r="A124" s="22"/>
      <c r="B124" s="2" t="s">
        <v>40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8">
        <f t="shared" si="19"/>
        <v>0</v>
      </c>
      <c r="BN124" s="6">
        <f t="shared" si="17"/>
        <v>0</v>
      </c>
    </row>
    <row r="125" spans="1:66" hidden="1">
      <c r="A125" s="22"/>
      <c r="B125" s="1" t="s">
        <v>13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8">
        <f t="shared" si="19"/>
        <v>0</v>
      </c>
      <c r="BN125" s="6">
        <f t="shared" si="17"/>
        <v>0</v>
      </c>
    </row>
    <row r="126" spans="1:66" s="11" customFormat="1" hidden="1">
      <c r="A126" s="22"/>
      <c r="B126" s="16" t="s">
        <v>43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8">
        <f t="shared" si="19"/>
        <v>0</v>
      </c>
      <c r="BN126" s="6">
        <f t="shared" si="17"/>
        <v>0</v>
      </c>
    </row>
    <row r="127" spans="1:66" s="11" customFormat="1" hidden="1">
      <c r="A127" s="22"/>
      <c r="B127" s="16" t="s">
        <v>42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8">
        <f t="shared" si="19"/>
        <v>0</v>
      </c>
      <c r="BN127" s="6">
        <f t="shared" si="17"/>
        <v>0</v>
      </c>
    </row>
    <row r="128" spans="1:66" hidden="1">
      <c r="A128" s="22"/>
      <c r="B128" s="1" t="s">
        <v>10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8">
        <f t="shared" si="19"/>
        <v>0</v>
      </c>
      <c r="BN128" s="6">
        <f t="shared" si="17"/>
        <v>0</v>
      </c>
    </row>
    <row r="129" spans="1:66" hidden="1">
      <c r="A129" s="22"/>
      <c r="B129" s="1" t="s">
        <v>45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8">
        <f t="shared" si="19"/>
        <v>0</v>
      </c>
      <c r="BN129" s="6">
        <f t="shared" si="17"/>
        <v>0</v>
      </c>
    </row>
    <row r="130" spans="1:66" hidden="1">
      <c r="A130" s="22"/>
      <c r="B130" t="s">
        <v>46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8">
        <f t="shared" si="19"/>
        <v>0</v>
      </c>
      <c r="BN130" s="6">
        <f t="shared" si="17"/>
        <v>0</v>
      </c>
    </row>
    <row r="131" spans="1:66" hidden="1">
      <c r="A131" s="22"/>
      <c r="B131" s="1" t="s">
        <v>11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8">
        <f t="shared" si="19"/>
        <v>0</v>
      </c>
      <c r="BN131" s="6">
        <f t="shared" si="17"/>
        <v>0</v>
      </c>
    </row>
    <row r="132" spans="1:66" hidden="1">
      <c r="A132" s="22"/>
      <c r="B132" s="1" t="s">
        <v>12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8">
        <f t="shared" si="19"/>
        <v>0</v>
      </c>
      <c r="BN132" s="6">
        <f t="shared" si="17"/>
        <v>0</v>
      </c>
    </row>
    <row r="133" spans="1:66" hidden="1">
      <c r="A133" s="22"/>
      <c r="B133" s="1" t="s">
        <v>14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8">
        <f t="shared" si="19"/>
        <v>0</v>
      </c>
      <c r="BN133" s="6">
        <f t="shared" si="17"/>
        <v>0</v>
      </c>
    </row>
    <row r="134" spans="1:66" hidden="1">
      <c r="A134" s="22"/>
      <c r="B134" s="1" t="s">
        <v>17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8">
        <f t="shared" si="19"/>
        <v>0</v>
      </c>
      <c r="BN134" s="6">
        <f t="shared" si="17"/>
        <v>0</v>
      </c>
    </row>
    <row r="135" spans="1:66" hidden="1">
      <c r="A135" s="22"/>
      <c r="B135" s="1" t="s">
        <v>15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8">
        <f t="shared" si="19"/>
        <v>0</v>
      </c>
      <c r="BN135" s="6">
        <f t="shared" si="17"/>
        <v>0</v>
      </c>
    </row>
    <row r="136" spans="1:66" hidden="1">
      <c r="A136" s="22"/>
      <c r="B136" s="1" t="s">
        <v>16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8">
        <f t="shared" si="19"/>
        <v>0</v>
      </c>
      <c r="BN136" s="6">
        <f t="shared" si="17"/>
        <v>0</v>
      </c>
    </row>
    <row r="137" spans="1:66" hidden="1">
      <c r="A137" s="22"/>
      <c r="B137" s="1" t="s">
        <v>18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8">
        <f t="shared" si="19"/>
        <v>0</v>
      </c>
      <c r="BN137" s="6">
        <f t="shared" si="17"/>
        <v>0</v>
      </c>
    </row>
    <row r="138" spans="1:66" hidden="1">
      <c r="A138" s="22"/>
      <c r="B138" s="1" t="s">
        <v>19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8">
        <f t="shared" si="19"/>
        <v>0</v>
      </c>
      <c r="BN138" s="6">
        <f t="shared" si="17"/>
        <v>0</v>
      </c>
    </row>
    <row r="139" spans="1:66" s="11" customFormat="1" hidden="1">
      <c r="A139" s="23"/>
      <c r="B139" s="9" t="s">
        <v>32</v>
      </c>
      <c r="C139" s="9">
        <f>SUM(C121:C138)</f>
        <v>0</v>
      </c>
      <c r="D139" s="9">
        <f t="shared" ref="D139:BL139" si="20">SUM(D121:D138)</f>
        <v>0</v>
      </c>
      <c r="E139" s="9">
        <f t="shared" si="20"/>
        <v>0</v>
      </c>
      <c r="F139" s="9">
        <f t="shared" si="20"/>
        <v>0</v>
      </c>
      <c r="G139" s="9">
        <f t="shared" si="20"/>
        <v>0</v>
      </c>
      <c r="H139" s="9">
        <f t="shared" si="20"/>
        <v>0</v>
      </c>
      <c r="I139" s="9">
        <f t="shared" si="20"/>
        <v>0</v>
      </c>
      <c r="J139" s="9">
        <f t="shared" si="20"/>
        <v>0</v>
      </c>
      <c r="K139" s="9">
        <f t="shared" si="20"/>
        <v>0</v>
      </c>
      <c r="L139" s="9">
        <f t="shared" si="20"/>
        <v>0</v>
      </c>
      <c r="M139" s="9">
        <f t="shared" si="20"/>
        <v>0</v>
      </c>
      <c r="N139" s="9">
        <f t="shared" si="20"/>
        <v>0</v>
      </c>
      <c r="O139" s="9">
        <f t="shared" si="20"/>
        <v>0</v>
      </c>
      <c r="P139" s="9">
        <f t="shared" si="20"/>
        <v>0</v>
      </c>
      <c r="Q139" s="9">
        <f t="shared" si="20"/>
        <v>0</v>
      </c>
      <c r="R139" s="9">
        <f t="shared" si="20"/>
        <v>0</v>
      </c>
      <c r="S139" s="9">
        <f t="shared" si="20"/>
        <v>0</v>
      </c>
      <c r="T139" s="9">
        <f t="shared" si="20"/>
        <v>0</v>
      </c>
      <c r="U139" s="9">
        <f t="shared" si="20"/>
        <v>0</v>
      </c>
      <c r="V139" s="9">
        <f t="shared" si="20"/>
        <v>0</v>
      </c>
      <c r="W139" s="9">
        <f t="shared" si="20"/>
        <v>0</v>
      </c>
      <c r="X139" s="9">
        <f t="shared" si="20"/>
        <v>0</v>
      </c>
      <c r="Y139" s="9">
        <f t="shared" si="20"/>
        <v>0</v>
      </c>
      <c r="Z139" s="9">
        <f t="shared" si="20"/>
        <v>0</v>
      </c>
      <c r="AA139" s="9">
        <f t="shared" si="20"/>
        <v>0</v>
      </c>
      <c r="AB139" s="9">
        <f t="shared" si="20"/>
        <v>0</v>
      </c>
      <c r="AC139" s="9">
        <f t="shared" si="20"/>
        <v>0</v>
      </c>
      <c r="AD139" s="9">
        <f t="shared" si="20"/>
        <v>0</v>
      </c>
      <c r="AE139" s="9">
        <f t="shared" si="20"/>
        <v>0</v>
      </c>
      <c r="AF139" s="9">
        <f t="shared" si="20"/>
        <v>0</v>
      </c>
      <c r="AG139" s="9">
        <f t="shared" si="20"/>
        <v>0</v>
      </c>
      <c r="AH139" s="9">
        <f t="shared" si="20"/>
        <v>0</v>
      </c>
      <c r="AI139" s="9">
        <f t="shared" si="20"/>
        <v>0</v>
      </c>
      <c r="AJ139" s="9">
        <f t="shared" si="20"/>
        <v>0</v>
      </c>
      <c r="AK139" s="9">
        <f t="shared" si="20"/>
        <v>0</v>
      </c>
      <c r="AL139" s="9">
        <f t="shared" si="20"/>
        <v>0</v>
      </c>
      <c r="AM139" s="9">
        <f t="shared" si="20"/>
        <v>0</v>
      </c>
      <c r="AN139" s="9">
        <f t="shared" si="20"/>
        <v>0</v>
      </c>
      <c r="AO139" s="9">
        <f t="shared" si="20"/>
        <v>0</v>
      </c>
      <c r="AP139" s="9">
        <f t="shared" si="20"/>
        <v>0</v>
      </c>
      <c r="AQ139" s="9">
        <f t="shared" si="20"/>
        <v>0</v>
      </c>
      <c r="AR139" s="9">
        <f t="shared" si="20"/>
        <v>0</v>
      </c>
      <c r="AS139" s="9">
        <f t="shared" si="20"/>
        <v>0</v>
      </c>
      <c r="AT139" s="9">
        <f t="shared" si="20"/>
        <v>0</v>
      </c>
      <c r="AU139" s="9">
        <f t="shared" si="20"/>
        <v>0</v>
      </c>
      <c r="AV139" s="9">
        <f t="shared" si="20"/>
        <v>0</v>
      </c>
      <c r="AW139" s="9">
        <f t="shared" si="20"/>
        <v>0</v>
      </c>
      <c r="AX139" s="9">
        <f t="shared" si="20"/>
        <v>0</v>
      </c>
      <c r="AY139" s="9">
        <f t="shared" si="20"/>
        <v>0</v>
      </c>
      <c r="AZ139" s="9">
        <f t="shared" si="20"/>
        <v>0</v>
      </c>
      <c r="BA139" s="9">
        <f t="shared" si="20"/>
        <v>0</v>
      </c>
      <c r="BB139" s="9">
        <f t="shared" si="20"/>
        <v>0</v>
      </c>
      <c r="BC139" s="9">
        <f t="shared" si="20"/>
        <v>0</v>
      </c>
      <c r="BD139" s="9">
        <f t="shared" si="20"/>
        <v>0</v>
      </c>
      <c r="BE139" s="9">
        <f t="shared" si="20"/>
        <v>0</v>
      </c>
      <c r="BF139" s="9">
        <f t="shared" si="20"/>
        <v>0</v>
      </c>
      <c r="BG139" s="9">
        <f t="shared" si="20"/>
        <v>0</v>
      </c>
      <c r="BH139" s="9">
        <f t="shared" si="20"/>
        <v>0</v>
      </c>
      <c r="BI139" s="9">
        <f t="shared" si="20"/>
        <v>0</v>
      </c>
      <c r="BJ139" s="9">
        <f t="shared" si="20"/>
        <v>0</v>
      </c>
      <c r="BK139" s="9">
        <f t="shared" si="20"/>
        <v>0</v>
      </c>
      <c r="BL139" s="9">
        <f t="shared" si="20"/>
        <v>0</v>
      </c>
      <c r="BM139" s="10">
        <f>SUM(BM126:BM138)</f>
        <v>0</v>
      </c>
      <c r="BN139" s="6">
        <f t="shared" ref="BN139:BN174" si="21">BM139/BM$5</f>
        <v>0</v>
      </c>
    </row>
    <row r="140" spans="1:66" hidden="1">
      <c r="A140" s="21" t="s">
        <v>8</v>
      </c>
      <c r="B140" s="16" t="s">
        <v>44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7">
        <f t="shared" ref="BM140:BM157" si="22">SUM(C140:BL140)</f>
        <v>0</v>
      </c>
      <c r="BN140" s="6">
        <f t="shared" ref="BN140:BN157" si="23">BM140/BM$5</f>
        <v>0</v>
      </c>
    </row>
    <row r="141" spans="1:66" hidden="1">
      <c r="A141" s="22"/>
      <c r="B141" s="2" t="s">
        <v>39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7">
        <f t="shared" si="22"/>
        <v>0</v>
      </c>
      <c r="BN141" s="6">
        <f t="shared" si="23"/>
        <v>0</v>
      </c>
    </row>
    <row r="142" spans="1:66" hidden="1">
      <c r="A142" s="22"/>
      <c r="B142" s="2" t="s">
        <v>41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7">
        <f t="shared" si="22"/>
        <v>0</v>
      </c>
      <c r="BN142" s="6">
        <f t="shared" si="23"/>
        <v>0</v>
      </c>
    </row>
    <row r="143" spans="1:66" hidden="1">
      <c r="A143" s="22"/>
      <c r="B143" s="2" t="s">
        <v>40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7">
        <f t="shared" si="22"/>
        <v>0</v>
      </c>
      <c r="BN143" s="6">
        <f t="shared" si="23"/>
        <v>0</v>
      </c>
    </row>
    <row r="144" spans="1:66" hidden="1">
      <c r="A144" s="22"/>
      <c r="B144" s="1" t="s">
        <v>13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7">
        <f t="shared" si="22"/>
        <v>0</v>
      </c>
      <c r="BN144" s="6">
        <f t="shared" si="23"/>
        <v>0</v>
      </c>
    </row>
    <row r="145" spans="1:66" hidden="1">
      <c r="A145" s="22"/>
      <c r="B145" s="16" t="s">
        <v>43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7">
        <f t="shared" si="22"/>
        <v>0</v>
      </c>
      <c r="BN145" s="6">
        <f t="shared" si="23"/>
        <v>0</v>
      </c>
    </row>
    <row r="146" spans="1:66" hidden="1">
      <c r="A146" s="22"/>
      <c r="B146" s="16" t="s">
        <v>42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7">
        <f t="shared" si="22"/>
        <v>0</v>
      </c>
      <c r="BN146" s="6">
        <f t="shared" si="23"/>
        <v>0</v>
      </c>
    </row>
    <row r="147" spans="1:66" hidden="1">
      <c r="A147" s="22"/>
      <c r="B147" s="1" t="s">
        <v>10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7">
        <f t="shared" si="22"/>
        <v>0</v>
      </c>
      <c r="BN147" s="6">
        <f t="shared" si="23"/>
        <v>0</v>
      </c>
    </row>
    <row r="148" spans="1:66" hidden="1">
      <c r="A148" s="22"/>
      <c r="B148" s="1" t="s">
        <v>45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7">
        <f t="shared" si="22"/>
        <v>0</v>
      </c>
      <c r="BN148" s="6">
        <f t="shared" si="23"/>
        <v>0</v>
      </c>
    </row>
    <row r="149" spans="1:66" hidden="1">
      <c r="A149" s="22"/>
      <c r="B149" t="s">
        <v>46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7">
        <f t="shared" si="22"/>
        <v>0</v>
      </c>
      <c r="BN149" s="6">
        <f t="shared" si="23"/>
        <v>0</v>
      </c>
    </row>
    <row r="150" spans="1:66" hidden="1">
      <c r="A150" s="22"/>
      <c r="B150" s="1" t="s">
        <v>11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7">
        <f t="shared" si="22"/>
        <v>0</v>
      </c>
      <c r="BN150" s="6">
        <f t="shared" si="23"/>
        <v>0</v>
      </c>
    </row>
    <row r="151" spans="1:66" hidden="1">
      <c r="A151" s="22"/>
      <c r="B151" s="1" t="s">
        <v>12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7">
        <f t="shared" si="22"/>
        <v>0</v>
      </c>
      <c r="BN151" s="6">
        <f t="shared" si="23"/>
        <v>0</v>
      </c>
    </row>
    <row r="152" spans="1:66" hidden="1">
      <c r="A152" s="22"/>
      <c r="B152" s="1" t="s">
        <v>14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7">
        <f t="shared" si="22"/>
        <v>0</v>
      </c>
      <c r="BN152" s="6">
        <f t="shared" si="23"/>
        <v>0</v>
      </c>
    </row>
    <row r="153" spans="1:66" hidden="1">
      <c r="A153" s="22"/>
      <c r="B153" s="1" t="s">
        <v>17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7">
        <f t="shared" si="22"/>
        <v>0</v>
      </c>
      <c r="BN153" s="6">
        <f t="shared" si="23"/>
        <v>0</v>
      </c>
    </row>
    <row r="154" spans="1:66" hidden="1">
      <c r="A154" s="22"/>
      <c r="B154" s="1" t="s">
        <v>15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7">
        <f t="shared" si="22"/>
        <v>0</v>
      </c>
      <c r="BN154" s="6">
        <f t="shared" si="23"/>
        <v>0</v>
      </c>
    </row>
    <row r="155" spans="1:66" hidden="1">
      <c r="A155" s="22"/>
      <c r="B155" s="1" t="s">
        <v>16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7">
        <f t="shared" si="22"/>
        <v>0</v>
      </c>
      <c r="BN155" s="6">
        <f t="shared" si="23"/>
        <v>0</v>
      </c>
    </row>
    <row r="156" spans="1:66" hidden="1">
      <c r="A156" s="22"/>
      <c r="B156" s="1" t="s">
        <v>18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7">
        <f t="shared" si="22"/>
        <v>0</v>
      </c>
      <c r="BN156" s="6">
        <f t="shared" si="23"/>
        <v>0</v>
      </c>
    </row>
    <row r="157" spans="1:66" hidden="1">
      <c r="A157" s="22"/>
      <c r="B157" s="1" t="s">
        <v>19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7">
        <f t="shared" si="22"/>
        <v>0</v>
      </c>
      <c r="BN157" s="6">
        <f t="shared" si="23"/>
        <v>0</v>
      </c>
    </row>
    <row r="158" spans="1:66" s="11" customFormat="1" hidden="1">
      <c r="A158" s="23"/>
      <c r="B158" s="9" t="s">
        <v>32</v>
      </c>
      <c r="C158" s="9">
        <f t="shared" ref="C158:BK158" si="24">SUM(C140:C157)</f>
        <v>0</v>
      </c>
      <c r="D158" s="9">
        <f t="shared" si="24"/>
        <v>0</v>
      </c>
      <c r="E158" s="9">
        <f t="shared" si="24"/>
        <v>0</v>
      </c>
      <c r="F158" s="9">
        <f t="shared" si="24"/>
        <v>0</v>
      </c>
      <c r="G158" s="9">
        <f t="shared" si="24"/>
        <v>0</v>
      </c>
      <c r="H158" s="9">
        <f t="shared" si="24"/>
        <v>0</v>
      </c>
      <c r="I158" s="9">
        <f t="shared" si="24"/>
        <v>0</v>
      </c>
      <c r="J158" s="9">
        <f t="shared" si="24"/>
        <v>0</v>
      </c>
      <c r="K158" s="9">
        <f t="shared" si="24"/>
        <v>0</v>
      </c>
      <c r="L158" s="9">
        <f t="shared" si="24"/>
        <v>0</v>
      </c>
      <c r="M158" s="9">
        <f t="shared" si="24"/>
        <v>0</v>
      </c>
      <c r="N158" s="9">
        <f t="shared" si="24"/>
        <v>0</v>
      </c>
      <c r="O158" s="9">
        <f t="shared" si="24"/>
        <v>0</v>
      </c>
      <c r="P158" s="9">
        <f t="shared" si="24"/>
        <v>0</v>
      </c>
      <c r="Q158" s="9">
        <f t="shared" si="24"/>
        <v>0</v>
      </c>
      <c r="R158" s="9">
        <f t="shared" si="24"/>
        <v>0</v>
      </c>
      <c r="S158" s="9">
        <f t="shared" si="24"/>
        <v>0</v>
      </c>
      <c r="T158" s="9">
        <f t="shared" si="24"/>
        <v>0</v>
      </c>
      <c r="U158" s="9">
        <f t="shared" si="24"/>
        <v>0</v>
      </c>
      <c r="V158" s="9">
        <f t="shared" si="24"/>
        <v>0</v>
      </c>
      <c r="W158" s="9">
        <f t="shared" si="24"/>
        <v>0</v>
      </c>
      <c r="X158" s="9">
        <f t="shared" si="24"/>
        <v>0</v>
      </c>
      <c r="Y158" s="9">
        <f t="shared" si="24"/>
        <v>0</v>
      </c>
      <c r="Z158" s="9">
        <f t="shared" si="24"/>
        <v>0</v>
      </c>
      <c r="AA158" s="9">
        <f t="shared" si="24"/>
        <v>0</v>
      </c>
      <c r="AB158" s="9">
        <f t="shared" si="24"/>
        <v>0</v>
      </c>
      <c r="AC158" s="9">
        <f t="shared" si="24"/>
        <v>0</v>
      </c>
      <c r="AD158" s="9">
        <f t="shared" si="24"/>
        <v>0</v>
      </c>
      <c r="AE158" s="9">
        <f t="shared" si="24"/>
        <v>0</v>
      </c>
      <c r="AF158" s="9">
        <f t="shared" si="24"/>
        <v>0</v>
      </c>
      <c r="AG158" s="9">
        <f t="shared" si="24"/>
        <v>0</v>
      </c>
      <c r="AH158" s="9">
        <f t="shared" si="24"/>
        <v>0</v>
      </c>
      <c r="AI158" s="9">
        <f t="shared" si="24"/>
        <v>0</v>
      </c>
      <c r="AJ158" s="9">
        <f t="shared" si="24"/>
        <v>0</v>
      </c>
      <c r="AK158" s="9">
        <f t="shared" si="24"/>
        <v>0</v>
      </c>
      <c r="AL158" s="9">
        <f t="shared" si="24"/>
        <v>0</v>
      </c>
      <c r="AM158" s="9">
        <f t="shared" si="24"/>
        <v>0</v>
      </c>
      <c r="AN158" s="9">
        <f t="shared" si="24"/>
        <v>0</v>
      </c>
      <c r="AO158" s="9">
        <f t="shared" si="24"/>
        <v>0</v>
      </c>
      <c r="AP158" s="9">
        <f t="shared" si="24"/>
        <v>0</v>
      </c>
      <c r="AQ158" s="9">
        <f t="shared" si="24"/>
        <v>0</v>
      </c>
      <c r="AR158" s="9">
        <f t="shared" si="24"/>
        <v>0</v>
      </c>
      <c r="AS158" s="9">
        <f t="shared" si="24"/>
        <v>0</v>
      </c>
      <c r="AT158" s="9">
        <f t="shared" si="24"/>
        <v>0</v>
      </c>
      <c r="AU158" s="9">
        <f t="shared" si="24"/>
        <v>0</v>
      </c>
      <c r="AV158" s="9">
        <f t="shared" si="24"/>
        <v>0</v>
      </c>
      <c r="AW158" s="9">
        <f t="shared" si="24"/>
        <v>0</v>
      </c>
      <c r="AX158" s="9">
        <f t="shared" si="24"/>
        <v>0</v>
      </c>
      <c r="AY158" s="9">
        <f t="shared" si="24"/>
        <v>0</v>
      </c>
      <c r="AZ158" s="9">
        <f t="shared" si="24"/>
        <v>0</v>
      </c>
      <c r="BA158" s="9">
        <f t="shared" si="24"/>
        <v>0</v>
      </c>
      <c r="BB158" s="9">
        <f t="shared" si="24"/>
        <v>0</v>
      </c>
      <c r="BC158" s="9">
        <f t="shared" si="24"/>
        <v>0</v>
      </c>
      <c r="BD158" s="9">
        <f t="shared" si="24"/>
        <v>0</v>
      </c>
      <c r="BE158" s="9">
        <f t="shared" si="24"/>
        <v>0</v>
      </c>
      <c r="BF158" s="9">
        <f t="shared" si="24"/>
        <v>0</v>
      </c>
      <c r="BG158" s="9">
        <f t="shared" si="24"/>
        <v>0</v>
      </c>
      <c r="BH158" s="9">
        <f t="shared" si="24"/>
        <v>0</v>
      </c>
      <c r="BI158" s="9">
        <f t="shared" si="24"/>
        <v>0</v>
      </c>
      <c r="BJ158" s="9">
        <f t="shared" si="24"/>
        <v>0</v>
      </c>
      <c r="BK158" s="9">
        <f t="shared" si="24"/>
        <v>0</v>
      </c>
      <c r="BL158" s="9">
        <f>SUM(BL140:BL157)</f>
        <v>0</v>
      </c>
      <c r="BM158" s="10">
        <f>SUM(BM141:BM157)</f>
        <v>0</v>
      </c>
      <c r="BN158" s="6">
        <f t="shared" si="21"/>
        <v>0</v>
      </c>
    </row>
    <row r="159" spans="1:66" s="4" customFormat="1">
      <c r="A159" s="15"/>
      <c r="B159" s="3" t="s">
        <v>33</v>
      </c>
      <c r="C159" s="3" t="e">
        <f t="shared" ref="C159:AH159" si="25">SUMIF($B11:$B158,"รวมเวลาหยุด",C11:C158)/C4</f>
        <v>#DIV/0!</v>
      </c>
      <c r="D159" s="3" t="e">
        <f t="shared" si="25"/>
        <v>#DIV/0!</v>
      </c>
      <c r="E159" s="3" t="e">
        <f t="shared" si="25"/>
        <v>#DIV/0!</v>
      </c>
      <c r="F159" s="3" t="e">
        <f t="shared" si="25"/>
        <v>#DIV/0!</v>
      </c>
      <c r="G159" s="3" t="e">
        <f t="shared" si="25"/>
        <v>#DIV/0!</v>
      </c>
      <c r="H159" s="3" t="e">
        <f t="shared" si="25"/>
        <v>#DIV/0!</v>
      </c>
      <c r="I159" s="3" t="e">
        <f t="shared" si="25"/>
        <v>#DIV/0!</v>
      </c>
      <c r="J159" s="3" t="e">
        <f t="shared" si="25"/>
        <v>#DIV/0!</v>
      </c>
      <c r="K159" s="3" t="e">
        <f t="shared" si="25"/>
        <v>#DIV/0!</v>
      </c>
      <c r="L159" s="3" t="e">
        <f t="shared" si="25"/>
        <v>#DIV/0!</v>
      </c>
      <c r="M159" s="3" t="e">
        <f t="shared" si="25"/>
        <v>#DIV/0!</v>
      </c>
      <c r="N159" s="3" t="e">
        <f t="shared" si="25"/>
        <v>#DIV/0!</v>
      </c>
      <c r="O159" s="3" t="e">
        <f t="shared" si="25"/>
        <v>#DIV/0!</v>
      </c>
      <c r="P159" s="3" t="e">
        <f t="shared" si="25"/>
        <v>#DIV/0!</v>
      </c>
      <c r="Q159" s="3" t="e">
        <f t="shared" si="25"/>
        <v>#DIV/0!</v>
      </c>
      <c r="R159" s="3" t="e">
        <f t="shared" si="25"/>
        <v>#DIV/0!</v>
      </c>
      <c r="S159" s="3" t="e">
        <f t="shared" si="25"/>
        <v>#DIV/0!</v>
      </c>
      <c r="T159" s="3" t="e">
        <f t="shared" si="25"/>
        <v>#DIV/0!</v>
      </c>
      <c r="U159" s="3" t="e">
        <f t="shared" si="25"/>
        <v>#DIV/0!</v>
      </c>
      <c r="V159" s="3" t="e">
        <f t="shared" si="25"/>
        <v>#DIV/0!</v>
      </c>
      <c r="W159" s="3" t="e">
        <f t="shared" si="25"/>
        <v>#DIV/0!</v>
      </c>
      <c r="X159" s="3" t="e">
        <f t="shared" si="25"/>
        <v>#DIV/0!</v>
      </c>
      <c r="Y159" s="3" t="e">
        <f t="shared" si="25"/>
        <v>#DIV/0!</v>
      </c>
      <c r="Z159" s="3" t="e">
        <f t="shared" si="25"/>
        <v>#DIV/0!</v>
      </c>
      <c r="AA159" s="3" t="e">
        <f t="shared" si="25"/>
        <v>#DIV/0!</v>
      </c>
      <c r="AB159" s="3" t="e">
        <f t="shared" si="25"/>
        <v>#DIV/0!</v>
      </c>
      <c r="AC159" s="3" t="e">
        <f t="shared" si="25"/>
        <v>#DIV/0!</v>
      </c>
      <c r="AD159" s="3" t="e">
        <f t="shared" si="25"/>
        <v>#DIV/0!</v>
      </c>
      <c r="AE159" s="3" t="e">
        <f t="shared" si="25"/>
        <v>#DIV/0!</v>
      </c>
      <c r="AF159" s="3" t="e">
        <f t="shared" si="25"/>
        <v>#DIV/0!</v>
      </c>
      <c r="AG159" s="3" t="e">
        <f t="shared" si="25"/>
        <v>#DIV/0!</v>
      </c>
      <c r="AH159" s="3" t="e">
        <f t="shared" si="25"/>
        <v>#DIV/0!</v>
      </c>
      <c r="AI159" s="3" t="e">
        <f t="shared" ref="AI159:BM159" si="26">SUMIF($B11:$B158,"รวมเวลาหยุด",AI11:AI158)/AI4</f>
        <v>#DIV/0!</v>
      </c>
      <c r="AJ159" s="3" t="e">
        <f t="shared" si="26"/>
        <v>#DIV/0!</v>
      </c>
      <c r="AK159" s="3" t="e">
        <f t="shared" si="26"/>
        <v>#DIV/0!</v>
      </c>
      <c r="AL159" s="3" t="e">
        <f t="shared" si="26"/>
        <v>#DIV/0!</v>
      </c>
      <c r="AM159" s="3" t="e">
        <f t="shared" si="26"/>
        <v>#DIV/0!</v>
      </c>
      <c r="AN159" s="3" t="e">
        <f t="shared" si="26"/>
        <v>#DIV/0!</v>
      </c>
      <c r="AO159" s="3" t="e">
        <f t="shared" si="26"/>
        <v>#DIV/0!</v>
      </c>
      <c r="AP159" s="3" t="e">
        <f t="shared" si="26"/>
        <v>#DIV/0!</v>
      </c>
      <c r="AQ159" s="3">
        <f t="shared" si="26"/>
        <v>50.8</v>
      </c>
      <c r="AR159" s="3" t="e">
        <f t="shared" si="26"/>
        <v>#DIV/0!</v>
      </c>
      <c r="AS159" s="3">
        <f t="shared" si="26"/>
        <v>17.5</v>
      </c>
      <c r="AT159" s="3" t="e">
        <f t="shared" si="26"/>
        <v>#DIV/0!</v>
      </c>
      <c r="AU159" s="3">
        <f t="shared" si="26"/>
        <v>42</v>
      </c>
      <c r="AV159" s="3" t="e">
        <f t="shared" si="26"/>
        <v>#DIV/0!</v>
      </c>
      <c r="AW159" s="3" t="e">
        <f t="shared" si="26"/>
        <v>#DIV/0!</v>
      </c>
      <c r="AX159" s="3" t="e">
        <f t="shared" si="26"/>
        <v>#DIV/0!</v>
      </c>
      <c r="AY159" s="3">
        <f t="shared" si="26"/>
        <v>67</v>
      </c>
      <c r="AZ159" s="3" t="e">
        <f t="shared" si="26"/>
        <v>#DIV/0!</v>
      </c>
      <c r="BA159" s="3" t="e">
        <f t="shared" si="26"/>
        <v>#DIV/0!</v>
      </c>
      <c r="BB159" s="3" t="e">
        <f t="shared" si="26"/>
        <v>#DIV/0!</v>
      </c>
      <c r="BC159" s="3" t="e">
        <f t="shared" si="26"/>
        <v>#DIV/0!</v>
      </c>
      <c r="BD159" s="3" t="e">
        <f t="shared" si="26"/>
        <v>#DIV/0!</v>
      </c>
      <c r="BE159" s="3" t="e">
        <f t="shared" si="26"/>
        <v>#DIV/0!</v>
      </c>
      <c r="BF159" s="3" t="e">
        <f t="shared" si="26"/>
        <v>#DIV/0!</v>
      </c>
      <c r="BG159" s="3" t="e">
        <f t="shared" si="26"/>
        <v>#DIV/0!</v>
      </c>
      <c r="BH159" s="3" t="e">
        <f t="shared" si="26"/>
        <v>#DIV/0!</v>
      </c>
      <c r="BI159" s="3" t="e">
        <f t="shared" si="26"/>
        <v>#DIV/0!</v>
      </c>
      <c r="BJ159" s="3" t="e">
        <f t="shared" si="26"/>
        <v>#DIV/0!</v>
      </c>
      <c r="BK159" s="3" t="e">
        <f t="shared" si="26"/>
        <v>#DIV/0!</v>
      </c>
      <c r="BL159" s="3" t="e">
        <f t="shared" si="26"/>
        <v>#DIV/0!</v>
      </c>
      <c r="BM159" s="20">
        <f t="shared" si="26"/>
        <v>46.176470588235297</v>
      </c>
      <c r="BN159" s="6">
        <f t="shared" si="21"/>
        <v>1.9240196078431374E-2</v>
      </c>
    </row>
    <row r="160" spans="1:66">
      <c r="A160" s="21" t="s">
        <v>53</v>
      </c>
      <c r="B160" s="1" t="s">
        <v>20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>
        <f t="shared" ref="BM160" si="27">SUM(C160:BL160)</f>
        <v>0</v>
      </c>
      <c r="BN160" s="6">
        <f t="shared" si="21"/>
        <v>0</v>
      </c>
    </row>
    <row r="161" spans="1:66">
      <c r="A161" s="22"/>
      <c r="B161" s="1" t="s">
        <v>21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>
        <f>SUM(C161:BL161)</f>
        <v>0</v>
      </c>
      <c r="BN161" s="6">
        <f t="shared" si="21"/>
        <v>0</v>
      </c>
    </row>
    <row r="162" spans="1:66">
      <c r="A162" s="22"/>
      <c r="B162" s="1" t="s">
        <v>22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>
        <f t="shared" ref="BM162:BM171" si="28">SUM(C162:BL162)</f>
        <v>0</v>
      </c>
      <c r="BN162" s="6">
        <f t="shared" si="21"/>
        <v>0</v>
      </c>
    </row>
    <row r="163" spans="1:66">
      <c r="A163" s="22"/>
      <c r="B163" s="1" t="s">
        <v>47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>
        <f t="shared" si="28"/>
        <v>0</v>
      </c>
      <c r="BN163" s="6">
        <f t="shared" si="21"/>
        <v>0</v>
      </c>
    </row>
    <row r="164" spans="1:66">
      <c r="A164" s="22"/>
      <c r="B164" s="1" t="s">
        <v>23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>
        <f t="shared" si="28"/>
        <v>0</v>
      </c>
      <c r="BN164" s="6">
        <f t="shared" si="21"/>
        <v>0</v>
      </c>
    </row>
    <row r="165" spans="1:66">
      <c r="A165" s="22"/>
      <c r="B165" s="1" t="s">
        <v>24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>
        <f t="shared" si="28"/>
        <v>0</v>
      </c>
      <c r="BN165" s="6">
        <f t="shared" si="21"/>
        <v>0</v>
      </c>
    </row>
    <row r="166" spans="1:66">
      <c r="A166" s="22"/>
      <c r="B166" s="1" t="s">
        <v>25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>
        <f t="shared" si="28"/>
        <v>0</v>
      </c>
      <c r="BN166" s="6">
        <f t="shared" si="21"/>
        <v>0</v>
      </c>
    </row>
    <row r="167" spans="1:66">
      <c r="A167" s="22"/>
      <c r="B167" s="1" t="s">
        <v>26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>
        <f t="shared" si="28"/>
        <v>0</v>
      </c>
      <c r="BN167" s="6">
        <f t="shared" si="21"/>
        <v>0</v>
      </c>
    </row>
    <row r="168" spans="1:66">
      <c r="A168" s="22"/>
      <c r="B168" s="1" t="s">
        <v>27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>
        <f t="shared" si="28"/>
        <v>0</v>
      </c>
      <c r="BN168" s="6">
        <f t="shared" si="21"/>
        <v>0</v>
      </c>
    </row>
    <row r="169" spans="1:66">
      <c r="A169" s="22"/>
      <c r="B169" s="1" t="s">
        <v>47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>
        <f t="shared" si="28"/>
        <v>0</v>
      </c>
      <c r="BN169" s="6"/>
    </row>
    <row r="170" spans="1:66">
      <c r="A170" s="22"/>
      <c r="B170" s="1" t="s">
        <v>23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>
        <f t="shared" si="28"/>
        <v>0</v>
      </c>
      <c r="BN170" s="6"/>
    </row>
    <row r="171" spans="1:66">
      <c r="A171" s="23"/>
      <c r="B171" s="1" t="s">
        <v>28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>
        <f t="shared" si="28"/>
        <v>0</v>
      </c>
      <c r="BN171" s="6">
        <f t="shared" si="21"/>
        <v>0</v>
      </c>
    </row>
    <row r="172" spans="1:66" s="11" customFormat="1">
      <c r="A172" s="9"/>
      <c r="B172" s="9" t="s">
        <v>32</v>
      </c>
      <c r="C172" s="9">
        <f>SUM(C160:C171)</f>
        <v>0</v>
      </c>
      <c r="D172" s="9">
        <f t="shared" ref="D172:BL172" si="29">SUM(D160:D171)</f>
        <v>0</v>
      </c>
      <c r="E172" s="9">
        <f t="shared" si="29"/>
        <v>0</v>
      </c>
      <c r="F172" s="9">
        <f t="shared" si="29"/>
        <v>0</v>
      </c>
      <c r="G172" s="9">
        <f t="shared" si="29"/>
        <v>0</v>
      </c>
      <c r="H172" s="9">
        <f t="shared" si="29"/>
        <v>0</v>
      </c>
      <c r="I172" s="9">
        <f t="shared" si="29"/>
        <v>0</v>
      </c>
      <c r="J172" s="9">
        <f t="shared" si="29"/>
        <v>0</v>
      </c>
      <c r="K172" s="9">
        <f t="shared" si="29"/>
        <v>0</v>
      </c>
      <c r="L172" s="9">
        <f t="shared" si="29"/>
        <v>0</v>
      </c>
      <c r="M172" s="9">
        <f t="shared" si="29"/>
        <v>0</v>
      </c>
      <c r="N172" s="9">
        <f t="shared" si="29"/>
        <v>0</v>
      </c>
      <c r="O172" s="9">
        <f t="shared" si="29"/>
        <v>0</v>
      </c>
      <c r="P172" s="9">
        <f t="shared" si="29"/>
        <v>0</v>
      </c>
      <c r="Q172" s="9">
        <f t="shared" si="29"/>
        <v>0</v>
      </c>
      <c r="R172" s="9">
        <f t="shared" si="29"/>
        <v>0</v>
      </c>
      <c r="S172" s="9">
        <f t="shared" si="29"/>
        <v>0</v>
      </c>
      <c r="T172" s="9">
        <f t="shared" si="29"/>
        <v>0</v>
      </c>
      <c r="U172" s="9">
        <f t="shared" si="29"/>
        <v>0</v>
      </c>
      <c r="V172" s="9">
        <f t="shared" si="29"/>
        <v>0</v>
      </c>
      <c r="W172" s="9">
        <f t="shared" si="29"/>
        <v>0</v>
      </c>
      <c r="X172" s="9">
        <f t="shared" si="29"/>
        <v>0</v>
      </c>
      <c r="Y172" s="9">
        <f t="shared" si="29"/>
        <v>0</v>
      </c>
      <c r="Z172" s="9">
        <f t="shared" si="29"/>
        <v>0</v>
      </c>
      <c r="AA172" s="9">
        <f t="shared" si="29"/>
        <v>0</v>
      </c>
      <c r="AB172" s="9">
        <f t="shared" si="29"/>
        <v>0</v>
      </c>
      <c r="AC172" s="9">
        <f t="shared" si="29"/>
        <v>0</v>
      </c>
      <c r="AD172" s="9">
        <f t="shared" si="29"/>
        <v>0</v>
      </c>
      <c r="AE172" s="9">
        <f t="shared" si="29"/>
        <v>0</v>
      </c>
      <c r="AF172" s="9">
        <f t="shared" si="29"/>
        <v>0</v>
      </c>
      <c r="AG172" s="9">
        <f t="shared" si="29"/>
        <v>0</v>
      </c>
      <c r="AH172" s="9">
        <f t="shared" si="29"/>
        <v>0</v>
      </c>
      <c r="AI172" s="9">
        <f t="shared" si="29"/>
        <v>0</v>
      </c>
      <c r="AJ172" s="9">
        <f t="shared" si="29"/>
        <v>0</v>
      </c>
      <c r="AK172" s="9">
        <f t="shared" si="29"/>
        <v>0</v>
      </c>
      <c r="AL172" s="9">
        <f t="shared" si="29"/>
        <v>0</v>
      </c>
      <c r="AM172" s="9">
        <f t="shared" si="29"/>
        <v>0</v>
      </c>
      <c r="AN172" s="9">
        <f t="shared" si="29"/>
        <v>0</v>
      </c>
      <c r="AO172" s="9">
        <f t="shared" si="29"/>
        <v>0</v>
      </c>
      <c r="AP172" s="9">
        <f t="shared" si="29"/>
        <v>0</v>
      </c>
      <c r="AQ172" s="9">
        <f t="shared" si="29"/>
        <v>0</v>
      </c>
      <c r="AR172" s="9">
        <f t="shared" si="29"/>
        <v>0</v>
      </c>
      <c r="AS172" s="9">
        <f t="shared" si="29"/>
        <v>0</v>
      </c>
      <c r="AT172" s="9">
        <f t="shared" si="29"/>
        <v>0</v>
      </c>
      <c r="AU172" s="9">
        <f t="shared" si="29"/>
        <v>0</v>
      </c>
      <c r="AV172" s="9">
        <f t="shared" si="29"/>
        <v>0</v>
      </c>
      <c r="AW172" s="9">
        <f t="shared" si="29"/>
        <v>0</v>
      </c>
      <c r="AX172" s="9">
        <f t="shared" si="29"/>
        <v>0</v>
      </c>
      <c r="AY172" s="9">
        <f t="shared" si="29"/>
        <v>0</v>
      </c>
      <c r="AZ172" s="9">
        <f t="shared" si="29"/>
        <v>0</v>
      </c>
      <c r="BA172" s="9">
        <f t="shared" si="29"/>
        <v>0</v>
      </c>
      <c r="BB172" s="9">
        <f t="shared" si="29"/>
        <v>0</v>
      </c>
      <c r="BC172" s="9">
        <f t="shared" si="29"/>
        <v>0</v>
      </c>
      <c r="BD172" s="9">
        <f t="shared" si="29"/>
        <v>0</v>
      </c>
      <c r="BE172" s="9">
        <f t="shared" si="29"/>
        <v>0</v>
      </c>
      <c r="BF172" s="9">
        <f t="shared" si="29"/>
        <v>0</v>
      </c>
      <c r="BG172" s="9">
        <f t="shared" si="29"/>
        <v>0</v>
      </c>
      <c r="BH172" s="9">
        <f t="shared" si="29"/>
        <v>0</v>
      </c>
      <c r="BI172" s="9">
        <f t="shared" si="29"/>
        <v>0</v>
      </c>
      <c r="BJ172" s="9">
        <f t="shared" si="29"/>
        <v>0</v>
      </c>
      <c r="BK172" s="9">
        <f t="shared" si="29"/>
        <v>0</v>
      </c>
      <c r="BL172" s="9">
        <f t="shared" si="29"/>
        <v>0</v>
      </c>
      <c r="BM172" s="11">
        <f>SUM(C172:BL172)</f>
        <v>0</v>
      </c>
      <c r="BN172" s="6">
        <f t="shared" si="21"/>
        <v>0</v>
      </c>
    </row>
    <row r="173" spans="1:66" s="4" customFormat="1">
      <c r="B173" s="12" t="s">
        <v>36</v>
      </c>
      <c r="C173" s="4" t="e">
        <f>C159+C172</f>
        <v>#DIV/0!</v>
      </c>
      <c r="D173" s="4" t="e">
        <f t="shared" ref="D173:BJ173" si="30">D159+D172</f>
        <v>#DIV/0!</v>
      </c>
      <c r="E173" s="4" t="e">
        <f t="shared" ref="E173" si="31">E159+E172</f>
        <v>#DIV/0!</v>
      </c>
      <c r="F173" s="4" t="e">
        <f t="shared" ref="F173" si="32">F159+F172</f>
        <v>#DIV/0!</v>
      </c>
      <c r="G173" s="4" t="e">
        <f t="shared" si="30"/>
        <v>#DIV/0!</v>
      </c>
      <c r="H173" s="4" t="e">
        <f t="shared" si="30"/>
        <v>#DIV/0!</v>
      </c>
      <c r="I173" s="4" t="e">
        <f t="shared" si="30"/>
        <v>#DIV/0!</v>
      </c>
      <c r="J173" s="4" t="e">
        <f t="shared" si="30"/>
        <v>#DIV/0!</v>
      </c>
      <c r="K173" s="4" t="e">
        <f t="shared" si="30"/>
        <v>#DIV/0!</v>
      </c>
      <c r="L173" s="4" t="e">
        <f t="shared" si="30"/>
        <v>#DIV/0!</v>
      </c>
      <c r="M173" s="4" t="e">
        <f t="shared" si="30"/>
        <v>#DIV/0!</v>
      </c>
      <c r="N173" s="4" t="e">
        <f t="shared" si="30"/>
        <v>#DIV/0!</v>
      </c>
      <c r="O173" s="4" t="e">
        <f t="shared" si="30"/>
        <v>#DIV/0!</v>
      </c>
      <c r="P173" s="4" t="e">
        <f t="shared" si="30"/>
        <v>#DIV/0!</v>
      </c>
      <c r="Q173" s="4" t="e">
        <f t="shared" si="30"/>
        <v>#DIV/0!</v>
      </c>
      <c r="R173" s="4" t="e">
        <f t="shared" si="30"/>
        <v>#DIV/0!</v>
      </c>
      <c r="S173" s="4" t="e">
        <f t="shared" si="30"/>
        <v>#DIV/0!</v>
      </c>
      <c r="T173" s="4" t="e">
        <f t="shared" si="30"/>
        <v>#DIV/0!</v>
      </c>
      <c r="U173" s="4" t="e">
        <f t="shared" si="30"/>
        <v>#DIV/0!</v>
      </c>
      <c r="V173" s="4" t="e">
        <f t="shared" si="30"/>
        <v>#DIV/0!</v>
      </c>
      <c r="W173" s="4" t="e">
        <f t="shared" si="30"/>
        <v>#DIV/0!</v>
      </c>
      <c r="X173" s="4" t="e">
        <f t="shared" si="30"/>
        <v>#DIV/0!</v>
      </c>
      <c r="Y173" s="4" t="e">
        <f t="shared" si="30"/>
        <v>#DIV/0!</v>
      </c>
      <c r="Z173" s="4" t="e">
        <f t="shared" si="30"/>
        <v>#DIV/0!</v>
      </c>
      <c r="AA173" s="4" t="e">
        <f t="shared" si="30"/>
        <v>#DIV/0!</v>
      </c>
      <c r="AB173" s="4" t="e">
        <f t="shared" si="30"/>
        <v>#DIV/0!</v>
      </c>
      <c r="AC173" s="4" t="e">
        <f t="shared" si="30"/>
        <v>#DIV/0!</v>
      </c>
      <c r="AD173" s="4" t="e">
        <f t="shared" si="30"/>
        <v>#DIV/0!</v>
      </c>
      <c r="AE173" s="4" t="e">
        <f t="shared" si="30"/>
        <v>#DIV/0!</v>
      </c>
      <c r="AF173" s="4" t="e">
        <f t="shared" si="30"/>
        <v>#DIV/0!</v>
      </c>
      <c r="AG173" s="4" t="e">
        <f t="shared" si="30"/>
        <v>#DIV/0!</v>
      </c>
      <c r="AH173" s="4" t="e">
        <f t="shared" si="30"/>
        <v>#DIV/0!</v>
      </c>
      <c r="AI173" s="4" t="e">
        <f t="shared" si="30"/>
        <v>#DIV/0!</v>
      </c>
      <c r="AJ173" s="4" t="e">
        <f t="shared" si="30"/>
        <v>#DIV/0!</v>
      </c>
      <c r="AK173" s="4" t="e">
        <f t="shared" si="30"/>
        <v>#DIV/0!</v>
      </c>
      <c r="AL173" s="4" t="e">
        <f t="shared" si="30"/>
        <v>#DIV/0!</v>
      </c>
      <c r="AM173" s="4" t="e">
        <f t="shared" si="30"/>
        <v>#DIV/0!</v>
      </c>
      <c r="AN173" s="4" t="e">
        <f t="shared" si="30"/>
        <v>#DIV/0!</v>
      </c>
      <c r="AO173" s="4" t="e">
        <f t="shared" si="30"/>
        <v>#DIV/0!</v>
      </c>
      <c r="AP173" s="4" t="e">
        <f t="shared" si="30"/>
        <v>#DIV/0!</v>
      </c>
      <c r="AQ173" s="4">
        <f t="shared" si="30"/>
        <v>50.8</v>
      </c>
      <c r="AR173" s="4" t="e">
        <f t="shared" si="30"/>
        <v>#DIV/0!</v>
      </c>
      <c r="AS173" s="4">
        <f t="shared" si="30"/>
        <v>17.5</v>
      </c>
      <c r="AT173" s="4" t="e">
        <f t="shared" si="30"/>
        <v>#DIV/0!</v>
      </c>
      <c r="AU173" s="4">
        <f t="shared" si="30"/>
        <v>42</v>
      </c>
      <c r="AV173" s="4" t="e">
        <f t="shared" si="30"/>
        <v>#DIV/0!</v>
      </c>
      <c r="AW173" s="4" t="e">
        <f t="shared" si="30"/>
        <v>#DIV/0!</v>
      </c>
      <c r="AX173" s="4" t="e">
        <f t="shared" si="30"/>
        <v>#DIV/0!</v>
      </c>
      <c r="AY173" s="4">
        <f t="shared" si="30"/>
        <v>67</v>
      </c>
      <c r="AZ173" s="4" t="e">
        <f t="shared" si="30"/>
        <v>#DIV/0!</v>
      </c>
      <c r="BA173" s="4" t="e">
        <f t="shared" si="30"/>
        <v>#DIV/0!</v>
      </c>
      <c r="BB173" s="4" t="e">
        <f t="shared" si="30"/>
        <v>#DIV/0!</v>
      </c>
      <c r="BC173" s="4" t="e">
        <f t="shared" si="30"/>
        <v>#DIV/0!</v>
      </c>
      <c r="BD173" s="4" t="e">
        <f t="shared" si="30"/>
        <v>#DIV/0!</v>
      </c>
      <c r="BE173" s="4" t="e">
        <f t="shared" si="30"/>
        <v>#DIV/0!</v>
      </c>
      <c r="BF173" s="4" t="e">
        <f t="shared" si="30"/>
        <v>#DIV/0!</v>
      </c>
      <c r="BG173" s="4" t="e">
        <f t="shared" si="30"/>
        <v>#DIV/0!</v>
      </c>
      <c r="BH173" s="4" t="e">
        <f t="shared" si="30"/>
        <v>#DIV/0!</v>
      </c>
      <c r="BI173" s="4" t="e">
        <f t="shared" si="30"/>
        <v>#DIV/0!</v>
      </c>
      <c r="BJ173" s="4" t="e">
        <f t="shared" si="30"/>
        <v>#DIV/0!</v>
      </c>
      <c r="BK173" s="4" t="e">
        <f t="shared" ref="BK173" si="33">BK159+BK172</f>
        <v>#DIV/0!</v>
      </c>
      <c r="BL173" s="4" t="e">
        <f t="shared" ref="BL173:BM173" si="34">BL159+BL172</f>
        <v>#DIV/0!</v>
      </c>
      <c r="BM173" s="4">
        <f t="shared" si="34"/>
        <v>46.176470588235297</v>
      </c>
      <c r="BN173" s="13">
        <f t="shared" si="21"/>
        <v>1.9240196078431374E-2</v>
      </c>
    </row>
    <row r="174" spans="1:66" s="4" customFormat="1">
      <c r="C174" s="14" t="e">
        <f t="shared" ref="C174:AH174" si="35">C173/C5</f>
        <v>#DIV/0!</v>
      </c>
      <c r="D174" s="14" t="e">
        <f t="shared" si="35"/>
        <v>#DIV/0!</v>
      </c>
      <c r="E174" s="14" t="e">
        <f t="shared" si="35"/>
        <v>#DIV/0!</v>
      </c>
      <c r="F174" s="14" t="e">
        <f t="shared" si="35"/>
        <v>#DIV/0!</v>
      </c>
      <c r="G174" s="14" t="e">
        <f t="shared" si="35"/>
        <v>#DIV/0!</v>
      </c>
      <c r="H174" s="14" t="e">
        <f t="shared" si="35"/>
        <v>#DIV/0!</v>
      </c>
      <c r="I174" s="14" t="e">
        <f t="shared" si="35"/>
        <v>#DIV/0!</v>
      </c>
      <c r="J174" s="14" t="e">
        <f t="shared" si="35"/>
        <v>#DIV/0!</v>
      </c>
      <c r="K174" s="14" t="e">
        <f t="shared" si="35"/>
        <v>#DIV/0!</v>
      </c>
      <c r="L174" s="14" t="e">
        <f t="shared" si="35"/>
        <v>#DIV/0!</v>
      </c>
      <c r="M174" s="14" t="e">
        <f t="shared" si="35"/>
        <v>#DIV/0!</v>
      </c>
      <c r="N174" s="14" t="e">
        <f t="shared" si="35"/>
        <v>#DIV/0!</v>
      </c>
      <c r="O174" s="14" t="e">
        <f t="shared" si="35"/>
        <v>#DIV/0!</v>
      </c>
      <c r="P174" s="14" t="e">
        <f t="shared" si="35"/>
        <v>#DIV/0!</v>
      </c>
      <c r="Q174" s="14" t="e">
        <f t="shared" si="35"/>
        <v>#DIV/0!</v>
      </c>
      <c r="R174" s="14" t="e">
        <f t="shared" si="35"/>
        <v>#DIV/0!</v>
      </c>
      <c r="S174" s="14" t="e">
        <f t="shared" si="35"/>
        <v>#DIV/0!</v>
      </c>
      <c r="T174" s="14" t="e">
        <f t="shared" si="35"/>
        <v>#DIV/0!</v>
      </c>
      <c r="U174" s="14" t="e">
        <f t="shared" si="35"/>
        <v>#DIV/0!</v>
      </c>
      <c r="V174" s="14" t="e">
        <f t="shared" si="35"/>
        <v>#DIV/0!</v>
      </c>
      <c r="W174" s="14" t="e">
        <f t="shared" si="35"/>
        <v>#DIV/0!</v>
      </c>
      <c r="X174" s="14" t="e">
        <f t="shared" si="35"/>
        <v>#DIV/0!</v>
      </c>
      <c r="Y174" s="14" t="e">
        <f t="shared" si="35"/>
        <v>#DIV/0!</v>
      </c>
      <c r="Z174" s="14" t="e">
        <f t="shared" si="35"/>
        <v>#DIV/0!</v>
      </c>
      <c r="AA174" s="14" t="e">
        <f t="shared" si="35"/>
        <v>#DIV/0!</v>
      </c>
      <c r="AB174" s="14" t="e">
        <f t="shared" si="35"/>
        <v>#DIV/0!</v>
      </c>
      <c r="AC174" s="14" t="e">
        <f t="shared" si="35"/>
        <v>#DIV/0!</v>
      </c>
      <c r="AD174" s="14" t="e">
        <f t="shared" si="35"/>
        <v>#DIV/0!</v>
      </c>
      <c r="AE174" s="14" t="e">
        <f t="shared" si="35"/>
        <v>#DIV/0!</v>
      </c>
      <c r="AF174" s="14" t="e">
        <f t="shared" si="35"/>
        <v>#DIV/0!</v>
      </c>
      <c r="AG174" s="14" t="e">
        <f t="shared" si="35"/>
        <v>#DIV/0!</v>
      </c>
      <c r="AH174" s="14" t="e">
        <f t="shared" si="35"/>
        <v>#DIV/0!</v>
      </c>
      <c r="AI174" s="14" t="e">
        <f t="shared" ref="AI174:BM174" si="36">AI173/AI5</f>
        <v>#DIV/0!</v>
      </c>
      <c r="AJ174" s="14" t="e">
        <f t="shared" si="36"/>
        <v>#DIV/0!</v>
      </c>
      <c r="AK174" s="14" t="e">
        <f t="shared" si="36"/>
        <v>#DIV/0!</v>
      </c>
      <c r="AL174" s="14" t="e">
        <f t="shared" si="36"/>
        <v>#DIV/0!</v>
      </c>
      <c r="AM174" s="14" t="e">
        <f t="shared" si="36"/>
        <v>#DIV/0!</v>
      </c>
      <c r="AN174" s="14" t="e">
        <f t="shared" si="36"/>
        <v>#DIV/0!</v>
      </c>
      <c r="AO174" s="14" t="e">
        <f t="shared" si="36"/>
        <v>#DIV/0!</v>
      </c>
      <c r="AP174" s="14" t="e">
        <f t="shared" si="36"/>
        <v>#DIV/0!</v>
      </c>
      <c r="AQ174" s="14">
        <f t="shared" si="36"/>
        <v>8.4666666666666668E-2</v>
      </c>
      <c r="AR174" s="14" t="e">
        <f t="shared" si="36"/>
        <v>#DIV/0!</v>
      </c>
      <c r="AS174" s="14">
        <f t="shared" si="36"/>
        <v>2.9166666666666667E-2</v>
      </c>
      <c r="AT174" s="14" t="e">
        <f t="shared" si="36"/>
        <v>#DIV/0!</v>
      </c>
      <c r="AU174" s="14">
        <f t="shared" si="36"/>
        <v>7.0000000000000007E-2</v>
      </c>
      <c r="AV174" s="14" t="e">
        <f t="shared" si="36"/>
        <v>#DIV/0!</v>
      </c>
      <c r="AW174" s="14" t="e">
        <f t="shared" si="36"/>
        <v>#DIV/0!</v>
      </c>
      <c r="AX174" s="14" t="e">
        <f t="shared" si="36"/>
        <v>#DIV/0!</v>
      </c>
      <c r="AY174" s="14">
        <f t="shared" si="36"/>
        <v>0.11166666666666666</v>
      </c>
      <c r="AZ174" s="14" t="e">
        <f t="shared" si="36"/>
        <v>#DIV/0!</v>
      </c>
      <c r="BA174" s="14" t="e">
        <f t="shared" si="36"/>
        <v>#DIV/0!</v>
      </c>
      <c r="BB174" s="14" t="e">
        <f t="shared" si="36"/>
        <v>#DIV/0!</v>
      </c>
      <c r="BC174" s="14" t="e">
        <f t="shared" si="36"/>
        <v>#DIV/0!</v>
      </c>
      <c r="BD174" s="14" t="e">
        <f t="shared" si="36"/>
        <v>#DIV/0!</v>
      </c>
      <c r="BE174" s="14" t="e">
        <f t="shared" si="36"/>
        <v>#DIV/0!</v>
      </c>
      <c r="BF174" s="14" t="e">
        <f t="shared" si="36"/>
        <v>#DIV/0!</v>
      </c>
      <c r="BG174" s="14" t="e">
        <f t="shared" si="36"/>
        <v>#DIV/0!</v>
      </c>
      <c r="BH174" s="14" t="e">
        <f t="shared" si="36"/>
        <v>#DIV/0!</v>
      </c>
      <c r="BI174" s="14" t="e">
        <f t="shared" si="36"/>
        <v>#DIV/0!</v>
      </c>
      <c r="BJ174" s="14" t="e">
        <f t="shared" si="36"/>
        <v>#DIV/0!</v>
      </c>
      <c r="BK174" s="14" t="e">
        <f t="shared" si="36"/>
        <v>#DIV/0!</v>
      </c>
      <c r="BL174" s="14" t="e">
        <f t="shared" si="36"/>
        <v>#DIV/0!</v>
      </c>
      <c r="BM174" s="14">
        <f t="shared" si="36"/>
        <v>1.9240196078431374E-2</v>
      </c>
      <c r="BN174" s="13">
        <f t="shared" si="21"/>
        <v>8.0167483660130724E-6</v>
      </c>
    </row>
    <row r="177" spans="2:65">
      <c r="B177" t="s">
        <v>1</v>
      </c>
      <c r="C177" s="5" t="e">
        <f t="shared" ref="C177:AH177" si="37">C25/$C5</f>
        <v>#DIV/0!</v>
      </c>
      <c r="D177" s="5" t="e">
        <f t="shared" si="37"/>
        <v>#DIV/0!</v>
      </c>
      <c r="E177" s="5" t="e">
        <f t="shared" si="37"/>
        <v>#DIV/0!</v>
      </c>
      <c r="F177" s="5" t="e">
        <f t="shared" si="37"/>
        <v>#DIV/0!</v>
      </c>
      <c r="G177" s="5" t="e">
        <f t="shared" si="37"/>
        <v>#DIV/0!</v>
      </c>
      <c r="H177" s="5" t="e">
        <f t="shared" si="37"/>
        <v>#DIV/0!</v>
      </c>
      <c r="I177" s="5" t="e">
        <f t="shared" si="37"/>
        <v>#DIV/0!</v>
      </c>
      <c r="J177" s="5" t="e">
        <f t="shared" si="37"/>
        <v>#DIV/0!</v>
      </c>
      <c r="K177" s="5" t="e">
        <f t="shared" si="37"/>
        <v>#DIV/0!</v>
      </c>
      <c r="L177" s="5" t="e">
        <f t="shared" si="37"/>
        <v>#DIV/0!</v>
      </c>
      <c r="M177" s="5" t="e">
        <f t="shared" si="37"/>
        <v>#DIV/0!</v>
      </c>
      <c r="N177" s="5" t="e">
        <f t="shared" si="37"/>
        <v>#DIV/0!</v>
      </c>
      <c r="O177" s="5" t="e">
        <f t="shared" si="37"/>
        <v>#DIV/0!</v>
      </c>
      <c r="P177" s="5" t="e">
        <f t="shared" si="37"/>
        <v>#DIV/0!</v>
      </c>
      <c r="Q177" s="5" t="e">
        <f t="shared" si="37"/>
        <v>#DIV/0!</v>
      </c>
      <c r="R177" s="5" t="e">
        <f t="shared" si="37"/>
        <v>#DIV/0!</v>
      </c>
      <c r="S177" s="5" t="e">
        <f t="shared" si="37"/>
        <v>#DIV/0!</v>
      </c>
      <c r="T177" s="5" t="e">
        <f t="shared" si="37"/>
        <v>#DIV/0!</v>
      </c>
      <c r="U177" s="5" t="e">
        <f t="shared" si="37"/>
        <v>#DIV/0!</v>
      </c>
      <c r="V177" s="5" t="e">
        <f t="shared" si="37"/>
        <v>#DIV/0!</v>
      </c>
      <c r="W177" s="5" t="e">
        <f t="shared" si="37"/>
        <v>#DIV/0!</v>
      </c>
      <c r="X177" s="5" t="e">
        <f t="shared" si="37"/>
        <v>#DIV/0!</v>
      </c>
      <c r="Y177" s="5" t="e">
        <f t="shared" si="37"/>
        <v>#DIV/0!</v>
      </c>
      <c r="Z177" s="5" t="e">
        <f t="shared" si="37"/>
        <v>#DIV/0!</v>
      </c>
      <c r="AA177" s="5" t="e">
        <f t="shared" si="37"/>
        <v>#DIV/0!</v>
      </c>
      <c r="AB177" s="5" t="e">
        <f t="shared" si="37"/>
        <v>#DIV/0!</v>
      </c>
      <c r="AC177" s="5" t="e">
        <f t="shared" si="37"/>
        <v>#DIV/0!</v>
      </c>
      <c r="AD177" s="5" t="e">
        <f t="shared" si="37"/>
        <v>#DIV/0!</v>
      </c>
      <c r="AE177" s="5" t="e">
        <f t="shared" si="37"/>
        <v>#DIV/0!</v>
      </c>
      <c r="AF177" s="5" t="e">
        <f t="shared" si="37"/>
        <v>#DIV/0!</v>
      </c>
      <c r="AG177" s="5" t="e">
        <f t="shared" si="37"/>
        <v>#DIV/0!</v>
      </c>
      <c r="AH177" s="5" t="e">
        <f t="shared" si="37"/>
        <v>#DIV/0!</v>
      </c>
      <c r="AI177" s="5" t="e">
        <f t="shared" ref="AI177:BM177" si="38">AI25/$C5</f>
        <v>#DIV/0!</v>
      </c>
      <c r="AJ177" s="5" t="e">
        <f t="shared" si="38"/>
        <v>#DIV/0!</v>
      </c>
      <c r="AK177" s="5" t="e">
        <f t="shared" si="38"/>
        <v>#DIV/0!</v>
      </c>
      <c r="AL177" s="5" t="e">
        <f t="shared" si="38"/>
        <v>#DIV/0!</v>
      </c>
      <c r="AM177" s="5" t="e">
        <f t="shared" si="38"/>
        <v>#DIV/0!</v>
      </c>
      <c r="AN177" s="5" t="e">
        <f t="shared" si="38"/>
        <v>#DIV/0!</v>
      </c>
      <c r="AO177" s="5" t="e">
        <f t="shared" si="38"/>
        <v>#DIV/0!</v>
      </c>
      <c r="AP177" s="5" t="e">
        <f t="shared" si="38"/>
        <v>#DIV/0!</v>
      </c>
      <c r="AQ177" s="5" t="e">
        <f t="shared" si="38"/>
        <v>#DIV/0!</v>
      </c>
      <c r="AR177" s="5" t="e">
        <f t="shared" si="38"/>
        <v>#DIV/0!</v>
      </c>
      <c r="AS177" s="5" t="e">
        <f t="shared" si="38"/>
        <v>#DIV/0!</v>
      </c>
      <c r="AT177" s="5" t="e">
        <f t="shared" si="38"/>
        <v>#DIV/0!</v>
      </c>
      <c r="AU177" s="5" t="e">
        <f t="shared" si="38"/>
        <v>#DIV/0!</v>
      </c>
      <c r="AV177" s="5" t="e">
        <f t="shared" si="38"/>
        <v>#DIV/0!</v>
      </c>
      <c r="AW177" s="5" t="e">
        <f t="shared" si="38"/>
        <v>#DIV/0!</v>
      </c>
      <c r="AX177" s="5" t="e">
        <f t="shared" si="38"/>
        <v>#DIV/0!</v>
      </c>
      <c r="AY177" s="5" t="e">
        <f t="shared" si="38"/>
        <v>#DIV/0!</v>
      </c>
      <c r="AZ177" s="5" t="e">
        <f t="shared" si="38"/>
        <v>#DIV/0!</v>
      </c>
      <c r="BA177" s="5" t="e">
        <f t="shared" si="38"/>
        <v>#DIV/0!</v>
      </c>
      <c r="BB177" s="5" t="e">
        <f t="shared" si="38"/>
        <v>#DIV/0!</v>
      </c>
      <c r="BC177" s="5" t="e">
        <f t="shared" si="38"/>
        <v>#DIV/0!</v>
      </c>
      <c r="BD177" s="5" t="e">
        <f t="shared" si="38"/>
        <v>#DIV/0!</v>
      </c>
      <c r="BE177" s="5" t="e">
        <f t="shared" si="38"/>
        <v>#DIV/0!</v>
      </c>
      <c r="BF177" s="5" t="e">
        <f t="shared" si="38"/>
        <v>#DIV/0!</v>
      </c>
      <c r="BG177" s="5" t="e">
        <f t="shared" si="38"/>
        <v>#DIV/0!</v>
      </c>
      <c r="BH177" s="5" t="e">
        <f t="shared" si="38"/>
        <v>#DIV/0!</v>
      </c>
      <c r="BI177" s="5" t="e">
        <f t="shared" si="38"/>
        <v>#DIV/0!</v>
      </c>
      <c r="BJ177" s="5" t="e">
        <f t="shared" si="38"/>
        <v>#DIV/0!</v>
      </c>
      <c r="BK177" s="5" t="e">
        <f t="shared" si="38"/>
        <v>#DIV/0!</v>
      </c>
      <c r="BL177" s="5" t="e">
        <f t="shared" si="38"/>
        <v>#DIV/0!</v>
      </c>
      <c r="BM177" s="5" t="e">
        <f t="shared" si="38"/>
        <v>#DIV/0!</v>
      </c>
    </row>
    <row r="178" spans="2:65">
      <c r="B178" t="s">
        <v>2</v>
      </c>
      <c r="C178" s="5" t="e">
        <f t="shared" ref="C178:AH178" si="39">C44/$C5</f>
        <v>#DIV/0!</v>
      </c>
      <c r="D178" s="5" t="e">
        <f t="shared" si="39"/>
        <v>#DIV/0!</v>
      </c>
      <c r="E178" s="5" t="e">
        <f t="shared" si="39"/>
        <v>#DIV/0!</v>
      </c>
      <c r="F178" s="5" t="e">
        <f t="shared" si="39"/>
        <v>#DIV/0!</v>
      </c>
      <c r="G178" s="5" t="e">
        <f t="shared" si="39"/>
        <v>#DIV/0!</v>
      </c>
      <c r="H178" s="5" t="e">
        <f t="shared" si="39"/>
        <v>#DIV/0!</v>
      </c>
      <c r="I178" s="5" t="e">
        <f t="shared" si="39"/>
        <v>#DIV/0!</v>
      </c>
      <c r="J178" s="5" t="e">
        <f t="shared" si="39"/>
        <v>#DIV/0!</v>
      </c>
      <c r="K178" s="5" t="e">
        <f t="shared" si="39"/>
        <v>#DIV/0!</v>
      </c>
      <c r="L178" s="5" t="e">
        <f t="shared" si="39"/>
        <v>#DIV/0!</v>
      </c>
      <c r="M178" s="5" t="e">
        <f t="shared" si="39"/>
        <v>#DIV/0!</v>
      </c>
      <c r="N178" s="5" t="e">
        <f t="shared" si="39"/>
        <v>#DIV/0!</v>
      </c>
      <c r="O178" s="5" t="e">
        <f t="shared" si="39"/>
        <v>#DIV/0!</v>
      </c>
      <c r="P178" s="5" t="e">
        <f t="shared" si="39"/>
        <v>#DIV/0!</v>
      </c>
      <c r="Q178" s="5" t="e">
        <f t="shared" si="39"/>
        <v>#DIV/0!</v>
      </c>
      <c r="R178" s="5" t="e">
        <f t="shared" si="39"/>
        <v>#DIV/0!</v>
      </c>
      <c r="S178" s="5" t="e">
        <f t="shared" si="39"/>
        <v>#DIV/0!</v>
      </c>
      <c r="T178" s="5" t="e">
        <f t="shared" si="39"/>
        <v>#DIV/0!</v>
      </c>
      <c r="U178" s="5" t="e">
        <f t="shared" si="39"/>
        <v>#DIV/0!</v>
      </c>
      <c r="V178" s="5" t="e">
        <f t="shared" si="39"/>
        <v>#DIV/0!</v>
      </c>
      <c r="W178" s="5" t="e">
        <f t="shared" si="39"/>
        <v>#DIV/0!</v>
      </c>
      <c r="X178" s="5" t="e">
        <f t="shared" si="39"/>
        <v>#DIV/0!</v>
      </c>
      <c r="Y178" s="5" t="e">
        <f t="shared" si="39"/>
        <v>#DIV/0!</v>
      </c>
      <c r="Z178" s="5" t="e">
        <f t="shared" si="39"/>
        <v>#DIV/0!</v>
      </c>
      <c r="AA178" s="5" t="e">
        <f t="shared" si="39"/>
        <v>#DIV/0!</v>
      </c>
      <c r="AB178" s="5" t="e">
        <f t="shared" si="39"/>
        <v>#DIV/0!</v>
      </c>
      <c r="AC178" s="5" t="e">
        <f t="shared" si="39"/>
        <v>#DIV/0!</v>
      </c>
      <c r="AD178" s="5" t="e">
        <f t="shared" si="39"/>
        <v>#DIV/0!</v>
      </c>
      <c r="AE178" s="5" t="e">
        <f t="shared" si="39"/>
        <v>#DIV/0!</v>
      </c>
      <c r="AF178" s="5" t="e">
        <f t="shared" si="39"/>
        <v>#DIV/0!</v>
      </c>
      <c r="AG178" s="5" t="e">
        <f t="shared" si="39"/>
        <v>#DIV/0!</v>
      </c>
      <c r="AH178" s="5" t="e">
        <f t="shared" si="39"/>
        <v>#DIV/0!</v>
      </c>
      <c r="AI178" s="5" t="e">
        <f t="shared" ref="AI178:BM178" si="40">AI44/$C5</f>
        <v>#DIV/0!</v>
      </c>
      <c r="AJ178" s="5" t="e">
        <f t="shared" si="40"/>
        <v>#DIV/0!</v>
      </c>
      <c r="AK178" s="5" t="e">
        <f t="shared" si="40"/>
        <v>#DIV/0!</v>
      </c>
      <c r="AL178" s="5" t="e">
        <f t="shared" si="40"/>
        <v>#DIV/0!</v>
      </c>
      <c r="AM178" s="5" t="e">
        <f t="shared" si="40"/>
        <v>#DIV/0!</v>
      </c>
      <c r="AN178" s="5" t="e">
        <f t="shared" si="40"/>
        <v>#DIV/0!</v>
      </c>
      <c r="AO178" s="5" t="e">
        <f t="shared" si="40"/>
        <v>#DIV/0!</v>
      </c>
      <c r="AP178" s="5" t="e">
        <f t="shared" si="40"/>
        <v>#DIV/0!</v>
      </c>
      <c r="AQ178" s="5" t="e">
        <f t="shared" si="40"/>
        <v>#DIV/0!</v>
      </c>
      <c r="AR178" s="5" t="e">
        <f t="shared" si="40"/>
        <v>#DIV/0!</v>
      </c>
      <c r="AS178" s="5" t="e">
        <f t="shared" si="40"/>
        <v>#DIV/0!</v>
      </c>
      <c r="AT178" s="5" t="e">
        <f t="shared" si="40"/>
        <v>#DIV/0!</v>
      </c>
      <c r="AU178" s="5" t="e">
        <f t="shared" si="40"/>
        <v>#DIV/0!</v>
      </c>
      <c r="AV178" s="5" t="e">
        <f t="shared" si="40"/>
        <v>#DIV/0!</v>
      </c>
      <c r="AW178" s="5" t="e">
        <f t="shared" si="40"/>
        <v>#DIV/0!</v>
      </c>
      <c r="AX178" s="5" t="e">
        <f t="shared" si="40"/>
        <v>#DIV/0!</v>
      </c>
      <c r="AY178" s="5" t="e">
        <f t="shared" si="40"/>
        <v>#DIV/0!</v>
      </c>
      <c r="AZ178" s="5" t="e">
        <f t="shared" si="40"/>
        <v>#DIV/0!</v>
      </c>
      <c r="BA178" s="5" t="e">
        <f t="shared" si="40"/>
        <v>#DIV/0!</v>
      </c>
      <c r="BB178" s="5" t="e">
        <f t="shared" si="40"/>
        <v>#DIV/0!</v>
      </c>
      <c r="BC178" s="5" t="e">
        <f t="shared" si="40"/>
        <v>#DIV/0!</v>
      </c>
      <c r="BD178" s="5" t="e">
        <f t="shared" si="40"/>
        <v>#DIV/0!</v>
      </c>
      <c r="BE178" s="5" t="e">
        <f t="shared" si="40"/>
        <v>#DIV/0!</v>
      </c>
      <c r="BF178" s="5" t="e">
        <f t="shared" si="40"/>
        <v>#DIV/0!</v>
      </c>
      <c r="BG178" s="5" t="e">
        <f t="shared" si="40"/>
        <v>#DIV/0!</v>
      </c>
      <c r="BH178" s="5" t="e">
        <f t="shared" si="40"/>
        <v>#DIV/0!</v>
      </c>
      <c r="BI178" s="5" t="e">
        <f t="shared" si="40"/>
        <v>#DIV/0!</v>
      </c>
      <c r="BJ178" s="5" t="e">
        <f t="shared" si="40"/>
        <v>#DIV/0!</v>
      </c>
      <c r="BK178" s="5" t="e">
        <f t="shared" si="40"/>
        <v>#DIV/0!</v>
      </c>
      <c r="BL178" s="5" t="e">
        <f t="shared" si="40"/>
        <v>#DIV/0!</v>
      </c>
      <c r="BM178" s="5" t="e">
        <f t="shared" si="40"/>
        <v>#DIV/0!</v>
      </c>
    </row>
    <row r="179" spans="2:65">
      <c r="B179" t="s">
        <v>3</v>
      </c>
      <c r="C179" s="5" t="e">
        <f t="shared" ref="C179:AH179" si="41">C63/$C5</f>
        <v>#DIV/0!</v>
      </c>
      <c r="D179" s="5" t="e">
        <f t="shared" si="41"/>
        <v>#DIV/0!</v>
      </c>
      <c r="E179" s="5" t="e">
        <f t="shared" si="41"/>
        <v>#DIV/0!</v>
      </c>
      <c r="F179" s="5" t="e">
        <f t="shared" si="41"/>
        <v>#DIV/0!</v>
      </c>
      <c r="G179" s="5" t="e">
        <f t="shared" si="41"/>
        <v>#DIV/0!</v>
      </c>
      <c r="H179" s="5" t="e">
        <f t="shared" si="41"/>
        <v>#DIV/0!</v>
      </c>
      <c r="I179" s="5" t="e">
        <f t="shared" si="41"/>
        <v>#DIV/0!</v>
      </c>
      <c r="J179" s="5" t="e">
        <f t="shared" si="41"/>
        <v>#DIV/0!</v>
      </c>
      <c r="K179" s="5" t="e">
        <f t="shared" si="41"/>
        <v>#DIV/0!</v>
      </c>
      <c r="L179" s="5" t="e">
        <f t="shared" si="41"/>
        <v>#DIV/0!</v>
      </c>
      <c r="M179" s="5" t="e">
        <f t="shared" si="41"/>
        <v>#DIV/0!</v>
      </c>
      <c r="N179" s="5" t="e">
        <f t="shared" si="41"/>
        <v>#DIV/0!</v>
      </c>
      <c r="O179" s="5" t="e">
        <f t="shared" si="41"/>
        <v>#DIV/0!</v>
      </c>
      <c r="P179" s="5" t="e">
        <f t="shared" si="41"/>
        <v>#DIV/0!</v>
      </c>
      <c r="Q179" s="5" t="e">
        <f t="shared" si="41"/>
        <v>#DIV/0!</v>
      </c>
      <c r="R179" s="5" t="e">
        <f t="shared" si="41"/>
        <v>#DIV/0!</v>
      </c>
      <c r="S179" s="5" t="e">
        <f t="shared" si="41"/>
        <v>#DIV/0!</v>
      </c>
      <c r="T179" s="5" t="e">
        <f t="shared" si="41"/>
        <v>#DIV/0!</v>
      </c>
      <c r="U179" s="5" t="e">
        <f t="shared" si="41"/>
        <v>#DIV/0!</v>
      </c>
      <c r="V179" s="5" t="e">
        <f t="shared" si="41"/>
        <v>#DIV/0!</v>
      </c>
      <c r="W179" s="5" t="e">
        <f t="shared" si="41"/>
        <v>#DIV/0!</v>
      </c>
      <c r="X179" s="5" t="e">
        <f t="shared" si="41"/>
        <v>#DIV/0!</v>
      </c>
      <c r="Y179" s="5" t="e">
        <f t="shared" si="41"/>
        <v>#DIV/0!</v>
      </c>
      <c r="Z179" s="5" t="e">
        <f t="shared" si="41"/>
        <v>#DIV/0!</v>
      </c>
      <c r="AA179" s="5" t="e">
        <f t="shared" si="41"/>
        <v>#DIV/0!</v>
      </c>
      <c r="AB179" s="5" t="e">
        <f t="shared" si="41"/>
        <v>#DIV/0!</v>
      </c>
      <c r="AC179" s="5" t="e">
        <f t="shared" si="41"/>
        <v>#DIV/0!</v>
      </c>
      <c r="AD179" s="5" t="e">
        <f t="shared" si="41"/>
        <v>#DIV/0!</v>
      </c>
      <c r="AE179" s="5" t="e">
        <f t="shared" si="41"/>
        <v>#DIV/0!</v>
      </c>
      <c r="AF179" s="5" t="e">
        <f t="shared" si="41"/>
        <v>#DIV/0!</v>
      </c>
      <c r="AG179" s="5" t="e">
        <f t="shared" si="41"/>
        <v>#DIV/0!</v>
      </c>
      <c r="AH179" s="5" t="e">
        <f t="shared" si="41"/>
        <v>#DIV/0!</v>
      </c>
      <c r="AI179" s="5" t="e">
        <f t="shared" ref="AI179:BM179" si="42">AI63/$C5</f>
        <v>#DIV/0!</v>
      </c>
      <c r="AJ179" s="5" t="e">
        <f t="shared" si="42"/>
        <v>#DIV/0!</v>
      </c>
      <c r="AK179" s="5" t="e">
        <f t="shared" si="42"/>
        <v>#DIV/0!</v>
      </c>
      <c r="AL179" s="5" t="e">
        <f t="shared" si="42"/>
        <v>#DIV/0!</v>
      </c>
      <c r="AM179" s="5" t="e">
        <f t="shared" si="42"/>
        <v>#DIV/0!</v>
      </c>
      <c r="AN179" s="5" t="e">
        <f t="shared" si="42"/>
        <v>#DIV/0!</v>
      </c>
      <c r="AO179" s="5" t="e">
        <f t="shared" si="42"/>
        <v>#DIV/0!</v>
      </c>
      <c r="AP179" s="5" t="e">
        <f t="shared" si="42"/>
        <v>#DIV/0!</v>
      </c>
      <c r="AQ179" s="5" t="e">
        <f t="shared" si="42"/>
        <v>#DIV/0!</v>
      </c>
      <c r="AR179" s="5" t="e">
        <f t="shared" si="42"/>
        <v>#DIV/0!</v>
      </c>
      <c r="AS179" s="5" t="e">
        <f t="shared" si="42"/>
        <v>#DIV/0!</v>
      </c>
      <c r="AT179" s="5" t="e">
        <f t="shared" si="42"/>
        <v>#DIV/0!</v>
      </c>
      <c r="AU179" s="5" t="e">
        <f t="shared" si="42"/>
        <v>#DIV/0!</v>
      </c>
      <c r="AV179" s="5" t="e">
        <f t="shared" si="42"/>
        <v>#DIV/0!</v>
      </c>
      <c r="AW179" s="5" t="e">
        <f t="shared" si="42"/>
        <v>#DIV/0!</v>
      </c>
      <c r="AX179" s="5" t="e">
        <f t="shared" si="42"/>
        <v>#DIV/0!</v>
      </c>
      <c r="AY179" s="5" t="e">
        <f t="shared" si="42"/>
        <v>#DIV/0!</v>
      </c>
      <c r="AZ179" s="5" t="e">
        <f t="shared" si="42"/>
        <v>#DIV/0!</v>
      </c>
      <c r="BA179" s="5" t="e">
        <f t="shared" si="42"/>
        <v>#DIV/0!</v>
      </c>
      <c r="BB179" s="5" t="e">
        <f t="shared" si="42"/>
        <v>#DIV/0!</v>
      </c>
      <c r="BC179" s="5" t="e">
        <f t="shared" si="42"/>
        <v>#DIV/0!</v>
      </c>
      <c r="BD179" s="5" t="e">
        <f t="shared" si="42"/>
        <v>#DIV/0!</v>
      </c>
      <c r="BE179" s="5" t="e">
        <f t="shared" si="42"/>
        <v>#DIV/0!</v>
      </c>
      <c r="BF179" s="5" t="e">
        <f t="shared" si="42"/>
        <v>#DIV/0!</v>
      </c>
      <c r="BG179" s="5" t="e">
        <f t="shared" si="42"/>
        <v>#DIV/0!</v>
      </c>
      <c r="BH179" s="5" t="e">
        <f t="shared" si="42"/>
        <v>#DIV/0!</v>
      </c>
      <c r="BI179" s="5" t="e">
        <f t="shared" si="42"/>
        <v>#DIV/0!</v>
      </c>
      <c r="BJ179" s="5" t="e">
        <f t="shared" si="42"/>
        <v>#DIV/0!</v>
      </c>
      <c r="BK179" s="5" t="e">
        <f t="shared" si="42"/>
        <v>#DIV/0!</v>
      </c>
      <c r="BL179" s="5" t="e">
        <f t="shared" si="42"/>
        <v>#DIV/0!</v>
      </c>
      <c r="BM179" s="5" t="e">
        <f t="shared" si="42"/>
        <v>#DIV/0!</v>
      </c>
    </row>
    <row r="180" spans="2:65">
      <c r="B180" t="s">
        <v>4</v>
      </c>
      <c r="C180" s="5" t="e">
        <f t="shared" ref="C180:AH180" si="43">C82/$C5</f>
        <v>#DIV/0!</v>
      </c>
      <c r="D180" s="5" t="e">
        <f t="shared" si="43"/>
        <v>#DIV/0!</v>
      </c>
      <c r="E180" s="5" t="e">
        <f t="shared" si="43"/>
        <v>#DIV/0!</v>
      </c>
      <c r="F180" s="5" t="e">
        <f t="shared" si="43"/>
        <v>#DIV/0!</v>
      </c>
      <c r="G180" s="5" t="e">
        <f t="shared" si="43"/>
        <v>#DIV/0!</v>
      </c>
      <c r="H180" s="5" t="e">
        <f t="shared" si="43"/>
        <v>#DIV/0!</v>
      </c>
      <c r="I180" s="5" t="e">
        <f t="shared" si="43"/>
        <v>#DIV/0!</v>
      </c>
      <c r="J180" s="5" t="e">
        <f t="shared" si="43"/>
        <v>#DIV/0!</v>
      </c>
      <c r="K180" s="5" t="e">
        <f t="shared" si="43"/>
        <v>#DIV/0!</v>
      </c>
      <c r="L180" s="5" t="e">
        <f t="shared" si="43"/>
        <v>#DIV/0!</v>
      </c>
      <c r="M180" s="5" t="e">
        <f t="shared" si="43"/>
        <v>#DIV/0!</v>
      </c>
      <c r="N180" s="5" t="e">
        <f t="shared" si="43"/>
        <v>#DIV/0!</v>
      </c>
      <c r="O180" s="5" t="e">
        <f t="shared" si="43"/>
        <v>#DIV/0!</v>
      </c>
      <c r="P180" s="5" t="e">
        <f t="shared" si="43"/>
        <v>#DIV/0!</v>
      </c>
      <c r="Q180" s="5" t="e">
        <f t="shared" si="43"/>
        <v>#DIV/0!</v>
      </c>
      <c r="R180" s="5" t="e">
        <f t="shared" si="43"/>
        <v>#DIV/0!</v>
      </c>
      <c r="S180" s="5" t="e">
        <f t="shared" si="43"/>
        <v>#DIV/0!</v>
      </c>
      <c r="T180" s="5" t="e">
        <f t="shared" si="43"/>
        <v>#DIV/0!</v>
      </c>
      <c r="U180" s="5" t="e">
        <f t="shared" si="43"/>
        <v>#DIV/0!</v>
      </c>
      <c r="V180" s="5" t="e">
        <f t="shared" si="43"/>
        <v>#DIV/0!</v>
      </c>
      <c r="W180" s="5" t="e">
        <f t="shared" si="43"/>
        <v>#DIV/0!</v>
      </c>
      <c r="X180" s="5" t="e">
        <f t="shared" si="43"/>
        <v>#DIV/0!</v>
      </c>
      <c r="Y180" s="5" t="e">
        <f t="shared" si="43"/>
        <v>#DIV/0!</v>
      </c>
      <c r="Z180" s="5" t="e">
        <f t="shared" si="43"/>
        <v>#DIV/0!</v>
      </c>
      <c r="AA180" s="5" t="e">
        <f t="shared" si="43"/>
        <v>#DIV/0!</v>
      </c>
      <c r="AB180" s="5" t="e">
        <f t="shared" si="43"/>
        <v>#DIV/0!</v>
      </c>
      <c r="AC180" s="5" t="e">
        <f t="shared" si="43"/>
        <v>#DIV/0!</v>
      </c>
      <c r="AD180" s="5" t="e">
        <f t="shared" si="43"/>
        <v>#DIV/0!</v>
      </c>
      <c r="AE180" s="5" t="e">
        <f t="shared" si="43"/>
        <v>#DIV/0!</v>
      </c>
      <c r="AF180" s="5" t="e">
        <f t="shared" si="43"/>
        <v>#DIV/0!</v>
      </c>
      <c r="AG180" s="5" t="e">
        <f t="shared" si="43"/>
        <v>#DIV/0!</v>
      </c>
      <c r="AH180" s="5" t="e">
        <f t="shared" si="43"/>
        <v>#DIV/0!</v>
      </c>
      <c r="AI180" s="5" t="e">
        <f t="shared" ref="AI180:BM180" si="44">AI82/$C5</f>
        <v>#DIV/0!</v>
      </c>
      <c r="AJ180" s="5" t="e">
        <f t="shared" si="44"/>
        <v>#DIV/0!</v>
      </c>
      <c r="AK180" s="5" t="e">
        <f t="shared" si="44"/>
        <v>#DIV/0!</v>
      </c>
      <c r="AL180" s="5" t="e">
        <f t="shared" si="44"/>
        <v>#DIV/0!</v>
      </c>
      <c r="AM180" s="5" t="e">
        <f t="shared" si="44"/>
        <v>#DIV/0!</v>
      </c>
      <c r="AN180" s="5" t="e">
        <f t="shared" si="44"/>
        <v>#DIV/0!</v>
      </c>
      <c r="AO180" s="5" t="e">
        <f t="shared" si="44"/>
        <v>#DIV/0!</v>
      </c>
      <c r="AP180" s="5" t="e">
        <f t="shared" si="44"/>
        <v>#DIV/0!</v>
      </c>
      <c r="AQ180" s="5" t="e">
        <f t="shared" si="44"/>
        <v>#DIV/0!</v>
      </c>
      <c r="AR180" s="5" t="e">
        <f t="shared" si="44"/>
        <v>#DIV/0!</v>
      </c>
      <c r="AS180" s="5" t="e">
        <f t="shared" si="44"/>
        <v>#DIV/0!</v>
      </c>
      <c r="AT180" s="5" t="e">
        <f t="shared" si="44"/>
        <v>#DIV/0!</v>
      </c>
      <c r="AU180" s="5" t="e">
        <f t="shared" si="44"/>
        <v>#DIV/0!</v>
      </c>
      <c r="AV180" s="5" t="e">
        <f t="shared" si="44"/>
        <v>#DIV/0!</v>
      </c>
      <c r="AW180" s="5" t="e">
        <f t="shared" si="44"/>
        <v>#DIV/0!</v>
      </c>
      <c r="AX180" s="5" t="e">
        <f t="shared" si="44"/>
        <v>#DIV/0!</v>
      </c>
      <c r="AY180" s="5" t="e">
        <f t="shared" si="44"/>
        <v>#DIV/0!</v>
      </c>
      <c r="AZ180" s="5" t="e">
        <f t="shared" si="44"/>
        <v>#DIV/0!</v>
      </c>
      <c r="BA180" s="5" t="e">
        <f t="shared" si="44"/>
        <v>#DIV/0!</v>
      </c>
      <c r="BB180" s="5" t="e">
        <f t="shared" si="44"/>
        <v>#DIV/0!</v>
      </c>
      <c r="BC180" s="5" t="e">
        <f t="shared" si="44"/>
        <v>#DIV/0!</v>
      </c>
      <c r="BD180" s="5" t="e">
        <f t="shared" si="44"/>
        <v>#DIV/0!</v>
      </c>
      <c r="BE180" s="5" t="e">
        <f t="shared" si="44"/>
        <v>#DIV/0!</v>
      </c>
      <c r="BF180" s="5" t="e">
        <f t="shared" si="44"/>
        <v>#DIV/0!</v>
      </c>
      <c r="BG180" s="5" t="e">
        <f t="shared" si="44"/>
        <v>#DIV/0!</v>
      </c>
      <c r="BH180" s="5" t="e">
        <f t="shared" si="44"/>
        <v>#DIV/0!</v>
      </c>
      <c r="BI180" s="5" t="e">
        <f t="shared" si="44"/>
        <v>#DIV/0!</v>
      </c>
      <c r="BJ180" s="5" t="e">
        <f t="shared" si="44"/>
        <v>#DIV/0!</v>
      </c>
      <c r="BK180" s="5" t="e">
        <f t="shared" si="44"/>
        <v>#DIV/0!</v>
      </c>
      <c r="BL180" s="5" t="e">
        <f t="shared" si="44"/>
        <v>#DIV/0!</v>
      </c>
      <c r="BM180" s="5" t="e">
        <f t="shared" si="44"/>
        <v>#DIV/0!</v>
      </c>
    </row>
    <row r="181" spans="2:65">
      <c r="B181" t="s">
        <v>5</v>
      </c>
      <c r="C181" s="5" t="e">
        <f t="shared" ref="C181:AH181" si="45">C101/$C5</f>
        <v>#DIV/0!</v>
      </c>
      <c r="D181" s="5" t="e">
        <f t="shared" si="45"/>
        <v>#DIV/0!</v>
      </c>
      <c r="E181" s="5" t="e">
        <f t="shared" si="45"/>
        <v>#DIV/0!</v>
      </c>
      <c r="F181" s="5" t="e">
        <f t="shared" si="45"/>
        <v>#DIV/0!</v>
      </c>
      <c r="G181" s="5" t="e">
        <f t="shared" si="45"/>
        <v>#DIV/0!</v>
      </c>
      <c r="H181" s="5" t="e">
        <f t="shared" si="45"/>
        <v>#DIV/0!</v>
      </c>
      <c r="I181" s="5" t="e">
        <f t="shared" si="45"/>
        <v>#DIV/0!</v>
      </c>
      <c r="J181" s="5" t="e">
        <f t="shared" si="45"/>
        <v>#DIV/0!</v>
      </c>
      <c r="K181" s="5" t="e">
        <f t="shared" si="45"/>
        <v>#DIV/0!</v>
      </c>
      <c r="L181" s="5" t="e">
        <f t="shared" si="45"/>
        <v>#DIV/0!</v>
      </c>
      <c r="M181" s="5" t="e">
        <f t="shared" si="45"/>
        <v>#DIV/0!</v>
      </c>
      <c r="N181" s="5" t="e">
        <f t="shared" si="45"/>
        <v>#DIV/0!</v>
      </c>
      <c r="O181" s="5" t="e">
        <f t="shared" si="45"/>
        <v>#DIV/0!</v>
      </c>
      <c r="P181" s="5" t="e">
        <f t="shared" si="45"/>
        <v>#DIV/0!</v>
      </c>
      <c r="Q181" s="5" t="e">
        <f t="shared" si="45"/>
        <v>#DIV/0!</v>
      </c>
      <c r="R181" s="5" t="e">
        <f t="shared" si="45"/>
        <v>#DIV/0!</v>
      </c>
      <c r="S181" s="5" t="e">
        <f t="shared" si="45"/>
        <v>#DIV/0!</v>
      </c>
      <c r="T181" s="5" t="e">
        <f t="shared" si="45"/>
        <v>#DIV/0!</v>
      </c>
      <c r="U181" s="5" t="e">
        <f t="shared" si="45"/>
        <v>#DIV/0!</v>
      </c>
      <c r="V181" s="5" t="e">
        <f t="shared" si="45"/>
        <v>#DIV/0!</v>
      </c>
      <c r="W181" s="5" t="e">
        <f t="shared" si="45"/>
        <v>#DIV/0!</v>
      </c>
      <c r="X181" s="5" t="e">
        <f t="shared" si="45"/>
        <v>#DIV/0!</v>
      </c>
      <c r="Y181" s="5" t="e">
        <f t="shared" si="45"/>
        <v>#DIV/0!</v>
      </c>
      <c r="Z181" s="5" t="e">
        <f t="shared" si="45"/>
        <v>#DIV/0!</v>
      </c>
      <c r="AA181" s="5" t="e">
        <f t="shared" si="45"/>
        <v>#DIV/0!</v>
      </c>
      <c r="AB181" s="5" t="e">
        <f t="shared" si="45"/>
        <v>#DIV/0!</v>
      </c>
      <c r="AC181" s="5" t="e">
        <f t="shared" si="45"/>
        <v>#DIV/0!</v>
      </c>
      <c r="AD181" s="5" t="e">
        <f t="shared" si="45"/>
        <v>#DIV/0!</v>
      </c>
      <c r="AE181" s="5" t="e">
        <f t="shared" si="45"/>
        <v>#DIV/0!</v>
      </c>
      <c r="AF181" s="5" t="e">
        <f t="shared" si="45"/>
        <v>#DIV/0!</v>
      </c>
      <c r="AG181" s="5" t="e">
        <f t="shared" si="45"/>
        <v>#DIV/0!</v>
      </c>
      <c r="AH181" s="5" t="e">
        <f t="shared" si="45"/>
        <v>#DIV/0!</v>
      </c>
      <c r="AI181" s="5" t="e">
        <f t="shared" ref="AI181:BM181" si="46">AI101/$C5</f>
        <v>#DIV/0!</v>
      </c>
      <c r="AJ181" s="5" t="e">
        <f t="shared" si="46"/>
        <v>#DIV/0!</v>
      </c>
      <c r="AK181" s="5" t="e">
        <f t="shared" si="46"/>
        <v>#DIV/0!</v>
      </c>
      <c r="AL181" s="5" t="e">
        <f t="shared" si="46"/>
        <v>#DIV/0!</v>
      </c>
      <c r="AM181" s="5" t="e">
        <f t="shared" si="46"/>
        <v>#DIV/0!</v>
      </c>
      <c r="AN181" s="5" t="e">
        <f t="shared" si="46"/>
        <v>#DIV/0!</v>
      </c>
      <c r="AO181" s="5" t="e">
        <f t="shared" si="46"/>
        <v>#DIV/0!</v>
      </c>
      <c r="AP181" s="5" t="e">
        <f t="shared" si="46"/>
        <v>#DIV/0!</v>
      </c>
      <c r="AQ181" s="5" t="e">
        <f t="shared" si="46"/>
        <v>#DIV/0!</v>
      </c>
      <c r="AR181" s="5" t="e">
        <f t="shared" si="46"/>
        <v>#DIV/0!</v>
      </c>
      <c r="AS181" s="5" t="e">
        <f t="shared" si="46"/>
        <v>#DIV/0!</v>
      </c>
      <c r="AT181" s="5" t="e">
        <f t="shared" si="46"/>
        <v>#DIV/0!</v>
      </c>
      <c r="AU181" s="5" t="e">
        <f t="shared" si="46"/>
        <v>#DIV/0!</v>
      </c>
      <c r="AV181" s="5" t="e">
        <f t="shared" si="46"/>
        <v>#DIV/0!</v>
      </c>
      <c r="AW181" s="5" t="e">
        <f t="shared" si="46"/>
        <v>#DIV/0!</v>
      </c>
      <c r="AX181" s="5" t="e">
        <f t="shared" si="46"/>
        <v>#DIV/0!</v>
      </c>
      <c r="AY181" s="5" t="e">
        <f t="shared" si="46"/>
        <v>#DIV/0!</v>
      </c>
      <c r="AZ181" s="5" t="e">
        <f t="shared" si="46"/>
        <v>#DIV/0!</v>
      </c>
      <c r="BA181" s="5" t="e">
        <f t="shared" si="46"/>
        <v>#DIV/0!</v>
      </c>
      <c r="BB181" s="5" t="e">
        <f t="shared" si="46"/>
        <v>#DIV/0!</v>
      </c>
      <c r="BC181" s="5" t="e">
        <f t="shared" si="46"/>
        <v>#DIV/0!</v>
      </c>
      <c r="BD181" s="5" t="e">
        <f t="shared" si="46"/>
        <v>#DIV/0!</v>
      </c>
      <c r="BE181" s="5" t="e">
        <f t="shared" si="46"/>
        <v>#DIV/0!</v>
      </c>
      <c r="BF181" s="5" t="e">
        <f t="shared" si="46"/>
        <v>#DIV/0!</v>
      </c>
      <c r="BG181" s="5" t="e">
        <f t="shared" si="46"/>
        <v>#DIV/0!</v>
      </c>
      <c r="BH181" s="5" t="e">
        <f t="shared" si="46"/>
        <v>#DIV/0!</v>
      </c>
      <c r="BI181" s="5" t="e">
        <f t="shared" si="46"/>
        <v>#DIV/0!</v>
      </c>
      <c r="BJ181" s="5" t="e">
        <f t="shared" si="46"/>
        <v>#DIV/0!</v>
      </c>
      <c r="BK181" s="5" t="e">
        <f t="shared" si="46"/>
        <v>#DIV/0!</v>
      </c>
      <c r="BL181" s="5" t="e">
        <f t="shared" si="46"/>
        <v>#DIV/0!</v>
      </c>
      <c r="BM181" s="5" t="e">
        <f t="shared" si="46"/>
        <v>#DIV/0!</v>
      </c>
    </row>
    <row r="182" spans="2:65">
      <c r="B182" t="s">
        <v>6</v>
      </c>
      <c r="C182" s="5" t="e">
        <f t="shared" ref="C182:AH182" si="47">C120/$C5</f>
        <v>#DIV/0!</v>
      </c>
      <c r="D182" s="5" t="e">
        <f t="shared" si="47"/>
        <v>#DIV/0!</v>
      </c>
      <c r="E182" s="5" t="e">
        <f t="shared" si="47"/>
        <v>#DIV/0!</v>
      </c>
      <c r="F182" s="5" t="e">
        <f t="shared" si="47"/>
        <v>#DIV/0!</v>
      </c>
      <c r="G182" s="5" t="e">
        <f t="shared" si="47"/>
        <v>#DIV/0!</v>
      </c>
      <c r="H182" s="5" t="e">
        <f t="shared" si="47"/>
        <v>#DIV/0!</v>
      </c>
      <c r="I182" s="5" t="e">
        <f t="shared" si="47"/>
        <v>#DIV/0!</v>
      </c>
      <c r="J182" s="5" t="e">
        <f t="shared" si="47"/>
        <v>#DIV/0!</v>
      </c>
      <c r="K182" s="5" t="e">
        <f t="shared" si="47"/>
        <v>#DIV/0!</v>
      </c>
      <c r="L182" s="5" t="e">
        <f t="shared" si="47"/>
        <v>#DIV/0!</v>
      </c>
      <c r="M182" s="5" t="e">
        <f t="shared" si="47"/>
        <v>#DIV/0!</v>
      </c>
      <c r="N182" s="5" t="e">
        <f t="shared" si="47"/>
        <v>#DIV/0!</v>
      </c>
      <c r="O182" s="5" t="e">
        <f t="shared" si="47"/>
        <v>#DIV/0!</v>
      </c>
      <c r="P182" s="5" t="e">
        <f t="shared" si="47"/>
        <v>#DIV/0!</v>
      </c>
      <c r="Q182" s="5" t="e">
        <f t="shared" si="47"/>
        <v>#DIV/0!</v>
      </c>
      <c r="R182" s="5" t="e">
        <f t="shared" si="47"/>
        <v>#DIV/0!</v>
      </c>
      <c r="S182" s="5" t="e">
        <f t="shared" si="47"/>
        <v>#DIV/0!</v>
      </c>
      <c r="T182" s="5" t="e">
        <f t="shared" si="47"/>
        <v>#DIV/0!</v>
      </c>
      <c r="U182" s="5" t="e">
        <f t="shared" si="47"/>
        <v>#DIV/0!</v>
      </c>
      <c r="V182" s="5" t="e">
        <f t="shared" si="47"/>
        <v>#DIV/0!</v>
      </c>
      <c r="W182" s="5" t="e">
        <f t="shared" si="47"/>
        <v>#DIV/0!</v>
      </c>
      <c r="X182" s="5" t="e">
        <f t="shared" si="47"/>
        <v>#DIV/0!</v>
      </c>
      <c r="Y182" s="5" t="e">
        <f t="shared" si="47"/>
        <v>#DIV/0!</v>
      </c>
      <c r="Z182" s="5" t="e">
        <f t="shared" si="47"/>
        <v>#DIV/0!</v>
      </c>
      <c r="AA182" s="5" t="e">
        <f t="shared" si="47"/>
        <v>#DIV/0!</v>
      </c>
      <c r="AB182" s="5" t="e">
        <f t="shared" si="47"/>
        <v>#DIV/0!</v>
      </c>
      <c r="AC182" s="5" t="e">
        <f t="shared" si="47"/>
        <v>#DIV/0!</v>
      </c>
      <c r="AD182" s="5" t="e">
        <f t="shared" si="47"/>
        <v>#DIV/0!</v>
      </c>
      <c r="AE182" s="5" t="e">
        <f t="shared" si="47"/>
        <v>#DIV/0!</v>
      </c>
      <c r="AF182" s="5" t="e">
        <f t="shared" si="47"/>
        <v>#DIV/0!</v>
      </c>
      <c r="AG182" s="5" t="e">
        <f t="shared" si="47"/>
        <v>#DIV/0!</v>
      </c>
      <c r="AH182" s="5" t="e">
        <f t="shared" si="47"/>
        <v>#DIV/0!</v>
      </c>
      <c r="AI182" s="5" t="e">
        <f t="shared" ref="AI182:BM182" si="48">AI120/$C5</f>
        <v>#DIV/0!</v>
      </c>
      <c r="AJ182" s="5" t="e">
        <f t="shared" si="48"/>
        <v>#DIV/0!</v>
      </c>
      <c r="AK182" s="5" t="e">
        <f t="shared" si="48"/>
        <v>#DIV/0!</v>
      </c>
      <c r="AL182" s="5" t="e">
        <f t="shared" si="48"/>
        <v>#DIV/0!</v>
      </c>
      <c r="AM182" s="5" t="e">
        <f t="shared" si="48"/>
        <v>#DIV/0!</v>
      </c>
      <c r="AN182" s="5" t="e">
        <f t="shared" si="48"/>
        <v>#DIV/0!</v>
      </c>
      <c r="AO182" s="5" t="e">
        <f t="shared" si="48"/>
        <v>#DIV/0!</v>
      </c>
      <c r="AP182" s="5" t="e">
        <f t="shared" si="48"/>
        <v>#DIV/0!</v>
      </c>
      <c r="AQ182" s="5" t="e">
        <f t="shared" si="48"/>
        <v>#DIV/0!</v>
      </c>
      <c r="AR182" s="5" t="e">
        <f t="shared" si="48"/>
        <v>#DIV/0!</v>
      </c>
      <c r="AS182" s="5" t="e">
        <f t="shared" si="48"/>
        <v>#DIV/0!</v>
      </c>
      <c r="AT182" s="5" t="e">
        <f t="shared" si="48"/>
        <v>#DIV/0!</v>
      </c>
      <c r="AU182" s="5" t="e">
        <f t="shared" si="48"/>
        <v>#DIV/0!</v>
      </c>
      <c r="AV182" s="5" t="e">
        <f t="shared" si="48"/>
        <v>#DIV/0!</v>
      </c>
      <c r="AW182" s="5" t="e">
        <f t="shared" si="48"/>
        <v>#DIV/0!</v>
      </c>
      <c r="AX182" s="5" t="e">
        <f t="shared" si="48"/>
        <v>#DIV/0!</v>
      </c>
      <c r="AY182" s="5" t="e">
        <f t="shared" si="48"/>
        <v>#DIV/0!</v>
      </c>
      <c r="AZ182" s="5" t="e">
        <f t="shared" si="48"/>
        <v>#DIV/0!</v>
      </c>
      <c r="BA182" s="5" t="e">
        <f t="shared" si="48"/>
        <v>#DIV/0!</v>
      </c>
      <c r="BB182" s="5" t="e">
        <f t="shared" si="48"/>
        <v>#DIV/0!</v>
      </c>
      <c r="BC182" s="5" t="e">
        <f t="shared" si="48"/>
        <v>#DIV/0!</v>
      </c>
      <c r="BD182" s="5" t="e">
        <f t="shared" si="48"/>
        <v>#DIV/0!</v>
      </c>
      <c r="BE182" s="5" t="e">
        <f t="shared" si="48"/>
        <v>#DIV/0!</v>
      </c>
      <c r="BF182" s="5" t="e">
        <f t="shared" si="48"/>
        <v>#DIV/0!</v>
      </c>
      <c r="BG182" s="5" t="e">
        <f t="shared" si="48"/>
        <v>#DIV/0!</v>
      </c>
      <c r="BH182" s="5" t="e">
        <f t="shared" si="48"/>
        <v>#DIV/0!</v>
      </c>
      <c r="BI182" s="5" t="e">
        <f t="shared" si="48"/>
        <v>#DIV/0!</v>
      </c>
      <c r="BJ182" s="5" t="e">
        <f t="shared" si="48"/>
        <v>#DIV/0!</v>
      </c>
      <c r="BK182" s="5" t="e">
        <f t="shared" si="48"/>
        <v>#DIV/0!</v>
      </c>
      <c r="BL182" s="5" t="e">
        <f t="shared" si="48"/>
        <v>#DIV/0!</v>
      </c>
      <c r="BM182" s="5" t="e">
        <f t="shared" si="48"/>
        <v>#DIV/0!</v>
      </c>
    </row>
    <row r="183" spans="2:65">
      <c r="B183" t="s">
        <v>7</v>
      </c>
      <c r="C183" s="5" t="e">
        <f t="shared" ref="C183:AH183" si="49">C139/$C5</f>
        <v>#DIV/0!</v>
      </c>
      <c r="D183" s="5" t="e">
        <f t="shared" si="49"/>
        <v>#DIV/0!</v>
      </c>
      <c r="E183" s="5" t="e">
        <f t="shared" si="49"/>
        <v>#DIV/0!</v>
      </c>
      <c r="F183" s="5" t="e">
        <f t="shared" si="49"/>
        <v>#DIV/0!</v>
      </c>
      <c r="G183" s="5" t="e">
        <f t="shared" si="49"/>
        <v>#DIV/0!</v>
      </c>
      <c r="H183" s="5" t="e">
        <f t="shared" si="49"/>
        <v>#DIV/0!</v>
      </c>
      <c r="I183" s="5" t="e">
        <f t="shared" si="49"/>
        <v>#DIV/0!</v>
      </c>
      <c r="J183" s="5" t="e">
        <f t="shared" si="49"/>
        <v>#DIV/0!</v>
      </c>
      <c r="K183" s="5" t="e">
        <f t="shared" si="49"/>
        <v>#DIV/0!</v>
      </c>
      <c r="L183" s="5" t="e">
        <f t="shared" si="49"/>
        <v>#DIV/0!</v>
      </c>
      <c r="M183" s="5" t="e">
        <f t="shared" si="49"/>
        <v>#DIV/0!</v>
      </c>
      <c r="N183" s="5" t="e">
        <f t="shared" si="49"/>
        <v>#DIV/0!</v>
      </c>
      <c r="O183" s="5" t="e">
        <f t="shared" si="49"/>
        <v>#DIV/0!</v>
      </c>
      <c r="P183" s="5" t="e">
        <f t="shared" si="49"/>
        <v>#DIV/0!</v>
      </c>
      <c r="Q183" s="5" t="e">
        <f t="shared" si="49"/>
        <v>#DIV/0!</v>
      </c>
      <c r="R183" s="5" t="e">
        <f t="shared" si="49"/>
        <v>#DIV/0!</v>
      </c>
      <c r="S183" s="5" t="e">
        <f t="shared" si="49"/>
        <v>#DIV/0!</v>
      </c>
      <c r="T183" s="5" t="e">
        <f t="shared" si="49"/>
        <v>#DIV/0!</v>
      </c>
      <c r="U183" s="5" t="e">
        <f t="shared" si="49"/>
        <v>#DIV/0!</v>
      </c>
      <c r="V183" s="5" t="e">
        <f t="shared" si="49"/>
        <v>#DIV/0!</v>
      </c>
      <c r="W183" s="5" t="e">
        <f t="shared" si="49"/>
        <v>#DIV/0!</v>
      </c>
      <c r="X183" s="5" t="e">
        <f t="shared" si="49"/>
        <v>#DIV/0!</v>
      </c>
      <c r="Y183" s="5" t="e">
        <f t="shared" si="49"/>
        <v>#DIV/0!</v>
      </c>
      <c r="Z183" s="5" t="e">
        <f t="shared" si="49"/>
        <v>#DIV/0!</v>
      </c>
      <c r="AA183" s="5" t="e">
        <f t="shared" si="49"/>
        <v>#DIV/0!</v>
      </c>
      <c r="AB183" s="5" t="e">
        <f t="shared" si="49"/>
        <v>#DIV/0!</v>
      </c>
      <c r="AC183" s="5" t="e">
        <f t="shared" si="49"/>
        <v>#DIV/0!</v>
      </c>
      <c r="AD183" s="5" t="e">
        <f t="shared" si="49"/>
        <v>#DIV/0!</v>
      </c>
      <c r="AE183" s="5" t="e">
        <f t="shared" si="49"/>
        <v>#DIV/0!</v>
      </c>
      <c r="AF183" s="5" t="e">
        <f t="shared" si="49"/>
        <v>#DIV/0!</v>
      </c>
      <c r="AG183" s="5" t="e">
        <f t="shared" si="49"/>
        <v>#DIV/0!</v>
      </c>
      <c r="AH183" s="5" t="e">
        <f t="shared" si="49"/>
        <v>#DIV/0!</v>
      </c>
      <c r="AI183" s="5" t="e">
        <f t="shared" ref="AI183:BM183" si="50">AI139/$C5</f>
        <v>#DIV/0!</v>
      </c>
      <c r="AJ183" s="5" t="e">
        <f t="shared" si="50"/>
        <v>#DIV/0!</v>
      </c>
      <c r="AK183" s="5" t="e">
        <f t="shared" si="50"/>
        <v>#DIV/0!</v>
      </c>
      <c r="AL183" s="5" t="e">
        <f t="shared" si="50"/>
        <v>#DIV/0!</v>
      </c>
      <c r="AM183" s="5" t="e">
        <f t="shared" si="50"/>
        <v>#DIV/0!</v>
      </c>
      <c r="AN183" s="5" t="e">
        <f t="shared" si="50"/>
        <v>#DIV/0!</v>
      </c>
      <c r="AO183" s="5" t="e">
        <f t="shared" si="50"/>
        <v>#DIV/0!</v>
      </c>
      <c r="AP183" s="5" t="e">
        <f t="shared" si="50"/>
        <v>#DIV/0!</v>
      </c>
      <c r="AQ183" s="5" t="e">
        <f t="shared" si="50"/>
        <v>#DIV/0!</v>
      </c>
      <c r="AR183" s="5" t="e">
        <f t="shared" si="50"/>
        <v>#DIV/0!</v>
      </c>
      <c r="AS183" s="5" t="e">
        <f t="shared" si="50"/>
        <v>#DIV/0!</v>
      </c>
      <c r="AT183" s="5" t="e">
        <f t="shared" si="50"/>
        <v>#DIV/0!</v>
      </c>
      <c r="AU183" s="5" t="e">
        <f t="shared" si="50"/>
        <v>#DIV/0!</v>
      </c>
      <c r="AV183" s="5" t="e">
        <f t="shared" si="50"/>
        <v>#DIV/0!</v>
      </c>
      <c r="AW183" s="5" t="e">
        <f t="shared" si="50"/>
        <v>#DIV/0!</v>
      </c>
      <c r="AX183" s="5" t="e">
        <f t="shared" si="50"/>
        <v>#DIV/0!</v>
      </c>
      <c r="AY183" s="5" t="e">
        <f t="shared" si="50"/>
        <v>#DIV/0!</v>
      </c>
      <c r="AZ183" s="5" t="e">
        <f t="shared" si="50"/>
        <v>#DIV/0!</v>
      </c>
      <c r="BA183" s="5" t="e">
        <f t="shared" si="50"/>
        <v>#DIV/0!</v>
      </c>
      <c r="BB183" s="5" t="e">
        <f t="shared" si="50"/>
        <v>#DIV/0!</v>
      </c>
      <c r="BC183" s="5" t="e">
        <f t="shared" si="50"/>
        <v>#DIV/0!</v>
      </c>
      <c r="BD183" s="5" t="e">
        <f t="shared" si="50"/>
        <v>#DIV/0!</v>
      </c>
      <c r="BE183" s="5" t="e">
        <f t="shared" si="50"/>
        <v>#DIV/0!</v>
      </c>
      <c r="BF183" s="5" t="e">
        <f t="shared" si="50"/>
        <v>#DIV/0!</v>
      </c>
      <c r="BG183" s="5" t="e">
        <f t="shared" si="50"/>
        <v>#DIV/0!</v>
      </c>
      <c r="BH183" s="5" t="e">
        <f t="shared" si="50"/>
        <v>#DIV/0!</v>
      </c>
      <c r="BI183" s="5" t="e">
        <f t="shared" si="50"/>
        <v>#DIV/0!</v>
      </c>
      <c r="BJ183" s="5" t="e">
        <f t="shared" si="50"/>
        <v>#DIV/0!</v>
      </c>
      <c r="BK183" s="5" t="e">
        <f t="shared" si="50"/>
        <v>#DIV/0!</v>
      </c>
      <c r="BL183" s="5" t="e">
        <f t="shared" si="50"/>
        <v>#DIV/0!</v>
      </c>
      <c r="BM183" s="5" t="e">
        <f t="shared" si="50"/>
        <v>#DIV/0!</v>
      </c>
    </row>
    <row r="184" spans="2:65">
      <c r="B184" t="s">
        <v>8</v>
      </c>
      <c r="C184" s="5" t="e">
        <f t="shared" ref="C184:AH184" si="51">C158/$C5</f>
        <v>#DIV/0!</v>
      </c>
      <c r="D184" s="5" t="e">
        <f t="shared" si="51"/>
        <v>#DIV/0!</v>
      </c>
      <c r="E184" s="5" t="e">
        <f t="shared" si="51"/>
        <v>#DIV/0!</v>
      </c>
      <c r="F184" s="5" t="e">
        <f t="shared" si="51"/>
        <v>#DIV/0!</v>
      </c>
      <c r="G184" s="5" t="e">
        <f t="shared" si="51"/>
        <v>#DIV/0!</v>
      </c>
      <c r="H184" s="5" t="e">
        <f t="shared" si="51"/>
        <v>#DIV/0!</v>
      </c>
      <c r="I184" s="5" t="e">
        <f t="shared" si="51"/>
        <v>#DIV/0!</v>
      </c>
      <c r="J184" s="5" t="e">
        <f t="shared" si="51"/>
        <v>#DIV/0!</v>
      </c>
      <c r="K184" s="5" t="e">
        <f t="shared" si="51"/>
        <v>#DIV/0!</v>
      </c>
      <c r="L184" s="5" t="e">
        <f t="shared" si="51"/>
        <v>#DIV/0!</v>
      </c>
      <c r="M184" s="5" t="e">
        <f t="shared" si="51"/>
        <v>#DIV/0!</v>
      </c>
      <c r="N184" s="5" t="e">
        <f t="shared" si="51"/>
        <v>#DIV/0!</v>
      </c>
      <c r="O184" s="5" t="e">
        <f t="shared" si="51"/>
        <v>#DIV/0!</v>
      </c>
      <c r="P184" s="5" t="e">
        <f t="shared" si="51"/>
        <v>#DIV/0!</v>
      </c>
      <c r="Q184" s="5" t="e">
        <f t="shared" si="51"/>
        <v>#DIV/0!</v>
      </c>
      <c r="R184" s="5" t="e">
        <f t="shared" si="51"/>
        <v>#DIV/0!</v>
      </c>
      <c r="S184" s="5" t="e">
        <f t="shared" si="51"/>
        <v>#DIV/0!</v>
      </c>
      <c r="T184" s="5" t="e">
        <f t="shared" si="51"/>
        <v>#DIV/0!</v>
      </c>
      <c r="U184" s="5" t="e">
        <f t="shared" si="51"/>
        <v>#DIV/0!</v>
      </c>
      <c r="V184" s="5" t="e">
        <f t="shared" si="51"/>
        <v>#DIV/0!</v>
      </c>
      <c r="W184" s="5" t="e">
        <f t="shared" si="51"/>
        <v>#DIV/0!</v>
      </c>
      <c r="X184" s="5" t="e">
        <f t="shared" si="51"/>
        <v>#DIV/0!</v>
      </c>
      <c r="Y184" s="5" t="e">
        <f t="shared" si="51"/>
        <v>#DIV/0!</v>
      </c>
      <c r="Z184" s="5" t="e">
        <f t="shared" si="51"/>
        <v>#DIV/0!</v>
      </c>
      <c r="AA184" s="5" t="e">
        <f t="shared" si="51"/>
        <v>#DIV/0!</v>
      </c>
      <c r="AB184" s="5" t="e">
        <f t="shared" si="51"/>
        <v>#DIV/0!</v>
      </c>
      <c r="AC184" s="5" t="e">
        <f t="shared" si="51"/>
        <v>#DIV/0!</v>
      </c>
      <c r="AD184" s="5" t="e">
        <f t="shared" si="51"/>
        <v>#DIV/0!</v>
      </c>
      <c r="AE184" s="5" t="e">
        <f t="shared" si="51"/>
        <v>#DIV/0!</v>
      </c>
      <c r="AF184" s="5" t="e">
        <f t="shared" si="51"/>
        <v>#DIV/0!</v>
      </c>
      <c r="AG184" s="5" t="e">
        <f t="shared" si="51"/>
        <v>#DIV/0!</v>
      </c>
      <c r="AH184" s="5" t="e">
        <f t="shared" si="51"/>
        <v>#DIV/0!</v>
      </c>
      <c r="AI184" s="5" t="e">
        <f t="shared" ref="AI184:BM184" si="52">AI158/$C5</f>
        <v>#DIV/0!</v>
      </c>
      <c r="AJ184" s="5" t="e">
        <f t="shared" si="52"/>
        <v>#DIV/0!</v>
      </c>
      <c r="AK184" s="5" t="e">
        <f t="shared" si="52"/>
        <v>#DIV/0!</v>
      </c>
      <c r="AL184" s="5" t="e">
        <f t="shared" si="52"/>
        <v>#DIV/0!</v>
      </c>
      <c r="AM184" s="5" t="e">
        <f t="shared" si="52"/>
        <v>#DIV/0!</v>
      </c>
      <c r="AN184" s="5" t="e">
        <f t="shared" si="52"/>
        <v>#DIV/0!</v>
      </c>
      <c r="AO184" s="5" t="e">
        <f t="shared" si="52"/>
        <v>#DIV/0!</v>
      </c>
      <c r="AP184" s="5" t="e">
        <f t="shared" si="52"/>
        <v>#DIV/0!</v>
      </c>
      <c r="AQ184" s="5" t="e">
        <f t="shared" si="52"/>
        <v>#DIV/0!</v>
      </c>
      <c r="AR184" s="5" t="e">
        <f t="shared" si="52"/>
        <v>#DIV/0!</v>
      </c>
      <c r="AS184" s="5" t="e">
        <f t="shared" si="52"/>
        <v>#DIV/0!</v>
      </c>
      <c r="AT184" s="5" t="e">
        <f t="shared" si="52"/>
        <v>#DIV/0!</v>
      </c>
      <c r="AU184" s="5" t="e">
        <f t="shared" si="52"/>
        <v>#DIV/0!</v>
      </c>
      <c r="AV184" s="5" t="e">
        <f t="shared" si="52"/>
        <v>#DIV/0!</v>
      </c>
      <c r="AW184" s="5" t="e">
        <f t="shared" si="52"/>
        <v>#DIV/0!</v>
      </c>
      <c r="AX184" s="5" t="e">
        <f t="shared" si="52"/>
        <v>#DIV/0!</v>
      </c>
      <c r="AY184" s="5" t="e">
        <f t="shared" si="52"/>
        <v>#DIV/0!</v>
      </c>
      <c r="AZ184" s="5" t="e">
        <f t="shared" si="52"/>
        <v>#DIV/0!</v>
      </c>
      <c r="BA184" s="5" t="e">
        <f t="shared" si="52"/>
        <v>#DIV/0!</v>
      </c>
      <c r="BB184" s="5" t="e">
        <f t="shared" si="52"/>
        <v>#DIV/0!</v>
      </c>
      <c r="BC184" s="5" t="e">
        <f t="shared" si="52"/>
        <v>#DIV/0!</v>
      </c>
      <c r="BD184" s="5" t="e">
        <f t="shared" si="52"/>
        <v>#DIV/0!</v>
      </c>
      <c r="BE184" s="5" t="e">
        <f t="shared" si="52"/>
        <v>#DIV/0!</v>
      </c>
      <c r="BF184" s="5" t="e">
        <f t="shared" si="52"/>
        <v>#DIV/0!</v>
      </c>
      <c r="BG184" s="5" t="e">
        <f t="shared" si="52"/>
        <v>#DIV/0!</v>
      </c>
      <c r="BH184" s="5" t="e">
        <f t="shared" si="52"/>
        <v>#DIV/0!</v>
      </c>
      <c r="BI184" s="5" t="e">
        <f t="shared" si="52"/>
        <v>#DIV/0!</v>
      </c>
      <c r="BJ184" s="5" t="e">
        <f t="shared" si="52"/>
        <v>#DIV/0!</v>
      </c>
      <c r="BK184" s="5" t="e">
        <f t="shared" si="52"/>
        <v>#DIV/0!</v>
      </c>
      <c r="BL184" s="5" t="e">
        <f t="shared" si="52"/>
        <v>#DIV/0!</v>
      </c>
      <c r="BM184" s="5" t="e">
        <f t="shared" si="52"/>
        <v>#DIV/0!</v>
      </c>
    </row>
    <row r="185" spans="2:65">
      <c r="B185" t="s">
        <v>37</v>
      </c>
      <c r="C185" s="5" t="e">
        <f t="shared" ref="C185:AH185" si="53">C172/$C5</f>
        <v>#DIV/0!</v>
      </c>
      <c r="D185" s="5" t="e">
        <f t="shared" si="53"/>
        <v>#DIV/0!</v>
      </c>
      <c r="E185" s="5" t="e">
        <f t="shared" si="53"/>
        <v>#DIV/0!</v>
      </c>
      <c r="F185" s="5" t="e">
        <f t="shared" si="53"/>
        <v>#DIV/0!</v>
      </c>
      <c r="G185" s="5" t="e">
        <f t="shared" si="53"/>
        <v>#DIV/0!</v>
      </c>
      <c r="H185" s="5" t="e">
        <f t="shared" si="53"/>
        <v>#DIV/0!</v>
      </c>
      <c r="I185" s="5" t="e">
        <f t="shared" si="53"/>
        <v>#DIV/0!</v>
      </c>
      <c r="J185" s="5" t="e">
        <f t="shared" si="53"/>
        <v>#DIV/0!</v>
      </c>
      <c r="K185" s="5" t="e">
        <f t="shared" si="53"/>
        <v>#DIV/0!</v>
      </c>
      <c r="L185" s="5" t="e">
        <f t="shared" si="53"/>
        <v>#DIV/0!</v>
      </c>
      <c r="M185" s="5" t="e">
        <f t="shared" si="53"/>
        <v>#DIV/0!</v>
      </c>
      <c r="N185" s="5" t="e">
        <f t="shared" si="53"/>
        <v>#DIV/0!</v>
      </c>
      <c r="O185" s="5" t="e">
        <f t="shared" si="53"/>
        <v>#DIV/0!</v>
      </c>
      <c r="P185" s="5" t="e">
        <f t="shared" si="53"/>
        <v>#DIV/0!</v>
      </c>
      <c r="Q185" s="5" t="e">
        <f t="shared" si="53"/>
        <v>#DIV/0!</v>
      </c>
      <c r="R185" s="5" t="e">
        <f t="shared" si="53"/>
        <v>#DIV/0!</v>
      </c>
      <c r="S185" s="5" t="e">
        <f t="shared" si="53"/>
        <v>#DIV/0!</v>
      </c>
      <c r="T185" s="5" t="e">
        <f t="shared" si="53"/>
        <v>#DIV/0!</v>
      </c>
      <c r="U185" s="5" t="e">
        <f t="shared" si="53"/>
        <v>#DIV/0!</v>
      </c>
      <c r="V185" s="5" t="e">
        <f t="shared" si="53"/>
        <v>#DIV/0!</v>
      </c>
      <c r="W185" s="5" t="e">
        <f t="shared" si="53"/>
        <v>#DIV/0!</v>
      </c>
      <c r="X185" s="5" t="e">
        <f t="shared" si="53"/>
        <v>#DIV/0!</v>
      </c>
      <c r="Y185" s="5" t="e">
        <f t="shared" si="53"/>
        <v>#DIV/0!</v>
      </c>
      <c r="Z185" s="5" t="e">
        <f t="shared" si="53"/>
        <v>#DIV/0!</v>
      </c>
      <c r="AA185" s="5" t="e">
        <f t="shared" si="53"/>
        <v>#DIV/0!</v>
      </c>
      <c r="AB185" s="5" t="e">
        <f t="shared" si="53"/>
        <v>#DIV/0!</v>
      </c>
      <c r="AC185" s="5" t="e">
        <f t="shared" si="53"/>
        <v>#DIV/0!</v>
      </c>
      <c r="AD185" s="5" t="e">
        <f t="shared" si="53"/>
        <v>#DIV/0!</v>
      </c>
      <c r="AE185" s="5" t="e">
        <f t="shared" si="53"/>
        <v>#DIV/0!</v>
      </c>
      <c r="AF185" s="5" t="e">
        <f t="shared" si="53"/>
        <v>#DIV/0!</v>
      </c>
      <c r="AG185" s="5" t="e">
        <f t="shared" si="53"/>
        <v>#DIV/0!</v>
      </c>
      <c r="AH185" s="5" t="e">
        <f t="shared" si="53"/>
        <v>#DIV/0!</v>
      </c>
      <c r="AI185" s="5" t="e">
        <f t="shared" ref="AI185:BM185" si="54">AI172/$C5</f>
        <v>#DIV/0!</v>
      </c>
      <c r="AJ185" s="5" t="e">
        <f t="shared" si="54"/>
        <v>#DIV/0!</v>
      </c>
      <c r="AK185" s="5" t="e">
        <f t="shared" si="54"/>
        <v>#DIV/0!</v>
      </c>
      <c r="AL185" s="5" t="e">
        <f t="shared" si="54"/>
        <v>#DIV/0!</v>
      </c>
      <c r="AM185" s="5" t="e">
        <f t="shared" si="54"/>
        <v>#DIV/0!</v>
      </c>
      <c r="AN185" s="5" t="e">
        <f t="shared" si="54"/>
        <v>#DIV/0!</v>
      </c>
      <c r="AO185" s="5" t="e">
        <f t="shared" si="54"/>
        <v>#DIV/0!</v>
      </c>
      <c r="AP185" s="5" t="e">
        <f t="shared" si="54"/>
        <v>#DIV/0!</v>
      </c>
      <c r="AQ185" s="5" t="e">
        <f t="shared" si="54"/>
        <v>#DIV/0!</v>
      </c>
      <c r="AR185" s="5" t="e">
        <f t="shared" si="54"/>
        <v>#DIV/0!</v>
      </c>
      <c r="AS185" s="5" t="e">
        <f t="shared" si="54"/>
        <v>#DIV/0!</v>
      </c>
      <c r="AT185" s="5" t="e">
        <f t="shared" si="54"/>
        <v>#DIV/0!</v>
      </c>
      <c r="AU185" s="5" t="e">
        <f t="shared" si="54"/>
        <v>#DIV/0!</v>
      </c>
      <c r="AV185" s="5" t="e">
        <f t="shared" si="54"/>
        <v>#DIV/0!</v>
      </c>
      <c r="AW185" s="5" t="e">
        <f t="shared" si="54"/>
        <v>#DIV/0!</v>
      </c>
      <c r="AX185" s="5" t="e">
        <f t="shared" si="54"/>
        <v>#DIV/0!</v>
      </c>
      <c r="AY185" s="5" t="e">
        <f t="shared" si="54"/>
        <v>#DIV/0!</v>
      </c>
      <c r="AZ185" s="5" t="e">
        <f t="shared" si="54"/>
        <v>#DIV/0!</v>
      </c>
      <c r="BA185" s="5" t="e">
        <f t="shared" si="54"/>
        <v>#DIV/0!</v>
      </c>
      <c r="BB185" s="5" t="e">
        <f t="shared" si="54"/>
        <v>#DIV/0!</v>
      </c>
      <c r="BC185" s="5" t="e">
        <f t="shared" si="54"/>
        <v>#DIV/0!</v>
      </c>
      <c r="BD185" s="5" t="e">
        <f t="shared" si="54"/>
        <v>#DIV/0!</v>
      </c>
      <c r="BE185" s="5" t="e">
        <f t="shared" si="54"/>
        <v>#DIV/0!</v>
      </c>
      <c r="BF185" s="5" t="e">
        <f t="shared" si="54"/>
        <v>#DIV/0!</v>
      </c>
      <c r="BG185" s="5" t="e">
        <f t="shared" si="54"/>
        <v>#DIV/0!</v>
      </c>
      <c r="BH185" s="5" t="e">
        <f t="shared" si="54"/>
        <v>#DIV/0!</v>
      </c>
      <c r="BI185" s="5" t="e">
        <f t="shared" si="54"/>
        <v>#DIV/0!</v>
      </c>
      <c r="BJ185" s="5" t="e">
        <f t="shared" si="54"/>
        <v>#DIV/0!</v>
      </c>
      <c r="BK185" s="5" t="e">
        <f t="shared" si="54"/>
        <v>#DIV/0!</v>
      </c>
      <c r="BL185" s="5" t="e">
        <f t="shared" si="54"/>
        <v>#DIV/0!</v>
      </c>
      <c r="BM185" s="5" t="e">
        <f t="shared" si="54"/>
        <v>#DIV/0!</v>
      </c>
    </row>
  </sheetData>
  <mergeCells count="44">
    <mergeCell ref="AM2:AN2"/>
    <mergeCell ref="A160:A171"/>
    <mergeCell ref="A7:A25"/>
    <mergeCell ref="BK2:BL2"/>
    <mergeCell ref="AQ2:AR2"/>
    <mergeCell ref="AS2:AT2"/>
    <mergeCell ref="AU2:AV2"/>
    <mergeCell ref="AW2:AX2"/>
    <mergeCell ref="AY2:AZ2"/>
    <mergeCell ref="BA2:BB2"/>
    <mergeCell ref="BG2:BH2"/>
    <mergeCell ref="BI2:BJ2"/>
    <mergeCell ref="BC2:BD2"/>
    <mergeCell ref="BE2:BF2"/>
    <mergeCell ref="A4:B4"/>
    <mergeCell ref="S2:T2"/>
    <mergeCell ref="AO2:AP2"/>
    <mergeCell ref="AA2:AB2"/>
    <mergeCell ref="AC2:AD2"/>
    <mergeCell ref="C1:AG1"/>
    <mergeCell ref="C2:D2"/>
    <mergeCell ref="E2:F2"/>
    <mergeCell ref="G2:H2"/>
    <mergeCell ref="I2:J2"/>
    <mergeCell ref="K2:L2"/>
    <mergeCell ref="M2:N2"/>
    <mergeCell ref="O2:P2"/>
    <mergeCell ref="Q2:R2"/>
    <mergeCell ref="W2:X2"/>
    <mergeCell ref="Y2:Z2"/>
    <mergeCell ref="AI2:AJ2"/>
    <mergeCell ref="AK2:AL2"/>
    <mergeCell ref="A1:B3"/>
    <mergeCell ref="AE2:AF2"/>
    <mergeCell ref="AG2:AH2"/>
    <mergeCell ref="A5:B5"/>
    <mergeCell ref="A45:A63"/>
    <mergeCell ref="U2:V2"/>
    <mergeCell ref="A121:A139"/>
    <mergeCell ref="A140:A158"/>
    <mergeCell ref="A26:A44"/>
    <mergeCell ref="A64:A82"/>
    <mergeCell ref="A83:A101"/>
    <mergeCell ref="A102:A1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4:H22"/>
  <sheetViews>
    <sheetView workbookViewId="0">
      <selection activeCell="E5" sqref="E5"/>
    </sheetView>
  </sheetViews>
  <sheetFormatPr defaultRowHeight="14.5"/>
  <cols>
    <col min="3" max="3" width="13.6328125" bestFit="1" customWidth="1"/>
    <col min="4" max="4" width="11.90625" customWidth="1"/>
    <col min="5" max="5" width="22" customWidth="1"/>
    <col min="6" max="6" width="32" customWidth="1"/>
  </cols>
  <sheetData>
    <row r="4" spans="2:8">
      <c r="B4" t="s">
        <v>55</v>
      </c>
      <c r="C4" t="s">
        <v>70</v>
      </c>
      <c r="D4" t="s">
        <v>71</v>
      </c>
      <c r="E4" t="s">
        <v>72</v>
      </c>
      <c r="F4" t="s">
        <v>73</v>
      </c>
      <c r="G4" t="s">
        <v>75</v>
      </c>
      <c r="H4" t="s">
        <v>85</v>
      </c>
    </row>
    <row r="5" spans="2:8">
      <c r="B5" t="s">
        <v>48</v>
      </c>
      <c r="C5" t="s">
        <v>56</v>
      </c>
      <c r="D5" t="s">
        <v>58</v>
      </c>
      <c r="E5" t="s">
        <v>59</v>
      </c>
      <c r="F5" t="s">
        <v>44</v>
      </c>
      <c r="G5" t="s">
        <v>76</v>
      </c>
    </row>
    <row r="6" spans="2:8">
      <c r="B6" t="s">
        <v>48</v>
      </c>
      <c r="C6" t="s">
        <v>57</v>
      </c>
      <c r="D6" t="s">
        <v>58</v>
      </c>
      <c r="E6" t="s">
        <v>59</v>
      </c>
      <c r="F6" t="s">
        <v>39</v>
      </c>
      <c r="G6" t="s">
        <v>76</v>
      </c>
    </row>
    <row r="7" spans="2:8">
      <c r="B7" t="s">
        <v>48</v>
      </c>
      <c r="C7" t="s">
        <v>69</v>
      </c>
      <c r="D7" t="s">
        <v>58</v>
      </c>
      <c r="E7" t="s">
        <v>59</v>
      </c>
      <c r="F7" t="s">
        <v>41</v>
      </c>
      <c r="G7" t="s">
        <v>76</v>
      </c>
    </row>
    <row r="8" spans="2:8">
      <c r="B8" t="s">
        <v>48</v>
      </c>
      <c r="C8" t="s">
        <v>60</v>
      </c>
      <c r="D8" t="s">
        <v>58</v>
      </c>
      <c r="E8" t="s">
        <v>59</v>
      </c>
      <c r="F8" t="s">
        <v>40</v>
      </c>
      <c r="G8" t="s">
        <v>76</v>
      </c>
    </row>
    <row r="9" spans="2:8">
      <c r="B9" t="s">
        <v>48</v>
      </c>
      <c r="C9" t="s">
        <v>63</v>
      </c>
      <c r="D9" t="s">
        <v>61</v>
      </c>
      <c r="E9" t="s">
        <v>62</v>
      </c>
      <c r="F9" t="s">
        <v>13</v>
      </c>
      <c r="G9" t="s">
        <v>76</v>
      </c>
    </row>
    <row r="10" spans="2:8">
      <c r="B10" t="s">
        <v>48</v>
      </c>
      <c r="C10" t="s">
        <v>64</v>
      </c>
      <c r="D10" t="s">
        <v>58</v>
      </c>
      <c r="E10" t="s">
        <v>59</v>
      </c>
      <c r="F10" t="s">
        <v>43</v>
      </c>
      <c r="G10" t="s">
        <v>76</v>
      </c>
    </row>
    <row r="11" spans="2:8">
      <c r="B11" t="s">
        <v>48</v>
      </c>
      <c r="C11" s="28" t="s">
        <v>65</v>
      </c>
      <c r="D11" t="s">
        <v>66</v>
      </c>
      <c r="E11" t="s">
        <v>74</v>
      </c>
      <c r="F11" t="s">
        <v>42</v>
      </c>
      <c r="G11" t="s">
        <v>77</v>
      </c>
    </row>
    <row r="12" spans="2:8">
      <c r="B12" t="s">
        <v>48</v>
      </c>
      <c r="C12" s="28" t="s">
        <v>65</v>
      </c>
      <c r="D12" t="s">
        <v>58</v>
      </c>
      <c r="E12" t="s">
        <v>67</v>
      </c>
      <c r="F12" t="s">
        <v>10</v>
      </c>
      <c r="G12" t="s">
        <v>77</v>
      </c>
    </row>
    <row r="13" spans="2:8">
      <c r="B13" t="s">
        <v>48</v>
      </c>
      <c r="C13" t="s">
        <v>68</v>
      </c>
      <c r="D13" t="s">
        <v>58</v>
      </c>
      <c r="E13" t="s">
        <v>59</v>
      </c>
      <c r="F13" t="s">
        <v>54</v>
      </c>
      <c r="G13" t="s">
        <v>77</v>
      </c>
    </row>
    <row r="14" spans="2:8">
      <c r="B14" t="s">
        <v>48</v>
      </c>
      <c r="C14" t="s">
        <v>68</v>
      </c>
      <c r="D14" t="s">
        <v>58</v>
      </c>
      <c r="E14" t="s">
        <v>59</v>
      </c>
      <c r="F14" t="s">
        <v>46</v>
      </c>
      <c r="G14" t="s">
        <v>77</v>
      </c>
    </row>
    <row r="15" spans="2:8">
      <c r="B15" t="s">
        <v>48</v>
      </c>
      <c r="C15" t="s">
        <v>69</v>
      </c>
      <c r="D15" t="s">
        <v>82</v>
      </c>
      <c r="E15" s="28" t="s">
        <v>65</v>
      </c>
      <c r="F15" t="s">
        <v>11</v>
      </c>
      <c r="G15" t="s">
        <v>76</v>
      </c>
    </row>
    <row r="16" spans="2:8">
      <c r="B16" t="s">
        <v>48</v>
      </c>
      <c r="C16" t="s">
        <v>81</v>
      </c>
      <c r="D16" t="s">
        <v>84</v>
      </c>
      <c r="E16" t="s">
        <v>83</v>
      </c>
      <c r="F16" t="s">
        <v>12</v>
      </c>
      <c r="G16" t="s">
        <v>76</v>
      </c>
    </row>
    <row r="17" spans="2:8">
      <c r="B17" t="s">
        <v>48</v>
      </c>
      <c r="C17" t="s">
        <v>78</v>
      </c>
      <c r="D17" t="s">
        <v>58</v>
      </c>
      <c r="E17" t="s">
        <v>67</v>
      </c>
      <c r="F17" t="s">
        <v>14</v>
      </c>
      <c r="G17" t="s">
        <v>77</v>
      </c>
    </row>
    <row r="18" spans="2:8">
      <c r="B18" t="s">
        <v>48</v>
      </c>
      <c r="C18" t="s">
        <v>79</v>
      </c>
      <c r="D18" t="s">
        <v>58</v>
      </c>
      <c r="E18" t="s">
        <v>67</v>
      </c>
      <c r="F18" t="s">
        <v>17</v>
      </c>
      <c r="G18" t="s">
        <v>77</v>
      </c>
    </row>
    <row r="19" spans="2:8">
      <c r="B19" t="s">
        <v>48</v>
      </c>
      <c r="C19" t="s">
        <v>80</v>
      </c>
      <c r="D19" t="s">
        <v>58</v>
      </c>
      <c r="E19" t="s">
        <v>67</v>
      </c>
      <c r="F19" t="s">
        <v>15</v>
      </c>
      <c r="G19" t="s">
        <v>77</v>
      </c>
    </row>
    <row r="20" spans="2:8">
      <c r="B20" t="s">
        <v>48</v>
      </c>
      <c r="C20" t="s">
        <v>56</v>
      </c>
      <c r="D20" t="s">
        <v>58</v>
      </c>
      <c r="E20" t="s">
        <v>67</v>
      </c>
      <c r="F20" t="s">
        <v>16</v>
      </c>
      <c r="G20" t="s">
        <v>77</v>
      </c>
    </row>
    <row r="21" spans="2:8">
      <c r="B21" t="s">
        <v>48</v>
      </c>
      <c r="C21" t="s">
        <v>81</v>
      </c>
      <c r="D21" t="s">
        <v>58</v>
      </c>
      <c r="E21" t="s">
        <v>59</v>
      </c>
      <c r="F21" t="s">
        <v>18</v>
      </c>
      <c r="G21" t="s">
        <v>77</v>
      </c>
    </row>
    <row r="22" spans="2:8">
      <c r="B22" t="s">
        <v>48</v>
      </c>
      <c r="C22" t="s">
        <v>74</v>
      </c>
      <c r="D22" t="s">
        <v>58</v>
      </c>
      <c r="E22" t="s">
        <v>59</v>
      </c>
      <c r="F22" t="s">
        <v>19</v>
      </c>
      <c r="G22" t="s">
        <v>77</v>
      </c>
      <c r="H22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AD36"/>
  <sheetViews>
    <sheetView tabSelected="1" zoomScale="84" zoomScaleNormal="84" workbookViewId="0">
      <selection activeCell="Y10" sqref="Y10"/>
    </sheetView>
  </sheetViews>
  <sheetFormatPr defaultRowHeight="14.5"/>
  <cols>
    <col min="1" max="1" width="3.26953125" customWidth="1"/>
    <col min="2" max="2" width="6.81640625" style="29" customWidth="1"/>
    <col min="3" max="3" width="11.1796875" customWidth="1"/>
    <col min="4" max="4" width="3.7265625" bestFit="1" customWidth="1"/>
    <col min="5" max="5" width="6" bestFit="1" customWidth="1"/>
    <col min="6" max="6" width="3.26953125" customWidth="1"/>
    <col min="7" max="7" width="10.1796875" customWidth="1"/>
    <col min="8" max="8" width="14" bestFit="1" customWidth="1"/>
    <col min="9" max="9" width="3.7265625" bestFit="1" customWidth="1"/>
    <col min="10" max="10" width="5" bestFit="1" customWidth="1"/>
    <col min="11" max="11" width="2.6328125" customWidth="1"/>
    <col min="14" max="14" width="1.54296875" customWidth="1"/>
    <col min="15" max="15" width="11.08984375" customWidth="1"/>
    <col min="16" max="16" width="22.26953125" customWidth="1"/>
    <col min="17" max="17" width="7.90625" customWidth="1"/>
    <col min="18" max="18" width="1.90625" customWidth="1"/>
    <col min="19" max="19" width="6.453125" customWidth="1"/>
    <col min="21" max="21" width="9.1796875" bestFit="1" customWidth="1"/>
    <col min="22" max="22" width="6.1796875" bestFit="1" customWidth="1"/>
    <col min="23" max="23" width="29.54296875" bestFit="1" customWidth="1"/>
    <col min="26" max="26" width="6.453125" bestFit="1" customWidth="1"/>
    <col min="30" max="30" width="30" bestFit="1" customWidth="1"/>
  </cols>
  <sheetData>
    <row r="2" spans="2:30">
      <c r="B2" s="30" t="s">
        <v>99</v>
      </c>
      <c r="C2" s="31"/>
      <c r="D2" s="31"/>
      <c r="E2" s="32"/>
      <c r="G2" s="41" t="s">
        <v>98</v>
      </c>
      <c r="H2" s="31"/>
      <c r="I2" s="31"/>
      <c r="J2" s="32"/>
      <c r="L2" s="41" t="s">
        <v>104</v>
      </c>
      <c r="M2" s="32"/>
      <c r="O2" s="41" t="s">
        <v>114</v>
      </c>
      <c r="P2" s="31"/>
      <c r="Q2" s="32"/>
      <c r="S2" s="41" t="s">
        <v>113</v>
      </c>
      <c r="T2" s="31"/>
      <c r="U2" s="31"/>
      <c r="V2" s="31"/>
      <c r="W2" s="32"/>
      <c r="Z2" t="s">
        <v>113</v>
      </c>
    </row>
    <row r="3" spans="2:30">
      <c r="B3" s="33" t="s">
        <v>96</v>
      </c>
      <c r="C3" s="34" t="s">
        <v>87</v>
      </c>
      <c r="D3" s="34" t="s">
        <v>140</v>
      </c>
      <c r="E3" s="35" t="s">
        <v>88</v>
      </c>
      <c r="G3" s="33" t="s">
        <v>129</v>
      </c>
      <c r="H3" s="34" t="s">
        <v>95</v>
      </c>
      <c r="I3" s="42" t="s">
        <v>140</v>
      </c>
      <c r="J3" s="35" t="s">
        <v>96</v>
      </c>
      <c r="L3" s="33" t="s">
        <v>127</v>
      </c>
      <c r="M3" s="37"/>
      <c r="O3" s="44" t="s">
        <v>128</v>
      </c>
      <c r="P3" s="34"/>
      <c r="Q3" s="37" t="s">
        <v>105</v>
      </c>
      <c r="S3" s="44" t="s">
        <v>96</v>
      </c>
      <c r="T3" s="34" t="s">
        <v>97</v>
      </c>
      <c r="U3" s="34" t="s">
        <v>128</v>
      </c>
      <c r="V3" s="34" t="s">
        <v>127</v>
      </c>
      <c r="W3" s="37"/>
      <c r="Z3" t="s">
        <v>96</v>
      </c>
      <c r="AA3" t="s">
        <v>97</v>
      </c>
      <c r="AB3" t="s">
        <v>128</v>
      </c>
      <c r="AC3" t="s">
        <v>127</v>
      </c>
    </row>
    <row r="4" spans="2:30">
      <c r="B4" s="33">
        <v>1</v>
      </c>
      <c r="C4" s="34" t="s">
        <v>89</v>
      </c>
      <c r="D4" s="34">
        <v>1</v>
      </c>
      <c r="E4" s="36" t="s">
        <v>93</v>
      </c>
      <c r="G4" s="33">
        <v>1</v>
      </c>
      <c r="H4" s="34" t="s">
        <v>69</v>
      </c>
      <c r="I4" s="34">
        <v>1</v>
      </c>
      <c r="J4" s="37">
        <v>7</v>
      </c>
      <c r="L4" s="44">
        <v>1</v>
      </c>
      <c r="M4" s="37" t="s">
        <v>106</v>
      </c>
      <c r="O4" s="33">
        <v>1</v>
      </c>
      <c r="P4" s="34" t="s">
        <v>74</v>
      </c>
      <c r="Q4" s="37">
        <v>1</v>
      </c>
      <c r="S4" s="44">
        <v>7</v>
      </c>
      <c r="T4" s="34">
        <v>3</v>
      </c>
      <c r="U4" s="34">
        <v>6</v>
      </c>
      <c r="V4" s="34">
        <v>20</v>
      </c>
      <c r="W4" s="37" t="s">
        <v>44</v>
      </c>
      <c r="Z4">
        <v>7</v>
      </c>
      <c r="AA4">
        <v>3</v>
      </c>
      <c r="AB4">
        <v>20</v>
      </c>
      <c r="AC4">
        <v>6</v>
      </c>
      <c r="AD4" t="s">
        <v>44</v>
      </c>
    </row>
    <row r="5" spans="2:30">
      <c r="B5" s="33">
        <v>2</v>
      </c>
      <c r="C5" s="34" t="s">
        <v>69</v>
      </c>
      <c r="D5" s="34">
        <v>1</v>
      </c>
      <c r="E5" s="36" t="s">
        <v>93</v>
      </c>
      <c r="G5" s="33">
        <v>2</v>
      </c>
      <c r="H5" s="34" t="s">
        <v>64</v>
      </c>
      <c r="I5" s="34">
        <v>1</v>
      </c>
      <c r="J5" s="37">
        <v>7</v>
      </c>
      <c r="L5" s="44">
        <v>2</v>
      </c>
      <c r="M5" s="37" t="s">
        <v>107</v>
      </c>
      <c r="O5" s="33">
        <v>2</v>
      </c>
      <c r="P5" s="34" t="s">
        <v>74</v>
      </c>
      <c r="Q5" s="37">
        <v>2</v>
      </c>
      <c r="S5" s="44">
        <v>7</v>
      </c>
      <c r="T5" s="34">
        <v>5</v>
      </c>
      <c r="U5" s="34">
        <v>6</v>
      </c>
      <c r="V5" s="34">
        <v>20</v>
      </c>
      <c r="W5" s="37" t="s">
        <v>39</v>
      </c>
      <c r="Z5">
        <v>7</v>
      </c>
      <c r="AA5">
        <v>5</v>
      </c>
      <c r="AB5">
        <v>20</v>
      </c>
      <c r="AC5">
        <v>6</v>
      </c>
      <c r="AD5" t="s">
        <v>39</v>
      </c>
    </row>
    <row r="6" spans="2:30">
      <c r="B6" s="33">
        <v>3</v>
      </c>
      <c r="C6" s="34" t="s">
        <v>94</v>
      </c>
      <c r="D6" s="34">
        <v>2</v>
      </c>
      <c r="E6" s="36" t="s">
        <v>93</v>
      </c>
      <c r="G6" s="33">
        <v>3</v>
      </c>
      <c r="H6" s="34" t="s">
        <v>56</v>
      </c>
      <c r="I6" s="34">
        <v>1</v>
      </c>
      <c r="J6" s="37">
        <v>7</v>
      </c>
      <c r="L6" s="44">
        <v>3</v>
      </c>
      <c r="M6" s="37" t="s">
        <v>108</v>
      </c>
      <c r="O6" s="33">
        <v>3</v>
      </c>
      <c r="P6" s="34" t="s">
        <v>115</v>
      </c>
      <c r="Q6" s="37">
        <v>3</v>
      </c>
      <c r="S6" s="44">
        <v>1</v>
      </c>
      <c r="T6" s="34">
        <v>1</v>
      </c>
      <c r="U6" s="34">
        <v>6</v>
      </c>
      <c r="V6" s="34">
        <v>20</v>
      </c>
      <c r="W6" s="37" t="s">
        <v>41</v>
      </c>
      <c r="Z6">
        <v>1</v>
      </c>
      <c r="AA6">
        <v>1</v>
      </c>
      <c r="AB6">
        <v>20</v>
      </c>
      <c r="AC6">
        <v>6</v>
      </c>
      <c r="AD6" t="s">
        <v>41</v>
      </c>
    </row>
    <row r="7" spans="2:30">
      <c r="B7" s="33">
        <v>4</v>
      </c>
      <c r="C7" s="34" t="s">
        <v>60</v>
      </c>
      <c r="D7" s="34">
        <v>7</v>
      </c>
      <c r="E7" s="36" t="s">
        <v>93</v>
      </c>
      <c r="G7" s="33">
        <v>4</v>
      </c>
      <c r="H7" s="34" t="s">
        <v>135</v>
      </c>
      <c r="I7" s="34">
        <v>1</v>
      </c>
      <c r="J7" s="37">
        <v>7</v>
      </c>
      <c r="L7" s="44">
        <v>4</v>
      </c>
      <c r="M7" s="37" t="s">
        <v>109</v>
      </c>
      <c r="O7" s="33">
        <v>5</v>
      </c>
      <c r="P7" s="34" t="s">
        <v>116</v>
      </c>
      <c r="Q7" s="37">
        <v>3</v>
      </c>
      <c r="S7" s="44">
        <v>7</v>
      </c>
      <c r="T7" s="34">
        <v>12</v>
      </c>
      <c r="U7" s="34">
        <v>6</v>
      </c>
      <c r="V7" s="34">
        <v>20</v>
      </c>
      <c r="W7" s="37" t="s">
        <v>40</v>
      </c>
      <c r="Z7">
        <v>7</v>
      </c>
      <c r="AA7">
        <v>12</v>
      </c>
      <c r="AB7">
        <v>20</v>
      </c>
      <c r="AC7">
        <v>6</v>
      </c>
      <c r="AD7" t="s">
        <v>40</v>
      </c>
    </row>
    <row r="8" spans="2:30">
      <c r="B8" s="33">
        <v>5</v>
      </c>
      <c r="C8" s="34" t="s">
        <v>90</v>
      </c>
      <c r="D8" s="34">
        <v>2</v>
      </c>
      <c r="E8" s="36" t="s">
        <v>93</v>
      </c>
      <c r="G8" s="33">
        <v>5</v>
      </c>
      <c r="H8" s="34" t="s">
        <v>57</v>
      </c>
      <c r="I8" s="34">
        <v>1</v>
      </c>
      <c r="J8" s="37">
        <v>7</v>
      </c>
      <c r="L8" s="44">
        <v>5</v>
      </c>
      <c r="M8" s="37" t="s">
        <v>110</v>
      </c>
      <c r="O8" s="33">
        <v>6</v>
      </c>
      <c r="P8" s="34" t="s">
        <v>117</v>
      </c>
      <c r="Q8" s="37">
        <v>3</v>
      </c>
      <c r="S8" s="44">
        <v>7</v>
      </c>
      <c r="T8" s="34">
        <v>6</v>
      </c>
      <c r="U8" s="34">
        <v>14</v>
      </c>
      <c r="V8" s="34">
        <v>5</v>
      </c>
      <c r="W8" s="37" t="s">
        <v>13</v>
      </c>
      <c r="Z8">
        <v>7</v>
      </c>
      <c r="AA8">
        <v>6</v>
      </c>
      <c r="AB8">
        <v>14</v>
      </c>
      <c r="AC8">
        <v>5</v>
      </c>
      <c r="AD8" t="s">
        <v>13</v>
      </c>
    </row>
    <row r="9" spans="2:30">
      <c r="B9" s="33">
        <v>6</v>
      </c>
      <c r="C9" s="34" t="s">
        <v>91</v>
      </c>
      <c r="D9" s="34">
        <v>2</v>
      </c>
      <c r="E9" s="36"/>
      <c r="G9" s="33">
        <v>6</v>
      </c>
      <c r="H9" s="34" t="s">
        <v>130</v>
      </c>
      <c r="I9" s="34">
        <v>1</v>
      </c>
      <c r="J9" s="37">
        <v>7</v>
      </c>
      <c r="L9" s="44">
        <v>6</v>
      </c>
      <c r="M9" s="37" t="s">
        <v>111</v>
      </c>
      <c r="O9" s="33">
        <v>7</v>
      </c>
      <c r="P9" s="34" t="s">
        <v>118</v>
      </c>
      <c r="Q9" s="37">
        <v>4</v>
      </c>
      <c r="S9" s="44">
        <v>7</v>
      </c>
      <c r="T9" s="34">
        <v>2</v>
      </c>
      <c r="U9" s="34">
        <v>6</v>
      </c>
      <c r="V9" s="34">
        <v>20</v>
      </c>
      <c r="W9" s="37" t="s">
        <v>43</v>
      </c>
      <c r="Z9">
        <v>7</v>
      </c>
      <c r="AA9">
        <v>2</v>
      </c>
      <c r="AB9">
        <v>20</v>
      </c>
      <c r="AC9">
        <v>6</v>
      </c>
      <c r="AD9" t="s">
        <v>43</v>
      </c>
    </row>
    <row r="10" spans="2:30">
      <c r="B10" s="33">
        <v>7</v>
      </c>
      <c r="C10" s="34" t="s">
        <v>92</v>
      </c>
      <c r="D10" s="34">
        <v>14</v>
      </c>
      <c r="E10" s="37"/>
      <c r="G10" s="33">
        <v>7</v>
      </c>
      <c r="H10" s="34" t="s">
        <v>78</v>
      </c>
      <c r="I10" s="34">
        <v>1</v>
      </c>
      <c r="J10" s="37">
        <v>7</v>
      </c>
      <c r="L10" s="43">
        <v>7</v>
      </c>
      <c r="M10" s="40" t="s">
        <v>112</v>
      </c>
      <c r="O10" s="33">
        <v>8</v>
      </c>
      <c r="P10" s="34" t="s">
        <v>119</v>
      </c>
      <c r="Q10" s="37">
        <v>4</v>
      </c>
      <c r="S10" s="44">
        <v>5</v>
      </c>
      <c r="T10" s="34">
        <v>5</v>
      </c>
      <c r="U10" s="34">
        <v>6</v>
      </c>
      <c r="V10" s="34">
        <v>20</v>
      </c>
      <c r="W10" s="37" t="s">
        <v>42</v>
      </c>
      <c r="Z10">
        <v>5</v>
      </c>
      <c r="AA10">
        <v>5</v>
      </c>
      <c r="AB10">
        <v>20</v>
      </c>
      <c r="AC10">
        <v>6</v>
      </c>
      <c r="AD10" t="s">
        <v>42</v>
      </c>
    </row>
    <row r="11" spans="2:30">
      <c r="B11" s="38"/>
      <c r="C11" s="39"/>
      <c r="D11" s="39"/>
      <c r="E11" s="40"/>
      <c r="G11" s="33">
        <v>8</v>
      </c>
      <c r="H11" s="34" t="s">
        <v>79</v>
      </c>
      <c r="I11" s="34">
        <v>1</v>
      </c>
      <c r="J11" s="37">
        <v>7</v>
      </c>
      <c r="O11" s="33">
        <v>9</v>
      </c>
      <c r="P11" s="34" t="s">
        <v>120</v>
      </c>
      <c r="Q11" s="37">
        <v>4</v>
      </c>
      <c r="S11" s="44">
        <v>7</v>
      </c>
      <c r="T11" s="34">
        <v>13</v>
      </c>
      <c r="U11" s="34">
        <v>6</v>
      </c>
      <c r="V11" s="34">
        <v>20</v>
      </c>
      <c r="W11" s="37" t="s">
        <v>10</v>
      </c>
      <c r="Z11">
        <v>7</v>
      </c>
      <c r="AA11">
        <v>13</v>
      </c>
      <c r="AB11">
        <v>20</v>
      </c>
      <c r="AC11">
        <v>6</v>
      </c>
      <c r="AD11" t="s">
        <v>10</v>
      </c>
    </row>
    <row r="12" spans="2:30">
      <c r="G12" s="33">
        <v>9</v>
      </c>
      <c r="H12" s="34" t="s">
        <v>101</v>
      </c>
      <c r="I12" s="34">
        <v>1</v>
      </c>
      <c r="J12" s="37">
        <v>7</v>
      </c>
      <c r="O12" s="33">
        <v>10</v>
      </c>
      <c r="P12" s="34" t="s">
        <v>121</v>
      </c>
      <c r="Q12" s="37">
        <v>4</v>
      </c>
      <c r="S12" s="44">
        <v>5</v>
      </c>
      <c r="T12" s="34">
        <v>17</v>
      </c>
      <c r="U12" s="34">
        <v>6</v>
      </c>
      <c r="V12" s="34">
        <v>20</v>
      </c>
      <c r="W12" s="37" t="s">
        <v>54</v>
      </c>
      <c r="Z12">
        <v>5</v>
      </c>
      <c r="AA12">
        <v>17</v>
      </c>
      <c r="AB12">
        <v>20</v>
      </c>
      <c r="AC12">
        <v>6</v>
      </c>
      <c r="AD12" t="s">
        <v>54</v>
      </c>
    </row>
    <row r="13" spans="2:30">
      <c r="G13" s="33">
        <v>10</v>
      </c>
      <c r="H13" s="34" t="s">
        <v>102</v>
      </c>
      <c r="I13" s="34">
        <v>1</v>
      </c>
      <c r="J13" s="37">
        <v>7</v>
      </c>
      <c r="O13" s="33">
        <v>11</v>
      </c>
      <c r="P13" s="34" t="s">
        <v>122</v>
      </c>
      <c r="Q13" s="37">
        <v>4</v>
      </c>
      <c r="S13" s="44">
        <v>5</v>
      </c>
      <c r="T13" s="34">
        <v>15</v>
      </c>
      <c r="U13" s="34">
        <v>6</v>
      </c>
      <c r="V13" s="34">
        <v>20</v>
      </c>
      <c r="W13" s="37" t="s">
        <v>46</v>
      </c>
      <c r="Z13">
        <v>5</v>
      </c>
      <c r="AA13">
        <v>15</v>
      </c>
      <c r="AB13">
        <v>20</v>
      </c>
      <c r="AC13">
        <v>6</v>
      </c>
      <c r="AD13" t="s">
        <v>46</v>
      </c>
    </row>
    <row r="14" spans="2:30">
      <c r="G14" s="33">
        <v>11</v>
      </c>
      <c r="H14" s="34" t="s">
        <v>103</v>
      </c>
      <c r="I14" s="34">
        <v>1</v>
      </c>
      <c r="J14" s="37">
        <v>7</v>
      </c>
      <c r="O14" s="33">
        <v>12</v>
      </c>
      <c r="P14" s="34" t="s">
        <v>123</v>
      </c>
      <c r="Q14" s="37">
        <v>4</v>
      </c>
      <c r="S14" s="44">
        <v>3</v>
      </c>
      <c r="T14" s="34">
        <v>22</v>
      </c>
      <c r="U14" s="34">
        <v>6</v>
      </c>
      <c r="V14" s="34">
        <v>20</v>
      </c>
      <c r="W14" s="37" t="s">
        <v>11</v>
      </c>
      <c r="Z14">
        <v>3</v>
      </c>
      <c r="AA14">
        <v>22</v>
      </c>
      <c r="AB14">
        <v>20</v>
      </c>
      <c r="AC14">
        <v>6</v>
      </c>
      <c r="AD14" t="s">
        <v>11</v>
      </c>
    </row>
    <row r="15" spans="2:30">
      <c r="G15" s="33">
        <v>12</v>
      </c>
      <c r="H15" s="34" t="s">
        <v>81</v>
      </c>
      <c r="I15" s="34">
        <v>1</v>
      </c>
      <c r="J15" s="37">
        <v>7</v>
      </c>
      <c r="O15" s="33">
        <v>13</v>
      </c>
      <c r="P15" s="34" t="s">
        <v>19</v>
      </c>
      <c r="Q15" s="37">
        <v>4</v>
      </c>
      <c r="S15" s="44">
        <v>5</v>
      </c>
      <c r="T15" s="34">
        <v>24</v>
      </c>
      <c r="U15" s="34">
        <v>10</v>
      </c>
      <c r="V15" s="34">
        <v>4</v>
      </c>
      <c r="W15" s="37" t="s">
        <v>12</v>
      </c>
      <c r="Z15">
        <v>5</v>
      </c>
      <c r="AA15">
        <v>24</v>
      </c>
      <c r="AB15">
        <v>10</v>
      </c>
      <c r="AC15">
        <v>4</v>
      </c>
      <c r="AD15" t="s">
        <v>12</v>
      </c>
    </row>
    <row r="16" spans="2:30">
      <c r="G16" s="33">
        <v>13</v>
      </c>
      <c r="H16" s="34" t="s">
        <v>138</v>
      </c>
      <c r="I16" s="34">
        <v>1</v>
      </c>
      <c r="J16" s="37">
        <v>7</v>
      </c>
      <c r="O16" s="33">
        <v>14</v>
      </c>
      <c r="P16" s="34" t="s">
        <v>131</v>
      </c>
      <c r="Q16" s="37">
        <v>5</v>
      </c>
      <c r="S16" s="44">
        <v>7</v>
      </c>
      <c r="T16" s="34">
        <v>7</v>
      </c>
      <c r="U16" s="34">
        <v>6</v>
      </c>
      <c r="V16" s="34">
        <v>20</v>
      </c>
      <c r="W16" s="37" t="s">
        <v>14</v>
      </c>
      <c r="Z16">
        <v>7</v>
      </c>
      <c r="AA16">
        <v>7</v>
      </c>
      <c r="AB16">
        <v>20</v>
      </c>
      <c r="AC16">
        <v>6</v>
      </c>
      <c r="AD16" t="s">
        <v>14</v>
      </c>
    </row>
    <row r="17" spans="7:30">
      <c r="G17" s="33">
        <v>14</v>
      </c>
      <c r="H17" s="34" t="s">
        <v>100</v>
      </c>
      <c r="I17" s="34">
        <v>1</v>
      </c>
      <c r="J17" s="37">
        <v>5</v>
      </c>
      <c r="O17" s="33">
        <v>15</v>
      </c>
      <c r="P17" s="34" t="s">
        <v>132</v>
      </c>
      <c r="Q17" s="37">
        <v>5</v>
      </c>
      <c r="S17" s="44">
        <v>7</v>
      </c>
      <c r="T17" s="34">
        <v>8</v>
      </c>
      <c r="U17" s="34">
        <v>6</v>
      </c>
      <c r="V17" s="34">
        <v>20</v>
      </c>
      <c r="W17" s="37" t="s">
        <v>17</v>
      </c>
      <c r="Z17">
        <v>7</v>
      </c>
      <c r="AA17">
        <v>8</v>
      </c>
      <c r="AB17">
        <v>20</v>
      </c>
      <c r="AC17">
        <v>6</v>
      </c>
      <c r="AD17" t="s">
        <v>17</v>
      </c>
    </row>
    <row r="18" spans="7:30">
      <c r="G18" s="33">
        <v>15</v>
      </c>
      <c r="H18" s="34" t="s">
        <v>137</v>
      </c>
      <c r="I18" s="34">
        <v>1</v>
      </c>
      <c r="J18" s="37">
        <v>5</v>
      </c>
      <c r="O18" s="33">
        <v>16</v>
      </c>
      <c r="P18" s="34" t="s">
        <v>124</v>
      </c>
      <c r="Q18" s="37">
        <v>6</v>
      </c>
      <c r="S18" s="44">
        <v>7</v>
      </c>
      <c r="T18" s="34">
        <v>14</v>
      </c>
      <c r="U18" s="34">
        <v>6</v>
      </c>
      <c r="V18" s="34">
        <v>20</v>
      </c>
      <c r="W18" s="37" t="s">
        <v>15</v>
      </c>
      <c r="Z18">
        <v>7</v>
      </c>
      <c r="AA18">
        <v>14</v>
      </c>
      <c r="AB18">
        <v>20</v>
      </c>
      <c r="AC18">
        <v>6</v>
      </c>
      <c r="AD18" t="s">
        <v>15</v>
      </c>
    </row>
    <row r="19" spans="7:30">
      <c r="G19" s="33">
        <v>16</v>
      </c>
      <c r="H19" s="34" t="s">
        <v>136</v>
      </c>
      <c r="I19" s="34">
        <v>1</v>
      </c>
      <c r="J19" s="37">
        <v>5</v>
      </c>
      <c r="O19" s="33">
        <v>17</v>
      </c>
      <c r="P19" s="34" t="s">
        <v>125</v>
      </c>
      <c r="Q19" s="37">
        <v>6</v>
      </c>
      <c r="S19" s="44">
        <v>7</v>
      </c>
      <c r="T19" s="34">
        <v>3</v>
      </c>
      <c r="U19" s="34">
        <v>2</v>
      </c>
      <c r="V19" s="34">
        <v>2</v>
      </c>
      <c r="W19" s="37" t="s">
        <v>16</v>
      </c>
      <c r="Z19">
        <v>7</v>
      </c>
      <c r="AA19">
        <v>3</v>
      </c>
      <c r="AB19">
        <v>2</v>
      </c>
      <c r="AC19">
        <v>2</v>
      </c>
      <c r="AD19" t="s">
        <v>16</v>
      </c>
    </row>
    <row r="20" spans="7:30">
      <c r="G20" s="33">
        <v>17</v>
      </c>
      <c r="H20" s="34" t="s">
        <v>139</v>
      </c>
      <c r="I20" s="34">
        <v>5</v>
      </c>
      <c r="J20" s="37">
        <v>5</v>
      </c>
      <c r="O20" s="33">
        <v>18</v>
      </c>
      <c r="P20" s="34" t="s">
        <v>126</v>
      </c>
      <c r="Q20" s="37">
        <v>6</v>
      </c>
      <c r="S20" s="44">
        <v>7</v>
      </c>
      <c r="T20" s="34">
        <v>12</v>
      </c>
      <c r="U20" s="34">
        <v>6</v>
      </c>
      <c r="V20" s="34">
        <v>20</v>
      </c>
      <c r="W20" s="37" t="s">
        <v>18</v>
      </c>
      <c r="Z20">
        <v>7</v>
      </c>
      <c r="AA20">
        <v>12</v>
      </c>
      <c r="AB20">
        <v>21</v>
      </c>
      <c r="AC20">
        <v>7</v>
      </c>
      <c r="AD20" t="s">
        <v>18</v>
      </c>
    </row>
    <row r="21" spans="7:30">
      <c r="G21" s="33">
        <v>18</v>
      </c>
      <c r="H21" s="34" t="s">
        <v>141</v>
      </c>
      <c r="I21" s="34">
        <v>1</v>
      </c>
      <c r="J21" s="37">
        <v>4</v>
      </c>
      <c r="O21" s="33">
        <v>19</v>
      </c>
      <c r="P21" s="34" t="s">
        <v>12</v>
      </c>
      <c r="Q21" s="37">
        <v>6</v>
      </c>
      <c r="S21" s="43">
        <v>7</v>
      </c>
      <c r="T21" s="39">
        <v>26</v>
      </c>
      <c r="U21" s="39">
        <v>6</v>
      </c>
      <c r="V21" s="39">
        <v>20</v>
      </c>
      <c r="W21" s="40" t="s">
        <v>19</v>
      </c>
      <c r="Z21">
        <v>7</v>
      </c>
      <c r="AA21">
        <v>26</v>
      </c>
      <c r="AB21">
        <v>21</v>
      </c>
      <c r="AC21">
        <v>7</v>
      </c>
      <c r="AD21" t="s">
        <v>19</v>
      </c>
    </row>
    <row r="22" spans="7:30">
      <c r="G22" s="33">
        <v>19</v>
      </c>
      <c r="H22" s="34" t="s">
        <v>142</v>
      </c>
      <c r="I22" s="34">
        <v>1</v>
      </c>
      <c r="J22" s="37">
        <v>4</v>
      </c>
      <c r="O22" s="33">
        <v>20</v>
      </c>
      <c r="P22" s="34" t="s">
        <v>19</v>
      </c>
      <c r="Q22" s="37">
        <v>6</v>
      </c>
      <c r="Z22">
        <v>7</v>
      </c>
      <c r="AA22">
        <v>3</v>
      </c>
      <c r="AB22">
        <v>21</v>
      </c>
      <c r="AC22">
        <v>7</v>
      </c>
      <c r="AD22" t="s">
        <v>44</v>
      </c>
    </row>
    <row r="23" spans="7:30">
      <c r="G23" s="33">
        <v>20</v>
      </c>
      <c r="H23" s="34" t="s">
        <v>89</v>
      </c>
      <c r="I23" s="34">
        <v>1</v>
      </c>
      <c r="J23" s="37">
        <v>1</v>
      </c>
      <c r="O23" s="38">
        <v>21</v>
      </c>
      <c r="P23" s="39" t="s">
        <v>74</v>
      </c>
      <c r="Q23" s="40">
        <v>7</v>
      </c>
      <c r="Z23">
        <v>7</v>
      </c>
      <c r="AA23">
        <v>5</v>
      </c>
      <c r="AB23">
        <v>21</v>
      </c>
      <c r="AC23">
        <v>7</v>
      </c>
      <c r="AD23" t="s">
        <v>39</v>
      </c>
    </row>
    <row r="24" spans="7:30">
      <c r="G24" s="33">
        <v>21</v>
      </c>
      <c r="H24" s="34" t="s">
        <v>69</v>
      </c>
      <c r="I24" s="34">
        <v>1</v>
      </c>
      <c r="J24" s="37">
        <v>2</v>
      </c>
      <c r="Z24">
        <v>1</v>
      </c>
      <c r="AA24">
        <v>1</v>
      </c>
      <c r="AB24">
        <v>21</v>
      </c>
      <c r="AC24">
        <v>7</v>
      </c>
      <c r="AD24" t="s">
        <v>41</v>
      </c>
    </row>
    <row r="25" spans="7:30">
      <c r="G25" s="33">
        <v>22</v>
      </c>
      <c r="H25" s="34" t="s">
        <v>143</v>
      </c>
      <c r="I25" s="34">
        <v>1</v>
      </c>
      <c r="J25" s="37">
        <v>3</v>
      </c>
      <c r="Z25">
        <v>7</v>
      </c>
      <c r="AA25">
        <v>12</v>
      </c>
      <c r="AB25">
        <v>21</v>
      </c>
      <c r="AC25">
        <v>7</v>
      </c>
      <c r="AD25" t="s">
        <v>40</v>
      </c>
    </row>
    <row r="26" spans="7:30">
      <c r="G26" s="33">
        <v>23</v>
      </c>
      <c r="H26" s="34" t="s">
        <v>60</v>
      </c>
      <c r="I26" s="34">
        <v>1</v>
      </c>
      <c r="J26" s="37">
        <v>4</v>
      </c>
      <c r="Z26">
        <v>7</v>
      </c>
      <c r="AA26">
        <v>2</v>
      </c>
      <c r="AB26">
        <v>21</v>
      </c>
      <c r="AC26">
        <v>7</v>
      </c>
      <c r="AD26" t="s">
        <v>43</v>
      </c>
    </row>
    <row r="27" spans="7:30">
      <c r="G27" s="33">
        <v>24</v>
      </c>
      <c r="H27" s="34" t="s">
        <v>90</v>
      </c>
      <c r="I27" s="34">
        <v>1</v>
      </c>
      <c r="J27" s="37">
        <v>5</v>
      </c>
      <c r="Z27">
        <v>5</v>
      </c>
      <c r="AA27">
        <v>5</v>
      </c>
      <c r="AB27">
        <v>21</v>
      </c>
      <c r="AC27">
        <v>7</v>
      </c>
      <c r="AD27" t="s">
        <v>42</v>
      </c>
    </row>
    <row r="28" spans="7:30">
      <c r="G28" s="33">
        <v>25</v>
      </c>
      <c r="H28" s="34" t="s">
        <v>91</v>
      </c>
      <c r="I28" s="34">
        <v>1</v>
      </c>
      <c r="J28" s="37">
        <v>6</v>
      </c>
      <c r="Z28">
        <v>7</v>
      </c>
      <c r="AA28">
        <v>13</v>
      </c>
      <c r="AB28">
        <v>21</v>
      </c>
      <c r="AC28">
        <v>7</v>
      </c>
      <c r="AD28" t="s">
        <v>10</v>
      </c>
    </row>
    <row r="29" spans="7:30">
      <c r="G29" s="38">
        <v>26</v>
      </c>
      <c r="H29" s="39" t="s">
        <v>92</v>
      </c>
      <c r="I29" s="39">
        <v>1</v>
      </c>
      <c r="J29" s="40">
        <v>7</v>
      </c>
      <c r="Z29">
        <v>5</v>
      </c>
      <c r="AA29">
        <v>17</v>
      </c>
      <c r="AB29">
        <v>21</v>
      </c>
      <c r="AC29">
        <v>7</v>
      </c>
      <c r="AD29" t="s">
        <v>54</v>
      </c>
    </row>
    <row r="30" spans="7:30">
      <c r="Z30">
        <v>5</v>
      </c>
      <c r="AA30">
        <v>15</v>
      </c>
      <c r="AB30">
        <v>21</v>
      </c>
      <c r="AC30">
        <v>7</v>
      </c>
      <c r="AD30" t="s">
        <v>46</v>
      </c>
    </row>
    <row r="31" spans="7:30">
      <c r="Z31">
        <v>3</v>
      </c>
      <c r="AA31">
        <v>22</v>
      </c>
      <c r="AB31">
        <v>21</v>
      </c>
      <c r="AC31">
        <v>7</v>
      </c>
      <c r="AD31" t="s">
        <v>11</v>
      </c>
    </row>
    <row r="32" spans="7:30">
      <c r="Z32">
        <v>7</v>
      </c>
      <c r="AA32">
        <v>7</v>
      </c>
      <c r="AB32">
        <v>21</v>
      </c>
      <c r="AC32">
        <v>7</v>
      </c>
      <c r="AD32" t="s">
        <v>14</v>
      </c>
    </row>
    <row r="33" spans="26:30">
      <c r="Z33">
        <v>7</v>
      </c>
      <c r="AA33">
        <v>8</v>
      </c>
      <c r="AB33">
        <v>21</v>
      </c>
      <c r="AC33">
        <v>7</v>
      </c>
      <c r="AD33" t="s">
        <v>17</v>
      </c>
    </row>
    <row r="34" spans="26:30">
      <c r="Z34">
        <v>7</v>
      </c>
      <c r="AA34">
        <v>14</v>
      </c>
      <c r="AB34">
        <v>21</v>
      </c>
      <c r="AC34">
        <v>7</v>
      </c>
      <c r="AD34" t="s">
        <v>15</v>
      </c>
    </row>
    <row r="35" spans="26:30">
      <c r="Z35">
        <v>7</v>
      </c>
      <c r="AA35">
        <v>12</v>
      </c>
      <c r="AB35">
        <v>21</v>
      </c>
      <c r="AC35">
        <v>7</v>
      </c>
      <c r="AD35" t="s">
        <v>18</v>
      </c>
    </row>
    <row r="36" spans="26:30">
      <c r="Z36">
        <v>7</v>
      </c>
      <c r="AA36">
        <v>26</v>
      </c>
      <c r="AB36">
        <v>21</v>
      </c>
      <c r="AC36">
        <v>7</v>
      </c>
      <c r="AD36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C4:P25"/>
  <sheetViews>
    <sheetView zoomScale="77" zoomScaleNormal="77" workbookViewId="0">
      <selection activeCell="C5" sqref="C5:G23"/>
    </sheetView>
  </sheetViews>
  <sheetFormatPr defaultRowHeight="14.5"/>
  <cols>
    <col min="7" max="7" width="29.54296875" bestFit="1" customWidth="1"/>
  </cols>
  <sheetData>
    <row r="4" spans="3:16">
      <c r="C4" t="s">
        <v>113</v>
      </c>
    </row>
    <row r="5" spans="3:16">
      <c r="C5" t="s">
        <v>96</v>
      </c>
      <c r="D5" t="s">
        <v>97</v>
      </c>
      <c r="E5" t="s">
        <v>128</v>
      </c>
      <c r="F5" t="s">
        <v>127</v>
      </c>
      <c r="H5" t="s">
        <v>97</v>
      </c>
      <c r="I5" t="s">
        <v>128</v>
      </c>
    </row>
    <row r="6" spans="3:16">
      <c r="C6">
        <v>7</v>
      </c>
      <c r="D6">
        <v>3</v>
      </c>
      <c r="E6">
        <v>6</v>
      </c>
      <c r="F6">
        <v>20</v>
      </c>
      <c r="G6" t="s">
        <v>44</v>
      </c>
      <c r="H6">
        <v>7</v>
      </c>
      <c r="I6">
        <v>21</v>
      </c>
      <c r="L6" s="41" t="s">
        <v>113</v>
      </c>
      <c r="M6" s="31"/>
      <c r="N6" s="31"/>
      <c r="O6" s="31"/>
      <c r="P6" s="32"/>
    </row>
    <row r="7" spans="3:16">
      <c r="C7">
        <v>7</v>
      </c>
      <c r="D7">
        <v>5</v>
      </c>
      <c r="E7">
        <v>6</v>
      </c>
      <c r="F7">
        <v>20</v>
      </c>
      <c r="G7" t="s">
        <v>39</v>
      </c>
      <c r="H7">
        <v>7</v>
      </c>
      <c r="I7">
        <v>21</v>
      </c>
      <c r="L7" s="33" t="s">
        <v>96</v>
      </c>
      <c r="M7" s="42" t="s">
        <v>97</v>
      </c>
      <c r="N7" s="34" t="s">
        <v>128</v>
      </c>
      <c r="O7" s="34" t="s">
        <v>127</v>
      </c>
      <c r="P7" s="37"/>
    </row>
    <row r="8" spans="3:16">
      <c r="C8">
        <v>1</v>
      </c>
      <c r="D8">
        <v>1</v>
      </c>
      <c r="E8">
        <v>6</v>
      </c>
      <c r="F8">
        <v>20</v>
      </c>
      <c r="G8" t="s">
        <v>41</v>
      </c>
      <c r="H8">
        <v>7</v>
      </c>
      <c r="I8">
        <v>21</v>
      </c>
      <c r="L8" s="44">
        <v>7</v>
      </c>
      <c r="M8" s="34">
        <v>3</v>
      </c>
      <c r="N8" s="34" t="s">
        <v>134</v>
      </c>
      <c r="O8" s="34" t="s">
        <v>133</v>
      </c>
      <c r="P8" s="37" t="s">
        <v>44</v>
      </c>
    </row>
    <row r="9" spans="3:16">
      <c r="C9">
        <v>7</v>
      </c>
      <c r="D9">
        <v>12</v>
      </c>
      <c r="E9">
        <v>6</v>
      </c>
      <c r="F9">
        <v>20</v>
      </c>
      <c r="G9" t="s">
        <v>40</v>
      </c>
      <c r="H9">
        <v>7</v>
      </c>
      <c r="I9">
        <v>21</v>
      </c>
      <c r="L9" s="44">
        <v>7</v>
      </c>
      <c r="M9" s="34">
        <v>5</v>
      </c>
      <c r="N9" s="34" t="s">
        <v>134</v>
      </c>
      <c r="O9" s="34" t="s">
        <v>133</v>
      </c>
      <c r="P9" s="37" t="s">
        <v>39</v>
      </c>
    </row>
    <row r="10" spans="3:16">
      <c r="C10">
        <v>7</v>
      </c>
      <c r="D10">
        <v>6</v>
      </c>
      <c r="E10">
        <v>14</v>
      </c>
      <c r="F10">
        <v>5</v>
      </c>
      <c r="G10" t="s">
        <v>13</v>
      </c>
      <c r="L10" s="44">
        <v>1</v>
      </c>
      <c r="M10" s="34">
        <v>1</v>
      </c>
      <c r="N10" s="34" t="s">
        <v>134</v>
      </c>
      <c r="O10" s="34" t="s">
        <v>133</v>
      </c>
      <c r="P10" s="37" t="s">
        <v>41</v>
      </c>
    </row>
    <row r="11" spans="3:16">
      <c r="C11">
        <v>7</v>
      </c>
      <c r="D11">
        <v>2</v>
      </c>
      <c r="E11">
        <v>6</v>
      </c>
      <c r="F11">
        <v>20</v>
      </c>
      <c r="G11" t="s">
        <v>43</v>
      </c>
      <c r="L11" s="44">
        <v>7</v>
      </c>
      <c r="M11" s="34">
        <v>12</v>
      </c>
      <c r="N11" s="34" t="s">
        <v>134</v>
      </c>
      <c r="O11" s="34" t="s">
        <v>133</v>
      </c>
      <c r="P11" s="37" t="s">
        <v>40</v>
      </c>
    </row>
    <row r="12" spans="3:16">
      <c r="C12">
        <v>5</v>
      </c>
      <c r="D12">
        <v>5</v>
      </c>
      <c r="E12">
        <v>6</v>
      </c>
      <c r="F12">
        <v>20</v>
      </c>
      <c r="G12" t="s">
        <v>42</v>
      </c>
      <c r="L12" s="44">
        <v>7</v>
      </c>
      <c r="M12" s="34">
        <v>6</v>
      </c>
      <c r="N12" s="34">
        <v>14</v>
      </c>
      <c r="O12" s="34">
        <v>5</v>
      </c>
      <c r="P12" s="37" t="s">
        <v>13</v>
      </c>
    </row>
    <row r="13" spans="3:16">
      <c r="C13">
        <v>7</v>
      </c>
      <c r="D13">
        <v>13</v>
      </c>
      <c r="E13">
        <v>6</v>
      </c>
      <c r="F13">
        <v>20</v>
      </c>
      <c r="G13" t="s">
        <v>10</v>
      </c>
      <c r="L13" s="44">
        <v>7</v>
      </c>
      <c r="M13" s="34">
        <v>2</v>
      </c>
      <c r="N13" s="34" t="s">
        <v>134</v>
      </c>
      <c r="O13" s="34" t="s">
        <v>133</v>
      </c>
      <c r="P13" s="37" t="s">
        <v>43</v>
      </c>
    </row>
    <row r="14" spans="3:16">
      <c r="C14">
        <v>5</v>
      </c>
      <c r="D14">
        <v>17</v>
      </c>
      <c r="E14">
        <v>6</v>
      </c>
      <c r="F14">
        <v>20</v>
      </c>
      <c r="G14" t="s">
        <v>54</v>
      </c>
      <c r="L14" s="44">
        <v>5</v>
      </c>
      <c r="M14" s="34">
        <v>5</v>
      </c>
      <c r="N14" s="34" t="s">
        <v>134</v>
      </c>
      <c r="O14" s="34" t="s">
        <v>133</v>
      </c>
      <c r="P14" s="37" t="s">
        <v>42</v>
      </c>
    </row>
    <row r="15" spans="3:16">
      <c r="C15">
        <v>5</v>
      </c>
      <c r="D15">
        <v>15</v>
      </c>
      <c r="E15">
        <v>6</v>
      </c>
      <c r="F15">
        <v>20</v>
      </c>
      <c r="G15" t="s">
        <v>46</v>
      </c>
      <c r="L15" s="44">
        <v>7</v>
      </c>
      <c r="M15" s="34">
        <v>13</v>
      </c>
      <c r="N15" s="34" t="s">
        <v>134</v>
      </c>
      <c r="O15" s="34" t="s">
        <v>133</v>
      </c>
      <c r="P15" s="37" t="s">
        <v>10</v>
      </c>
    </row>
    <row r="16" spans="3:16">
      <c r="C16">
        <v>3</v>
      </c>
      <c r="D16">
        <v>22</v>
      </c>
      <c r="E16">
        <v>6</v>
      </c>
      <c r="F16">
        <v>20</v>
      </c>
      <c r="G16" t="s">
        <v>11</v>
      </c>
      <c r="L16" s="44">
        <v>5</v>
      </c>
      <c r="M16" s="34">
        <v>17</v>
      </c>
      <c r="N16" s="34" t="s">
        <v>134</v>
      </c>
      <c r="O16" s="34" t="s">
        <v>133</v>
      </c>
      <c r="P16" s="37" t="s">
        <v>54</v>
      </c>
    </row>
    <row r="17" spans="3:16">
      <c r="C17">
        <v>5</v>
      </c>
      <c r="D17">
        <v>24</v>
      </c>
      <c r="E17">
        <v>10</v>
      </c>
      <c r="F17">
        <v>4</v>
      </c>
      <c r="G17" t="s">
        <v>12</v>
      </c>
      <c r="L17" s="44">
        <v>5</v>
      </c>
      <c r="M17" s="34">
        <v>15</v>
      </c>
      <c r="N17" s="34" t="s">
        <v>134</v>
      </c>
      <c r="O17" s="34" t="s">
        <v>133</v>
      </c>
      <c r="P17" s="37" t="s">
        <v>46</v>
      </c>
    </row>
    <row r="18" spans="3:16">
      <c r="C18">
        <v>7</v>
      </c>
      <c r="D18">
        <v>7</v>
      </c>
      <c r="E18">
        <v>6</v>
      </c>
      <c r="F18">
        <v>20</v>
      </c>
      <c r="G18" t="s">
        <v>14</v>
      </c>
      <c r="L18" s="44">
        <v>3</v>
      </c>
      <c r="M18" s="34">
        <v>22</v>
      </c>
      <c r="N18" s="34" t="s">
        <v>134</v>
      </c>
      <c r="O18" s="34" t="s">
        <v>133</v>
      </c>
      <c r="P18" s="37" t="s">
        <v>11</v>
      </c>
    </row>
    <row r="19" spans="3:16">
      <c r="C19">
        <v>7</v>
      </c>
      <c r="D19">
        <v>8</v>
      </c>
      <c r="E19">
        <v>6</v>
      </c>
      <c r="F19">
        <v>20</v>
      </c>
      <c r="G19" t="s">
        <v>17</v>
      </c>
      <c r="L19" s="44">
        <v>5</v>
      </c>
      <c r="M19" s="34">
        <v>24</v>
      </c>
      <c r="N19" s="34">
        <v>10</v>
      </c>
      <c r="O19" s="34">
        <v>4</v>
      </c>
      <c r="P19" s="37" t="s">
        <v>12</v>
      </c>
    </row>
    <row r="20" spans="3:16">
      <c r="C20">
        <v>7</v>
      </c>
      <c r="D20">
        <v>14</v>
      </c>
      <c r="E20">
        <v>6</v>
      </c>
      <c r="F20">
        <v>20</v>
      </c>
      <c r="G20" t="s">
        <v>15</v>
      </c>
      <c r="L20" s="44">
        <v>7</v>
      </c>
      <c r="M20" s="34">
        <v>7</v>
      </c>
      <c r="N20" s="34" t="s">
        <v>134</v>
      </c>
      <c r="O20" s="34" t="s">
        <v>133</v>
      </c>
      <c r="P20" s="37" t="s">
        <v>14</v>
      </c>
    </row>
    <row r="21" spans="3:16">
      <c r="C21">
        <v>7</v>
      </c>
      <c r="D21">
        <v>3</v>
      </c>
      <c r="E21">
        <v>2</v>
      </c>
      <c r="F21">
        <v>2</v>
      </c>
      <c r="G21" t="s">
        <v>16</v>
      </c>
      <c r="L21" s="44">
        <v>7</v>
      </c>
      <c r="M21" s="34">
        <v>8</v>
      </c>
      <c r="N21" s="34" t="s">
        <v>134</v>
      </c>
      <c r="O21" s="34" t="s">
        <v>133</v>
      </c>
      <c r="P21" s="37" t="s">
        <v>17</v>
      </c>
    </row>
    <row r="22" spans="3:16">
      <c r="C22">
        <v>7</v>
      </c>
      <c r="D22">
        <v>12</v>
      </c>
      <c r="E22">
        <v>6</v>
      </c>
      <c r="F22">
        <v>20</v>
      </c>
      <c r="G22" t="s">
        <v>18</v>
      </c>
      <c r="L22" s="44">
        <v>7</v>
      </c>
      <c r="M22" s="34">
        <v>14</v>
      </c>
      <c r="N22" s="34" t="s">
        <v>134</v>
      </c>
      <c r="O22" s="34" t="s">
        <v>133</v>
      </c>
      <c r="P22" s="37" t="s">
        <v>15</v>
      </c>
    </row>
    <row r="23" spans="3:16">
      <c r="C23">
        <v>7</v>
      </c>
      <c r="D23">
        <v>26</v>
      </c>
      <c r="E23">
        <v>6</v>
      </c>
      <c r="F23">
        <v>20</v>
      </c>
      <c r="G23" t="s">
        <v>19</v>
      </c>
      <c r="L23" s="44">
        <v>7</v>
      </c>
      <c r="M23" s="34">
        <v>3</v>
      </c>
      <c r="N23" s="34">
        <v>2</v>
      </c>
      <c r="O23" s="34">
        <v>2</v>
      </c>
      <c r="P23" s="37" t="s">
        <v>16</v>
      </c>
    </row>
    <row r="24" spans="3:16">
      <c r="L24" s="44">
        <v>7</v>
      </c>
      <c r="M24" s="34">
        <v>12</v>
      </c>
      <c r="N24" s="34" t="s">
        <v>134</v>
      </c>
      <c r="O24" s="34" t="s">
        <v>133</v>
      </c>
      <c r="P24" s="37" t="s">
        <v>18</v>
      </c>
    </row>
    <row r="25" spans="3:16">
      <c r="L25" s="43">
        <v>7</v>
      </c>
      <c r="M25" s="39">
        <v>26</v>
      </c>
      <c r="N25" s="39" t="s">
        <v>134</v>
      </c>
      <c r="O25" s="39" t="s">
        <v>133</v>
      </c>
      <c r="P25" s="4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Sheet2</vt:lpstr>
      <vt:lpstr>Master ShotCut</vt:lpstr>
      <vt:lpstr>Machine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Thanawat Yampuang</dc:creator>
  <cp:lastModifiedBy>g</cp:lastModifiedBy>
  <dcterms:created xsi:type="dcterms:W3CDTF">2015-06-05T18:17:20Z</dcterms:created>
  <dcterms:modified xsi:type="dcterms:W3CDTF">2026-09-30T02:58:05Z</dcterms:modified>
</cp:coreProperties>
</file>