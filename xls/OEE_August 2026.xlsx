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drawings/drawing3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ข้อมูลรายงานประจำเดือน\รายงานการผลิต\สค.69\"/>
    </mc:Choice>
  </mc:AlternateContent>
  <xr:revisionPtr revIDLastSave="0" documentId="13_ncr:1_{4A30EF77-A31F-4E17-92A5-0A215AC33A82}" xr6:coauthVersionLast="36" xr6:coauthVersionMax="36" xr10:uidLastSave="{00000000-0000-0000-0000-000000000000}"/>
  <bookViews>
    <workbookView xWindow="0" yWindow="0" windowWidth="19200" windowHeight="8010" firstSheet="3" activeTab="4" xr2:uid="{00000000-000D-0000-FFFF-FFFF00000000}"/>
  </bookViews>
  <sheets>
    <sheet name="รายงานการผลิต" sheetId="1" state="hidden" r:id="rId1"/>
    <sheet name="รายงานการผลิต (2)" sheetId="12" state="hidden" r:id="rId2"/>
    <sheet name="สมรรถภาพการผลิต_" sheetId="11" state="hidden" r:id="rId3"/>
    <sheet name="กราฟ" sheetId="205" r:id="rId4"/>
    <sheet name="สรุป" sheetId="203" r:id="rId5"/>
    <sheet name="31" sheetId="202" r:id="rId6"/>
    <sheet name="30" sheetId="200" r:id="rId7"/>
    <sheet name="29" sheetId="201" r:id="rId8"/>
    <sheet name="28" sheetId="199" r:id="rId9"/>
    <sheet name="27" sheetId="198" r:id="rId10"/>
    <sheet name="26" sheetId="197" r:id="rId11"/>
    <sheet name="25" sheetId="196" r:id="rId12"/>
    <sheet name="24" sheetId="211" r:id="rId13"/>
    <sheet name="23" sheetId="210" r:id="rId14"/>
    <sheet name="22" sheetId="195" r:id="rId15"/>
    <sheet name="21" sheetId="194" r:id="rId16"/>
    <sheet name="20" sheetId="193" r:id="rId17"/>
    <sheet name="19" sheetId="192" r:id="rId18"/>
    <sheet name="18" sheetId="191" r:id="rId19"/>
    <sheet name="17" sheetId="209" r:id="rId20"/>
    <sheet name="16" sheetId="190" r:id="rId21"/>
    <sheet name="15" sheetId="189" r:id="rId22"/>
    <sheet name="14" sheetId="188" r:id="rId23"/>
    <sheet name="13" sheetId="187" r:id="rId24"/>
    <sheet name="12" sheetId="208" r:id="rId25"/>
    <sheet name="11" sheetId="186" r:id="rId26"/>
    <sheet name="10" sheetId="207" r:id="rId27"/>
    <sheet name="9" sheetId="185" r:id="rId28"/>
    <sheet name="8" sheetId="184" r:id="rId29"/>
    <sheet name="7" sheetId="183" r:id="rId30"/>
    <sheet name="6" sheetId="182" r:id="rId31"/>
    <sheet name="5" sheetId="181" r:id="rId32"/>
    <sheet name="4" sheetId="180" r:id="rId33"/>
    <sheet name="3" sheetId="206" r:id="rId34"/>
    <sheet name="2" sheetId="179" r:id="rId35"/>
    <sheet name="1" sheetId="178" r:id="rId36"/>
    <sheet name="Link ส.วศ. 1" sheetId="7" state="hidden" r:id="rId37"/>
    <sheet name="Link ส.วศ. 2" sheetId="8" state="hidden" r:id="rId38"/>
    <sheet name="Link วางแผน" sheetId="9" state="hidden" r:id="rId39"/>
    <sheet name="สรุป " sheetId="15" state="hidden" r:id="rId40"/>
    <sheet name="Data" sheetId="10" state="hidden" r:id="rId41"/>
    <sheet name="ใบเบิก" sheetId="16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Counter">Data!$B$101:$B$102</definedName>
    <definedName name="Depallet1">Data!$B$24:$S$28</definedName>
    <definedName name="Depallet1_S">Data!$B$32:$S$32</definedName>
    <definedName name="Depallet2">Data!$B$39:$S$39</definedName>
    <definedName name="Depallet2_S">Data!$B$47:$S$47</definedName>
    <definedName name="Depallet3">Data!$B$52:$S$52</definedName>
    <definedName name="Depallet3_S">Data!$B$57:$S$57</definedName>
    <definedName name="dfegr" localSheetId="35">[1]Data!#REF!</definedName>
    <definedName name="dfegr" localSheetId="26">[1]Data!#REF!</definedName>
    <definedName name="dfegr" localSheetId="25">[1]Data!#REF!</definedName>
    <definedName name="dfegr" localSheetId="24">[1]Data!#REF!</definedName>
    <definedName name="dfegr" localSheetId="23">[1]Data!#REF!</definedName>
    <definedName name="dfegr" localSheetId="22">[1]Data!#REF!</definedName>
    <definedName name="dfegr" localSheetId="21">[1]Data!#REF!</definedName>
    <definedName name="dfegr" localSheetId="20">[1]Data!#REF!</definedName>
    <definedName name="dfegr" localSheetId="19">[1]Data!#REF!</definedName>
    <definedName name="dfegr" localSheetId="18">[1]Data!#REF!</definedName>
    <definedName name="dfegr" localSheetId="17">[1]Data!#REF!</definedName>
    <definedName name="dfegr" localSheetId="34">[1]Data!#REF!</definedName>
    <definedName name="dfegr" localSheetId="16">[1]Data!#REF!</definedName>
    <definedName name="dfegr" localSheetId="15">[1]Data!#REF!</definedName>
    <definedName name="dfegr" localSheetId="14">[1]Data!#REF!</definedName>
    <definedName name="dfegr" localSheetId="13">[1]Data!#REF!</definedName>
    <definedName name="dfegr" localSheetId="12">[1]Data!#REF!</definedName>
    <definedName name="dfegr" localSheetId="11">[1]Data!#REF!</definedName>
    <definedName name="dfegr" localSheetId="10">[1]Data!#REF!</definedName>
    <definedName name="dfegr" localSheetId="9">[1]Data!#REF!</definedName>
    <definedName name="dfegr" localSheetId="8">[1]Data!#REF!</definedName>
    <definedName name="dfegr" localSheetId="7">[1]Data!#REF!</definedName>
    <definedName name="dfegr" localSheetId="33">[1]Data!#REF!</definedName>
    <definedName name="dfegr" localSheetId="6">[1]Data!#REF!</definedName>
    <definedName name="dfegr" localSheetId="5">[1]Data!#REF!</definedName>
    <definedName name="dfegr" localSheetId="32">[1]Data!#REF!</definedName>
    <definedName name="dfegr" localSheetId="31">[1]Data!#REF!</definedName>
    <definedName name="dfegr" localSheetId="30">[1]Data!#REF!</definedName>
    <definedName name="dfegr" localSheetId="29">[1]Data!#REF!</definedName>
    <definedName name="dfegr" localSheetId="28">[1]Data!#REF!</definedName>
    <definedName name="dfegr" localSheetId="27">[1]Data!#REF!</definedName>
    <definedName name="dfegr" localSheetId="4">[1]Data!#REF!</definedName>
    <definedName name="dfegr">Data!#REF!</definedName>
    <definedName name="jyi" localSheetId="26">Data!#REF!</definedName>
    <definedName name="jyi" localSheetId="24">Data!#REF!</definedName>
    <definedName name="jyi" localSheetId="19">Data!#REF!</definedName>
    <definedName name="jyi" localSheetId="13">Data!#REF!</definedName>
    <definedName name="jyi" localSheetId="12">Data!#REF!</definedName>
    <definedName name="jyi" localSheetId="11">Data!#REF!</definedName>
    <definedName name="jyi" localSheetId="10">Data!#REF!</definedName>
    <definedName name="jyi" localSheetId="9">Data!#REF!</definedName>
    <definedName name="jyi" localSheetId="8">Data!#REF!</definedName>
    <definedName name="jyi" localSheetId="7">Data!#REF!</definedName>
    <definedName name="jyi" localSheetId="33">Data!#REF!</definedName>
    <definedName name="jyi" localSheetId="6">Data!#REF!</definedName>
    <definedName name="jyi" localSheetId="5">Data!#REF!</definedName>
    <definedName name="jyi" localSheetId="4">Data!#REF!</definedName>
    <definedName name="jyi">Data!#REF!</definedName>
    <definedName name="Performance1">Data!$B$61:$AA$69</definedName>
    <definedName name="Performance2">Data!$B$70:$AA$70</definedName>
    <definedName name="Performance3">Data!$B$79:$AA$79</definedName>
    <definedName name="_xlnm.Print_Area" localSheetId="35">'1'!$A$52:$W$107</definedName>
    <definedName name="_xlnm.Print_Area" localSheetId="26">'10'!$A$44:$V$69</definedName>
    <definedName name="_xlnm.Print_Area" localSheetId="25">'11'!$A$44:$V$69</definedName>
    <definedName name="_xlnm.Print_Area" localSheetId="24">'12'!$A$44:$V$79</definedName>
    <definedName name="_xlnm.Print_Area" localSheetId="23">'13'!$A$44:$J$79</definedName>
    <definedName name="_xlnm.Print_Area" localSheetId="22">'14'!$A$44:$V$73</definedName>
    <definedName name="_xlnm.Print_Area" localSheetId="21">'15'!$A$44:$V$93</definedName>
    <definedName name="_xlnm.Print_Area" localSheetId="20">'16'!$A$44:$V$69</definedName>
    <definedName name="_xlnm.Print_Area" localSheetId="19">'17'!$A$55:$V$96</definedName>
    <definedName name="_xlnm.Print_Area" localSheetId="18">'18'!$A$53:$V$94</definedName>
    <definedName name="_xlnm.Print_Area" localSheetId="17">'19'!$A$44:$V$69</definedName>
    <definedName name="_xlnm.Print_Area" localSheetId="34">'2'!$A$44:$V$69</definedName>
    <definedName name="_xlnm.Print_Area" localSheetId="16">'20'!$A$57:$V$101</definedName>
    <definedName name="_xlnm.Print_Area" localSheetId="15">'21'!$A$54:$V$96</definedName>
    <definedName name="_xlnm.Print_Area" localSheetId="14">'22'!$A$44:$V$76</definedName>
    <definedName name="_xlnm.Print_Area" localSheetId="13">'23'!$A$44:$V$69</definedName>
    <definedName name="_xlnm.Print_Area" localSheetId="12">'24'!$A$44:$V$71</definedName>
    <definedName name="_xlnm.Print_Area" localSheetId="11">'25'!$A$35:$V$87</definedName>
    <definedName name="_xlnm.Print_Area" localSheetId="10">'26'!$A$44:$V$69</definedName>
    <definedName name="_xlnm.Print_Area" localSheetId="9">'27'!$A$44:$V$74</definedName>
    <definedName name="_xlnm.Print_Area" localSheetId="8">'28'!$A$44:$V$69</definedName>
    <definedName name="_xlnm.Print_Area" localSheetId="7">'29'!$A$44:$V$69</definedName>
    <definedName name="_xlnm.Print_Area" localSheetId="33">'3'!$A$44:$V$78</definedName>
    <definedName name="_xlnm.Print_Area" localSheetId="6">'30'!$A$44:$V$69</definedName>
    <definedName name="_xlnm.Print_Area" localSheetId="5">'31'!$A$44:$V$69</definedName>
    <definedName name="_xlnm.Print_Area" localSheetId="32">'4'!$A$44:$V$69</definedName>
    <definedName name="_xlnm.Print_Area" localSheetId="31">'5'!$A$44:$V$70</definedName>
    <definedName name="_xlnm.Print_Area" localSheetId="30">'6'!$A$44:$V$69</definedName>
    <definedName name="_xlnm.Print_Area" localSheetId="29">'7'!$A$44:$V$75</definedName>
    <definedName name="_xlnm.Print_Area" localSheetId="28">'8'!$A$44:$V$69</definedName>
    <definedName name="_xlnm.Print_Area" localSheetId="27">'9'!$A$44:$V$69</definedName>
    <definedName name="_xlnm.Print_Area" localSheetId="41">ใบเบิก!$A$1:$AJ$16</definedName>
    <definedName name="_xlnm.Print_Area" localSheetId="0">รายงานการผลิต!$A$1:$V$46</definedName>
    <definedName name="_xlnm.Print_Area" localSheetId="2">สมรรถภาพการผลิต_!$A$1:$O$48</definedName>
    <definedName name="_xlnm.Print_Area" localSheetId="4">สรุป!$A$44:$V$69</definedName>
    <definedName name="_xlnm.Print_Area" localSheetId="39">'สรุป '!$A$1:$P$56</definedName>
    <definedName name="ProdShift1">Data!$B$3:$AM$5</definedName>
    <definedName name="ProdShift2">Data!$B$11:$AM$11</definedName>
    <definedName name="ProdShift3">Data!$B$18:$AM$18</definedName>
    <definedName name="Product_Perform1">Data!$B$108:$K$116</definedName>
    <definedName name="Product_Perform2">Data!$B$117:$K$117</definedName>
    <definedName name="Product_Perform3" localSheetId="35">[2]Data!#REF!</definedName>
    <definedName name="Product_Perform3" localSheetId="26">[2]Data!#REF!</definedName>
    <definedName name="Product_Perform3" localSheetId="25">[2]Data!#REF!</definedName>
    <definedName name="Product_Perform3" localSheetId="24">[2]Data!#REF!</definedName>
    <definedName name="Product_Perform3" localSheetId="23">[2]Data!#REF!</definedName>
    <definedName name="Product_Perform3" localSheetId="22">[2]Data!#REF!</definedName>
    <definedName name="Product_Perform3" localSheetId="21">[2]Data!#REF!</definedName>
    <definedName name="Product_Perform3" localSheetId="20">[2]Data!#REF!</definedName>
    <definedName name="Product_Perform3" localSheetId="19">[2]Data!#REF!</definedName>
    <definedName name="Product_Perform3" localSheetId="18">[2]Data!#REF!</definedName>
    <definedName name="Product_Perform3" localSheetId="17">[2]Data!#REF!</definedName>
    <definedName name="Product_Perform3" localSheetId="34">[2]Data!#REF!</definedName>
    <definedName name="Product_Perform3" localSheetId="16">[2]Data!#REF!</definedName>
    <definedName name="Product_Perform3" localSheetId="15">[2]Data!#REF!</definedName>
    <definedName name="Product_Perform3" localSheetId="14">[2]Data!#REF!</definedName>
    <definedName name="Product_Perform3" localSheetId="13">[2]Data!#REF!</definedName>
    <definedName name="Product_Perform3" localSheetId="12">[2]Data!#REF!</definedName>
    <definedName name="Product_Perform3" localSheetId="11">[2]Data!#REF!</definedName>
    <definedName name="Product_Perform3" localSheetId="10">[2]Data!#REF!</definedName>
    <definedName name="Product_Perform3" localSheetId="9">[2]Data!#REF!</definedName>
    <definedName name="Product_Perform3" localSheetId="8">[2]Data!#REF!</definedName>
    <definedName name="Product_Perform3" localSheetId="7">[2]Data!#REF!</definedName>
    <definedName name="Product_Perform3" localSheetId="33">[2]Data!#REF!</definedName>
    <definedName name="Product_Perform3" localSheetId="6">[2]Data!#REF!</definedName>
    <definedName name="Product_Perform3" localSheetId="5">[2]Data!#REF!</definedName>
    <definedName name="Product_Perform3" localSheetId="32">[2]Data!#REF!</definedName>
    <definedName name="Product_Perform3" localSheetId="31">[2]Data!#REF!</definedName>
    <definedName name="Product_Perform3" localSheetId="30">[2]Data!#REF!</definedName>
    <definedName name="Product_Perform3" localSheetId="29">[2]Data!#REF!</definedName>
    <definedName name="Product_Perform3" localSheetId="28">[2]Data!#REF!</definedName>
    <definedName name="Product_Perform3" localSheetId="27">[2]Data!#REF!</definedName>
    <definedName name="Product_Perform3" localSheetId="4">[2]Data!#REF!</definedName>
    <definedName name="Product_Perform3">Data!#REF!</definedName>
    <definedName name="Stop">Data!$B$84:$K$84</definedName>
    <definedName name="uitui" localSheetId="26">Data!#REF!</definedName>
    <definedName name="uitui" localSheetId="24">Data!#REF!</definedName>
    <definedName name="uitui" localSheetId="19">Data!#REF!</definedName>
    <definedName name="uitui" localSheetId="13">Data!#REF!</definedName>
    <definedName name="uitui" localSheetId="12">Data!#REF!</definedName>
    <definedName name="uitui" localSheetId="11">Data!#REF!</definedName>
    <definedName name="uitui" localSheetId="10">Data!#REF!</definedName>
    <definedName name="uitui" localSheetId="9">Data!#REF!</definedName>
    <definedName name="uitui" localSheetId="8">Data!#REF!</definedName>
    <definedName name="uitui" localSheetId="7">Data!#REF!</definedName>
    <definedName name="uitui" localSheetId="33">Data!#REF!</definedName>
    <definedName name="uitui" localSheetId="6">Data!#REF!</definedName>
    <definedName name="uitui" localSheetId="5">Data!#REF!</definedName>
    <definedName name="uitui" localSheetId="4">Data!#REF!</definedName>
    <definedName name="uitui">Data!#REF!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195" l="1"/>
  <c r="E75" i="195"/>
  <c r="R24" i="195" l="1"/>
  <c r="D24" i="195"/>
  <c r="D23" i="195"/>
  <c r="S24" i="195" l="1"/>
  <c r="S19" i="195"/>
  <c r="R19" i="195"/>
  <c r="Q24" i="195"/>
  <c r="Q23" i="195"/>
  <c r="Q19" i="195"/>
  <c r="P24" i="195"/>
  <c r="P19" i="195"/>
  <c r="P28" i="195"/>
  <c r="N24" i="195"/>
  <c r="N19" i="195"/>
  <c r="M24" i="195"/>
  <c r="M28" i="195"/>
  <c r="M23" i="195"/>
  <c r="M19" i="195"/>
  <c r="F10" i="195"/>
  <c r="F9" i="195"/>
  <c r="F7" i="195"/>
  <c r="F12" i="195"/>
  <c r="F11" i="195"/>
  <c r="F6" i="195"/>
  <c r="G12" i="195" l="1"/>
  <c r="G11" i="195"/>
  <c r="G10" i="195"/>
  <c r="G9" i="195"/>
  <c r="G7" i="195"/>
  <c r="G6" i="195"/>
  <c r="E24" i="195" l="1"/>
  <c r="P12" i="195" l="1"/>
  <c r="P11" i="195"/>
  <c r="P9" i="195"/>
  <c r="P10" i="195"/>
  <c r="P7" i="195"/>
  <c r="P6" i="195"/>
  <c r="O12" i="195"/>
  <c r="O11" i="195"/>
  <c r="O10" i="195"/>
  <c r="O9" i="195"/>
  <c r="O7" i="195"/>
  <c r="O6" i="195"/>
  <c r="O24" i="194" l="1"/>
  <c r="M24" i="194"/>
  <c r="S24" i="194" l="1"/>
  <c r="S19" i="194"/>
  <c r="Q24" i="194"/>
  <c r="Q19" i="194"/>
  <c r="P24" i="194"/>
  <c r="P19" i="194"/>
  <c r="O19" i="194"/>
  <c r="N24" i="194" l="1"/>
  <c r="N19" i="194"/>
  <c r="M19" i="194"/>
  <c r="O12" i="194" l="1"/>
  <c r="O11" i="194"/>
  <c r="O10" i="194"/>
  <c r="O9" i="194"/>
  <c r="O8" i="194"/>
  <c r="O7" i="194"/>
  <c r="O6" i="194"/>
  <c r="Q24" i="193" l="1"/>
  <c r="E24" i="193"/>
  <c r="D24" i="193"/>
  <c r="S24" i="193" l="1"/>
  <c r="S19" i="193"/>
  <c r="J24" i="193"/>
  <c r="J19" i="193"/>
  <c r="R24" i="193"/>
  <c r="I24" i="193"/>
  <c r="H23" i="193"/>
  <c r="H24" i="193"/>
  <c r="P24" i="193"/>
  <c r="G23" i="193"/>
  <c r="G24" i="193"/>
  <c r="G19" i="193"/>
  <c r="O24" i="193"/>
  <c r="O19" i="193"/>
  <c r="C46" i="193"/>
  <c r="F23" i="193"/>
  <c r="F24" i="193"/>
  <c r="F19" i="193"/>
  <c r="N24" i="193"/>
  <c r="E19" i="193"/>
  <c r="M24" i="193"/>
  <c r="D19" i="193"/>
  <c r="O12" i="193" l="1"/>
  <c r="O11" i="193"/>
  <c r="O10" i="193"/>
  <c r="O9" i="193"/>
  <c r="O8" i="193"/>
  <c r="O7" i="193"/>
  <c r="O6" i="193"/>
  <c r="F28" i="193" l="1"/>
  <c r="K12" i="193"/>
  <c r="F12" i="193"/>
  <c r="K11" i="193"/>
  <c r="F11" i="193"/>
  <c r="K10" i="193"/>
  <c r="F10" i="193"/>
  <c r="K9" i="193"/>
  <c r="F9" i="193"/>
  <c r="K8" i="193"/>
  <c r="F8" i="193"/>
  <c r="K7" i="193"/>
  <c r="F7" i="193"/>
  <c r="K6" i="193"/>
  <c r="F6" i="193"/>
  <c r="J24" i="192" l="1"/>
  <c r="F24" i="192"/>
  <c r="E24" i="192"/>
  <c r="M24" i="192"/>
  <c r="D24" i="192"/>
  <c r="S24" i="192" l="1"/>
  <c r="J19" i="192"/>
  <c r="R24" i="192"/>
  <c r="I28" i="192"/>
  <c r="I24" i="192"/>
  <c r="Q24" i="192"/>
  <c r="H23" i="192"/>
  <c r="H24" i="192"/>
  <c r="H19" i="192"/>
  <c r="P24" i="192"/>
  <c r="G24" i="192"/>
  <c r="G19" i="192"/>
  <c r="O24" i="192"/>
  <c r="F19" i="192"/>
  <c r="N24" i="192"/>
  <c r="N19" i="192"/>
  <c r="E23" i="192"/>
  <c r="E19" i="192"/>
  <c r="M19" i="192"/>
  <c r="D19" i="192"/>
  <c r="O11" i="192" l="1"/>
  <c r="O12" i="192"/>
  <c r="O10" i="192"/>
  <c r="O9" i="192"/>
  <c r="O8" i="192"/>
  <c r="O7" i="192"/>
  <c r="O6" i="192"/>
  <c r="K11" i="192" l="1"/>
  <c r="F12" i="192"/>
  <c r="F11" i="192"/>
  <c r="F10" i="192"/>
  <c r="F9" i="192"/>
  <c r="F8" i="192"/>
  <c r="F7" i="192"/>
  <c r="F6" i="192"/>
  <c r="M30" i="191" l="1"/>
  <c r="I24" i="191"/>
  <c r="O24" i="191"/>
  <c r="F24" i="191"/>
  <c r="M24" i="191"/>
  <c r="S24" i="191" l="1"/>
  <c r="J24" i="191" l="1"/>
  <c r="J19" i="191"/>
  <c r="I28" i="191"/>
  <c r="Q24" i="191"/>
  <c r="H24" i="191"/>
  <c r="P24" i="191"/>
  <c r="G24" i="191"/>
  <c r="O19" i="191"/>
  <c r="F19" i="191"/>
  <c r="N24" i="191"/>
  <c r="E24" i="191"/>
  <c r="E19" i="191"/>
  <c r="M19" i="191"/>
  <c r="D23" i="191"/>
  <c r="D24" i="191"/>
  <c r="D19" i="191"/>
  <c r="T12" i="191" l="1"/>
  <c r="O12" i="191"/>
  <c r="K12" i="191"/>
  <c r="F12" i="191"/>
  <c r="T11" i="191"/>
  <c r="K11" i="191"/>
  <c r="F11" i="191"/>
  <c r="T10" i="191"/>
  <c r="O10" i="191"/>
  <c r="K10" i="191"/>
  <c r="F10" i="191"/>
  <c r="T9" i="191"/>
  <c r="O9" i="191"/>
  <c r="K9" i="191"/>
  <c r="F9" i="191"/>
  <c r="T8" i="191"/>
  <c r="O8" i="191"/>
  <c r="K8" i="191"/>
  <c r="F8" i="191"/>
  <c r="T7" i="191"/>
  <c r="O7" i="191"/>
  <c r="K7" i="191"/>
  <c r="F7" i="191"/>
  <c r="T6" i="191"/>
  <c r="O6" i="191"/>
  <c r="K6" i="191"/>
  <c r="F6" i="191"/>
  <c r="J24" i="209" l="1"/>
  <c r="J19" i="209"/>
  <c r="I24" i="209"/>
  <c r="H23" i="209"/>
  <c r="H24" i="209"/>
  <c r="G23" i="209"/>
  <c r="G24" i="209"/>
  <c r="F23" i="209"/>
  <c r="F24" i="209"/>
  <c r="F19" i="209"/>
  <c r="E23" i="209"/>
  <c r="E24" i="209"/>
  <c r="D23" i="209"/>
  <c r="D24" i="209"/>
  <c r="S24" i="209"/>
  <c r="S19" i="209"/>
  <c r="R24" i="209"/>
  <c r="Q24" i="209"/>
  <c r="P24" i="209"/>
  <c r="O23" i="209"/>
  <c r="O24" i="209"/>
  <c r="O19" i="209"/>
  <c r="N24" i="209"/>
  <c r="N19" i="209"/>
  <c r="M24" i="209"/>
  <c r="M19" i="209"/>
  <c r="S30" i="209" l="1"/>
  <c r="R30" i="209"/>
  <c r="Q30" i="209"/>
  <c r="P30" i="209"/>
  <c r="O30" i="209"/>
  <c r="N30" i="209"/>
  <c r="M30" i="209"/>
  <c r="O9" i="209"/>
  <c r="O6" i="209"/>
  <c r="O12" i="209"/>
  <c r="O11" i="209"/>
  <c r="O10" i="209"/>
  <c r="O8" i="209"/>
  <c r="O7" i="209"/>
  <c r="D19" i="209" l="1"/>
  <c r="F11" i="209" l="1"/>
  <c r="F12" i="209"/>
  <c r="F10" i="209"/>
  <c r="F9" i="209"/>
  <c r="F8" i="209"/>
  <c r="F7" i="209"/>
  <c r="F6" i="209"/>
  <c r="S24" i="189" l="1"/>
  <c r="S19" i="189"/>
  <c r="Q24" i="189"/>
  <c r="Q19" i="189"/>
  <c r="H24" i="189"/>
  <c r="P23" i="189"/>
  <c r="P24" i="189"/>
  <c r="G24" i="189"/>
  <c r="O23" i="189"/>
  <c r="O24" i="189"/>
  <c r="O19" i="189"/>
  <c r="F23" i="189"/>
  <c r="F24" i="189"/>
  <c r="F19" i="189"/>
  <c r="N24" i="189"/>
  <c r="E24" i="189"/>
  <c r="M24" i="189"/>
  <c r="D24" i="189"/>
  <c r="O28" i="189" l="1"/>
  <c r="F10" i="189" l="1"/>
  <c r="F9" i="189"/>
  <c r="F8" i="189"/>
  <c r="F7" i="189"/>
  <c r="F6" i="189"/>
  <c r="R24" i="188" l="1"/>
  <c r="H24" i="188"/>
  <c r="G24" i="188"/>
  <c r="N24" i="188"/>
  <c r="S24" i="188" l="1"/>
  <c r="J24" i="188"/>
  <c r="R28" i="188"/>
  <c r="I24" i="188"/>
  <c r="I19" i="188"/>
  <c r="Q23" i="188"/>
  <c r="Q24" i="188"/>
  <c r="P24" i="188"/>
  <c r="O24" i="188"/>
  <c r="O19" i="188"/>
  <c r="F23" i="188"/>
  <c r="F24" i="188"/>
  <c r="F19" i="188"/>
  <c r="N28" i="188"/>
  <c r="N19" i="188"/>
  <c r="E24" i="188"/>
  <c r="E19" i="188"/>
  <c r="M24" i="188"/>
  <c r="M23" i="188"/>
  <c r="M19" i="188"/>
  <c r="D24" i="188"/>
  <c r="M28" i="188" l="1"/>
  <c r="O12" i="188" l="1"/>
  <c r="O11" i="188"/>
  <c r="O10" i="188"/>
  <c r="O9" i="188"/>
  <c r="O8" i="188"/>
  <c r="O7" i="188"/>
  <c r="O6" i="188"/>
  <c r="D19" i="188" l="1"/>
  <c r="F12" i="188" l="1"/>
  <c r="F11" i="188"/>
  <c r="F10" i="188"/>
  <c r="F9" i="188"/>
  <c r="F8" i="188"/>
  <c r="F7" i="188"/>
  <c r="F6" i="188"/>
  <c r="I24" i="187" l="1"/>
  <c r="Q24" i="187"/>
  <c r="F23" i="187"/>
  <c r="F24" i="187"/>
  <c r="N24" i="187"/>
  <c r="E24" i="187"/>
  <c r="D24" i="187"/>
  <c r="S24" i="187" l="1"/>
  <c r="J24" i="187"/>
  <c r="J19" i="187"/>
  <c r="R24" i="187"/>
  <c r="I19" i="187"/>
  <c r="H24" i="187"/>
  <c r="H19" i="187"/>
  <c r="P24" i="187"/>
  <c r="P19" i="187"/>
  <c r="G24" i="187"/>
  <c r="G19" i="187"/>
  <c r="O24" i="187"/>
  <c r="O19" i="187"/>
  <c r="E19" i="187"/>
  <c r="M24" i="187"/>
  <c r="M19" i="187"/>
  <c r="D23" i="187"/>
  <c r="N19" i="187" l="1"/>
  <c r="O12" i="187" l="1"/>
  <c r="O11" i="187"/>
  <c r="O10" i="187"/>
  <c r="O9" i="187"/>
  <c r="O8" i="187"/>
  <c r="O7" i="187"/>
  <c r="O6" i="187"/>
  <c r="F9" i="187" l="1"/>
  <c r="F12" i="187"/>
  <c r="F11" i="187"/>
  <c r="F10" i="187"/>
  <c r="F8" i="187"/>
  <c r="F7" i="187"/>
  <c r="F6" i="187"/>
  <c r="I24" i="186" l="1"/>
  <c r="H24" i="186"/>
  <c r="N24" i="186" l="1"/>
  <c r="E24" i="186"/>
  <c r="M24" i="186"/>
  <c r="M23" i="186"/>
  <c r="S24" i="186" l="1"/>
  <c r="S19" i="186"/>
  <c r="J24" i="186"/>
  <c r="J19" i="186"/>
  <c r="R24" i="186"/>
  <c r="Q24" i="186"/>
  <c r="I19" i="186"/>
  <c r="P24" i="186"/>
  <c r="O24" i="186"/>
  <c r="F24" i="186"/>
  <c r="N28" i="186"/>
  <c r="N19" i="186"/>
  <c r="M19" i="186"/>
  <c r="D24" i="186"/>
  <c r="D23" i="186"/>
  <c r="R10" i="186" l="1"/>
  <c r="R9" i="186"/>
  <c r="R12" i="186"/>
  <c r="P12" i="186"/>
  <c r="P10" i="186"/>
  <c r="P9" i="186"/>
  <c r="R6" i="186"/>
  <c r="P6" i="186"/>
  <c r="R11" i="186" l="1"/>
  <c r="R19" i="186"/>
  <c r="Q19" i="186"/>
  <c r="O19" i="186"/>
  <c r="R8" i="186"/>
  <c r="R7" i="186"/>
  <c r="P11" i="186" l="1"/>
  <c r="P8" i="186"/>
  <c r="P7" i="186"/>
  <c r="O8" i="186" l="1"/>
  <c r="O9" i="186"/>
  <c r="O10" i="186"/>
  <c r="O11" i="186"/>
  <c r="O12" i="186"/>
  <c r="O7" i="186"/>
  <c r="O6" i="186"/>
  <c r="J28" i="186" l="1"/>
  <c r="I28" i="186"/>
  <c r="H28" i="186"/>
  <c r="F28" i="186"/>
  <c r="E28" i="186"/>
  <c r="D28" i="186"/>
  <c r="F6" i="186"/>
  <c r="F12" i="186" l="1"/>
  <c r="F11" i="186"/>
  <c r="F10" i="186"/>
  <c r="F8" i="186"/>
  <c r="F7" i="186"/>
  <c r="O24" i="207" l="1"/>
  <c r="S24" i="207" l="1"/>
  <c r="J24" i="207"/>
  <c r="R24" i="207"/>
  <c r="I24" i="207"/>
  <c r="Q24" i="207"/>
  <c r="Q23" i="207"/>
  <c r="H24" i="207"/>
  <c r="F24" i="207"/>
  <c r="N24" i="207"/>
  <c r="E24" i="207"/>
  <c r="R28" i="207" l="1"/>
  <c r="O8" i="207"/>
  <c r="O10" i="207"/>
  <c r="O11" i="207"/>
  <c r="O12" i="207"/>
  <c r="O7" i="207"/>
  <c r="E23" i="207" l="1"/>
  <c r="F12" i="207" l="1"/>
  <c r="F11" i="207"/>
  <c r="F10" i="207"/>
  <c r="F8" i="207"/>
  <c r="F7" i="207"/>
  <c r="J24" i="184" l="1"/>
  <c r="S24" i="184" l="1"/>
  <c r="R24" i="184"/>
  <c r="Q24" i="184"/>
  <c r="O24" i="184"/>
  <c r="N24" i="184"/>
  <c r="M19" i="184"/>
  <c r="M24" i="184"/>
  <c r="I24" i="184"/>
  <c r="H23" i="184"/>
  <c r="H24" i="184"/>
  <c r="F28" i="184"/>
  <c r="F23" i="184"/>
  <c r="F24" i="184"/>
  <c r="E24" i="184"/>
  <c r="D28" i="184"/>
  <c r="D23" i="184"/>
  <c r="D24" i="184"/>
  <c r="D19" i="184"/>
  <c r="R12" i="184"/>
  <c r="R11" i="184"/>
  <c r="R10" i="184"/>
  <c r="R8" i="184"/>
  <c r="R7" i="184"/>
  <c r="P12" i="184"/>
  <c r="P11" i="184"/>
  <c r="P10" i="184"/>
  <c r="P8" i="184"/>
  <c r="P7" i="184"/>
  <c r="K8" i="184" l="1"/>
  <c r="P6" i="184"/>
  <c r="O12" i="184"/>
  <c r="O11" i="184"/>
  <c r="O10" i="184"/>
  <c r="O8" i="184"/>
  <c r="O7" i="184"/>
  <c r="O6" i="184"/>
  <c r="F12" i="184" l="1"/>
  <c r="F11" i="184"/>
  <c r="F10" i="184"/>
  <c r="F8" i="184"/>
  <c r="F7" i="184"/>
  <c r="F6" i="184"/>
  <c r="Q24" i="183" l="1"/>
  <c r="H24" i="183"/>
  <c r="F24" i="183"/>
  <c r="E24" i="183"/>
  <c r="O28" i="183" l="1"/>
  <c r="M28" i="183"/>
  <c r="S24" i="183"/>
  <c r="S19" i="183"/>
  <c r="R24" i="183"/>
  <c r="R19" i="183"/>
  <c r="O24" i="183"/>
  <c r="N24" i="183"/>
  <c r="M23" i="183"/>
  <c r="M24" i="183"/>
  <c r="J24" i="183"/>
  <c r="I24" i="183"/>
  <c r="E19" i="183"/>
  <c r="D19" i="183"/>
  <c r="D23" i="183"/>
  <c r="D24" i="183"/>
  <c r="O12" i="183" l="1"/>
  <c r="O11" i="183"/>
  <c r="O10" i="183"/>
  <c r="O8" i="183"/>
  <c r="O7" i="183"/>
  <c r="O6" i="183"/>
  <c r="E28" i="183"/>
  <c r="F12" i="183" l="1"/>
  <c r="F11" i="183"/>
  <c r="F10" i="183"/>
  <c r="F8" i="183"/>
  <c r="F7" i="183"/>
  <c r="F6" i="183"/>
  <c r="O24" i="182" l="1"/>
  <c r="O12" i="182" l="1"/>
  <c r="O11" i="182"/>
  <c r="O10" i="182"/>
  <c r="O8" i="182"/>
  <c r="O7" i="182"/>
  <c r="O6" i="182"/>
  <c r="S24" i="182" l="1"/>
  <c r="R24" i="182"/>
  <c r="R19" i="182"/>
  <c r="Q24" i="182"/>
  <c r="O19" i="182"/>
  <c r="N24" i="182"/>
  <c r="M24" i="182"/>
  <c r="M19" i="182"/>
  <c r="G24" i="181" l="1"/>
  <c r="S24" i="181"/>
  <c r="S19" i="181"/>
  <c r="R24" i="181"/>
  <c r="R19" i="181"/>
  <c r="Q19" i="181"/>
  <c r="Q24" i="181"/>
  <c r="P24" i="181"/>
  <c r="P19" i="181"/>
  <c r="O24" i="181"/>
  <c r="O19" i="181"/>
  <c r="N24" i="181"/>
  <c r="N19" i="181"/>
  <c r="M24" i="181"/>
  <c r="M19" i="181"/>
  <c r="J24" i="181"/>
  <c r="H24" i="181"/>
  <c r="G23" i="181"/>
  <c r="G19" i="181"/>
  <c r="F24" i="181"/>
  <c r="E24" i="181"/>
  <c r="D23" i="181"/>
  <c r="D24" i="181"/>
  <c r="D19" i="181"/>
  <c r="H24" i="180" l="1"/>
  <c r="S24" i="180" l="1"/>
  <c r="S19" i="180"/>
  <c r="J24" i="180"/>
  <c r="J19" i="180"/>
  <c r="R24" i="180"/>
  <c r="R19" i="180"/>
  <c r="I24" i="180"/>
  <c r="Q24" i="180"/>
  <c r="H19" i="180"/>
  <c r="P24" i="180"/>
  <c r="G24" i="180"/>
  <c r="G19" i="180"/>
  <c r="O24" i="180"/>
  <c r="F24" i="180"/>
  <c r="N24" i="180"/>
  <c r="E24" i="180"/>
  <c r="M24" i="180"/>
  <c r="M23" i="180"/>
  <c r="M19" i="180"/>
  <c r="D24" i="180"/>
  <c r="D75" i="181" l="1"/>
  <c r="E28" i="181"/>
  <c r="C48" i="181"/>
  <c r="I11" i="181"/>
  <c r="I6" i="181"/>
  <c r="I10" i="181"/>
  <c r="I8" i="181"/>
  <c r="I7" i="181"/>
  <c r="I9" i="181"/>
  <c r="I12" i="181"/>
  <c r="G12" i="181"/>
  <c r="G11" i="181"/>
  <c r="G10" i="181"/>
  <c r="G9" i="181"/>
  <c r="G8" i="181"/>
  <c r="G7" i="181"/>
  <c r="G6" i="181"/>
  <c r="F7" i="181" l="1"/>
  <c r="F8" i="181"/>
  <c r="F9" i="181"/>
  <c r="F10" i="181"/>
  <c r="F11" i="181"/>
  <c r="F12" i="181"/>
  <c r="F6" i="181"/>
  <c r="F12" i="180" l="1"/>
  <c r="F11" i="180"/>
  <c r="F10" i="180"/>
  <c r="F9" i="180"/>
  <c r="F8" i="180"/>
  <c r="F7" i="180"/>
  <c r="F6" i="180"/>
  <c r="N24" i="206" l="1"/>
  <c r="E24" i="206"/>
  <c r="D23" i="206"/>
  <c r="D24" i="206"/>
  <c r="S24" i="206" l="1"/>
  <c r="J24" i="206"/>
  <c r="J19" i="206"/>
  <c r="R24" i="206"/>
  <c r="R19" i="206"/>
  <c r="I24" i="206"/>
  <c r="Q24" i="206"/>
  <c r="Q19" i="206"/>
  <c r="H24" i="206"/>
  <c r="P24" i="206"/>
  <c r="P19" i="206"/>
  <c r="G28" i="206" l="1"/>
  <c r="G24" i="206"/>
  <c r="G19" i="206"/>
  <c r="O24" i="206"/>
  <c r="O19" i="206"/>
  <c r="F23" i="206"/>
  <c r="F24" i="206"/>
  <c r="M24" i="206"/>
  <c r="D19" i="206"/>
  <c r="K11" i="206" l="1"/>
  <c r="F12" i="206"/>
  <c r="F11" i="206"/>
  <c r="F10" i="206"/>
  <c r="F9" i="206"/>
  <c r="F8" i="206"/>
  <c r="F7" i="206"/>
  <c r="F6" i="206"/>
  <c r="S24" i="178" l="1"/>
  <c r="Q24" i="178"/>
  <c r="H24" i="178"/>
  <c r="G24" i="178"/>
  <c r="O24" i="178"/>
  <c r="O23" i="178"/>
  <c r="J24" i="178" l="1"/>
  <c r="R24" i="178"/>
  <c r="I24" i="178"/>
  <c r="P24" i="178"/>
  <c r="F24" i="178"/>
  <c r="N24" i="178"/>
  <c r="E24" i="178"/>
  <c r="M24" i="178"/>
  <c r="D24" i="178"/>
  <c r="K54" i="189"/>
  <c r="R54" i="189"/>
  <c r="T54" i="189"/>
  <c r="I55" i="189"/>
  <c r="J55" i="189"/>
  <c r="K55" i="189"/>
  <c r="R55" i="189"/>
  <c r="T55" i="189"/>
  <c r="D56" i="189"/>
  <c r="E56" i="189"/>
  <c r="F56" i="189"/>
  <c r="G56" i="189"/>
  <c r="H56" i="189"/>
  <c r="I56" i="189"/>
  <c r="J56" i="189"/>
  <c r="K56" i="189"/>
  <c r="M56" i="189"/>
  <c r="N56" i="189"/>
  <c r="O56" i="189"/>
  <c r="P56" i="189"/>
  <c r="Q56" i="189"/>
  <c r="R56" i="189"/>
  <c r="S56" i="189"/>
  <c r="T56" i="189"/>
  <c r="I57" i="189"/>
  <c r="J57" i="189"/>
  <c r="K57" i="189"/>
  <c r="R57" i="189"/>
  <c r="T57" i="189"/>
  <c r="D54" i="190"/>
  <c r="E54" i="190"/>
  <c r="F54" i="190"/>
  <c r="G54" i="190"/>
  <c r="L54" i="190" s="1"/>
  <c r="H54" i="190"/>
  <c r="I54" i="190"/>
  <c r="J54" i="190"/>
  <c r="K54" i="190"/>
  <c r="M54" i="190"/>
  <c r="N54" i="190"/>
  <c r="O54" i="190"/>
  <c r="U54" i="190" s="1"/>
  <c r="P54" i="190"/>
  <c r="Q54" i="190"/>
  <c r="R54" i="190"/>
  <c r="S54" i="190"/>
  <c r="T54" i="190"/>
  <c r="D55" i="190"/>
  <c r="L55" i="190" s="1"/>
  <c r="V55" i="190" s="1"/>
  <c r="E55" i="190"/>
  <c r="F55" i="190"/>
  <c r="G55" i="190"/>
  <c r="H55" i="190"/>
  <c r="I55" i="190"/>
  <c r="J55" i="190"/>
  <c r="K55" i="190"/>
  <c r="M55" i="190"/>
  <c r="N55" i="190"/>
  <c r="O55" i="190"/>
  <c r="P55" i="190"/>
  <c r="Q55" i="190"/>
  <c r="R55" i="190"/>
  <c r="S55" i="190"/>
  <c r="T55" i="190"/>
  <c r="U55" i="190" s="1"/>
  <c r="D56" i="190"/>
  <c r="E56" i="190"/>
  <c r="F56" i="190"/>
  <c r="G56" i="190"/>
  <c r="H56" i="190"/>
  <c r="I56" i="190"/>
  <c r="L56" i="190" s="1"/>
  <c r="V56" i="190" s="1"/>
  <c r="J56" i="190"/>
  <c r="K56" i="190"/>
  <c r="M56" i="190"/>
  <c r="N56" i="190"/>
  <c r="O56" i="190"/>
  <c r="P56" i="190"/>
  <c r="Q56" i="190"/>
  <c r="U56" i="190" s="1"/>
  <c r="R56" i="190"/>
  <c r="S56" i="190"/>
  <c r="T56" i="190"/>
  <c r="D57" i="190"/>
  <c r="E57" i="190"/>
  <c r="F57" i="190"/>
  <c r="G57" i="190"/>
  <c r="H57" i="190"/>
  <c r="I57" i="190"/>
  <c r="J57" i="190"/>
  <c r="K57" i="190"/>
  <c r="L57" i="190"/>
  <c r="M57" i="190"/>
  <c r="N57" i="190"/>
  <c r="O57" i="190"/>
  <c r="P57" i="190"/>
  <c r="Q57" i="190"/>
  <c r="R57" i="190"/>
  <c r="S57" i="190"/>
  <c r="T57" i="190"/>
  <c r="U57" i="190"/>
  <c r="V57" i="190"/>
  <c r="K56" i="209"/>
  <c r="T56" i="209"/>
  <c r="K57" i="209"/>
  <c r="T57" i="209"/>
  <c r="L56" i="189" l="1"/>
  <c r="U56" i="189"/>
  <c r="V54" i="190"/>
  <c r="M74" i="178"/>
  <c r="V56" i="189" l="1"/>
  <c r="Q28" i="178"/>
  <c r="P28" i="178"/>
  <c r="F11" i="178" l="1"/>
  <c r="F12" i="178"/>
  <c r="F12" i="16" l="1"/>
  <c r="E12" i="16"/>
  <c r="F11" i="16"/>
  <c r="E11" i="16"/>
  <c r="F10" i="16"/>
  <c r="E10" i="16"/>
  <c r="F9" i="16"/>
  <c r="E9" i="16"/>
  <c r="F8" i="16"/>
  <c r="E8" i="16"/>
  <c r="F7" i="16"/>
  <c r="E7" i="16"/>
  <c r="I3" i="16"/>
  <c r="H3" i="16"/>
  <c r="G3" i="16"/>
  <c r="F3" i="16"/>
  <c r="E3" i="16"/>
  <c r="D3" i="16"/>
  <c r="N116" i="10"/>
  <c r="M116" i="10"/>
  <c r="L116" i="10"/>
  <c r="F116" i="10"/>
  <c r="N115" i="10"/>
  <c r="M115" i="10"/>
  <c r="L115" i="10"/>
  <c r="F115" i="10"/>
  <c r="N114" i="10"/>
  <c r="M114" i="10"/>
  <c r="L114" i="10"/>
  <c r="F114" i="10"/>
  <c r="N113" i="10"/>
  <c r="M113" i="10"/>
  <c r="L113" i="10"/>
  <c r="F113" i="10"/>
  <c r="N112" i="10"/>
  <c r="M112" i="10"/>
  <c r="L112" i="10"/>
  <c r="F112" i="10"/>
  <c r="N111" i="10"/>
  <c r="M111" i="10"/>
  <c r="L111" i="10"/>
  <c r="F111" i="10"/>
  <c r="N110" i="10"/>
  <c r="M110" i="10"/>
  <c r="L110" i="10"/>
  <c r="F110" i="10"/>
  <c r="N109" i="10"/>
  <c r="M109" i="10"/>
  <c r="L109" i="10"/>
  <c r="F109" i="10"/>
  <c r="D105" i="10"/>
  <c r="B105" i="10"/>
  <c r="D104" i="10"/>
  <c r="D103" i="10"/>
  <c r="B103" i="10"/>
  <c r="B78" i="10"/>
  <c r="B77" i="10"/>
  <c r="B76" i="10"/>
  <c r="B75" i="10"/>
  <c r="B74" i="10"/>
  <c r="B73" i="10"/>
  <c r="B72" i="10"/>
  <c r="B71" i="10"/>
  <c r="B69" i="10"/>
  <c r="B68" i="10"/>
  <c r="B67" i="10"/>
  <c r="B66" i="10"/>
  <c r="B65" i="10"/>
  <c r="B64" i="10"/>
  <c r="B63" i="10"/>
  <c r="R51" i="10"/>
  <c r="Q51" i="10"/>
  <c r="P51" i="10"/>
  <c r="O51" i="10"/>
  <c r="N51" i="10"/>
  <c r="M51" i="10"/>
  <c r="L51" i="10"/>
  <c r="K51" i="10"/>
  <c r="J51" i="10"/>
  <c r="I51" i="10"/>
  <c r="H51" i="10"/>
  <c r="R38" i="10"/>
  <c r="Q38" i="10"/>
  <c r="P38" i="10"/>
  <c r="O38" i="10"/>
  <c r="N38" i="10"/>
  <c r="M38" i="10"/>
  <c r="L38" i="10"/>
  <c r="K38" i="10"/>
  <c r="J38" i="10"/>
  <c r="I38" i="10"/>
  <c r="H38" i="10"/>
  <c r="R23" i="10"/>
  <c r="Q23" i="10"/>
  <c r="P23" i="10"/>
  <c r="O23" i="10"/>
  <c r="N23" i="10"/>
  <c r="M23" i="10"/>
  <c r="L23" i="10"/>
  <c r="K23" i="10"/>
  <c r="J23" i="10"/>
  <c r="I23" i="10"/>
  <c r="H23" i="10"/>
  <c r="R22" i="10"/>
  <c r="Q22" i="10"/>
  <c r="P22" i="10"/>
  <c r="O22" i="10"/>
  <c r="N22" i="10"/>
  <c r="M22" i="10"/>
  <c r="L22" i="10"/>
  <c r="K22" i="10"/>
  <c r="J22" i="10"/>
  <c r="I22" i="10"/>
  <c r="H22" i="10"/>
  <c r="AM17" i="10"/>
  <c r="AL17" i="10"/>
  <c r="AK17" i="10"/>
  <c r="AI17" i="10"/>
  <c r="AH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Y16" i="10"/>
  <c r="X16" i="10"/>
  <c r="V16" i="10"/>
  <c r="U16" i="10"/>
  <c r="AM10" i="10"/>
  <c r="AL10" i="10"/>
  <c r="AK10" i="10"/>
  <c r="AI10" i="10"/>
  <c r="AH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Y9" i="10"/>
  <c r="X9" i="10"/>
  <c r="V9" i="10"/>
  <c r="U9" i="10"/>
  <c r="AM2" i="10"/>
  <c r="AL2" i="10"/>
  <c r="AK2" i="10"/>
  <c r="AI2" i="10"/>
  <c r="AH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Y1" i="10"/>
  <c r="X1" i="10"/>
  <c r="V1" i="10"/>
  <c r="U1" i="10"/>
  <c r="G53" i="15"/>
  <c r="F53" i="15"/>
  <c r="E53" i="15"/>
  <c r="D53" i="15"/>
  <c r="C53" i="15"/>
  <c r="G52" i="15"/>
  <c r="F52" i="15"/>
  <c r="E52" i="15"/>
  <c r="D52" i="15"/>
  <c r="C52" i="15"/>
  <c r="G51" i="15"/>
  <c r="F51" i="15"/>
  <c r="E51" i="15"/>
  <c r="D51" i="15"/>
  <c r="C51" i="15"/>
  <c r="G50" i="15"/>
  <c r="F50" i="15"/>
  <c r="E50" i="15"/>
  <c r="D50" i="15"/>
  <c r="C50" i="15"/>
  <c r="G49" i="15"/>
  <c r="F49" i="15"/>
  <c r="E49" i="15"/>
  <c r="D49" i="15"/>
  <c r="C49" i="15"/>
  <c r="G48" i="15"/>
  <c r="F48" i="15"/>
  <c r="E48" i="15"/>
  <c r="D48" i="15"/>
  <c r="C48" i="15"/>
  <c r="G47" i="15"/>
  <c r="F47" i="15"/>
  <c r="E47" i="15"/>
  <c r="D47" i="15"/>
  <c r="C47" i="15"/>
  <c r="G46" i="15"/>
  <c r="F46" i="15"/>
  <c r="E46" i="15"/>
  <c r="D46" i="15"/>
  <c r="C46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N18" i="15"/>
  <c r="M18" i="15"/>
  <c r="L18" i="15"/>
  <c r="K18" i="15"/>
  <c r="J18" i="15"/>
  <c r="I18" i="15"/>
  <c r="H18" i="15"/>
  <c r="G18" i="15"/>
  <c r="F18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M16" i="15"/>
  <c r="L16" i="15"/>
  <c r="K16" i="15"/>
  <c r="J16" i="15"/>
  <c r="I16" i="15"/>
  <c r="H16" i="15"/>
  <c r="G16" i="15"/>
  <c r="F16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M14" i="15"/>
  <c r="L14" i="15"/>
  <c r="K14" i="15"/>
  <c r="J14" i="15"/>
  <c r="I14" i="15"/>
  <c r="H14" i="15"/>
  <c r="G14" i="15"/>
  <c r="F14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M8" i="15"/>
  <c r="L8" i="15"/>
  <c r="K8" i="15"/>
  <c r="J8" i="15"/>
  <c r="I8" i="15"/>
  <c r="H8" i="15"/>
  <c r="G8" i="15"/>
  <c r="F8" i="15"/>
  <c r="E8" i="15"/>
  <c r="D8" i="15"/>
  <c r="C8" i="15"/>
  <c r="B8" i="15"/>
  <c r="M7" i="15"/>
  <c r="L7" i="15"/>
  <c r="K7" i="15"/>
  <c r="J7" i="15"/>
  <c r="I7" i="15"/>
  <c r="H7" i="15"/>
  <c r="G7" i="15"/>
  <c r="F7" i="15"/>
  <c r="E7" i="15"/>
  <c r="D7" i="15"/>
  <c r="C7" i="15"/>
  <c r="B7" i="15"/>
  <c r="M6" i="15"/>
  <c r="L6" i="15"/>
  <c r="K6" i="15"/>
  <c r="J6" i="15"/>
  <c r="I6" i="15"/>
  <c r="H6" i="15"/>
  <c r="G6" i="15"/>
  <c r="F6" i="15"/>
  <c r="E6" i="15"/>
  <c r="D6" i="15"/>
  <c r="C6" i="15"/>
  <c r="B6" i="15"/>
  <c r="A2" i="15"/>
  <c r="AE4" i="9"/>
  <c r="AD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4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3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A2" i="9"/>
  <c r="O10" i="8"/>
  <c r="N10" i="8"/>
  <c r="M10" i="8"/>
  <c r="L10" i="8"/>
  <c r="K10" i="8"/>
  <c r="J10" i="8"/>
  <c r="I10" i="8"/>
  <c r="H10" i="8"/>
  <c r="G10" i="8"/>
  <c r="F10" i="8"/>
  <c r="E10" i="8"/>
  <c r="D10" i="8"/>
  <c r="B10" i="8"/>
  <c r="A10" i="8"/>
  <c r="O9" i="8"/>
  <c r="N9" i="8"/>
  <c r="M9" i="8"/>
  <c r="L9" i="8"/>
  <c r="K9" i="8"/>
  <c r="J9" i="8"/>
  <c r="I9" i="8"/>
  <c r="H9" i="8"/>
  <c r="G9" i="8"/>
  <c r="F9" i="8"/>
  <c r="E9" i="8"/>
  <c r="D9" i="8"/>
  <c r="B9" i="8"/>
  <c r="A9" i="8"/>
  <c r="O8" i="8"/>
  <c r="N8" i="8"/>
  <c r="M8" i="8"/>
  <c r="L8" i="8"/>
  <c r="K8" i="8"/>
  <c r="J8" i="8"/>
  <c r="I8" i="8"/>
  <c r="H8" i="8"/>
  <c r="G8" i="8"/>
  <c r="F8" i="8"/>
  <c r="E8" i="8"/>
  <c r="D8" i="8"/>
  <c r="B8" i="8"/>
  <c r="A8" i="8"/>
  <c r="O7" i="8"/>
  <c r="N7" i="8"/>
  <c r="M7" i="8"/>
  <c r="L7" i="8"/>
  <c r="K7" i="8"/>
  <c r="J7" i="8"/>
  <c r="I7" i="8"/>
  <c r="H7" i="8"/>
  <c r="G7" i="8"/>
  <c r="F7" i="8"/>
  <c r="E7" i="8"/>
  <c r="D7" i="8"/>
  <c r="B7" i="8"/>
  <c r="A7" i="8"/>
  <c r="O6" i="8"/>
  <c r="N6" i="8"/>
  <c r="M6" i="8"/>
  <c r="L6" i="8"/>
  <c r="K6" i="8"/>
  <c r="J6" i="8"/>
  <c r="I6" i="8"/>
  <c r="H6" i="8"/>
  <c r="G6" i="8"/>
  <c r="F6" i="8"/>
  <c r="E6" i="8"/>
  <c r="D6" i="8"/>
  <c r="B6" i="8"/>
  <c r="A6" i="8"/>
  <c r="O5" i="8"/>
  <c r="N5" i="8"/>
  <c r="M5" i="8"/>
  <c r="L5" i="8"/>
  <c r="K5" i="8"/>
  <c r="J5" i="8"/>
  <c r="I5" i="8"/>
  <c r="H5" i="8"/>
  <c r="G5" i="8"/>
  <c r="F5" i="8"/>
  <c r="E5" i="8"/>
  <c r="D5" i="8"/>
  <c r="B5" i="8"/>
  <c r="A5" i="8"/>
  <c r="O4" i="8"/>
  <c r="N4" i="8"/>
  <c r="M4" i="8"/>
  <c r="L4" i="8"/>
  <c r="K4" i="8"/>
  <c r="J4" i="8"/>
  <c r="I4" i="8"/>
  <c r="H4" i="8"/>
  <c r="G4" i="8"/>
  <c r="F4" i="8"/>
  <c r="E4" i="8"/>
  <c r="D4" i="8"/>
  <c r="B4" i="8"/>
  <c r="A4" i="8"/>
  <c r="O3" i="8"/>
  <c r="N3" i="8"/>
  <c r="M3" i="8"/>
  <c r="L3" i="8"/>
  <c r="K3" i="8"/>
  <c r="J3" i="8"/>
  <c r="I3" i="8"/>
  <c r="H3" i="8"/>
  <c r="G3" i="8"/>
  <c r="F3" i="8"/>
  <c r="E3" i="8"/>
  <c r="D3" i="8"/>
  <c r="B3" i="8"/>
  <c r="A3" i="8"/>
  <c r="O2" i="8"/>
  <c r="N2" i="8"/>
  <c r="M2" i="8"/>
  <c r="L2" i="8"/>
  <c r="K2" i="8"/>
  <c r="J2" i="8"/>
  <c r="I2" i="8"/>
  <c r="H2" i="8"/>
  <c r="G2" i="8"/>
  <c r="F2" i="8"/>
  <c r="E2" i="8"/>
  <c r="D2" i="8"/>
  <c r="B2" i="8"/>
  <c r="A2" i="8"/>
  <c r="G10" i="7"/>
  <c r="F10" i="7"/>
  <c r="E10" i="7"/>
  <c r="D10" i="7"/>
  <c r="B10" i="7"/>
  <c r="A10" i="7"/>
  <c r="G9" i="7"/>
  <c r="F9" i="7"/>
  <c r="E9" i="7"/>
  <c r="D9" i="7"/>
  <c r="B9" i="7"/>
  <c r="A9" i="7"/>
  <c r="P8" i="7"/>
  <c r="O8" i="7"/>
  <c r="N8" i="7"/>
  <c r="M8" i="7"/>
  <c r="L8" i="7"/>
  <c r="K8" i="7"/>
  <c r="J8" i="7"/>
  <c r="I8" i="7"/>
  <c r="H8" i="7"/>
  <c r="G8" i="7"/>
  <c r="F8" i="7"/>
  <c r="E8" i="7"/>
  <c r="D8" i="7"/>
  <c r="B8" i="7"/>
  <c r="A8" i="7"/>
  <c r="G7" i="7"/>
  <c r="F7" i="7"/>
  <c r="E7" i="7"/>
  <c r="D7" i="7"/>
  <c r="B7" i="7"/>
  <c r="A7" i="7"/>
  <c r="G6" i="7"/>
  <c r="F6" i="7"/>
  <c r="E6" i="7"/>
  <c r="D6" i="7"/>
  <c r="B6" i="7"/>
  <c r="A6" i="7"/>
  <c r="P5" i="7"/>
  <c r="O5" i="7"/>
  <c r="N5" i="7"/>
  <c r="M5" i="7"/>
  <c r="L5" i="7"/>
  <c r="K5" i="7"/>
  <c r="J5" i="7"/>
  <c r="I5" i="7"/>
  <c r="H5" i="7"/>
  <c r="G5" i="7"/>
  <c r="F5" i="7"/>
  <c r="E5" i="7"/>
  <c r="D5" i="7"/>
  <c r="B5" i="7"/>
  <c r="A5" i="7"/>
  <c r="G4" i="7"/>
  <c r="F4" i="7"/>
  <c r="E4" i="7"/>
  <c r="D4" i="7"/>
  <c r="B4" i="7"/>
  <c r="A4" i="7"/>
  <c r="G3" i="7"/>
  <c r="F3" i="7"/>
  <c r="E3" i="7"/>
  <c r="D3" i="7"/>
  <c r="B3" i="7"/>
  <c r="A3" i="7"/>
  <c r="P2" i="7"/>
  <c r="O2" i="7"/>
  <c r="N2" i="7"/>
  <c r="M2" i="7"/>
  <c r="L2" i="7"/>
  <c r="K2" i="7"/>
  <c r="J2" i="7"/>
  <c r="I2" i="7"/>
  <c r="H2" i="7"/>
  <c r="G2" i="7"/>
  <c r="F2" i="7"/>
  <c r="E2" i="7"/>
  <c r="D2" i="7"/>
  <c r="B2" i="7"/>
  <c r="A2" i="7"/>
  <c r="N78" i="178"/>
  <c r="M78" i="178"/>
  <c r="U64" i="178"/>
  <c r="T64" i="178"/>
  <c r="S64" i="178"/>
  <c r="R64" i="178"/>
  <c r="Q64" i="178"/>
  <c r="P64" i="178"/>
  <c r="O64" i="178"/>
  <c r="N64" i="178"/>
  <c r="M64" i="178"/>
  <c r="L64" i="178"/>
  <c r="K64" i="178"/>
  <c r="J64" i="178"/>
  <c r="I64" i="178"/>
  <c r="H64" i="178"/>
  <c r="G64" i="178"/>
  <c r="F64" i="178"/>
  <c r="E64" i="178"/>
  <c r="D64" i="178"/>
  <c r="T63" i="178"/>
  <c r="T65" i="178" s="1"/>
  <c r="T62" i="178"/>
  <c r="K62" i="178"/>
  <c r="T61" i="178"/>
  <c r="T60" i="178"/>
  <c r="K60" i="178"/>
  <c r="T59" i="178"/>
  <c r="S59" i="178"/>
  <c r="R59" i="178"/>
  <c r="Q59" i="178"/>
  <c r="P59" i="178"/>
  <c r="O59" i="178"/>
  <c r="N59" i="178"/>
  <c r="M59" i="178"/>
  <c r="K59" i="178"/>
  <c r="J59" i="178"/>
  <c r="I59" i="178"/>
  <c r="T58" i="178"/>
  <c r="S58" i="178"/>
  <c r="R58" i="178"/>
  <c r="O58" i="178"/>
  <c r="N58" i="178"/>
  <c r="M58" i="178"/>
  <c r="K58" i="178"/>
  <c r="T57" i="178"/>
  <c r="N57" i="178"/>
  <c r="K57" i="178"/>
  <c r="T56" i="178"/>
  <c r="S56" i="178"/>
  <c r="R56" i="178"/>
  <c r="Q56" i="178"/>
  <c r="P56" i="178"/>
  <c r="O56" i="178"/>
  <c r="N56" i="178"/>
  <c r="M56" i="178"/>
  <c r="K56" i="178"/>
  <c r="J56" i="178"/>
  <c r="I56" i="178"/>
  <c r="H56" i="178"/>
  <c r="G56" i="178"/>
  <c r="F56" i="178"/>
  <c r="E56" i="178"/>
  <c r="D56" i="178"/>
  <c r="L56" i="178" s="1"/>
  <c r="K55" i="178"/>
  <c r="T54" i="178"/>
  <c r="K54" i="178"/>
  <c r="K61" i="178" s="1"/>
  <c r="V43" i="178"/>
  <c r="U43" i="178"/>
  <c r="T43" i="178"/>
  <c r="S43" i="178"/>
  <c r="R43" i="178"/>
  <c r="Q43" i="178"/>
  <c r="P43" i="178"/>
  <c r="O43" i="178"/>
  <c r="N43" i="178"/>
  <c r="M43" i="178"/>
  <c r="L43" i="178"/>
  <c r="K43" i="178"/>
  <c r="J43" i="178"/>
  <c r="I43" i="178"/>
  <c r="H43" i="178"/>
  <c r="G43" i="178"/>
  <c r="F43" i="178"/>
  <c r="E43" i="178"/>
  <c r="D43" i="178"/>
  <c r="V42" i="178"/>
  <c r="U42" i="178"/>
  <c r="L42" i="178"/>
  <c r="V41" i="178"/>
  <c r="U41" i="178"/>
  <c r="L41" i="178"/>
  <c r="V40" i="178"/>
  <c r="U40" i="178"/>
  <c r="L40" i="178"/>
  <c r="V39" i="178"/>
  <c r="U39" i="178"/>
  <c r="L39" i="178"/>
  <c r="V38" i="178"/>
  <c r="U38" i="178"/>
  <c r="L38" i="178"/>
  <c r="V37" i="178"/>
  <c r="U37" i="178"/>
  <c r="L37" i="178"/>
  <c r="V36" i="178"/>
  <c r="U36" i="178"/>
  <c r="L36" i="178"/>
  <c r="T34" i="178"/>
  <c r="S34" i="178"/>
  <c r="R34" i="178"/>
  <c r="Q34" i="178"/>
  <c r="Q58" i="178" s="1"/>
  <c r="P34" i="178"/>
  <c r="P58" i="178" s="1"/>
  <c r="O34" i="178"/>
  <c r="N34" i="178"/>
  <c r="M34" i="178"/>
  <c r="K34" i="178"/>
  <c r="J34" i="178"/>
  <c r="J58" i="178" s="1"/>
  <c r="I34" i="178"/>
  <c r="I58" i="178" s="1"/>
  <c r="H34" i="178"/>
  <c r="G34" i="178"/>
  <c r="F34" i="178"/>
  <c r="E34" i="178"/>
  <c r="D34" i="178"/>
  <c r="V33" i="178"/>
  <c r="U33" i="178"/>
  <c r="L33" i="178"/>
  <c r="U32" i="178"/>
  <c r="L32" i="178"/>
  <c r="V32" i="178" s="1"/>
  <c r="V31" i="178"/>
  <c r="U31" i="178"/>
  <c r="L31" i="178"/>
  <c r="V30" i="178"/>
  <c r="U30" i="178"/>
  <c r="L30" i="178"/>
  <c r="V29" i="178"/>
  <c r="U29" i="178"/>
  <c r="L29" i="178"/>
  <c r="U28" i="178"/>
  <c r="AG5" i="178" s="1"/>
  <c r="L28" i="178"/>
  <c r="AG4" i="178" s="1"/>
  <c r="U24" i="178"/>
  <c r="L24" i="178"/>
  <c r="U23" i="178"/>
  <c r="L23" i="178"/>
  <c r="T21" i="178"/>
  <c r="S21" i="178"/>
  <c r="S54" i="178" s="1"/>
  <c r="S60" i="178" s="1"/>
  <c r="R21" i="178"/>
  <c r="R54" i="178" s="1"/>
  <c r="R60" i="178" s="1"/>
  <c r="Q21" i="178"/>
  <c r="P21" i="178"/>
  <c r="O21" i="178"/>
  <c r="O54" i="178" s="1"/>
  <c r="O60" i="178" s="1"/>
  <c r="N21" i="178"/>
  <c r="N54" i="178" s="1"/>
  <c r="N60" i="178" s="1"/>
  <c r="M21" i="178"/>
  <c r="M54" i="178" s="1"/>
  <c r="M60" i="178" s="1"/>
  <c r="K21" i="178"/>
  <c r="K25" i="178" s="1"/>
  <c r="K26" i="178" s="1"/>
  <c r="J21" i="178"/>
  <c r="I21" i="178"/>
  <c r="H21" i="178"/>
  <c r="G21" i="178"/>
  <c r="F21" i="178"/>
  <c r="E21" i="178"/>
  <c r="D21" i="178"/>
  <c r="V20" i="178"/>
  <c r="U20" i="178"/>
  <c r="L20" i="178"/>
  <c r="U19" i="178"/>
  <c r="L19" i="178"/>
  <c r="U18" i="178"/>
  <c r="V18" i="178" s="1"/>
  <c r="L18" i="178"/>
  <c r="AA17" i="178"/>
  <c r="Z17" i="178"/>
  <c r="U17" i="178"/>
  <c r="V17" i="178" s="1"/>
  <c r="L17" i="178"/>
  <c r="V16" i="178"/>
  <c r="U16" i="178"/>
  <c r="L16" i="178"/>
  <c r="R14" i="178"/>
  <c r="P14" i="178"/>
  <c r="O14" i="178"/>
  <c r="N14" i="178"/>
  <c r="M14" i="178"/>
  <c r="I14" i="178"/>
  <c r="G14" i="178"/>
  <c r="E14" i="178"/>
  <c r="D14" i="178"/>
  <c r="C14" i="178"/>
  <c r="V13" i="178"/>
  <c r="T13" i="178"/>
  <c r="T55" i="178" s="1"/>
  <c r="T25" i="178" s="1"/>
  <c r="T26" i="178" s="1"/>
  <c r="K13" i="178"/>
  <c r="V12" i="178"/>
  <c r="T12" i="178"/>
  <c r="S55" i="178" s="1"/>
  <c r="K12" i="178"/>
  <c r="J55" i="178" s="1"/>
  <c r="V11" i="178"/>
  <c r="T11" i="178"/>
  <c r="R55" i="178" s="1"/>
  <c r="K11" i="178"/>
  <c r="I55" i="178" s="1"/>
  <c r="T10" i="178"/>
  <c r="Q55" i="178" s="1"/>
  <c r="K10" i="178"/>
  <c r="H55" i="178" s="1"/>
  <c r="F10" i="178"/>
  <c r="V9" i="178"/>
  <c r="T9" i="178"/>
  <c r="P55" i="178" s="1"/>
  <c r="K9" i="178"/>
  <c r="G55" i="178" s="1"/>
  <c r="F9" i="178"/>
  <c r="T8" i="178"/>
  <c r="O55" i="178" s="1"/>
  <c r="K8" i="178"/>
  <c r="F55" i="178" s="1"/>
  <c r="F8" i="178"/>
  <c r="F59" i="178" s="1"/>
  <c r="T7" i="178"/>
  <c r="N55" i="178" s="1"/>
  <c r="K7" i="178"/>
  <c r="E55" i="178" s="1"/>
  <c r="F7" i="178"/>
  <c r="E59" i="178" s="1"/>
  <c r="T6" i="178"/>
  <c r="M55" i="178" s="1"/>
  <c r="K6" i="178"/>
  <c r="D55" i="178" s="1"/>
  <c r="F6" i="178"/>
  <c r="AH5" i="178"/>
  <c r="AH4" i="178"/>
  <c r="O78" i="179"/>
  <c r="N78" i="179"/>
  <c r="M78" i="179"/>
  <c r="F74" i="179"/>
  <c r="V65" i="179"/>
  <c r="U65" i="179"/>
  <c r="T65" i="179"/>
  <c r="S65" i="179"/>
  <c r="R65" i="179"/>
  <c r="Q65" i="179"/>
  <c r="P65" i="179"/>
  <c r="O65" i="179"/>
  <c r="N65" i="179"/>
  <c r="M65" i="179"/>
  <c r="L65" i="179"/>
  <c r="K65" i="179"/>
  <c r="J65" i="179"/>
  <c r="I65" i="179"/>
  <c r="H65" i="179"/>
  <c r="G65" i="179"/>
  <c r="F65" i="179"/>
  <c r="E65" i="179"/>
  <c r="D65" i="179"/>
  <c r="V64" i="179"/>
  <c r="U64" i="179"/>
  <c r="T64" i="179"/>
  <c r="S64" i="179"/>
  <c r="R64" i="179"/>
  <c r="Q64" i="179"/>
  <c r="P64" i="179"/>
  <c r="O64" i="179"/>
  <c r="N64" i="179"/>
  <c r="M64" i="179"/>
  <c r="L64" i="179"/>
  <c r="K64" i="179"/>
  <c r="J64" i="179"/>
  <c r="I64" i="179"/>
  <c r="H64" i="179"/>
  <c r="G64" i="179"/>
  <c r="F64" i="179"/>
  <c r="E64" i="179"/>
  <c r="D64" i="179"/>
  <c r="V63" i="179"/>
  <c r="U63" i="179"/>
  <c r="T63" i="179"/>
  <c r="S63" i="179"/>
  <c r="R63" i="179"/>
  <c r="Q63" i="179"/>
  <c r="P63" i="179"/>
  <c r="O63" i="179"/>
  <c r="N63" i="179"/>
  <c r="M63" i="179"/>
  <c r="L63" i="179"/>
  <c r="K63" i="179"/>
  <c r="J63" i="179"/>
  <c r="I63" i="179"/>
  <c r="H63" i="179"/>
  <c r="G63" i="179"/>
  <c r="F63" i="179"/>
  <c r="E63" i="179"/>
  <c r="D63" i="179"/>
  <c r="Y62" i="179"/>
  <c r="V62" i="179"/>
  <c r="U62" i="179"/>
  <c r="T62" i="179"/>
  <c r="S62" i="179"/>
  <c r="R62" i="179"/>
  <c r="Q62" i="179"/>
  <c r="P62" i="179"/>
  <c r="O62" i="179"/>
  <c r="N62" i="179"/>
  <c r="M62" i="179"/>
  <c r="L62" i="179"/>
  <c r="K62" i="179"/>
  <c r="J62" i="179"/>
  <c r="I62" i="179"/>
  <c r="H62" i="179"/>
  <c r="G62" i="179"/>
  <c r="F62" i="179"/>
  <c r="E62" i="179"/>
  <c r="D62" i="179"/>
  <c r="V61" i="179"/>
  <c r="U61" i="179"/>
  <c r="T61" i="179"/>
  <c r="S61" i="179"/>
  <c r="R61" i="179"/>
  <c r="Q61" i="179"/>
  <c r="P61" i="179"/>
  <c r="O61" i="179"/>
  <c r="N61" i="179"/>
  <c r="M61" i="179"/>
  <c r="L61" i="179"/>
  <c r="K61" i="179"/>
  <c r="J61" i="179"/>
  <c r="I61" i="179"/>
  <c r="H61" i="179"/>
  <c r="G61" i="179"/>
  <c r="F61" i="179"/>
  <c r="E61" i="179"/>
  <c r="D61" i="179"/>
  <c r="V60" i="179"/>
  <c r="U60" i="179"/>
  <c r="T60" i="179"/>
  <c r="S60" i="179"/>
  <c r="R60" i="179"/>
  <c r="Q60" i="179"/>
  <c r="P60" i="179"/>
  <c r="O60" i="179"/>
  <c r="N60" i="179"/>
  <c r="M60" i="179"/>
  <c r="L60" i="179"/>
  <c r="K60" i="179"/>
  <c r="J60" i="179"/>
  <c r="I60" i="179"/>
  <c r="H60" i="179"/>
  <c r="G60" i="179"/>
  <c r="F60" i="179"/>
  <c r="E60" i="179"/>
  <c r="D60" i="179"/>
  <c r="V59" i="179"/>
  <c r="U59" i="179"/>
  <c r="T59" i="179"/>
  <c r="S59" i="179"/>
  <c r="R59" i="179"/>
  <c r="Q59" i="179"/>
  <c r="P59" i="179"/>
  <c r="O59" i="179"/>
  <c r="N59" i="179"/>
  <c r="M59" i="179"/>
  <c r="L59" i="179"/>
  <c r="K59" i="179"/>
  <c r="J59" i="179"/>
  <c r="I59" i="179"/>
  <c r="H59" i="179"/>
  <c r="G59" i="179"/>
  <c r="F59" i="179"/>
  <c r="E59" i="179"/>
  <c r="D59" i="179"/>
  <c r="Y58" i="179"/>
  <c r="V58" i="179"/>
  <c r="U58" i="179"/>
  <c r="T58" i="179"/>
  <c r="S58" i="179"/>
  <c r="R58" i="179"/>
  <c r="Q58" i="179"/>
  <c r="P58" i="179"/>
  <c r="O58" i="179"/>
  <c r="N58" i="179"/>
  <c r="M58" i="179"/>
  <c r="L58" i="179"/>
  <c r="K58" i="179"/>
  <c r="J58" i="179"/>
  <c r="I58" i="179"/>
  <c r="H58" i="179"/>
  <c r="G58" i="179"/>
  <c r="F58" i="179"/>
  <c r="E58" i="179"/>
  <c r="D58" i="179"/>
  <c r="V57" i="179"/>
  <c r="U57" i="179"/>
  <c r="T57" i="179"/>
  <c r="S57" i="179"/>
  <c r="R57" i="179"/>
  <c r="Q57" i="179"/>
  <c r="P57" i="179"/>
  <c r="O57" i="179"/>
  <c r="N57" i="179"/>
  <c r="M57" i="179"/>
  <c r="L57" i="179"/>
  <c r="K57" i="179"/>
  <c r="J57" i="179"/>
  <c r="I57" i="179"/>
  <c r="H57" i="179"/>
  <c r="G57" i="179"/>
  <c r="F57" i="179"/>
  <c r="E57" i="179"/>
  <c r="D57" i="179"/>
  <c r="V56" i="179"/>
  <c r="U56" i="179"/>
  <c r="T56" i="179"/>
  <c r="S56" i="179"/>
  <c r="R56" i="179"/>
  <c r="Q56" i="179"/>
  <c r="P56" i="179"/>
  <c r="O56" i="179"/>
  <c r="N56" i="179"/>
  <c r="M56" i="179"/>
  <c r="L56" i="179"/>
  <c r="K56" i="179"/>
  <c r="J56" i="179"/>
  <c r="I56" i="179"/>
  <c r="H56" i="179"/>
  <c r="G56" i="179"/>
  <c r="F56" i="179"/>
  <c r="E56" i="179"/>
  <c r="D56" i="179"/>
  <c r="V55" i="179"/>
  <c r="U55" i="179"/>
  <c r="T55" i="179"/>
  <c r="S55" i="179"/>
  <c r="R55" i="179"/>
  <c r="Q55" i="179"/>
  <c r="P55" i="179"/>
  <c r="O55" i="179"/>
  <c r="N55" i="179"/>
  <c r="M55" i="179"/>
  <c r="L55" i="179"/>
  <c r="K55" i="179"/>
  <c r="J55" i="179"/>
  <c r="I55" i="179"/>
  <c r="H55" i="179"/>
  <c r="G55" i="179"/>
  <c r="F55" i="179"/>
  <c r="E55" i="179"/>
  <c r="D55" i="179"/>
  <c r="V54" i="179"/>
  <c r="U54" i="179"/>
  <c r="T54" i="179"/>
  <c r="S54" i="179"/>
  <c r="R54" i="179"/>
  <c r="Q54" i="179"/>
  <c r="P54" i="179"/>
  <c r="O54" i="179"/>
  <c r="N54" i="179"/>
  <c r="M54" i="179"/>
  <c r="L54" i="179"/>
  <c r="K54" i="179"/>
  <c r="J54" i="179"/>
  <c r="I54" i="179"/>
  <c r="H54" i="179"/>
  <c r="G54" i="179"/>
  <c r="F54" i="179"/>
  <c r="E54" i="179"/>
  <c r="D54" i="179"/>
  <c r="V43" i="179"/>
  <c r="U43" i="179"/>
  <c r="T43" i="179"/>
  <c r="S43" i="179"/>
  <c r="R43" i="179"/>
  <c r="Q43" i="179"/>
  <c r="P43" i="179"/>
  <c r="O43" i="179"/>
  <c r="N43" i="179"/>
  <c r="M43" i="179"/>
  <c r="L43" i="179"/>
  <c r="K43" i="179"/>
  <c r="J43" i="179"/>
  <c r="I43" i="179"/>
  <c r="H43" i="179"/>
  <c r="G43" i="179"/>
  <c r="F43" i="179"/>
  <c r="E43" i="179"/>
  <c r="D43" i="179"/>
  <c r="V42" i="179"/>
  <c r="U42" i="179"/>
  <c r="L42" i="179"/>
  <c r="V41" i="179"/>
  <c r="U41" i="179"/>
  <c r="L41" i="179"/>
  <c r="V40" i="179"/>
  <c r="U40" i="179"/>
  <c r="L40" i="179"/>
  <c r="V39" i="179"/>
  <c r="U39" i="179"/>
  <c r="L39" i="179"/>
  <c r="V38" i="179"/>
  <c r="U38" i="179"/>
  <c r="L38" i="179"/>
  <c r="V37" i="179"/>
  <c r="U37" i="179"/>
  <c r="L37" i="179"/>
  <c r="V36" i="179"/>
  <c r="U36" i="179"/>
  <c r="L36" i="179"/>
  <c r="V34" i="179"/>
  <c r="U34" i="179"/>
  <c r="T34" i="179"/>
  <c r="S34" i="179"/>
  <c r="R34" i="179"/>
  <c r="Q34" i="179"/>
  <c r="P34" i="179"/>
  <c r="O34" i="179"/>
  <c r="N34" i="179"/>
  <c r="M34" i="179"/>
  <c r="L34" i="179"/>
  <c r="K34" i="179"/>
  <c r="J34" i="179"/>
  <c r="I34" i="179"/>
  <c r="H34" i="179"/>
  <c r="G34" i="179"/>
  <c r="F34" i="179"/>
  <c r="E34" i="179"/>
  <c r="D34" i="179"/>
  <c r="V33" i="179"/>
  <c r="U33" i="179"/>
  <c r="L33" i="179"/>
  <c r="V32" i="179"/>
  <c r="U32" i="179"/>
  <c r="L32" i="179"/>
  <c r="V31" i="179"/>
  <c r="U31" i="179"/>
  <c r="L31" i="179"/>
  <c r="V30" i="179"/>
  <c r="U30" i="179"/>
  <c r="L30" i="179"/>
  <c r="V29" i="179"/>
  <c r="U29" i="179"/>
  <c r="L29" i="179"/>
  <c r="V28" i="179"/>
  <c r="U28" i="179"/>
  <c r="L28" i="179"/>
  <c r="V26" i="179"/>
  <c r="U26" i="179"/>
  <c r="T26" i="179"/>
  <c r="S26" i="179"/>
  <c r="R26" i="179"/>
  <c r="Q26" i="179"/>
  <c r="P26" i="179"/>
  <c r="O26" i="179"/>
  <c r="N26" i="179"/>
  <c r="M26" i="179"/>
  <c r="L26" i="179"/>
  <c r="K26" i="179"/>
  <c r="J26" i="179"/>
  <c r="I26" i="179"/>
  <c r="H26" i="179"/>
  <c r="G26" i="179"/>
  <c r="F26" i="179"/>
  <c r="E26" i="179"/>
  <c r="D26" i="179"/>
  <c r="V25" i="179"/>
  <c r="U25" i="179"/>
  <c r="T25" i="179"/>
  <c r="S25" i="179"/>
  <c r="R25" i="179"/>
  <c r="Q25" i="179"/>
  <c r="P25" i="179"/>
  <c r="O25" i="179"/>
  <c r="N25" i="179"/>
  <c r="M25" i="179"/>
  <c r="L25" i="179"/>
  <c r="K25" i="179"/>
  <c r="J25" i="179"/>
  <c r="I25" i="179"/>
  <c r="H25" i="179"/>
  <c r="G25" i="179"/>
  <c r="F25" i="179"/>
  <c r="E25" i="179"/>
  <c r="D25" i="179"/>
  <c r="V24" i="179"/>
  <c r="U24" i="179"/>
  <c r="L24" i="179"/>
  <c r="V23" i="179"/>
  <c r="U23" i="179"/>
  <c r="L23" i="179"/>
  <c r="V21" i="179"/>
  <c r="U21" i="179"/>
  <c r="T21" i="179"/>
  <c r="S21" i="179"/>
  <c r="R21" i="179"/>
  <c r="Q21" i="179"/>
  <c r="P21" i="179"/>
  <c r="O21" i="179"/>
  <c r="N21" i="179"/>
  <c r="M21" i="179"/>
  <c r="L21" i="179"/>
  <c r="K21" i="179"/>
  <c r="J21" i="179"/>
  <c r="I21" i="179"/>
  <c r="H21" i="179"/>
  <c r="G21" i="179"/>
  <c r="F21" i="179"/>
  <c r="E21" i="179"/>
  <c r="D21" i="179"/>
  <c r="V20" i="179"/>
  <c r="U20" i="179"/>
  <c r="L20" i="179"/>
  <c r="V19" i="179"/>
  <c r="U19" i="179"/>
  <c r="L19" i="179"/>
  <c r="V18" i="179"/>
  <c r="U18" i="179"/>
  <c r="L18" i="179"/>
  <c r="AA17" i="179"/>
  <c r="Z17" i="179"/>
  <c r="V17" i="179"/>
  <c r="U17" i="179"/>
  <c r="L17" i="179"/>
  <c r="V16" i="179"/>
  <c r="U16" i="179"/>
  <c r="L16" i="179"/>
  <c r="V14" i="179"/>
  <c r="T14" i="179"/>
  <c r="R14" i="179"/>
  <c r="P14" i="179"/>
  <c r="O14" i="179"/>
  <c r="N14" i="179"/>
  <c r="M14" i="179"/>
  <c r="K14" i="179"/>
  <c r="I14" i="179"/>
  <c r="G14" i="179"/>
  <c r="F14" i="179"/>
  <c r="E14" i="179"/>
  <c r="D14" i="179"/>
  <c r="C14" i="179"/>
  <c r="V13" i="179"/>
  <c r="T13" i="179"/>
  <c r="K13" i="179"/>
  <c r="V12" i="179"/>
  <c r="T12" i="179"/>
  <c r="K12" i="179"/>
  <c r="V11" i="179"/>
  <c r="T11" i="179"/>
  <c r="K11" i="179"/>
  <c r="V10" i="179"/>
  <c r="T10" i="179"/>
  <c r="K10" i="179"/>
  <c r="V9" i="179"/>
  <c r="T9" i="179"/>
  <c r="K9" i="179"/>
  <c r="V8" i="179"/>
  <c r="T8" i="179"/>
  <c r="K8" i="179"/>
  <c r="V7" i="179"/>
  <c r="T7" i="179"/>
  <c r="K7" i="179"/>
  <c r="V6" i="179"/>
  <c r="T6" i="179"/>
  <c r="K6" i="179"/>
  <c r="AH5" i="179"/>
  <c r="AG5" i="179"/>
  <c r="AF5" i="179"/>
  <c r="AE5" i="179"/>
  <c r="AD5" i="179"/>
  <c r="AC5" i="179"/>
  <c r="AB5" i="179"/>
  <c r="AA5" i="179"/>
  <c r="AH4" i="179"/>
  <c r="AG4" i="179"/>
  <c r="AF4" i="179"/>
  <c r="AE4" i="179"/>
  <c r="AD4" i="179"/>
  <c r="AC4" i="179"/>
  <c r="AB4" i="179"/>
  <c r="AA4" i="179"/>
  <c r="N78" i="206"/>
  <c r="M78" i="206"/>
  <c r="F74" i="206"/>
  <c r="U64" i="206"/>
  <c r="T64" i="206"/>
  <c r="S64" i="206"/>
  <c r="R64" i="206"/>
  <c r="Q64" i="206"/>
  <c r="P64" i="206"/>
  <c r="O64" i="206"/>
  <c r="N64" i="206"/>
  <c r="M64" i="206"/>
  <c r="L64" i="206"/>
  <c r="K64" i="206"/>
  <c r="J64" i="206"/>
  <c r="I64" i="206"/>
  <c r="H64" i="206"/>
  <c r="G64" i="206"/>
  <c r="F64" i="206"/>
  <c r="E64" i="206"/>
  <c r="D64" i="206"/>
  <c r="T60" i="206"/>
  <c r="K60" i="206"/>
  <c r="T59" i="206"/>
  <c r="S59" i="206"/>
  <c r="R59" i="206"/>
  <c r="Q59" i="206"/>
  <c r="P59" i="206"/>
  <c r="O59" i="206"/>
  <c r="N59" i="206"/>
  <c r="M59" i="206"/>
  <c r="K59" i="206"/>
  <c r="J59" i="206"/>
  <c r="I59" i="206"/>
  <c r="H59" i="206"/>
  <c r="G59" i="206"/>
  <c r="F59" i="206"/>
  <c r="E59" i="206"/>
  <c r="D59" i="206"/>
  <c r="T58" i="206"/>
  <c r="K58" i="206"/>
  <c r="T57" i="206"/>
  <c r="K57" i="206"/>
  <c r="T56" i="206"/>
  <c r="S56" i="206"/>
  <c r="R56" i="206"/>
  <c r="Q56" i="206"/>
  <c r="P56" i="206"/>
  <c r="O56" i="206"/>
  <c r="N56" i="206"/>
  <c r="M56" i="206"/>
  <c r="K56" i="206"/>
  <c r="J56" i="206"/>
  <c r="I56" i="206"/>
  <c r="H56" i="206"/>
  <c r="G56" i="206"/>
  <c r="F56" i="206"/>
  <c r="E56" i="206"/>
  <c r="D56" i="206"/>
  <c r="T55" i="206"/>
  <c r="K55" i="206"/>
  <c r="I55" i="206"/>
  <c r="F55" i="206"/>
  <c r="T54" i="206"/>
  <c r="T62" i="206" s="1"/>
  <c r="V43" i="206"/>
  <c r="U43" i="206"/>
  <c r="T43" i="206"/>
  <c r="S43" i="206"/>
  <c r="R43" i="206"/>
  <c r="Q43" i="206"/>
  <c r="P43" i="206"/>
  <c r="O43" i="206"/>
  <c r="N43" i="206"/>
  <c r="M43" i="206"/>
  <c r="L43" i="206"/>
  <c r="K43" i="206"/>
  <c r="J43" i="206"/>
  <c r="I43" i="206"/>
  <c r="H43" i="206"/>
  <c r="G43" i="206"/>
  <c r="F43" i="206"/>
  <c r="E43" i="206"/>
  <c r="D43" i="206"/>
  <c r="V42" i="206"/>
  <c r="U42" i="206"/>
  <c r="L42" i="206"/>
  <c r="V41" i="206"/>
  <c r="U41" i="206"/>
  <c r="L41" i="206"/>
  <c r="V40" i="206"/>
  <c r="U40" i="206"/>
  <c r="L40" i="206"/>
  <c r="V39" i="206"/>
  <c r="U39" i="206"/>
  <c r="L39" i="206"/>
  <c r="V38" i="206"/>
  <c r="U38" i="206"/>
  <c r="L38" i="206"/>
  <c r="V37" i="206"/>
  <c r="U37" i="206"/>
  <c r="L37" i="206"/>
  <c r="V36" i="206"/>
  <c r="U36" i="206"/>
  <c r="L36" i="206"/>
  <c r="T34" i="206"/>
  <c r="S34" i="206"/>
  <c r="S58" i="206" s="1"/>
  <c r="R34" i="206"/>
  <c r="Q34" i="206"/>
  <c r="Q58" i="206" s="1"/>
  <c r="P34" i="206"/>
  <c r="P58" i="206" s="1"/>
  <c r="O34" i="206"/>
  <c r="N34" i="206"/>
  <c r="N58" i="206" s="1"/>
  <c r="M34" i="206"/>
  <c r="K34" i="206"/>
  <c r="K25" i="206" s="1"/>
  <c r="K26" i="206" s="1"/>
  <c r="J34" i="206"/>
  <c r="J58" i="206" s="1"/>
  <c r="I34" i="206"/>
  <c r="I58" i="206" s="1"/>
  <c r="H34" i="206"/>
  <c r="H58" i="206" s="1"/>
  <c r="G34" i="206"/>
  <c r="G58" i="206" s="1"/>
  <c r="F34" i="206"/>
  <c r="F58" i="206" s="1"/>
  <c r="E34" i="206"/>
  <c r="E58" i="206" s="1"/>
  <c r="D34" i="206"/>
  <c r="D58" i="206" s="1"/>
  <c r="V33" i="206"/>
  <c r="U33" i="206"/>
  <c r="L33" i="206"/>
  <c r="U32" i="206"/>
  <c r="L32" i="206"/>
  <c r="U31" i="206"/>
  <c r="L31" i="206"/>
  <c r="V31" i="206" s="1"/>
  <c r="V30" i="206"/>
  <c r="U30" i="206"/>
  <c r="L30" i="206"/>
  <c r="V29" i="206"/>
  <c r="U29" i="206"/>
  <c r="L29" i="206"/>
  <c r="U28" i="206"/>
  <c r="L28" i="206"/>
  <c r="AG4" i="206" s="1"/>
  <c r="T25" i="206"/>
  <c r="T26" i="206" s="1"/>
  <c r="U24" i="206"/>
  <c r="L24" i="206"/>
  <c r="U23" i="206"/>
  <c r="L23" i="206"/>
  <c r="T21" i="206"/>
  <c r="S21" i="206"/>
  <c r="S57" i="206" s="1"/>
  <c r="R21" i="206"/>
  <c r="R57" i="206" s="1"/>
  <c r="Q21" i="206"/>
  <c r="P21" i="206"/>
  <c r="P57" i="206" s="1"/>
  <c r="O21" i="206"/>
  <c r="O57" i="206" s="1"/>
  <c r="N21" i="206"/>
  <c r="N57" i="206" s="1"/>
  <c r="M21" i="206"/>
  <c r="M57" i="206" s="1"/>
  <c r="K21" i="206"/>
  <c r="J21" i="206"/>
  <c r="J57" i="206" s="1"/>
  <c r="I21" i="206"/>
  <c r="I57" i="206" s="1"/>
  <c r="H21" i="206"/>
  <c r="H57" i="206" s="1"/>
  <c r="G21" i="206"/>
  <c r="G57" i="206" s="1"/>
  <c r="F21" i="206"/>
  <c r="F57" i="206" s="1"/>
  <c r="E21" i="206"/>
  <c r="E57" i="206" s="1"/>
  <c r="D21" i="206"/>
  <c r="D57" i="206" s="1"/>
  <c r="V20" i="206"/>
  <c r="U20" i="206"/>
  <c r="L20" i="206"/>
  <c r="U19" i="206"/>
  <c r="L19" i="206"/>
  <c r="V18" i="206"/>
  <c r="U18" i="206"/>
  <c r="L18" i="206"/>
  <c r="AA17" i="206"/>
  <c r="Z17" i="206"/>
  <c r="V17" i="206"/>
  <c r="U17" i="206"/>
  <c r="L17" i="206"/>
  <c r="V16" i="206"/>
  <c r="U16" i="206"/>
  <c r="L16" i="206"/>
  <c r="R14" i="206"/>
  <c r="P14" i="206"/>
  <c r="O14" i="206"/>
  <c r="AA5" i="206" s="1"/>
  <c r="N14" i="206"/>
  <c r="M14" i="206"/>
  <c r="I14" i="206"/>
  <c r="G14" i="206"/>
  <c r="F14" i="206"/>
  <c r="E14" i="206"/>
  <c r="D14" i="206"/>
  <c r="C14" i="206"/>
  <c r="V13" i="206"/>
  <c r="T13" i="206"/>
  <c r="K13" i="206"/>
  <c r="V12" i="206"/>
  <c r="T12" i="206"/>
  <c r="S55" i="206" s="1"/>
  <c r="K12" i="206"/>
  <c r="J55" i="206" s="1"/>
  <c r="V11" i="206"/>
  <c r="T11" i="206"/>
  <c r="R55" i="206" s="1"/>
  <c r="R25" i="206" s="1"/>
  <c r="R26" i="206" s="1"/>
  <c r="V10" i="206"/>
  <c r="T10" i="206"/>
  <c r="Q55" i="206" s="1"/>
  <c r="K10" i="206"/>
  <c r="H55" i="206" s="1"/>
  <c r="V9" i="206"/>
  <c r="T9" i="206"/>
  <c r="P55" i="206" s="1"/>
  <c r="K9" i="206"/>
  <c r="G55" i="206" s="1"/>
  <c r="V8" i="206"/>
  <c r="T8" i="206"/>
  <c r="O55" i="206" s="1"/>
  <c r="K8" i="206"/>
  <c r="V7" i="206"/>
  <c r="T7" i="206"/>
  <c r="N55" i="206" s="1"/>
  <c r="K7" i="206"/>
  <c r="E55" i="206" s="1"/>
  <c r="V6" i="206"/>
  <c r="T6" i="206"/>
  <c r="M55" i="206" s="1"/>
  <c r="K6" i="206"/>
  <c r="AH5" i="206"/>
  <c r="AG5" i="206"/>
  <c r="AH4" i="206"/>
  <c r="N78" i="180"/>
  <c r="M78" i="180"/>
  <c r="F74" i="180"/>
  <c r="U64" i="180"/>
  <c r="T64" i="180"/>
  <c r="T65" i="180" s="1"/>
  <c r="S64" i="180"/>
  <c r="R64" i="180"/>
  <c r="Q64" i="180"/>
  <c r="P64" i="180"/>
  <c r="O64" i="180"/>
  <c r="N64" i="180"/>
  <c r="M64" i="180"/>
  <c r="L64" i="180"/>
  <c r="K64" i="180"/>
  <c r="J64" i="180"/>
  <c r="I64" i="180"/>
  <c r="H64" i="180"/>
  <c r="G64" i="180"/>
  <c r="F64" i="180"/>
  <c r="E64" i="180"/>
  <c r="D64" i="180"/>
  <c r="T63" i="180"/>
  <c r="T62" i="180"/>
  <c r="T61" i="180"/>
  <c r="T60" i="180"/>
  <c r="K60" i="180"/>
  <c r="T59" i="180"/>
  <c r="S59" i="180"/>
  <c r="R59" i="180"/>
  <c r="Q59" i="180"/>
  <c r="P59" i="180"/>
  <c r="O59" i="180"/>
  <c r="N59" i="180"/>
  <c r="M59" i="180"/>
  <c r="K59" i="180"/>
  <c r="J59" i="180"/>
  <c r="I59" i="180"/>
  <c r="H59" i="180"/>
  <c r="G59" i="180"/>
  <c r="F59" i="180"/>
  <c r="E59" i="180"/>
  <c r="D59" i="180"/>
  <c r="T58" i="180"/>
  <c r="S58" i="180"/>
  <c r="R58" i="180"/>
  <c r="Q58" i="180"/>
  <c r="P58" i="180"/>
  <c r="O58" i="180"/>
  <c r="N58" i="180"/>
  <c r="M58" i="180"/>
  <c r="K58" i="180"/>
  <c r="J58" i="180"/>
  <c r="I58" i="180"/>
  <c r="H58" i="180"/>
  <c r="G58" i="180"/>
  <c r="F58" i="180"/>
  <c r="E58" i="180"/>
  <c r="D58" i="180"/>
  <c r="T57" i="180"/>
  <c r="K57" i="180"/>
  <c r="T56" i="180"/>
  <c r="S56" i="180"/>
  <c r="R56" i="180"/>
  <c r="Q56" i="180"/>
  <c r="P56" i="180"/>
  <c r="O56" i="180"/>
  <c r="N56" i="180"/>
  <c r="M56" i="180"/>
  <c r="U56" i="180" s="1"/>
  <c r="AD5" i="180" s="1"/>
  <c r="K56" i="180"/>
  <c r="J56" i="180"/>
  <c r="I56" i="180"/>
  <c r="H56" i="180"/>
  <c r="G56" i="180"/>
  <c r="F56" i="180"/>
  <c r="E56" i="180"/>
  <c r="D56" i="180"/>
  <c r="T55" i="180"/>
  <c r="K55" i="180"/>
  <c r="T54" i="180"/>
  <c r="Q54" i="180"/>
  <c r="V43" i="180"/>
  <c r="U43" i="180"/>
  <c r="T43" i="180"/>
  <c r="S43" i="180"/>
  <c r="R43" i="180"/>
  <c r="Q43" i="180"/>
  <c r="P43" i="180"/>
  <c r="O43" i="180"/>
  <c r="N43" i="180"/>
  <c r="M43" i="180"/>
  <c r="L43" i="180"/>
  <c r="K43" i="180"/>
  <c r="J43" i="180"/>
  <c r="I43" i="180"/>
  <c r="H43" i="180"/>
  <c r="G43" i="180"/>
  <c r="F43" i="180"/>
  <c r="E43" i="180"/>
  <c r="D43" i="180"/>
  <c r="V42" i="180"/>
  <c r="U42" i="180"/>
  <c r="L42" i="180"/>
  <c r="V41" i="180"/>
  <c r="U41" i="180"/>
  <c r="L41" i="180"/>
  <c r="V40" i="180"/>
  <c r="U40" i="180"/>
  <c r="L40" i="180"/>
  <c r="V39" i="180"/>
  <c r="U39" i="180"/>
  <c r="L39" i="180"/>
  <c r="V38" i="180"/>
  <c r="U38" i="180"/>
  <c r="L38" i="180"/>
  <c r="V37" i="180"/>
  <c r="U37" i="180"/>
  <c r="L37" i="180"/>
  <c r="V36" i="180"/>
  <c r="U36" i="180"/>
  <c r="L36" i="180"/>
  <c r="V34" i="180"/>
  <c r="U34" i="180"/>
  <c r="T34" i="180"/>
  <c r="S34" i="180"/>
  <c r="R34" i="180"/>
  <c r="Q34" i="180"/>
  <c r="P34" i="180"/>
  <c r="O34" i="180"/>
  <c r="N34" i="180"/>
  <c r="M34" i="180"/>
  <c r="L34" i="180"/>
  <c r="K34" i="180"/>
  <c r="J34" i="180"/>
  <c r="I34" i="180"/>
  <c r="H34" i="180"/>
  <c r="G34" i="180"/>
  <c r="F34" i="180"/>
  <c r="E34" i="180"/>
  <c r="D34" i="180"/>
  <c r="V33" i="180"/>
  <c r="U33" i="180"/>
  <c r="L33" i="180"/>
  <c r="V32" i="180"/>
  <c r="U32" i="180"/>
  <c r="L32" i="180"/>
  <c r="V31" i="180"/>
  <c r="U31" i="180"/>
  <c r="L31" i="180"/>
  <c r="V30" i="180"/>
  <c r="U30" i="180"/>
  <c r="L30" i="180"/>
  <c r="V29" i="180"/>
  <c r="U29" i="180"/>
  <c r="L29" i="180"/>
  <c r="V28" i="180"/>
  <c r="U28" i="180"/>
  <c r="L28" i="180"/>
  <c r="T26" i="180"/>
  <c r="T25" i="180"/>
  <c r="K25" i="180"/>
  <c r="K26" i="180" s="1"/>
  <c r="U24" i="180"/>
  <c r="L24" i="180"/>
  <c r="U23" i="180"/>
  <c r="L23" i="180"/>
  <c r="T21" i="180"/>
  <c r="S21" i="180"/>
  <c r="S54" i="180" s="1"/>
  <c r="R21" i="180"/>
  <c r="R54" i="180" s="1"/>
  <c r="Q21" i="180"/>
  <c r="Q57" i="180" s="1"/>
  <c r="P21" i="180"/>
  <c r="P57" i="180" s="1"/>
  <c r="O21" i="180"/>
  <c r="O57" i="180" s="1"/>
  <c r="N21" i="180"/>
  <c r="N57" i="180" s="1"/>
  <c r="M21" i="180"/>
  <c r="M57" i="180" s="1"/>
  <c r="K21" i="180"/>
  <c r="K54" i="180" s="1"/>
  <c r="J21" i="180"/>
  <c r="J57" i="180" s="1"/>
  <c r="I21" i="180"/>
  <c r="I54" i="180" s="1"/>
  <c r="I60" i="180" s="1"/>
  <c r="H21" i="180"/>
  <c r="G21" i="180"/>
  <c r="G57" i="180" s="1"/>
  <c r="F21" i="180"/>
  <c r="F54" i="180" s="1"/>
  <c r="E21" i="180"/>
  <c r="E57" i="180" s="1"/>
  <c r="D21" i="180"/>
  <c r="D57" i="180" s="1"/>
  <c r="V20" i="180"/>
  <c r="U20" i="180"/>
  <c r="L20" i="180"/>
  <c r="U19" i="180"/>
  <c r="L19" i="180"/>
  <c r="V18" i="180"/>
  <c r="U18" i="180"/>
  <c r="L18" i="180"/>
  <c r="AA17" i="180"/>
  <c r="Z17" i="180"/>
  <c r="V17" i="180"/>
  <c r="U17" i="180"/>
  <c r="L17" i="180"/>
  <c r="V16" i="180"/>
  <c r="U16" i="180"/>
  <c r="L16" i="180"/>
  <c r="R14" i="180"/>
  <c r="P14" i="180"/>
  <c r="O14" i="180"/>
  <c r="N14" i="180"/>
  <c r="M14" i="180"/>
  <c r="I14" i="180"/>
  <c r="G14" i="180"/>
  <c r="F14" i="180"/>
  <c r="L59" i="180" s="1"/>
  <c r="E14" i="180"/>
  <c r="D14" i="180"/>
  <c r="C14" i="180"/>
  <c r="V13" i="180"/>
  <c r="T13" i="180"/>
  <c r="K13" i="180"/>
  <c r="V12" i="180"/>
  <c r="T12" i="180"/>
  <c r="S55" i="180" s="1"/>
  <c r="K12" i="180"/>
  <c r="J55" i="180" s="1"/>
  <c r="V11" i="180"/>
  <c r="T11" i="180"/>
  <c r="R55" i="180" s="1"/>
  <c r="K11" i="180"/>
  <c r="I55" i="180" s="1"/>
  <c r="V10" i="180"/>
  <c r="T10" i="180"/>
  <c r="Q55" i="180" s="1"/>
  <c r="K10" i="180"/>
  <c r="H55" i="180" s="1"/>
  <c r="V9" i="180"/>
  <c r="T9" i="180"/>
  <c r="P55" i="180" s="1"/>
  <c r="K9" i="180"/>
  <c r="G55" i="180" s="1"/>
  <c r="V8" i="180"/>
  <c r="T8" i="180"/>
  <c r="O55" i="180" s="1"/>
  <c r="K8" i="180"/>
  <c r="F55" i="180" s="1"/>
  <c r="V7" i="180"/>
  <c r="T7" i="180"/>
  <c r="N55" i="180" s="1"/>
  <c r="N25" i="180" s="1"/>
  <c r="N26" i="180" s="1"/>
  <c r="K7" i="180"/>
  <c r="E55" i="180" s="1"/>
  <c r="V6" i="180"/>
  <c r="T6" i="180"/>
  <c r="M55" i="180" s="1"/>
  <c r="K6" i="180"/>
  <c r="D55" i="180" s="1"/>
  <c r="AH5" i="180"/>
  <c r="AG5" i="180"/>
  <c r="AH4" i="180"/>
  <c r="AG4" i="180"/>
  <c r="N79" i="181"/>
  <c r="M79" i="181"/>
  <c r="U65" i="181"/>
  <c r="T65" i="181"/>
  <c r="T66" i="181" s="1"/>
  <c r="S65" i="181"/>
  <c r="R65" i="181"/>
  <c r="Q65" i="181"/>
  <c r="P65" i="181"/>
  <c r="O65" i="181"/>
  <c r="N65" i="181"/>
  <c r="M65" i="181"/>
  <c r="L65" i="181"/>
  <c r="K65" i="181"/>
  <c r="K66" i="181" s="1"/>
  <c r="J65" i="181"/>
  <c r="I65" i="181"/>
  <c r="H65" i="181"/>
  <c r="G65" i="181"/>
  <c r="F65" i="181"/>
  <c r="E65" i="181"/>
  <c r="D65" i="181"/>
  <c r="T64" i="181"/>
  <c r="K64" i="181"/>
  <c r="T63" i="181"/>
  <c r="K63" i="181"/>
  <c r="T62" i="181"/>
  <c r="K62" i="181"/>
  <c r="T61" i="181"/>
  <c r="K61" i="181"/>
  <c r="T60" i="181"/>
  <c r="S60" i="181"/>
  <c r="R60" i="181"/>
  <c r="Q60" i="181"/>
  <c r="P60" i="181"/>
  <c r="O60" i="181"/>
  <c r="N60" i="181"/>
  <c r="M60" i="181"/>
  <c r="K60" i="181"/>
  <c r="J60" i="181"/>
  <c r="I60" i="181"/>
  <c r="H60" i="181"/>
  <c r="G60" i="181"/>
  <c r="F60" i="181"/>
  <c r="E60" i="181"/>
  <c r="D60" i="181"/>
  <c r="T59" i="181"/>
  <c r="P59" i="181"/>
  <c r="M59" i="181"/>
  <c r="K59" i="181"/>
  <c r="J59" i="181"/>
  <c r="I59" i="181"/>
  <c r="H59" i="181"/>
  <c r="G59" i="181"/>
  <c r="F59" i="181"/>
  <c r="T58" i="181"/>
  <c r="K58" i="181"/>
  <c r="T57" i="181"/>
  <c r="S57" i="181"/>
  <c r="R57" i="181"/>
  <c r="Q57" i="181"/>
  <c r="P57" i="181"/>
  <c r="O57" i="181"/>
  <c r="N57" i="181"/>
  <c r="M57" i="181"/>
  <c r="K57" i="181"/>
  <c r="J57" i="181"/>
  <c r="I57" i="181"/>
  <c r="H57" i="181"/>
  <c r="G57" i="181"/>
  <c r="F57" i="181"/>
  <c r="E57" i="181"/>
  <c r="D57" i="181"/>
  <c r="T56" i="181"/>
  <c r="K56" i="181"/>
  <c r="T55" i="181"/>
  <c r="K55" i="181"/>
  <c r="V43" i="181"/>
  <c r="U43" i="181"/>
  <c r="T43" i="181"/>
  <c r="S43" i="181"/>
  <c r="R43" i="181"/>
  <c r="Q43" i="181"/>
  <c r="P43" i="181"/>
  <c r="O43" i="181"/>
  <c r="N43" i="181"/>
  <c r="M43" i="181"/>
  <c r="L43" i="181"/>
  <c r="K43" i="181"/>
  <c r="J43" i="181"/>
  <c r="I43" i="181"/>
  <c r="H43" i="181"/>
  <c r="G43" i="181"/>
  <c r="F43" i="181"/>
  <c r="E43" i="181"/>
  <c r="D43" i="181"/>
  <c r="V42" i="181"/>
  <c r="U42" i="181"/>
  <c r="L42" i="181"/>
  <c r="V41" i="181"/>
  <c r="U41" i="181"/>
  <c r="L41" i="181"/>
  <c r="V40" i="181"/>
  <c r="U40" i="181"/>
  <c r="L40" i="181"/>
  <c r="V39" i="181"/>
  <c r="U39" i="181"/>
  <c r="L39" i="181"/>
  <c r="V38" i="181"/>
  <c r="U38" i="181"/>
  <c r="L38" i="181"/>
  <c r="V37" i="181"/>
  <c r="U37" i="181"/>
  <c r="L37" i="181"/>
  <c r="V36" i="181"/>
  <c r="U36" i="181"/>
  <c r="L36" i="181"/>
  <c r="T34" i="181"/>
  <c r="S34" i="181"/>
  <c r="S59" i="181" s="1"/>
  <c r="R34" i="181"/>
  <c r="R59" i="181" s="1"/>
  <c r="Q34" i="181"/>
  <c r="P34" i="181"/>
  <c r="O34" i="181"/>
  <c r="O59" i="181" s="1"/>
  <c r="N34" i="181"/>
  <c r="N59" i="181" s="1"/>
  <c r="M34" i="181"/>
  <c r="K34" i="181"/>
  <c r="J34" i="181"/>
  <c r="I34" i="181"/>
  <c r="H34" i="181"/>
  <c r="G34" i="181"/>
  <c r="F34" i="181"/>
  <c r="E34" i="181"/>
  <c r="E59" i="181" s="1"/>
  <c r="D34" i="181"/>
  <c r="U33" i="181"/>
  <c r="V33" i="181" s="1"/>
  <c r="L33" i="181"/>
  <c r="U32" i="181"/>
  <c r="V32" i="181" s="1"/>
  <c r="L32" i="181"/>
  <c r="U31" i="181"/>
  <c r="V31" i="181" s="1"/>
  <c r="L31" i="181"/>
  <c r="U30" i="181"/>
  <c r="V30" i="181" s="1"/>
  <c r="L30" i="181"/>
  <c r="V29" i="181"/>
  <c r="U29" i="181"/>
  <c r="L29" i="181"/>
  <c r="U28" i="181"/>
  <c r="AG5" i="181" s="1"/>
  <c r="L28" i="181"/>
  <c r="AG4" i="181" s="1"/>
  <c r="T26" i="181"/>
  <c r="K26" i="181"/>
  <c r="T25" i="181"/>
  <c r="K25" i="181"/>
  <c r="U24" i="181"/>
  <c r="L24" i="181"/>
  <c r="U23" i="181"/>
  <c r="L23" i="181"/>
  <c r="T21" i="181"/>
  <c r="S21" i="181"/>
  <c r="S55" i="181" s="1"/>
  <c r="R21" i="181"/>
  <c r="R58" i="181" s="1"/>
  <c r="Q21" i="181"/>
  <c r="Q58" i="181" s="1"/>
  <c r="P21" i="181"/>
  <c r="P58" i="181" s="1"/>
  <c r="O21" i="181"/>
  <c r="O58" i="181" s="1"/>
  <c r="N21" i="181"/>
  <c r="N58" i="181" s="1"/>
  <c r="M21" i="181"/>
  <c r="M55" i="181" s="1"/>
  <c r="K21" i="181"/>
  <c r="J21" i="181"/>
  <c r="J58" i="181" s="1"/>
  <c r="I21" i="181"/>
  <c r="H21" i="181"/>
  <c r="H55" i="181" s="1"/>
  <c r="G21" i="181"/>
  <c r="G58" i="181" s="1"/>
  <c r="F21" i="181"/>
  <c r="F58" i="181" s="1"/>
  <c r="E21" i="181"/>
  <c r="D21" i="181"/>
  <c r="D58" i="181" s="1"/>
  <c r="V20" i="181"/>
  <c r="U20" i="181"/>
  <c r="L20" i="181"/>
  <c r="U19" i="181"/>
  <c r="L19" i="181"/>
  <c r="V18" i="181"/>
  <c r="U18" i="181"/>
  <c r="L18" i="181"/>
  <c r="AA17" i="181"/>
  <c r="Z17" i="181"/>
  <c r="V17" i="181"/>
  <c r="U17" i="181"/>
  <c r="L17" i="181"/>
  <c r="V16" i="181"/>
  <c r="U16" i="181"/>
  <c r="L16" i="181"/>
  <c r="R14" i="181"/>
  <c r="P14" i="181"/>
  <c r="O14" i="181"/>
  <c r="N14" i="181"/>
  <c r="M14" i="181"/>
  <c r="I14" i="181"/>
  <c r="G14" i="181"/>
  <c r="F14" i="181"/>
  <c r="E14" i="181"/>
  <c r="D14" i="181"/>
  <c r="C14" i="181"/>
  <c r="V13" i="181"/>
  <c r="T13" i="181"/>
  <c r="K13" i="181"/>
  <c r="V12" i="181"/>
  <c r="T12" i="181"/>
  <c r="S56" i="181" s="1"/>
  <c r="K12" i="181"/>
  <c r="J56" i="181" s="1"/>
  <c r="J25" i="181" s="1"/>
  <c r="J26" i="181" s="1"/>
  <c r="V11" i="181"/>
  <c r="T11" i="181"/>
  <c r="R56" i="181" s="1"/>
  <c r="R25" i="181" s="1"/>
  <c r="R26" i="181" s="1"/>
  <c r="K11" i="181"/>
  <c r="I56" i="181" s="1"/>
  <c r="V10" i="181"/>
  <c r="T10" i="181"/>
  <c r="Q56" i="181" s="1"/>
  <c r="K10" i="181"/>
  <c r="H56" i="181" s="1"/>
  <c r="V9" i="181"/>
  <c r="T9" i="181"/>
  <c r="P56" i="181" s="1"/>
  <c r="K9" i="181"/>
  <c r="G56" i="181" s="1"/>
  <c r="V8" i="181"/>
  <c r="T8" i="181"/>
  <c r="O56" i="181" s="1"/>
  <c r="O25" i="181" s="1"/>
  <c r="K8" i="181"/>
  <c r="F56" i="181" s="1"/>
  <c r="V7" i="181"/>
  <c r="T7" i="181"/>
  <c r="N56" i="181" s="1"/>
  <c r="N25" i="181" s="1"/>
  <c r="N26" i="181" s="1"/>
  <c r="K7" i="181"/>
  <c r="E56" i="181" s="1"/>
  <c r="V6" i="181"/>
  <c r="T6" i="181"/>
  <c r="M56" i="181" s="1"/>
  <c r="K6" i="181"/>
  <c r="D56" i="181" s="1"/>
  <c r="AH5" i="181"/>
  <c r="AH4" i="181"/>
  <c r="N78" i="182"/>
  <c r="M78" i="182"/>
  <c r="F74" i="182"/>
  <c r="J65" i="182"/>
  <c r="I65" i="182"/>
  <c r="D65" i="182"/>
  <c r="U64" i="182"/>
  <c r="T64" i="182"/>
  <c r="S64" i="182"/>
  <c r="R64" i="182"/>
  <c r="Q64" i="182"/>
  <c r="P64" i="182"/>
  <c r="O64" i="182"/>
  <c r="N64" i="182"/>
  <c r="M64" i="182"/>
  <c r="L64" i="182"/>
  <c r="K64" i="182"/>
  <c r="J64" i="182"/>
  <c r="I64" i="182"/>
  <c r="H64" i="182"/>
  <c r="G64" i="182"/>
  <c r="F64" i="182"/>
  <c r="E64" i="182"/>
  <c r="D64" i="182"/>
  <c r="L63" i="182"/>
  <c r="L65" i="182" s="1"/>
  <c r="K63" i="182"/>
  <c r="K65" i="182" s="1"/>
  <c r="J63" i="182"/>
  <c r="I63" i="182"/>
  <c r="H63" i="182"/>
  <c r="H65" i="182" s="1"/>
  <c r="G63" i="182"/>
  <c r="G65" i="182" s="1"/>
  <c r="F63" i="182"/>
  <c r="F65" i="182" s="1"/>
  <c r="E63" i="182"/>
  <c r="E65" i="182" s="1"/>
  <c r="D63" i="182"/>
  <c r="L62" i="182"/>
  <c r="K62" i="182"/>
  <c r="J62" i="182"/>
  <c r="I62" i="182"/>
  <c r="H62" i="182"/>
  <c r="G62" i="182"/>
  <c r="F62" i="182"/>
  <c r="E62" i="182"/>
  <c r="D62" i="182"/>
  <c r="L61" i="182"/>
  <c r="K61" i="182"/>
  <c r="J61" i="182"/>
  <c r="I61" i="182"/>
  <c r="H61" i="182"/>
  <c r="G61" i="182"/>
  <c r="F61" i="182"/>
  <c r="E61" i="182"/>
  <c r="D61" i="182"/>
  <c r="L60" i="182"/>
  <c r="K60" i="182"/>
  <c r="J60" i="182"/>
  <c r="I60" i="182"/>
  <c r="H60" i="182"/>
  <c r="G60" i="182"/>
  <c r="F60" i="182"/>
  <c r="E60" i="182"/>
  <c r="D60" i="182"/>
  <c r="T59" i="182"/>
  <c r="S59" i="182"/>
  <c r="R59" i="182"/>
  <c r="Q59" i="182"/>
  <c r="P59" i="182"/>
  <c r="O59" i="182"/>
  <c r="N59" i="182"/>
  <c r="M59" i="182"/>
  <c r="L59" i="182"/>
  <c r="K59" i="182"/>
  <c r="J59" i="182"/>
  <c r="I59" i="182"/>
  <c r="H59" i="182"/>
  <c r="G59" i="182"/>
  <c r="F59" i="182"/>
  <c r="E59" i="182"/>
  <c r="D59" i="182"/>
  <c r="T58" i="182"/>
  <c r="P58" i="182"/>
  <c r="L58" i="182"/>
  <c r="K58" i="182"/>
  <c r="J58" i="182"/>
  <c r="I58" i="182"/>
  <c r="H58" i="182"/>
  <c r="G58" i="182"/>
  <c r="F58" i="182"/>
  <c r="E58" i="182"/>
  <c r="D58" i="182"/>
  <c r="T57" i="182"/>
  <c r="L57" i="182"/>
  <c r="K57" i="182"/>
  <c r="J57" i="182"/>
  <c r="I57" i="182"/>
  <c r="H57" i="182"/>
  <c r="G57" i="182"/>
  <c r="F57" i="182"/>
  <c r="E57" i="182"/>
  <c r="D57" i="182"/>
  <c r="T56" i="182"/>
  <c r="S56" i="182"/>
  <c r="R56" i="182"/>
  <c r="Q56" i="182"/>
  <c r="P56" i="182"/>
  <c r="O56" i="182"/>
  <c r="N56" i="182"/>
  <c r="M56" i="182"/>
  <c r="K56" i="182"/>
  <c r="J56" i="182"/>
  <c r="I56" i="182"/>
  <c r="H56" i="182"/>
  <c r="G56" i="182"/>
  <c r="F56" i="182"/>
  <c r="E56" i="182"/>
  <c r="E25" i="182" s="1"/>
  <c r="E26" i="182" s="1"/>
  <c r="D56" i="182"/>
  <c r="T55" i="182"/>
  <c r="P55" i="182"/>
  <c r="K55" i="182"/>
  <c r="K25" i="182" s="1"/>
  <c r="K26" i="182" s="1"/>
  <c r="J55" i="182"/>
  <c r="I55" i="182"/>
  <c r="H55" i="182"/>
  <c r="H25" i="182" s="1"/>
  <c r="H26" i="182" s="1"/>
  <c r="G55" i="182"/>
  <c r="G25" i="182" s="1"/>
  <c r="G26" i="182" s="1"/>
  <c r="F55" i="182"/>
  <c r="F25" i="182" s="1"/>
  <c r="F26" i="182" s="1"/>
  <c r="E55" i="182"/>
  <c r="D55" i="182"/>
  <c r="L55" i="182" s="1"/>
  <c r="T54" i="182"/>
  <c r="T63" i="182" s="1"/>
  <c r="L54" i="182"/>
  <c r="K54" i="182"/>
  <c r="J54" i="182"/>
  <c r="I54" i="182"/>
  <c r="H54" i="182"/>
  <c r="G54" i="182"/>
  <c r="F54" i="182"/>
  <c r="E54" i="182"/>
  <c r="D54" i="182"/>
  <c r="V43" i="182"/>
  <c r="U43" i="182"/>
  <c r="T43" i="182"/>
  <c r="S43" i="182"/>
  <c r="R43" i="182"/>
  <c r="Q43" i="182"/>
  <c r="P43" i="182"/>
  <c r="O43" i="182"/>
  <c r="N43" i="182"/>
  <c r="M43" i="182"/>
  <c r="L43" i="182"/>
  <c r="K43" i="182"/>
  <c r="J43" i="182"/>
  <c r="I43" i="182"/>
  <c r="H43" i="182"/>
  <c r="G43" i="182"/>
  <c r="F43" i="182"/>
  <c r="E43" i="182"/>
  <c r="D43" i="182"/>
  <c r="V42" i="182"/>
  <c r="U42" i="182"/>
  <c r="L42" i="182"/>
  <c r="V41" i="182"/>
  <c r="U41" i="182"/>
  <c r="L41" i="182"/>
  <c r="V40" i="182"/>
  <c r="U40" i="182"/>
  <c r="L40" i="182"/>
  <c r="V39" i="182"/>
  <c r="U39" i="182"/>
  <c r="L39" i="182"/>
  <c r="V38" i="182"/>
  <c r="U38" i="182"/>
  <c r="L38" i="182"/>
  <c r="V37" i="182"/>
  <c r="U37" i="182"/>
  <c r="L37" i="182"/>
  <c r="V36" i="182"/>
  <c r="U36" i="182"/>
  <c r="L36" i="182"/>
  <c r="T34" i="182"/>
  <c r="S34" i="182"/>
  <c r="S58" i="182" s="1"/>
  <c r="R34" i="182"/>
  <c r="R58" i="182" s="1"/>
  <c r="Q34" i="182"/>
  <c r="Q58" i="182" s="1"/>
  <c r="P34" i="182"/>
  <c r="O34" i="182"/>
  <c r="O58" i="182" s="1"/>
  <c r="N34" i="182"/>
  <c r="N58" i="182" s="1"/>
  <c r="M34" i="182"/>
  <c r="M58" i="182" s="1"/>
  <c r="L34" i="182"/>
  <c r="K34" i="182"/>
  <c r="J34" i="182"/>
  <c r="I34" i="182"/>
  <c r="H34" i="182"/>
  <c r="G34" i="182"/>
  <c r="F34" i="182"/>
  <c r="E34" i="182"/>
  <c r="D34" i="182"/>
  <c r="V33" i="182"/>
  <c r="U33" i="182"/>
  <c r="L33" i="182"/>
  <c r="V32" i="182"/>
  <c r="U32" i="182"/>
  <c r="L32" i="182"/>
  <c r="U31" i="182"/>
  <c r="V31" i="182" s="1"/>
  <c r="L31" i="182"/>
  <c r="V30" i="182"/>
  <c r="U30" i="182"/>
  <c r="L30" i="182"/>
  <c r="V29" i="182"/>
  <c r="U29" i="182"/>
  <c r="L29" i="182"/>
  <c r="V28" i="182"/>
  <c r="U28" i="182"/>
  <c r="L28" i="182"/>
  <c r="T25" i="182"/>
  <c r="T26" i="182" s="1"/>
  <c r="J25" i="182"/>
  <c r="J26" i="182" s="1"/>
  <c r="I25" i="182"/>
  <c r="I26" i="182" s="1"/>
  <c r="D25" i="182"/>
  <c r="D26" i="182" s="1"/>
  <c r="U24" i="182"/>
  <c r="V24" i="182" s="1"/>
  <c r="L24" i="182"/>
  <c r="U23" i="182"/>
  <c r="V23" i="182" s="1"/>
  <c r="L23" i="182"/>
  <c r="T21" i="182"/>
  <c r="S21" i="182"/>
  <c r="S57" i="182" s="1"/>
  <c r="R21" i="182"/>
  <c r="R54" i="182" s="1"/>
  <c r="R60" i="182" s="1"/>
  <c r="Q21" i="182"/>
  <c r="Q57" i="182" s="1"/>
  <c r="P21" i="182"/>
  <c r="P57" i="182" s="1"/>
  <c r="O21" i="182"/>
  <c r="O57" i="182" s="1"/>
  <c r="N21" i="182"/>
  <c r="N57" i="182" s="1"/>
  <c r="M21" i="182"/>
  <c r="L21" i="182"/>
  <c r="K21" i="182"/>
  <c r="J21" i="182"/>
  <c r="I21" i="182"/>
  <c r="H21" i="182"/>
  <c r="G21" i="182"/>
  <c r="F21" i="182"/>
  <c r="E21" i="182"/>
  <c r="D21" i="182"/>
  <c r="V20" i="182"/>
  <c r="U20" i="182"/>
  <c r="L20" i="182"/>
  <c r="U19" i="182"/>
  <c r="V19" i="182" s="1"/>
  <c r="L19" i="182"/>
  <c r="V18" i="182"/>
  <c r="U18" i="182"/>
  <c r="L18" i="182"/>
  <c r="AA17" i="182"/>
  <c r="Z17" i="182"/>
  <c r="U17" i="182"/>
  <c r="V17" i="182" s="1"/>
  <c r="L17" i="182"/>
  <c r="V16" i="182"/>
  <c r="U16" i="182"/>
  <c r="L16" i="182"/>
  <c r="R14" i="182"/>
  <c r="P14" i="182"/>
  <c r="O14" i="182"/>
  <c r="N14" i="182"/>
  <c r="M14" i="182"/>
  <c r="K14" i="182"/>
  <c r="I14" i="182"/>
  <c r="G14" i="182"/>
  <c r="F14" i="182"/>
  <c r="E14" i="182"/>
  <c r="D14" i="182"/>
  <c r="C14" i="182"/>
  <c r="V13" i="182"/>
  <c r="T13" i="182"/>
  <c r="K13" i="182"/>
  <c r="V12" i="182"/>
  <c r="T12" i="182"/>
  <c r="S55" i="182" s="1"/>
  <c r="K12" i="182"/>
  <c r="V11" i="182"/>
  <c r="T11" i="182"/>
  <c r="R55" i="182" s="1"/>
  <c r="K11" i="182"/>
  <c r="V10" i="182"/>
  <c r="T10" i="182"/>
  <c r="Q55" i="182" s="1"/>
  <c r="K10" i="182"/>
  <c r="V9" i="182"/>
  <c r="T9" i="182"/>
  <c r="K9" i="182"/>
  <c r="V8" i="182"/>
  <c r="T8" i="182"/>
  <c r="O55" i="182" s="1"/>
  <c r="K8" i="182"/>
  <c r="V7" i="182"/>
  <c r="T7" i="182"/>
  <c r="N55" i="182" s="1"/>
  <c r="K7" i="182"/>
  <c r="V6" i="182"/>
  <c r="T6" i="182"/>
  <c r="M55" i="182" s="1"/>
  <c r="K6" i="182"/>
  <c r="AH5" i="182"/>
  <c r="AG5" i="182"/>
  <c r="AH4" i="182"/>
  <c r="AG4" i="182"/>
  <c r="AE4" i="182"/>
  <c r="AB4" i="182"/>
  <c r="AA4" i="182"/>
  <c r="N84" i="183"/>
  <c r="M84" i="183"/>
  <c r="F80" i="183"/>
  <c r="U70" i="183"/>
  <c r="T70" i="183"/>
  <c r="S70" i="183"/>
  <c r="R70" i="183"/>
  <c r="Q70" i="183"/>
  <c r="P70" i="183"/>
  <c r="O70" i="183"/>
  <c r="N70" i="183"/>
  <c r="M70" i="183"/>
  <c r="L70" i="183"/>
  <c r="K70" i="183"/>
  <c r="K71" i="183" s="1"/>
  <c r="J70" i="183"/>
  <c r="I70" i="183"/>
  <c r="H70" i="183"/>
  <c r="G70" i="183"/>
  <c r="F70" i="183"/>
  <c r="E70" i="183"/>
  <c r="D70" i="183"/>
  <c r="K69" i="183"/>
  <c r="K68" i="183"/>
  <c r="K67" i="183"/>
  <c r="T66" i="183"/>
  <c r="P66" i="183"/>
  <c r="K66" i="183"/>
  <c r="T65" i="183"/>
  <c r="S65" i="183"/>
  <c r="R65" i="183"/>
  <c r="Q65" i="183"/>
  <c r="P65" i="183"/>
  <c r="O65" i="183"/>
  <c r="N65" i="183"/>
  <c r="M65" i="183"/>
  <c r="K65" i="183"/>
  <c r="J65" i="183"/>
  <c r="I65" i="183"/>
  <c r="H65" i="183"/>
  <c r="G65" i="183"/>
  <c r="F65" i="183"/>
  <c r="E65" i="183"/>
  <c r="D65" i="183"/>
  <c r="T64" i="183"/>
  <c r="P64" i="183"/>
  <c r="K64" i="183"/>
  <c r="H64" i="183"/>
  <c r="G64" i="183"/>
  <c r="F64" i="183"/>
  <c r="D64" i="183"/>
  <c r="T63" i="183"/>
  <c r="P63" i="183"/>
  <c r="K63" i="183"/>
  <c r="G63" i="183"/>
  <c r="T62" i="183"/>
  <c r="S62" i="183"/>
  <c r="R62" i="183"/>
  <c r="Q62" i="183"/>
  <c r="P62" i="183"/>
  <c r="O62" i="183"/>
  <c r="N62" i="183"/>
  <c r="M62" i="183"/>
  <c r="K62" i="183"/>
  <c r="J62" i="183"/>
  <c r="I62" i="183"/>
  <c r="H62" i="183"/>
  <c r="G62" i="183"/>
  <c r="F62" i="183"/>
  <c r="E62" i="183"/>
  <c r="D62" i="183"/>
  <c r="T60" i="183"/>
  <c r="T68" i="183" s="1"/>
  <c r="K60" i="183"/>
  <c r="U43" i="183"/>
  <c r="AH5" i="183" s="1"/>
  <c r="T43" i="183"/>
  <c r="S43" i="183"/>
  <c r="R43" i="183"/>
  <c r="Q43" i="183"/>
  <c r="P43" i="183"/>
  <c r="O43" i="183"/>
  <c r="N43" i="183"/>
  <c r="M43" i="183"/>
  <c r="L43" i="183"/>
  <c r="AH4" i="183" s="1"/>
  <c r="K43" i="183"/>
  <c r="J43" i="183"/>
  <c r="I43" i="183"/>
  <c r="H43" i="183"/>
  <c r="G43" i="183"/>
  <c r="F43" i="183"/>
  <c r="E43" i="183"/>
  <c r="D43" i="183"/>
  <c r="U42" i="183"/>
  <c r="L42" i="183"/>
  <c r="V42" i="183" s="1"/>
  <c r="U41" i="183"/>
  <c r="L41" i="183"/>
  <c r="V41" i="183" s="1"/>
  <c r="U40" i="183"/>
  <c r="V40" i="183" s="1"/>
  <c r="L40" i="183"/>
  <c r="U39" i="183"/>
  <c r="V39" i="183" s="1"/>
  <c r="L39" i="183"/>
  <c r="U38" i="183"/>
  <c r="L38" i="183"/>
  <c r="V38" i="183" s="1"/>
  <c r="U37" i="183"/>
  <c r="L37" i="183"/>
  <c r="U36" i="183"/>
  <c r="L36" i="183"/>
  <c r="V36" i="183" s="1"/>
  <c r="T34" i="183"/>
  <c r="S34" i="183"/>
  <c r="S64" i="183" s="1"/>
  <c r="R34" i="183"/>
  <c r="R64" i="183" s="1"/>
  <c r="Q34" i="183"/>
  <c r="Q64" i="183" s="1"/>
  <c r="P34" i="183"/>
  <c r="P60" i="183" s="1"/>
  <c r="P69" i="183" s="1"/>
  <c r="P71" i="183" s="1"/>
  <c r="O34" i="183"/>
  <c r="O64" i="183" s="1"/>
  <c r="N34" i="183"/>
  <c r="N64" i="183" s="1"/>
  <c r="M34" i="183"/>
  <c r="K34" i="183"/>
  <c r="J34" i="183"/>
  <c r="I34" i="183"/>
  <c r="H34" i="183"/>
  <c r="G34" i="183"/>
  <c r="F34" i="183"/>
  <c r="E34" i="183"/>
  <c r="E64" i="183" s="1"/>
  <c r="D34" i="183"/>
  <c r="U33" i="183"/>
  <c r="L33" i="183"/>
  <c r="V33" i="183" s="1"/>
  <c r="U32" i="183"/>
  <c r="L32" i="183"/>
  <c r="V32" i="183" s="1"/>
  <c r="U31" i="183"/>
  <c r="L31" i="183"/>
  <c r="V31" i="183" s="1"/>
  <c r="U30" i="183"/>
  <c r="L30" i="183"/>
  <c r="U29" i="183"/>
  <c r="L29" i="183"/>
  <c r="V29" i="183" s="1"/>
  <c r="U28" i="183"/>
  <c r="AG5" i="183" s="1"/>
  <c r="L28" i="183"/>
  <c r="AG4" i="183" s="1"/>
  <c r="U24" i="183"/>
  <c r="L24" i="183"/>
  <c r="U23" i="183"/>
  <c r="L23" i="183"/>
  <c r="T21" i="183"/>
  <c r="S21" i="183"/>
  <c r="S63" i="183" s="1"/>
  <c r="R21" i="183"/>
  <c r="R63" i="183" s="1"/>
  <c r="Q21" i="183"/>
  <c r="Q60" i="183" s="1"/>
  <c r="Q66" i="183" s="1"/>
  <c r="P21" i="183"/>
  <c r="O21" i="183"/>
  <c r="O60" i="183" s="1"/>
  <c r="N21" i="183"/>
  <c r="N63" i="183" s="1"/>
  <c r="M21" i="183"/>
  <c r="M60" i="183" s="1"/>
  <c r="K21" i="183"/>
  <c r="J21" i="183"/>
  <c r="J63" i="183" s="1"/>
  <c r="I21" i="183"/>
  <c r="I63" i="183" s="1"/>
  <c r="H21" i="183"/>
  <c r="H63" i="183" s="1"/>
  <c r="G21" i="183"/>
  <c r="G60" i="183" s="1"/>
  <c r="G67" i="183" s="1"/>
  <c r="F21" i="183"/>
  <c r="F63" i="183" s="1"/>
  <c r="E21" i="183"/>
  <c r="E63" i="183" s="1"/>
  <c r="D21" i="183"/>
  <c r="D63" i="183" s="1"/>
  <c r="U20" i="183"/>
  <c r="L20" i="183"/>
  <c r="V20" i="183" s="1"/>
  <c r="U19" i="183"/>
  <c r="L19" i="183"/>
  <c r="V18" i="183"/>
  <c r="U18" i="183"/>
  <c r="L18" i="183"/>
  <c r="AA17" i="183"/>
  <c r="Z17" i="183"/>
  <c r="U17" i="183"/>
  <c r="V17" i="183" s="1"/>
  <c r="L17" i="183"/>
  <c r="U16" i="183"/>
  <c r="L16" i="183"/>
  <c r="V16" i="183" s="1"/>
  <c r="R14" i="183"/>
  <c r="P14" i="183"/>
  <c r="O14" i="183"/>
  <c r="AA5" i="183" s="1"/>
  <c r="N14" i="183"/>
  <c r="M14" i="183"/>
  <c r="I14" i="183"/>
  <c r="G14" i="183"/>
  <c r="F14" i="183"/>
  <c r="E14" i="183"/>
  <c r="D14" i="183"/>
  <c r="C14" i="183"/>
  <c r="V13" i="183"/>
  <c r="T13" i="183"/>
  <c r="T61" i="183" s="1"/>
  <c r="T25" i="183" s="1"/>
  <c r="T26" i="183" s="1"/>
  <c r="K13" i="183"/>
  <c r="K61" i="183" s="1"/>
  <c r="K25" i="183" s="1"/>
  <c r="K26" i="183" s="1"/>
  <c r="V12" i="183"/>
  <c r="T12" i="183"/>
  <c r="S61" i="183" s="1"/>
  <c r="K12" i="183"/>
  <c r="J61" i="183" s="1"/>
  <c r="V11" i="183"/>
  <c r="T11" i="183"/>
  <c r="R61" i="183" s="1"/>
  <c r="K11" i="183"/>
  <c r="I61" i="183" s="1"/>
  <c r="V10" i="183"/>
  <c r="T10" i="183"/>
  <c r="Q61" i="183" s="1"/>
  <c r="K10" i="183"/>
  <c r="H61" i="183" s="1"/>
  <c r="V9" i="183"/>
  <c r="T9" i="183"/>
  <c r="P61" i="183" s="1"/>
  <c r="K9" i="183"/>
  <c r="G61" i="183" s="1"/>
  <c r="V8" i="183"/>
  <c r="T8" i="183"/>
  <c r="O61" i="183" s="1"/>
  <c r="K8" i="183"/>
  <c r="F61" i="183" s="1"/>
  <c r="F25" i="183" s="1"/>
  <c r="F26" i="183" s="1"/>
  <c r="V7" i="183"/>
  <c r="T7" i="183"/>
  <c r="N61" i="183" s="1"/>
  <c r="N25" i="183" s="1"/>
  <c r="N26" i="183" s="1"/>
  <c r="K7" i="183"/>
  <c r="E61" i="183" s="1"/>
  <c r="V6" i="183"/>
  <c r="T6" i="183"/>
  <c r="K6" i="183"/>
  <c r="D61" i="183" s="1"/>
  <c r="N78" i="184"/>
  <c r="M78" i="184"/>
  <c r="F74" i="184"/>
  <c r="U64" i="184"/>
  <c r="T64" i="184"/>
  <c r="T65" i="184" s="1"/>
  <c r="S64" i="184"/>
  <c r="R64" i="184"/>
  <c r="Q64" i="184"/>
  <c r="P64" i="184"/>
  <c r="O64" i="184"/>
  <c r="N64" i="184"/>
  <c r="M64" i="184"/>
  <c r="L64" i="184"/>
  <c r="K64" i="184"/>
  <c r="K65" i="184" s="1"/>
  <c r="J64" i="184"/>
  <c r="I64" i="184"/>
  <c r="H64" i="184"/>
  <c r="G64" i="184"/>
  <c r="F64" i="184"/>
  <c r="E64" i="184"/>
  <c r="D64" i="184"/>
  <c r="T63" i="184"/>
  <c r="K63" i="184"/>
  <c r="T62" i="184"/>
  <c r="K62" i="184"/>
  <c r="G62" i="184"/>
  <c r="T61" i="184"/>
  <c r="K61" i="184"/>
  <c r="T60" i="184"/>
  <c r="P60" i="184"/>
  <c r="K60" i="184"/>
  <c r="G60" i="184"/>
  <c r="T59" i="184"/>
  <c r="S59" i="184"/>
  <c r="R59" i="184"/>
  <c r="Q59" i="184"/>
  <c r="P59" i="184"/>
  <c r="O59" i="184"/>
  <c r="N59" i="184"/>
  <c r="M59" i="184"/>
  <c r="K59" i="184"/>
  <c r="J59" i="184"/>
  <c r="I59" i="184"/>
  <c r="H59" i="184"/>
  <c r="G59" i="184"/>
  <c r="F59" i="184"/>
  <c r="E59" i="184"/>
  <c r="D59" i="184"/>
  <c r="T58" i="184"/>
  <c r="S58" i="184"/>
  <c r="R58" i="184"/>
  <c r="Q58" i="184"/>
  <c r="P58" i="184"/>
  <c r="O58" i="184"/>
  <c r="N58" i="184"/>
  <c r="M58" i="184"/>
  <c r="K58" i="184"/>
  <c r="J58" i="184"/>
  <c r="I58" i="184"/>
  <c r="H58" i="184"/>
  <c r="G58" i="184"/>
  <c r="F58" i="184"/>
  <c r="E58" i="184"/>
  <c r="T57" i="184"/>
  <c r="P57" i="184"/>
  <c r="K57" i="184"/>
  <c r="G57" i="184"/>
  <c r="T56" i="184"/>
  <c r="S56" i="184"/>
  <c r="R56" i="184"/>
  <c r="Q56" i="184"/>
  <c r="P56" i="184"/>
  <c r="O56" i="184"/>
  <c r="N56" i="184"/>
  <c r="M56" i="184"/>
  <c r="K56" i="184"/>
  <c r="J56" i="184"/>
  <c r="I56" i="184"/>
  <c r="H56" i="184"/>
  <c r="G56" i="184"/>
  <c r="F56" i="184"/>
  <c r="E56" i="184"/>
  <c r="D56" i="184"/>
  <c r="T55" i="184"/>
  <c r="P55" i="184"/>
  <c r="K55" i="184"/>
  <c r="G55" i="184"/>
  <c r="F55" i="184"/>
  <c r="T54" i="184"/>
  <c r="K54" i="184"/>
  <c r="J54" i="184"/>
  <c r="J63" i="184" s="1"/>
  <c r="G54" i="184"/>
  <c r="G61" i="184" s="1"/>
  <c r="V43" i="184"/>
  <c r="U43" i="184"/>
  <c r="T43" i="184"/>
  <c r="S43" i="184"/>
  <c r="R43" i="184"/>
  <c r="Q43" i="184"/>
  <c r="P43" i="184"/>
  <c r="O43" i="184"/>
  <c r="N43" i="184"/>
  <c r="M43" i="184"/>
  <c r="L43" i="184"/>
  <c r="K43" i="184"/>
  <c r="J43" i="184"/>
  <c r="I43" i="184"/>
  <c r="H43" i="184"/>
  <c r="G43" i="184"/>
  <c r="F43" i="184"/>
  <c r="E43" i="184"/>
  <c r="D43" i="184"/>
  <c r="V42" i="184"/>
  <c r="U42" i="184"/>
  <c r="L42" i="184"/>
  <c r="V41" i="184"/>
  <c r="U41" i="184"/>
  <c r="L41" i="184"/>
  <c r="V40" i="184"/>
  <c r="U40" i="184"/>
  <c r="L40" i="184"/>
  <c r="V39" i="184"/>
  <c r="U39" i="184"/>
  <c r="L39" i="184"/>
  <c r="V38" i="184"/>
  <c r="U38" i="184"/>
  <c r="L38" i="184"/>
  <c r="V37" i="184"/>
  <c r="U37" i="184"/>
  <c r="L37" i="184"/>
  <c r="V36" i="184"/>
  <c r="U36" i="184"/>
  <c r="L36" i="184"/>
  <c r="U34" i="184"/>
  <c r="T34" i="184"/>
  <c r="S34" i="184"/>
  <c r="R34" i="184"/>
  <c r="Q34" i="184"/>
  <c r="P34" i="184"/>
  <c r="O34" i="184"/>
  <c r="N34" i="184"/>
  <c r="M34" i="184"/>
  <c r="K34" i="184"/>
  <c r="J34" i="184"/>
  <c r="I34" i="184"/>
  <c r="H34" i="184"/>
  <c r="G34" i="184"/>
  <c r="F34" i="184"/>
  <c r="E34" i="184"/>
  <c r="D34" i="184"/>
  <c r="D58" i="184" s="1"/>
  <c r="V33" i="184"/>
  <c r="U33" i="184"/>
  <c r="L33" i="184"/>
  <c r="V32" i="184"/>
  <c r="U32" i="184"/>
  <c r="L32" i="184"/>
  <c r="V31" i="184"/>
  <c r="U31" i="184"/>
  <c r="L31" i="184"/>
  <c r="V30" i="184"/>
  <c r="U30" i="184"/>
  <c r="L30" i="184"/>
  <c r="V29" i="184"/>
  <c r="U29" i="184"/>
  <c r="L29" i="184"/>
  <c r="U28" i="184"/>
  <c r="L28" i="184"/>
  <c r="V28" i="184" s="1"/>
  <c r="T26" i="184"/>
  <c r="K26" i="184"/>
  <c r="T25" i="184"/>
  <c r="P25" i="184"/>
  <c r="P26" i="184" s="1"/>
  <c r="K25" i="184"/>
  <c r="G25" i="184"/>
  <c r="G26" i="184" s="1"/>
  <c r="U24" i="184"/>
  <c r="L24" i="184"/>
  <c r="U23" i="184"/>
  <c r="L23" i="184"/>
  <c r="T21" i="184"/>
  <c r="S21" i="184"/>
  <c r="S57" i="184" s="1"/>
  <c r="R21" i="184"/>
  <c r="R54" i="184" s="1"/>
  <c r="Q21" i="184"/>
  <c r="Q54" i="184" s="1"/>
  <c r="Q60" i="184" s="1"/>
  <c r="P21" i="184"/>
  <c r="P54" i="184" s="1"/>
  <c r="P63" i="184" s="1"/>
  <c r="P65" i="184" s="1"/>
  <c r="O21" i="184"/>
  <c r="O54" i="184" s="1"/>
  <c r="N21" i="184"/>
  <c r="N57" i="184" s="1"/>
  <c r="M21" i="184"/>
  <c r="M57" i="184" s="1"/>
  <c r="K21" i="184"/>
  <c r="J21" i="184"/>
  <c r="J57" i="184" s="1"/>
  <c r="I21" i="184"/>
  <c r="I57" i="184" s="1"/>
  <c r="H21" i="184"/>
  <c r="H57" i="184" s="1"/>
  <c r="G21" i="184"/>
  <c r="F21" i="184"/>
  <c r="F54" i="184" s="1"/>
  <c r="E21" i="184"/>
  <c r="E54" i="184" s="1"/>
  <c r="D21" i="184"/>
  <c r="V20" i="184"/>
  <c r="U20" i="184"/>
  <c r="L20" i="184"/>
  <c r="U19" i="184"/>
  <c r="L19" i="184"/>
  <c r="V18" i="184"/>
  <c r="U18" i="184"/>
  <c r="L18" i="184"/>
  <c r="AA17" i="184"/>
  <c r="Z17" i="184"/>
  <c r="U17" i="184"/>
  <c r="V17" i="184" s="1"/>
  <c r="L17" i="184"/>
  <c r="V16" i="184"/>
  <c r="U16" i="184"/>
  <c r="L16" i="184"/>
  <c r="R14" i="184"/>
  <c r="P14" i="184"/>
  <c r="O14" i="184"/>
  <c r="U58" i="184" s="1"/>
  <c r="N14" i="184"/>
  <c r="M14" i="184"/>
  <c r="I14" i="184"/>
  <c r="G14" i="184"/>
  <c r="F14" i="184"/>
  <c r="AA4" i="184" s="1"/>
  <c r="E14" i="184"/>
  <c r="D14" i="184"/>
  <c r="C14" i="184"/>
  <c r="V13" i="184"/>
  <c r="T13" i="184"/>
  <c r="K13" i="184"/>
  <c r="V12" i="184"/>
  <c r="T12" i="184"/>
  <c r="S55" i="184" s="1"/>
  <c r="K12" i="184"/>
  <c r="J55" i="184" s="1"/>
  <c r="V11" i="184"/>
  <c r="T11" i="184"/>
  <c r="R55" i="184" s="1"/>
  <c r="K11" i="184"/>
  <c r="I55" i="184" s="1"/>
  <c r="V10" i="184"/>
  <c r="T10" i="184"/>
  <c r="Q55" i="184" s="1"/>
  <c r="K10" i="184"/>
  <c r="H55" i="184" s="1"/>
  <c r="V9" i="184"/>
  <c r="T9" i="184"/>
  <c r="K9" i="184"/>
  <c r="V8" i="184"/>
  <c r="T8" i="184"/>
  <c r="O55" i="184" s="1"/>
  <c r="V7" i="184"/>
  <c r="T7" i="184"/>
  <c r="N55" i="184" s="1"/>
  <c r="K7" i="184"/>
  <c r="V6" i="184"/>
  <c r="T6" i="184"/>
  <c r="M55" i="184" s="1"/>
  <c r="K6" i="184"/>
  <c r="D55" i="184" s="1"/>
  <c r="AH5" i="184"/>
  <c r="AG5" i="184"/>
  <c r="AH4" i="184"/>
  <c r="AG4" i="184"/>
  <c r="O78" i="185"/>
  <c r="N78" i="185"/>
  <c r="M78" i="185"/>
  <c r="F74" i="185"/>
  <c r="V65" i="185"/>
  <c r="U65" i="185"/>
  <c r="T65" i="185"/>
  <c r="S65" i="185"/>
  <c r="R65" i="185"/>
  <c r="Q65" i="185"/>
  <c r="P65" i="185"/>
  <c r="O65" i="185"/>
  <c r="N65" i="185"/>
  <c r="M65" i="185"/>
  <c r="L65" i="185"/>
  <c r="K65" i="185"/>
  <c r="J65" i="185"/>
  <c r="I65" i="185"/>
  <c r="H65" i="185"/>
  <c r="G65" i="185"/>
  <c r="F65" i="185"/>
  <c r="E65" i="185"/>
  <c r="D65" i="185"/>
  <c r="V64" i="185"/>
  <c r="U64" i="185"/>
  <c r="T64" i="185"/>
  <c r="S64" i="185"/>
  <c r="R64" i="185"/>
  <c r="Q64" i="185"/>
  <c r="P64" i="185"/>
  <c r="O64" i="185"/>
  <c r="N64" i="185"/>
  <c r="M64" i="185"/>
  <c r="L64" i="185"/>
  <c r="K64" i="185"/>
  <c r="J64" i="185"/>
  <c r="I64" i="185"/>
  <c r="H64" i="185"/>
  <c r="G64" i="185"/>
  <c r="F64" i="185"/>
  <c r="E64" i="185"/>
  <c r="D64" i="185"/>
  <c r="V63" i="185"/>
  <c r="U63" i="185"/>
  <c r="T63" i="185"/>
  <c r="S63" i="185"/>
  <c r="R63" i="185"/>
  <c r="Q63" i="185"/>
  <c r="P63" i="185"/>
  <c r="O63" i="185"/>
  <c r="N63" i="185"/>
  <c r="M63" i="185"/>
  <c r="L63" i="185"/>
  <c r="K63" i="185"/>
  <c r="J63" i="185"/>
  <c r="I63" i="185"/>
  <c r="H63" i="185"/>
  <c r="G63" i="185"/>
  <c r="F63" i="185"/>
  <c r="E63" i="185"/>
  <c r="D63" i="185"/>
  <c r="Y62" i="185"/>
  <c r="V62" i="185"/>
  <c r="U62" i="185"/>
  <c r="T62" i="185"/>
  <c r="S62" i="185"/>
  <c r="R62" i="185"/>
  <c r="Q62" i="185"/>
  <c r="P62" i="185"/>
  <c r="O62" i="185"/>
  <c r="N62" i="185"/>
  <c r="M62" i="185"/>
  <c r="L62" i="185"/>
  <c r="K62" i="185"/>
  <c r="J62" i="185"/>
  <c r="I62" i="185"/>
  <c r="H62" i="185"/>
  <c r="G62" i="185"/>
  <c r="F62" i="185"/>
  <c r="E62" i="185"/>
  <c r="D62" i="185"/>
  <c r="V61" i="185"/>
  <c r="U61" i="185"/>
  <c r="T61" i="185"/>
  <c r="S61" i="185"/>
  <c r="R61" i="185"/>
  <c r="Q61" i="185"/>
  <c r="P61" i="185"/>
  <c r="O61" i="185"/>
  <c r="N61" i="185"/>
  <c r="M61" i="185"/>
  <c r="L61" i="185"/>
  <c r="K61" i="185"/>
  <c r="J61" i="185"/>
  <c r="I61" i="185"/>
  <c r="H61" i="185"/>
  <c r="G61" i="185"/>
  <c r="F61" i="185"/>
  <c r="E61" i="185"/>
  <c r="D61" i="185"/>
  <c r="V60" i="185"/>
  <c r="U60" i="185"/>
  <c r="T60" i="185"/>
  <c r="S60" i="185"/>
  <c r="R60" i="185"/>
  <c r="Q60" i="185"/>
  <c r="P60" i="185"/>
  <c r="O60" i="185"/>
  <c r="N60" i="185"/>
  <c r="M60" i="185"/>
  <c r="L60" i="185"/>
  <c r="K60" i="185"/>
  <c r="J60" i="185"/>
  <c r="I60" i="185"/>
  <c r="H60" i="185"/>
  <c r="G60" i="185"/>
  <c r="F60" i="185"/>
  <c r="E60" i="185"/>
  <c r="D60" i="185"/>
  <c r="V59" i="185"/>
  <c r="U59" i="185"/>
  <c r="T59" i="185"/>
  <c r="S59" i="185"/>
  <c r="R59" i="185"/>
  <c r="Q59" i="185"/>
  <c r="P59" i="185"/>
  <c r="O59" i="185"/>
  <c r="N59" i="185"/>
  <c r="M59" i="185"/>
  <c r="L59" i="185"/>
  <c r="K59" i="185"/>
  <c r="J59" i="185"/>
  <c r="I59" i="185"/>
  <c r="H59" i="185"/>
  <c r="G59" i="185"/>
  <c r="F59" i="185"/>
  <c r="E59" i="185"/>
  <c r="D59" i="185"/>
  <c r="Y58" i="185"/>
  <c r="V58" i="185"/>
  <c r="U58" i="185"/>
  <c r="T58" i="185"/>
  <c r="S58" i="185"/>
  <c r="R58" i="185"/>
  <c r="Q58" i="185"/>
  <c r="P58" i="185"/>
  <c r="O58" i="185"/>
  <c r="N58" i="185"/>
  <c r="M58" i="185"/>
  <c r="L58" i="185"/>
  <c r="K58" i="185"/>
  <c r="J58" i="185"/>
  <c r="I58" i="185"/>
  <c r="H58" i="185"/>
  <c r="G58" i="185"/>
  <c r="F58" i="185"/>
  <c r="E58" i="185"/>
  <c r="D58" i="185"/>
  <c r="V57" i="185"/>
  <c r="U57" i="185"/>
  <c r="T57" i="185"/>
  <c r="S57" i="185"/>
  <c r="R57" i="185"/>
  <c r="Q57" i="185"/>
  <c r="P57" i="185"/>
  <c r="O57" i="185"/>
  <c r="N57" i="185"/>
  <c r="M57" i="185"/>
  <c r="L57" i="185"/>
  <c r="K57" i="185"/>
  <c r="J57" i="185"/>
  <c r="I57" i="185"/>
  <c r="H57" i="185"/>
  <c r="G57" i="185"/>
  <c r="F57" i="185"/>
  <c r="E57" i="185"/>
  <c r="D57" i="185"/>
  <c r="V56" i="185"/>
  <c r="U56" i="185"/>
  <c r="T56" i="185"/>
  <c r="S56" i="185"/>
  <c r="R56" i="185"/>
  <c r="Q56" i="185"/>
  <c r="P56" i="185"/>
  <c r="O56" i="185"/>
  <c r="N56" i="185"/>
  <c r="M56" i="185"/>
  <c r="L56" i="185"/>
  <c r="K56" i="185"/>
  <c r="J56" i="185"/>
  <c r="I56" i="185"/>
  <c r="H56" i="185"/>
  <c r="G56" i="185"/>
  <c r="F56" i="185"/>
  <c r="E56" i="185"/>
  <c r="D56" i="185"/>
  <c r="V55" i="185"/>
  <c r="U55" i="185"/>
  <c r="T55" i="185"/>
  <c r="S55" i="185"/>
  <c r="R55" i="185"/>
  <c r="Q55" i="185"/>
  <c r="P55" i="185"/>
  <c r="O55" i="185"/>
  <c r="N55" i="185"/>
  <c r="M55" i="185"/>
  <c r="L55" i="185"/>
  <c r="K55" i="185"/>
  <c r="J55" i="185"/>
  <c r="I55" i="185"/>
  <c r="H55" i="185"/>
  <c r="G55" i="185"/>
  <c r="F55" i="185"/>
  <c r="E55" i="185"/>
  <c r="D55" i="185"/>
  <c r="V54" i="185"/>
  <c r="U54" i="185"/>
  <c r="T54" i="185"/>
  <c r="S54" i="185"/>
  <c r="R54" i="185"/>
  <c r="Q54" i="185"/>
  <c r="P54" i="185"/>
  <c r="O54" i="185"/>
  <c r="N54" i="185"/>
  <c r="M54" i="185"/>
  <c r="L54" i="185"/>
  <c r="K54" i="185"/>
  <c r="J54" i="185"/>
  <c r="I54" i="185"/>
  <c r="H54" i="185"/>
  <c r="G54" i="185"/>
  <c r="F54" i="185"/>
  <c r="E54" i="185"/>
  <c r="D54" i="185"/>
  <c r="V43" i="185"/>
  <c r="U43" i="185"/>
  <c r="T43" i="185"/>
  <c r="S43" i="185"/>
  <c r="R43" i="185"/>
  <c r="Q43" i="185"/>
  <c r="P43" i="185"/>
  <c r="O43" i="185"/>
  <c r="N43" i="185"/>
  <c r="M43" i="185"/>
  <c r="L43" i="185"/>
  <c r="K43" i="185"/>
  <c r="J43" i="185"/>
  <c r="I43" i="185"/>
  <c r="H43" i="185"/>
  <c r="G43" i="185"/>
  <c r="F43" i="185"/>
  <c r="E43" i="185"/>
  <c r="D43" i="185"/>
  <c r="V42" i="185"/>
  <c r="U42" i="185"/>
  <c r="L42" i="185"/>
  <c r="V41" i="185"/>
  <c r="U41" i="185"/>
  <c r="L41" i="185"/>
  <c r="V40" i="185"/>
  <c r="U40" i="185"/>
  <c r="L40" i="185"/>
  <c r="V39" i="185"/>
  <c r="U39" i="185"/>
  <c r="L39" i="185"/>
  <c r="V38" i="185"/>
  <c r="U38" i="185"/>
  <c r="L38" i="185"/>
  <c r="V37" i="185"/>
  <c r="U37" i="185"/>
  <c r="L37" i="185"/>
  <c r="V36" i="185"/>
  <c r="U36" i="185"/>
  <c r="L36" i="185"/>
  <c r="V34" i="185"/>
  <c r="U34" i="185"/>
  <c r="T34" i="185"/>
  <c r="S34" i="185"/>
  <c r="R34" i="185"/>
  <c r="Q34" i="185"/>
  <c r="P34" i="185"/>
  <c r="O34" i="185"/>
  <c r="N34" i="185"/>
  <c r="M34" i="185"/>
  <c r="L34" i="185"/>
  <c r="K34" i="185"/>
  <c r="J34" i="185"/>
  <c r="I34" i="185"/>
  <c r="H34" i="185"/>
  <c r="G34" i="185"/>
  <c r="F34" i="185"/>
  <c r="E34" i="185"/>
  <c r="D34" i="185"/>
  <c r="V33" i="185"/>
  <c r="U33" i="185"/>
  <c r="L33" i="185"/>
  <c r="V32" i="185"/>
  <c r="U32" i="185"/>
  <c r="L32" i="185"/>
  <c r="V31" i="185"/>
  <c r="U31" i="185"/>
  <c r="L31" i="185"/>
  <c r="V30" i="185"/>
  <c r="U30" i="185"/>
  <c r="L30" i="185"/>
  <c r="V29" i="185"/>
  <c r="U29" i="185"/>
  <c r="L29" i="185"/>
  <c r="V28" i="185"/>
  <c r="U28" i="185"/>
  <c r="L28" i="185"/>
  <c r="V26" i="185"/>
  <c r="U26" i="185"/>
  <c r="T26" i="185"/>
  <c r="S26" i="185"/>
  <c r="R26" i="185"/>
  <c r="Q26" i="185"/>
  <c r="P26" i="185"/>
  <c r="O26" i="185"/>
  <c r="N26" i="185"/>
  <c r="M26" i="185"/>
  <c r="L26" i="185"/>
  <c r="K26" i="185"/>
  <c r="J26" i="185"/>
  <c r="I26" i="185"/>
  <c r="H26" i="185"/>
  <c r="G26" i="185"/>
  <c r="F26" i="185"/>
  <c r="E26" i="185"/>
  <c r="D26" i="185"/>
  <c r="V25" i="185"/>
  <c r="U25" i="185"/>
  <c r="T25" i="185"/>
  <c r="S25" i="185"/>
  <c r="R25" i="185"/>
  <c r="Q25" i="185"/>
  <c r="P25" i="185"/>
  <c r="O25" i="185"/>
  <c r="N25" i="185"/>
  <c r="M25" i="185"/>
  <c r="L25" i="185"/>
  <c r="K25" i="185"/>
  <c r="J25" i="185"/>
  <c r="I25" i="185"/>
  <c r="H25" i="185"/>
  <c r="G25" i="185"/>
  <c r="F25" i="185"/>
  <c r="E25" i="185"/>
  <c r="D25" i="185"/>
  <c r="V24" i="185"/>
  <c r="U24" i="185"/>
  <c r="L24" i="185"/>
  <c r="V23" i="185"/>
  <c r="U23" i="185"/>
  <c r="L23" i="185"/>
  <c r="V21" i="185"/>
  <c r="U21" i="185"/>
  <c r="T21" i="185"/>
  <c r="S21" i="185"/>
  <c r="R21" i="185"/>
  <c r="Q21" i="185"/>
  <c r="P21" i="185"/>
  <c r="O21" i="185"/>
  <c r="N21" i="185"/>
  <c r="M21" i="185"/>
  <c r="L21" i="185"/>
  <c r="K21" i="185"/>
  <c r="J21" i="185"/>
  <c r="I21" i="185"/>
  <c r="H21" i="185"/>
  <c r="G21" i="185"/>
  <c r="F21" i="185"/>
  <c r="E21" i="185"/>
  <c r="D21" i="185"/>
  <c r="V20" i="185"/>
  <c r="U20" i="185"/>
  <c r="L20" i="185"/>
  <c r="V19" i="185"/>
  <c r="U19" i="185"/>
  <c r="L19" i="185"/>
  <c r="V18" i="185"/>
  <c r="U18" i="185"/>
  <c r="L18" i="185"/>
  <c r="AA17" i="185"/>
  <c r="Z17" i="185"/>
  <c r="V17" i="185"/>
  <c r="U17" i="185"/>
  <c r="L17" i="185"/>
  <c r="V16" i="185"/>
  <c r="U16" i="185"/>
  <c r="L16" i="185"/>
  <c r="V14" i="185"/>
  <c r="T14" i="185"/>
  <c r="R14" i="185"/>
  <c r="P14" i="185"/>
  <c r="O14" i="185"/>
  <c r="N14" i="185"/>
  <c r="M14" i="185"/>
  <c r="K14" i="185"/>
  <c r="I14" i="185"/>
  <c r="G14" i="185"/>
  <c r="F14" i="185"/>
  <c r="E14" i="185"/>
  <c r="D14" i="185"/>
  <c r="C14" i="185"/>
  <c r="V13" i="185"/>
  <c r="T13" i="185"/>
  <c r="K13" i="185"/>
  <c r="V12" i="185"/>
  <c r="T12" i="185"/>
  <c r="K12" i="185"/>
  <c r="V11" i="185"/>
  <c r="T11" i="185"/>
  <c r="K11" i="185"/>
  <c r="V10" i="185"/>
  <c r="T10" i="185"/>
  <c r="K10" i="185"/>
  <c r="V9" i="185"/>
  <c r="T9" i="185"/>
  <c r="K9" i="185"/>
  <c r="V8" i="185"/>
  <c r="T8" i="185"/>
  <c r="K8" i="185"/>
  <c r="V7" i="185"/>
  <c r="T7" i="185"/>
  <c r="K7" i="185"/>
  <c r="V6" i="185"/>
  <c r="T6" i="185"/>
  <c r="K6" i="185"/>
  <c r="AH5" i="185"/>
  <c r="AG5" i="185"/>
  <c r="AF5" i="185"/>
  <c r="AE5" i="185"/>
  <c r="AD5" i="185"/>
  <c r="AC5" i="185"/>
  <c r="AB5" i="185"/>
  <c r="AA5" i="185"/>
  <c r="AH4" i="185"/>
  <c r="AG4" i="185"/>
  <c r="AF4" i="185"/>
  <c r="AE4" i="185"/>
  <c r="AD4" i="185"/>
  <c r="AC4" i="185"/>
  <c r="AB4" i="185"/>
  <c r="AA4" i="185"/>
  <c r="N78" i="207"/>
  <c r="M78" i="207"/>
  <c r="F74" i="207"/>
  <c r="T65" i="207"/>
  <c r="U64" i="207"/>
  <c r="T64" i="207"/>
  <c r="S64" i="207"/>
  <c r="R64" i="207"/>
  <c r="Q64" i="207"/>
  <c r="P64" i="207"/>
  <c r="O64" i="207"/>
  <c r="N64" i="207"/>
  <c r="M64" i="207"/>
  <c r="L64" i="207"/>
  <c r="K64" i="207"/>
  <c r="K65" i="207" s="1"/>
  <c r="J64" i="207"/>
  <c r="I64" i="207"/>
  <c r="H64" i="207"/>
  <c r="G64" i="207"/>
  <c r="F64" i="207"/>
  <c r="E64" i="207"/>
  <c r="D64" i="207"/>
  <c r="T63" i="207"/>
  <c r="M63" i="207"/>
  <c r="M65" i="207" s="1"/>
  <c r="K63" i="207"/>
  <c r="T62" i="207"/>
  <c r="P62" i="207"/>
  <c r="M62" i="207"/>
  <c r="K62" i="207"/>
  <c r="T61" i="207"/>
  <c r="M61" i="207"/>
  <c r="K61" i="207"/>
  <c r="T60" i="207"/>
  <c r="P60" i="207"/>
  <c r="M60" i="207"/>
  <c r="K60" i="207"/>
  <c r="T59" i="207"/>
  <c r="S59" i="207"/>
  <c r="R59" i="207"/>
  <c r="Q59" i="207"/>
  <c r="P59" i="207"/>
  <c r="O59" i="207"/>
  <c r="N59" i="207"/>
  <c r="M59" i="207"/>
  <c r="K59" i="207"/>
  <c r="J59" i="207"/>
  <c r="I59" i="207"/>
  <c r="H59" i="207"/>
  <c r="G59" i="207"/>
  <c r="F59" i="207"/>
  <c r="E59" i="207"/>
  <c r="D59" i="207"/>
  <c r="T58" i="207"/>
  <c r="S58" i="207"/>
  <c r="Q58" i="207"/>
  <c r="P58" i="207"/>
  <c r="O58" i="207"/>
  <c r="N58" i="207"/>
  <c r="M58" i="207"/>
  <c r="K58" i="207"/>
  <c r="I58" i="207"/>
  <c r="H58" i="207"/>
  <c r="G58" i="207"/>
  <c r="E58" i="207"/>
  <c r="D58" i="207"/>
  <c r="T57" i="207"/>
  <c r="S57" i="207"/>
  <c r="P57" i="207"/>
  <c r="M57" i="207"/>
  <c r="K57" i="207"/>
  <c r="G57" i="207"/>
  <c r="D57" i="207"/>
  <c r="T56" i="207"/>
  <c r="S56" i="207"/>
  <c r="R56" i="207"/>
  <c r="Q56" i="207"/>
  <c r="P56" i="207"/>
  <c r="O56" i="207"/>
  <c r="N56" i="207"/>
  <c r="M56" i="207"/>
  <c r="K56" i="207"/>
  <c r="J56" i="207"/>
  <c r="I56" i="207"/>
  <c r="H56" i="207"/>
  <c r="G56" i="207"/>
  <c r="F56" i="207"/>
  <c r="E56" i="207"/>
  <c r="D56" i="207"/>
  <c r="T55" i="207"/>
  <c r="P55" i="207"/>
  <c r="M55" i="207"/>
  <c r="K55" i="207"/>
  <c r="G55" i="207"/>
  <c r="D55" i="207"/>
  <c r="T54" i="207"/>
  <c r="P54" i="207"/>
  <c r="P61" i="207" s="1"/>
  <c r="M54" i="207"/>
  <c r="K54" i="207"/>
  <c r="D54" i="207"/>
  <c r="D63" i="207" s="1"/>
  <c r="V43" i="207"/>
  <c r="U43" i="207"/>
  <c r="T43" i="207"/>
  <c r="S43" i="207"/>
  <c r="R43" i="207"/>
  <c r="Q43" i="207"/>
  <c r="P43" i="207"/>
  <c r="O43" i="207"/>
  <c r="N43" i="207"/>
  <c r="M43" i="207"/>
  <c r="L43" i="207"/>
  <c r="K43" i="207"/>
  <c r="J43" i="207"/>
  <c r="I43" i="207"/>
  <c r="H43" i="207"/>
  <c r="G43" i="207"/>
  <c r="F43" i="207"/>
  <c r="E43" i="207"/>
  <c r="D43" i="207"/>
  <c r="V42" i="207"/>
  <c r="U42" i="207"/>
  <c r="L42" i="207"/>
  <c r="V41" i="207"/>
  <c r="U41" i="207"/>
  <c r="L41" i="207"/>
  <c r="V40" i="207"/>
  <c r="U40" i="207"/>
  <c r="L40" i="207"/>
  <c r="V39" i="207"/>
  <c r="U39" i="207"/>
  <c r="L39" i="207"/>
  <c r="V38" i="207"/>
  <c r="U38" i="207"/>
  <c r="L38" i="207"/>
  <c r="V37" i="207"/>
  <c r="U37" i="207"/>
  <c r="L37" i="207"/>
  <c r="V36" i="207"/>
  <c r="U36" i="207"/>
  <c r="L36" i="207"/>
  <c r="T34" i="207"/>
  <c r="S34" i="207"/>
  <c r="R34" i="207"/>
  <c r="R58" i="207" s="1"/>
  <c r="Q34" i="207"/>
  <c r="P34" i="207"/>
  <c r="O34" i="207"/>
  <c r="N34" i="207"/>
  <c r="M34" i="207"/>
  <c r="K34" i="207"/>
  <c r="J34" i="207"/>
  <c r="J58" i="207" s="1"/>
  <c r="I34" i="207"/>
  <c r="H34" i="207"/>
  <c r="G34" i="207"/>
  <c r="F34" i="207"/>
  <c r="F58" i="207" s="1"/>
  <c r="E34" i="207"/>
  <c r="D34" i="207"/>
  <c r="V33" i="207"/>
  <c r="U33" i="207"/>
  <c r="L33" i="207"/>
  <c r="V32" i="207"/>
  <c r="U32" i="207"/>
  <c r="L32" i="207"/>
  <c r="V31" i="207"/>
  <c r="U31" i="207"/>
  <c r="L31" i="207"/>
  <c r="V30" i="207"/>
  <c r="U30" i="207"/>
  <c r="L30" i="207"/>
  <c r="V29" i="207"/>
  <c r="U29" i="207"/>
  <c r="L29" i="207"/>
  <c r="U28" i="207"/>
  <c r="AG5" i="207" s="1"/>
  <c r="L28" i="207"/>
  <c r="AG4" i="207" s="1"/>
  <c r="T26" i="207"/>
  <c r="K26" i="207"/>
  <c r="T25" i="207"/>
  <c r="P25" i="207"/>
  <c r="P26" i="207" s="1"/>
  <c r="M25" i="207"/>
  <c r="M26" i="207" s="1"/>
  <c r="K25" i="207"/>
  <c r="D25" i="207"/>
  <c r="U24" i="207"/>
  <c r="L24" i="207"/>
  <c r="U23" i="207"/>
  <c r="L23" i="207"/>
  <c r="T21" i="207"/>
  <c r="S21" i="207"/>
  <c r="S54" i="207" s="1"/>
  <c r="R21" i="207"/>
  <c r="R57" i="207" s="1"/>
  <c r="Q21" i="207"/>
  <c r="Q57" i="207" s="1"/>
  <c r="P21" i="207"/>
  <c r="O21" i="207"/>
  <c r="O57" i="207" s="1"/>
  <c r="N21" i="207"/>
  <c r="M21" i="207"/>
  <c r="K21" i="207"/>
  <c r="J21" i="207"/>
  <c r="J57" i="207" s="1"/>
  <c r="I21" i="207"/>
  <c r="I57" i="207" s="1"/>
  <c r="H21" i="207"/>
  <c r="H57" i="207" s="1"/>
  <c r="G21" i="207"/>
  <c r="G54" i="207" s="1"/>
  <c r="F21" i="207"/>
  <c r="E21" i="207"/>
  <c r="E54" i="207" s="1"/>
  <c r="E60" i="207" s="1"/>
  <c r="D21" i="207"/>
  <c r="V20" i="207"/>
  <c r="U20" i="207"/>
  <c r="L20" i="207"/>
  <c r="U19" i="207"/>
  <c r="L19" i="207"/>
  <c r="V18" i="207"/>
  <c r="U18" i="207"/>
  <c r="L18" i="207"/>
  <c r="AA17" i="207"/>
  <c r="Z17" i="207"/>
  <c r="V17" i="207"/>
  <c r="U17" i="207"/>
  <c r="L17" i="207"/>
  <c r="V16" i="207"/>
  <c r="U16" i="207"/>
  <c r="L16" i="207"/>
  <c r="R14" i="207"/>
  <c r="P14" i="207"/>
  <c r="O14" i="207"/>
  <c r="N14" i="207"/>
  <c r="M14" i="207"/>
  <c r="I14" i="207"/>
  <c r="G14" i="207"/>
  <c r="F14" i="207"/>
  <c r="AA4" i="207" s="1"/>
  <c r="E14" i="207"/>
  <c r="D14" i="207"/>
  <c r="C14" i="207"/>
  <c r="V13" i="207"/>
  <c r="T13" i="207"/>
  <c r="K13" i="207"/>
  <c r="V12" i="207"/>
  <c r="T12" i="207"/>
  <c r="S55" i="207" s="1"/>
  <c r="K12" i="207"/>
  <c r="J55" i="207" s="1"/>
  <c r="V11" i="207"/>
  <c r="T11" i="207"/>
  <c r="R55" i="207" s="1"/>
  <c r="K11" i="207"/>
  <c r="I55" i="207" s="1"/>
  <c r="V10" i="207"/>
  <c r="T10" i="207"/>
  <c r="Q55" i="207" s="1"/>
  <c r="K10" i="207"/>
  <c r="H55" i="207" s="1"/>
  <c r="V9" i="207"/>
  <c r="T9" i="207"/>
  <c r="K9" i="207"/>
  <c r="V8" i="207"/>
  <c r="T8" i="207"/>
  <c r="O55" i="207" s="1"/>
  <c r="K8" i="207"/>
  <c r="F55" i="207" s="1"/>
  <c r="V7" i="207"/>
  <c r="T7" i="207"/>
  <c r="N55" i="207" s="1"/>
  <c r="N25" i="207" s="1"/>
  <c r="N26" i="207" s="1"/>
  <c r="K7" i="207"/>
  <c r="E55" i="207" s="1"/>
  <c r="V6" i="207"/>
  <c r="T6" i="207"/>
  <c r="K6" i="207"/>
  <c r="AH5" i="207"/>
  <c r="AH4" i="207"/>
  <c r="N78" i="186"/>
  <c r="M78" i="186"/>
  <c r="F74" i="186"/>
  <c r="U64" i="186"/>
  <c r="T64" i="186"/>
  <c r="T65" i="186" s="1"/>
  <c r="S64" i="186"/>
  <c r="R64" i="186"/>
  <c r="Q64" i="186"/>
  <c r="P64" i="186"/>
  <c r="O64" i="186"/>
  <c r="N64" i="186"/>
  <c r="M64" i="186"/>
  <c r="L64" i="186"/>
  <c r="K64" i="186"/>
  <c r="K65" i="186" s="1"/>
  <c r="J64" i="186"/>
  <c r="I64" i="186"/>
  <c r="H64" i="186"/>
  <c r="G64" i="186"/>
  <c r="F64" i="186"/>
  <c r="E64" i="186"/>
  <c r="D64" i="186"/>
  <c r="T63" i="186"/>
  <c r="K63" i="186"/>
  <c r="T62" i="186"/>
  <c r="K62" i="186"/>
  <c r="T61" i="186"/>
  <c r="K61" i="186"/>
  <c r="T60" i="186"/>
  <c r="K60" i="186"/>
  <c r="G60" i="186"/>
  <c r="T59" i="186"/>
  <c r="S59" i="186"/>
  <c r="R59" i="186"/>
  <c r="Q59" i="186"/>
  <c r="P59" i="186"/>
  <c r="O59" i="186"/>
  <c r="N59" i="186"/>
  <c r="M59" i="186"/>
  <c r="K59" i="186"/>
  <c r="J59" i="186"/>
  <c r="I59" i="186"/>
  <c r="H59" i="186"/>
  <c r="G59" i="186"/>
  <c r="F59" i="186"/>
  <c r="E59" i="186"/>
  <c r="D59" i="186"/>
  <c r="T58" i="186"/>
  <c r="S58" i="186"/>
  <c r="R58" i="186"/>
  <c r="K58" i="186"/>
  <c r="H58" i="186"/>
  <c r="G58" i="186"/>
  <c r="T57" i="186"/>
  <c r="K57" i="186"/>
  <c r="G57" i="186"/>
  <c r="T56" i="186"/>
  <c r="S56" i="186"/>
  <c r="R56" i="186"/>
  <c r="Q56" i="186"/>
  <c r="P56" i="186"/>
  <c r="O56" i="186"/>
  <c r="N56" i="186"/>
  <c r="M56" i="186"/>
  <c r="K56" i="186"/>
  <c r="J56" i="186"/>
  <c r="H56" i="186"/>
  <c r="G56" i="186"/>
  <c r="F56" i="186"/>
  <c r="E56" i="186"/>
  <c r="D56" i="186"/>
  <c r="T55" i="186"/>
  <c r="K55" i="186"/>
  <c r="G55" i="186"/>
  <c r="T54" i="186"/>
  <c r="K54" i="186"/>
  <c r="V43" i="186"/>
  <c r="U43" i="186"/>
  <c r="T43" i="186"/>
  <c r="S43" i="186"/>
  <c r="R43" i="186"/>
  <c r="Q43" i="186"/>
  <c r="P43" i="186"/>
  <c r="O43" i="186"/>
  <c r="N43" i="186"/>
  <c r="M43" i="186"/>
  <c r="L43" i="186"/>
  <c r="K43" i="186"/>
  <c r="J43" i="186"/>
  <c r="I43" i="186"/>
  <c r="H43" i="186"/>
  <c r="G43" i="186"/>
  <c r="F43" i="186"/>
  <c r="E43" i="186"/>
  <c r="D43" i="186"/>
  <c r="V42" i="186"/>
  <c r="U42" i="186"/>
  <c r="L42" i="186"/>
  <c r="V41" i="186"/>
  <c r="U41" i="186"/>
  <c r="L41" i="186"/>
  <c r="V40" i="186"/>
  <c r="U40" i="186"/>
  <c r="L40" i="186"/>
  <c r="V39" i="186"/>
  <c r="U39" i="186"/>
  <c r="L39" i="186"/>
  <c r="V38" i="186"/>
  <c r="U38" i="186"/>
  <c r="L38" i="186"/>
  <c r="V37" i="186"/>
  <c r="U37" i="186"/>
  <c r="L37" i="186"/>
  <c r="V36" i="186"/>
  <c r="U36" i="186"/>
  <c r="L36" i="186"/>
  <c r="T34" i="186"/>
  <c r="S34" i="186"/>
  <c r="R34" i="186"/>
  <c r="Q34" i="186"/>
  <c r="Q58" i="186" s="1"/>
  <c r="P34" i="186"/>
  <c r="P58" i="186" s="1"/>
  <c r="O34" i="186"/>
  <c r="O58" i="186" s="1"/>
  <c r="N34" i="186"/>
  <c r="N58" i="186" s="1"/>
  <c r="M34" i="186"/>
  <c r="K34" i="186"/>
  <c r="J34" i="186"/>
  <c r="J58" i="186" s="1"/>
  <c r="I34" i="186"/>
  <c r="I58" i="186" s="1"/>
  <c r="H34" i="186"/>
  <c r="G34" i="186"/>
  <c r="F34" i="186"/>
  <c r="F58" i="186" s="1"/>
  <c r="E34" i="186"/>
  <c r="E58" i="186" s="1"/>
  <c r="D34" i="186"/>
  <c r="D58" i="186" s="1"/>
  <c r="V33" i="186"/>
  <c r="U33" i="186"/>
  <c r="L33" i="186"/>
  <c r="V32" i="186"/>
  <c r="U32" i="186"/>
  <c r="L32" i="186"/>
  <c r="V31" i="186"/>
  <c r="U31" i="186"/>
  <c r="L31" i="186"/>
  <c r="V30" i="186"/>
  <c r="U30" i="186"/>
  <c r="L30" i="186"/>
  <c r="V29" i="186"/>
  <c r="U29" i="186"/>
  <c r="L29" i="186"/>
  <c r="U28" i="186"/>
  <c r="AG5" i="186" s="1"/>
  <c r="L28" i="186"/>
  <c r="AG4" i="186" s="1"/>
  <c r="T26" i="186"/>
  <c r="K26" i="186"/>
  <c r="I26" i="186"/>
  <c r="T25" i="186"/>
  <c r="K25" i="186"/>
  <c r="U24" i="186"/>
  <c r="L24" i="186"/>
  <c r="U23" i="186"/>
  <c r="L23" i="186"/>
  <c r="T21" i="186"/>
  <c r="S21" i="186"/>
  <c r="S57" i="186" s="1"/>
  <c r="R21" i="186"/>
  <c r="R54" i="186" s="1"/>
  <c r="Q21" i="186"/>
  <c r="P21" i="186"/>
  <c r="P57" i="186" s="1"/>
  <c r="O21" i="186"/>
  <c r="N21" i="186"/>
  <c r="N57" i="186" s="1"/>
  <c r="M21" i="186"/>
  <c r="M57" i="186" s="1"/>
  <c r="K21" i="186"/>
  <c r="J21" i="186"/>
  <c r="J54" i="186" s="1"/>
  <c r="J60" i="186" s="1"/>
  <c r="I21" i="186"/>
  <c r="I54" i="186" s="1"/>
  <c r="I60" i="186" s="1"/>
  <c r="H21" i="186"/>
  <c r="H54" i="186" s="1"/>
  <c r="G21" i="186"/>
  <c r="G25" i="186" s="1"/>
  <c r="G26" i="186" s="1"/>
  <c r="F21" i="186"/>
  <c r="F57" i="186" s="1"/>
  <c r="E21" i="186"/>
  <c r="E57" i="186" s="1"/>
  <c r="D21" i="186"/>
  <c r="D57" i="186" s="1"/>
  <c r="V20" i="186"/>
  <c r="U20" i="186"/>
  <c r="L20" i="186"/>
  <c r="U19" i="186"/>
  <c r="L19" i="186"/>
  <c r="U18" i="186"/>
  <c r="V18" i="186" s="1"/>
  <c r="L18" i="186"/>
  <c r="AA17" i="186"/>
  <c r="Z17" i="186"/>
  <c r="U17" i="186"/>
  <c r="V17" i="186" s="1"/>
  <c r="L17" i="186"/>
  <c r="V16" i="186"/>
  <c r="U16" i="186"/>
  <c r="L16" i="186"/>
  <c r="R14" i="186"/>
  <c r="P14" i="186"/>
  <c r="O14" i="186"/>
  <c r="U59" i="186" s="1"/>
  <c r="N14" i="186"/>
  <c r="M14" i="186"/>
  <c r="I14" i="186"/>
  <c r="G14" i="186"/>
  <c r="F14" i="186"/>
  <c r="E14" i="186"/>
  <c r="D14" i="186"/>
  <c r="C14" i="186"/>
  <c r="V13" i="186"/>
  <c r="T13" i="186"/>
  <c r="K13" i="186"/>
  <c r="V12" i="186"/>
  <c r="T12" i="186"/>
  <c r="S55" i="186" s="1"/>
  <c r="K12" i="186"/>
  <c r="J55" i="186" s="1"/>
  <c r="V11" i="186"/>
  <c r="T11" i="186"/>
  <c r="R55" i="186" s="1"/>
  <c r="K11" i="186"/>
  <c r="I55" i="186" s="1"/>
  <c r="V10" i="186"/>
  <c r="T10" i="186"/>
  <c r="Q55" i="186" s="1"/>
  <c r="K10" i="186"/>
  <c r="H55" i="186" s="1"/>
  <c r="V9" i="186"/>
  <c r="T9" i="186"/>
  <c r="P55" i="186" s="1"/>
  <c r="K9" i="186"/>
  <c r="V8" i="186"/>
  <c r="T8" i="186"/>
  <c r="O55" i="186" s="1"/>
  <c r="K8" i="186"/>
  <c r="F55" i="186" s="1"/>
  <c r="V7" i="186"/>
  <c r="T7" i="186"/>
  <c r="N55" i="186" s="1"/>
  <c r="K7" i="186"/>
  <c r="E55" i="186" s="1"/>
  <c r="V6" i="186"/>
  <c r="T6" i="186"/>
  <c r="K6" i="186"/>
  <c r="D55" i="186" s="1"/>
  <c r="AH5" i="186"/>
  <c r="AH4" i="186"/>
  <c r="O82" i="208"/>
  <c r="N82" i="208"/>
  <c r="M82" i="208"/>
  <c r="F78" i="208"/>
  <c r="E78" i="208"/>
  <c r="D78" i="208"/>
  <c r="V69" i="208"/>
  <c r="U69" i="208"/>
  <c r="T69" i="208"/>
  <c r="S69" i="208"/>
  <c r="R69" i="208"/>
  <c r="Q69" i="208"/>
  <c r="P69" i="208"/>
  <c r="O69" i="208"/>
  <c r="N69" i="208"/>
  <c r="M69" i="208"/>
  <c r="L69" i="208"/>
  <c r="K69" i="208"/>
  <c r="J69" i="208"/>
  <c r="I69" i="208"/>
  <c r="H69" i="208"/>
  <c r="G69" i="208"/>
  <c r="F69" i="208"/>
  <c r="E69" i="208"/>
  <c r="D69" i="208"/>
  <c r="V68" i="208"/>
  <c r="U68" i="208"/>
  <c r="T68" i="208"/>
  <c r="S68" i="208"/>
  <c r="R68" i="208"/>
  <c r="Q68" i="208"/>
  <c r="P68" i="208"/>
  <c r="O68" i="208"/>
  <c r="N68" i="208"/>
  <c r="M68" i="208"/>
  <c r="L68" i="208"/>
  <c r="K68" i="208"/>
  <c r="J68" i="208"/>
  <c r="I68" i="208"/>
  <c r="H68" i="208"/>
  <c r="G68" i="208"/>
  <c r="F68" i="208"/>
  <c r="E68" i="208"/>
  <c r="D68" i="208"/>
  <c r="V67" i="208"/>
  <c r="U67" i="208"/>
  <c r="T67" i="208"/>
  <c r="S67" i="208"/>
  <c r="R67" i="208"/>
  <c r="Q67" i="208"/>
  <c r="P67" i="208"/>
  <c r="O67" i="208"/>
  <c r="N67" i="208"/>
  <c r="M67" i="208"/>
  <c r="L67" i="208"/>
  <c r="K67" i="208"/>
  <c r="J67" i="208"/>
  <c r="I67" i="208"/>
  <c r="H67" i="208"/>
  <c r="G67" i="208"/>
  <c r="F67" i="208"/>
  <c r="E67" i="208"/>
  <c r="D67" i="208"/>
  <c r="Y66" i="208"/>
  <c r="V66" i="208"/>
  <c r="U66" i="208"/>
  <c r="T66" i="208"/>
  <c r="S66" i="208"/>
  <c r="R66" i="208"/>
  <c r="Q66" i="208"/>
  <c r="P66" i="208"/>
  <c r="O66" i="208"/>
  <c r="N66" i="208"/>
  <c r="M66" i="208"/>
  <c r="L66" i="208"/>
  <c r="K66" i="208"/>
  <c r="J66" i="208"/>
  <c r="I66" i="208"/>
  <c r="H66" i="208"/>
  <c r="G66" i="208"/>
  <c r="F66" i="208"/>
  <c r="E66" i="208"/>
  <c r="D66" i="208"/>
  <c r="V65" i="208"/>
  <c r="U65" i="208"/>
  <c r="T65" i="208"/>
  <c r="S65" i="208"/>
  <c r="R65" i="208"/>
  <c r="Q65" i="208"/>
  <c r="P65" i="208"/>
  <c r="O65" i="208"/>
  <c r="N65" i="208"/>
  <c r="M65" i="208"/>
  <c r="L65" i="208"/>
  <c r="K65" i="208"/>
  <c r="J65" i="208"/>
  <c r="I65" i="208"/>
  <c r="H65" i="208"/>
  <c r="G65" i="208"/>
  <c r="F65" i="208"/>
  <c r="E65" i="208"/>
  <c r="D65" i="208"/>
  <c r="V64" i="208"/>
  <c r="U64" i="208"/>
  <c r="T64" i="208"/>
  <c r="S64" i="208"/>
  <c r="R64" i="208"/>
  <c r="Q64" i="208"/>
  <c r="P64" i="208"/>
  <c r="O64" i="208"/>
  <c r="N64" i="208"/>
  <c r="M64" i="208"/>
  <c r="L64" i="208"/>
  <c r="K64" i="208"/>
  <c r="J64" i="208"/>
  <c r="I64" i="208"/>
  <c r="H64" i="208"/>
  <c r="G64" i="208"/>
  <c r="F64" i="208"/>
  <c r="E64" i="208"/>
  <c r="D64" i="208"/>
  <c r="V63" i="208"/>
  <c r="U63" i="208"/>
  <c r="T63" i="208"/>
  <c r="S63" i="208"/>
  <c r="R63" i="208"/>
  <c r="Q63" i="208"/>
  <c r="P63" i="208"/>
  <c r="O63" i="208"/>
  <c r="N63" i="208"/>
  <c r="M63" i="208"/>
  <c r="L63" i="208"/>
  <c r="K63" i="208"/>
  <c r="J63" i="208"/>
  <c r="I63" i="208"/>
  <c r="H63" i="208"/>
  <c r="G63" i="208"/>
  <c r="F63" i="208"/>
  <c r="E63" i="208"/>
  <c r="D63" i="208"/>
  <c r="Y62" i="208"/>
  <c r="V62" i="208"/>
  <c r="U62" i="208"/>
  <c r="T62" i="208"/>
  <c r="S62" i="208"/>
  <c r="R62" i="208"/>
  <c r="Q62" i="208"/>
  <c r="P62" i="208"/>
  <c r="O62" i="208"/>
  <c r="N62" i="208"/>
  <c r="M62" i="208"/>
  <c r="L62" i="208"/>
  <c r="K62" i="208"/>
  <c r="J62" i="208"/>
  <c r="I62" i="208"/>
  <c r="H62" i="208"/>
  <c r="G62" i="208"/>
  <c r="F62" i="208"/>
  <c r="E62" i="208"/>
  <c r="D62" i="208"/>
  <c r="V61" i="208"/>
  <c r="U61" i="208"/>
  <c r="T61" i="208"/>
  <c r="S61" i="208"/>
  <c r="R61" i="208"/>
  <c r="Q61" i="208"/>
  <c r="P61" i="208"/>
  <c r="O61" i="208"/>
  <c r="N61" i="208"/>
  <c r="M61" i="208"/>
  <c r="L61" i="208"/>
  <c r="K61" i="208"/>
  <c r="J61" i="208"/>
  <c r="I61" i="208"/>
  <c r="H61" i="208"/>
  <c r="G61" i="208"/>
  <c r="F61" i="208"/>
  <c r="E61" i="208"/>
  <c r="D61" i="208"/>
  <c r="V60" i="208"/>
  <c r="U60" i="208"/>
  <c r="T60" i="208"/>
  <c r="S60" i="208"/>
  <c r="R60" i="208"/>
  <c r="Q60" i="208"/>
  <c r="P60" i="208"/>
  <c r="O60" i="208"/>
  <c r="N60" i="208"/>
  <c r="M60" i="208"/>
  <c r="L60" i="208"/>
  <c r="K60" i="208"/>
  <c r="J60" i="208"/>
  <c r="I60" i="208"/>
  <c r="H60" i="208"/>
  <c r="G60" i="208"/>
  <c r="F60" i="208"/>
  <c r="E60" i="208"/>
  <c r="D60" i="208"/>
  <c r="V59" i="208"/>
  <c r="U59" i="208"/>
  <c r="T59" i="208"/>
  <c r="S59" i="208"/>
  <c r="R59" i="208"/>
  <c r="Q59" i="208"/>
  <c r="P59" i="208"/>
  <c r="O59" i="208"/>
  <c r="N59" i="208"/>
  <c r="M59" i="208"/>
  <c r="L59" i="208"/>
  <c r="K59" i="208"/>
  <c r="J59" i="208"/>
  <c r="I59" i="208"/>
  <c r="H59" i="208"/>
  <c r="G59" i="208"/>
  <c r="F59" i="208"/>
  <c r="E59" i="208"/>
  <c r="D59" i="208"/>
  <c r="V58" i="208"/>
  <c r="U58" i="208"/>
  <c r="T58" i="208"/>
  <c r="S58" i="208"/>
  <c r="R58" i="208"/>
  <c r="Q58" i="208"/>
  <c r="P58" i="208"/>
  <c r="O58" i="208"/>
  <c r="N58" i="208"/>
  <c r="M58" i="208"/>
  <c r="L58" i="208"/>
  <c r="K58" i="208"/>
  <c r="J58" i="208"/>
  <c r="I58" i="208"/>
  <c r="H58" i="208"/>
  <c r="G58" i="208"/>
  <c r="F58" i="208"/>
  <c r="E58" i="208"/>
  <c r="D58" i="208"/>
  <c r="V43" i="208"/>
  <c r="U43" i="208"/>
  <c r="T43" i="208"/>
  <c r="S43" i="208"/>
  <c r="R43" i="208"/>
  <c r="Q43" i="208"/>
  <c r="P43" i="208"/>
  <c r="O43" i="208"/>
  <c r="N43" i="208"/>
  <c r="M43" i="208"/>
  <c r="L43" i="208"/>
  <c r="K43" i="208"/>
  <c r="J43" i="208"/>
  <c r="I43" i="208"/>
  <c r="H43" i="208"/>
  <c r="G43" i="208"/>
  <c r="F43" i="208"/>
  <c r="E43" i="208"/>
  <c r="D43" i="208"/>
  <c r="V42" i="208"/>
  <c r="U42" i="208"/>
  <c r="L42" i="208"/>
  <c r="V41" i="208"/>
  <c r="U41" i="208"/>
  <c r="L41" i="208"/>
  <c r="V40" i="208"/>
  <c r="U40" i="208"/>
  <c r="L40" i="208"/>
  <c r="V39" i="208"/>
  <c r="U39" i="208"/>
  <c r="L39" i="208"/>
  <c r="V38" i="208"/>
  <c r="U38" i="208"/>
  <c r="L38" i="208"/>
  <c r="V37" i="208"/>
  <c r="U37" i="208"/>
  <c r="L37" i="208"/>
  <c r="V36" i="208"/>
  <c r="U36" i="208"/>
  <c r="L36" i="208"/>
  <c r="V34" i="208"/>
  <c r="U34" i="208"/>
  <c r="T34" i="208"/>
  <c r="S34" i="208"/>
  <c r="R34" i="208"/>
  <c r="Q34" i="208"/>
  <c r="P34" i="208"/>
  <c r="O34" i="208"/>
  <c r="N34" i="208"/>
  <c r="M34" i="208"/>
  <c r="L34" i="208"/>
  <c r="K34" i="208"/>
  <c r="J34" i="208"/>
  <c r="I34" i="208"/>
  <c r="H34" i="208"/>
  <c r="G34" i="208"/>
  <c r="F34" i="208"/>
  <c r="E34" i="208"/>
  <c r="D34" i="208"/>
  <c r="V33" i="208"/>
  <c r="U33" i="208"/>
  <c r="L33" i="208"/>
  <c r="V32" i="208"/>
  <c r="U32" i="208"/>
  <c r="L32" i="208"/>
  <c r="V31" i="208"/>
  <c r="U31" i="208"/>
  <c r="L31" i="208"/>
  <c r="V30" i="208"/>
  <c r="U30" i="208"/>
  <c r="L30" i="208"/>
  <c r="V29" i="208"/>
  <c r="U29" i="208"/>
  <c r="L29" i="208"/>
  <c r="V28" i="208"/>
  <c r="U28" i="208"/>
  <c r="L28" i="208"/>
  <c r="V26" i="208"/>
  <c r="U26" i="208"/>
  <c r="T26" i="208"/>
  <c r="S26" i="208"/>
  <c r="R26" i="208"/>
  <c r="Q26" i="208"/>
  <c r="P26" i="208"/>
  <c r="O26" i="208"/>
  <c r="N26" i="208"/>
  <c r="M26" i="208"/>
  <c r="L26" i="208"/>
  <c r="K26" i="208"/>
  <c r="J26" i="208"/>
  <c r="I26" i="208"/>
  <c r="H26" i="208"/>
  <c r="G26" i="208"/>
  <c r="F26" i="208"/>
  <c r="E26" i="208"/>
  <c r="D26" i="208"/>
  <c r="V25" i="208"/>
  <c r="U25" i="208"/>
  <c r="T25" i="208"/>
  <c r="S25" i="208"/>
  <c r="R25" i="208"/>
  <c r="Q25" i="208"/>
  <c r="P25" i="208"/>
  <c r="O25" i="208"/>
  <c r="N25" i="208"/>
  <c r="M25" i="208"/>
  <c r="L25" i="208"/>
  <c r="K25" i="208"/>
  <c r="J25" i="208"/>
  <c r="I25" i="208"/>
  <c r="H25" i="208"/>
  <c r="G25" i="208"/>
  <c r="F25" i="208"/>
  <c r="E25" i="208"/>
  <c r="D25" i="208"/>
  <c r="V24" i="208"/>
  <c r="U24" i="208"/>
  <c r="L24" i="208"/>
  <c r="V23" i="208"/>
  <c r="U23" i="208"/>
  <c r="L23" i="208"/>
  <c r="V21" i="208"/>
  <c r="U21" i="208"/>
  <c r="T21" i="208"/>
  <c r="S21" i="208"/>
  <c r="R21" i="208"/>
  <c r="Q21" i="208"/>
  <c r="P21" i="208"/>
  <c r="O21" i="208"/>
  <c r="N21" i="208"/>
  <c r="M21" i="208"/>
  <c r="L21" i="208"/>
  <c r="K21" i="208"/>
  <c r="J21" i="208"/>
  <c r="I21" i="208"/>
  <c r="H21" i="208"/>
  <c r="G21" i="208"/>
  <c r="F21" i="208"/>
  <c r="E21" i="208"/>
  <c r="D21" i="208"/>
  <c r="V20" i="208"/>
  <c r="U20" i="208"/>
  <c r="L20" i="208"/>
  <c r="V19" i="208"/>
  <c r="U19" i="208"/>
  <c r="L19" i="208"/>
  <c r="V18" i="208"/>
  <c r="U18" i="208"/>
  <c r="L18" i="208"/>
  <c r="AA17" i="208"/>
  <c r="Z17" i="208"/>
  <c r="V17" i="208"/>
  <c r="U17" i="208"/>
  <c r="L17" i="208"/>
  <c r="V16" i="208"/>
  <c r="U16" i="208"/>
  <c r="L16" i="208"/>
  <c r="V14" i="208"/>
  <c r="T14" i="208"/>
  <c r="R14" i="208"/>
  <c r="P14" i="208"/>
  <c r="O14" i="208"/>
  <c r="N14" i="208"/>
  <c r="M14" i="208"/>
  <c r="K14" i="208"/>
  <c r="I14" i="208"/>
  <c r="G14" i="208"/>
  <c r="F14" i="208"/>
  <c r="E14" i="208"/>
  <c r="D14" i="208"/>
  <c r="C14" i="208"/>
  <c r="V13" i="208"/>
  <c r="T13" i="208"/>
  <c r="K13" i="208"/>
  <c r="V12" i="208"/>
  <c r="T12" i="208"/>
  <c r="K12" i="208"/>
  <c r="V11" i="208"/>
  <c r="T11" i="208"/>
  <c r="K11" i="208"/>
  <c r="V10" i="208"/>
  <c r="T10" i="208"/>
  <c r="K10" i="208"/>
  <c r="V9" i="208"/>
  <c r="T9" i="208"/>
  <c r="K9" i="208"/>
  <c r="V8" i="208"/>
  <c r="T8" i="208"/>
  <c r="K8" i="208"/>
  <c r="V7" i="208"/>
  <c r="T7" i="208"/>
  <c r="K7" i="208"/>
  <c r="V6" i="208"/>
  <c r="T6" i="208"/>
  <c r="K6" i="208"/>
  <c r="AH5" i="208"/>
  <c r="AG5" i="208"/>
  <c r="AF5" i="208"/>
  <c r="AE5" i="208"/>
  <c r="AD5" i="208"/>
  <c r="AC5" i="208"/>
  <c r="AB5" i="208"/>
  <c r="AA5" i="208"/>
  <c r="AH4" i="208"/>
  <c r="AG4" i="208"/>
  <c r="AF4" i="208"/>
  <c r="AE4" i="208"/>
  <c r="AD4" i="208"/>
  <c r="AC4" i="208"/>
  <c r="AB4" i="208"/>
  <c r="AA4" i="208"/>
  <c r="N83" i="187"/>
  <c r="M83" i="187"/>
  <c r="F79" i="187"/>
  <c r="U69" i="187"/>
  <c r="T69" i="187"/>
  <c r="S69" i="187"/>
  <c r="R69" i="187"/>
  <c r="Q69" i="187"/>
  <c r="P69" i="187"/>
  <c r="O69" i="187"/>
  <c r="N69" i="187"/>
  <c r="M69" i="187"/>
  <c r="L69" i="187"/>
  <c r="K69" i="187"/>
  <c r="J69" i="187"/>
  <c r="I69" i="187"/>
  <c r="H69" i="187"/>
  <c r="G69" i="187"/>
  <c r="F69" i="187"/>
  <c r="E69" i="187"/>
  <c r="D69" i="187"/>
  <c r="T65" i="187"/>
  <c r="K65" i="187"/>
  <c r="T64" i="187"/>
  <c r="S64" i="187"/>
  <c r="R64" i="187"/>
  <c r="Q64" i="187"/>
  <c r="P64" i="187"/>
  <c r="O64" i="187"/>
  <c r="N64" i="187"/>
  <c r="M64" i="187"/>
  <c r="K64" i="187"/>
  <c r="J64" i="187"/>
  <c r="I64" i="187"/>
  <c r="H64" i="187"/>
  <c r="G64" i="187"/>
  <c r="F64" i="187"/>
  <c r="E64" i="187"/>
  <c r="D64" i="187"/>
  <c r="T63" i="187"/>
  <c r="S63" i="187"/>
  <c r="R63" i="187"/>
  <c r="Q63" i="187"/>
  <c r="P63" i="187"/>
  <c r="N63" i="187"/>
  <c r="M63" i="187"/>
  <c r="K63" i="187"/>
  <c r="F63" i="187"/>
  <c r="E63" i="187"/>
  <c r="D63" i="187"/>
  <c r="T62" i="187"/>
  <c r="N62" i="187"/>
  <c r="K62" i="187"/>
  <c r="T61" i="187"/>
  <c r="S61" i="187"/>
  <c r="R61" i="187"/>
  <c r="Q61" i="187"/>
  <c r="P61" i="187"/>
  <c r="O61" i="187"/>
  <c r="N61" i="187"/>
  <c r="M61" i="187"/>
  <c r="K61" i="187"/>
  <c r="J61" i="187"/>
  <c r="I61" i="187"/>
  <c r="H61" i="187"/>
  <c r="G61" i="187"/>
  <c r="F61" i="187"/>
  <c r="E61" i="187"/>
  <c r="D61" i="187"/>
  <c r="T43" i="187"/>
  <c r="S43" i="187"/>
  <c r="R43" i="187"/>
  <c r="Q43" i="187"/>
  <c r="P43" i="187"/>
  <c r="O43" i="187"/>
  <c r="N43" i="187"/>
  <c r="M43" i="187"/>
  <c r="U43" i="187" s="1"/>
  <c r="AH5" i="187" s="1"/>
  <c r="K43" i="187"/>
  <c r="J43" i="187"/>
  <c r="I43" i="187"/>
  <c r="H43" i="187"/>
  <c r="G43" i="187"/>
  <c r="F43" i="187"/>
  <c r="E43" i="187"/>
  <c r="D43" i="187"/>
  <c r="L43" i="187" s="1"/>
  <c r="V42" i="187"/>
  <c r="U42" i="187"/>
  <c r="L42" i="187"/>
  <c r="U41" i="187"/>
  <c r="L41" i="187"/>
  <c r="V41" i="187" s="1"/>
  <c r="U40" i="187"/>
  <c r="L40" i="187"/>
  <c r="V40" i="187" s="1"/>
  <c r="U39" i="187"/>
  <c r="L39" i="187"/>
  <c r="V38" i="187"/>
  <c r="U38" i="187"/>
  <c r="L38" i="187"/>
  <c r="V37" i="187"/>
  <c r="U37" i="187"/>
  <c r="L37" i="187"/>
  <c r="U36" i="187"/>
  <c r="L36" i="187"/>
  <c r="T34" i="187"/>
  <c r="S34" i="187"/>
  <c r="R34" i="187"/>
  <c r="Q34" i="187"/>
  <c r="P34" i="187"/>
  <c r="O34" i="187"/>
  <c r="O63" i="187" s="1"/>
  <c r="N34" i="187"/>
  <c r="M34" i="187"/>
  <c r="K34" i="187"/>
  <c r="J34" i="187"/>
  <c r="J63" i="187" s="1"/>
  <c r="I34" i="187"/>
  <c r="I63" i="187" s="1"/>
  <c r="H34" i="187"/>
  <c r="H63" i="187" s="1"/>
  <c r="G34" i="187"/>
  <c r="G63" i="187" s="1"/>
  <c r="F34" i="187"/>
  <c r="E34" i="187"/>
  <c r="D34" i="187"/>
  <c r="U33" i="187"/>
  <c r="L33" i="187"/>
  <c r="U32" i="187"/>
  <c r="L32" i="187"/>
  <c r="U31" i="187"/>
  <c r="L31" i="187"/>
  <c r="U30" i="187"/>
  <c r="L30" i="187"/>
  <c r="V30" i="187" s="1"/>
  <c r="U29" i="187"/>
  <c r="L29" i="187"/>
  <c r="U28" i="187"/>
  <c r="AG5" i="187" s="1"/>
  <c r="L28" i="187"/>
  <c r="U24" i="187"/>
  <c r="L24" i="187"/>
  <c r="U23" i="187"/>
  <c r="L23" i="187"/>
  <c r="T21" i="187"/>
  <c r="T59" i="187" s="1"/>
  <c r="S21" i="187"/>
  <c r="S59" i="187" s="1"/>
  <c r="R21" i="187"/>
  <c r="R59" i="187" s="1"/>
  <c r="Q21" i="187"/>
  <c r="Q59" i="187" s="1"/>
  <c r="P21" i="187"/>
  <c r="P59" i="187" s="1"/>
  <c r="O21" i="187"/>
  <c r="O62" i="187" s="1"/>
  <c r="N21" i="187"/>
  <c r="M21" i="187"/>
  <c r="K21" i="187"/>
  <c r="K59" i="187" s="1"/>
  <c r="K66" i="187" s="1"/>
  <c r="J21" i="187"/>
  <c r="J59" i="187" s="1"/>
  <c r="J65" i="187" s="1"/>
  <c r="I21" i="187"/>
  <c r="I59" i="187" s="1"/>
  <c r="I65" i="187" s="1"/>
  <c r="H21" i="187"/>
  <c r="H62" i="187" s="1"/>
  <c r="G21" i="187"/>
  <c r="G62" i="187" s="1"/>
  <c r="F21" i="187"/>
  <c r="F62" i="187" s="1"/>
  <c r="E21" i="187"/>
  <c r="E59" i="187" s="1"/>
  <c r="E65" i="187" s="1"/>
  <c r="D21" i="187"/>
  <c r="D59" i="187" s="1"/>
  <c r="D65" i="187" s="1"/>
  <c r="U20" i="187"/>
  <c r="V20" i="187" s="1"/>
  <c r="L20" i="187"/>
  <c r="U19" i="187"/>
  <c r="L19" i="187"/>
  <c r="V18" i="187"/>
  <c r="U18" i="187"/>
  <c r="L18" i="187"/>
  <c r="AA17" i="187"/>
  <c r="Z17" i="187"/>
  <c r="V17" i="187"/>
  <c r="U17" i="187"/>
  <c r="L17" i="187"/>
  <c r="U16" i="187"/>
  <c r="L16" i="187"/>
  <c r="V16" i="187" s="1"/>
  <c r="R14" i="187"/>
  <c r="P14" i="187"/>
  <c r="O14" i="187"/>
  <c r="AA5" i="187" s="1"/>
  <c r="N14" i="187"/>
  <c r="M14" i="187"/>
  <c r="I14" i="187"/>
  <c r="G14" i="187"/>
  <c r="F14" i="187"/>
  <c r="E14" i="187"/>
  <c r="D14" i="187"/>
  <c r="C14" i="187"/>
  <c r="V13" i="187"/>
  <c r="T13" i="187"/>
  <c r="T60" i="187" s="1"/>
  <c r="K13" i="187"/>
  <c r="K60" i="187" s="1"/>
  <c r="V12" i="187"/>
  <c r="T12" i="187"/>
  <c r="S60" i="187" s="1"/>
  <c r="K12" i="187"/>
  <c r="J60" i="187" s="1"/>
  <c r="V11" i="187"/>
  <c r="T11" i="187"/>
  <c r="R60" i="187" s="1"/>
  <c r="K11" i="187"/>
  <c r="I60" i="187" s="1"/>
  <c r="V10" i="187"/>
  <c r="T10" i="187"/>
  <c r="Q60" i="187" s="1"/>
  <c r="K10" i="187"/>
  <c r="H60" i="187" s="1"/>
  <c r="V9" i="187"/>
  <c r="T9" i="187"/>
  <c r="P60" i="187" s="1"/>
  <c r="K9" i="187"/>
  <c r="G60" i="187" s="1"/>
  <c r="V8" i="187"/>
  <c r="T8" i="187"/>
  <c r="O60" i="187" s="1"/>
  <c r="K8" i="187"/>
  <c r="F60" i="187" s="1"/>
  <c r="V7" i="187"/>
  <c r="T7" i="187"/>
  <c r="N60" i="187" s="1"/>
  <c r="K7" i="187"/>
  <c r="E60" i="187" s="1"/>
  <c r="V6" i="187"/>
  <c r="T6" i="187"/>
  <c r="M60" i="187" s="1"/>
  <c r="K6" i="187"/>
  <c r="D60" i="187" s="1"/>
  <c r="AG4" i="187"/>
  <c r="N82" i="188"/>
  <c r="V68" i="188" s="1"/>
  <c r="D15" i="205" s="1"/>
  <c r="M82" i="188"/>
  <c r="F78" i="188"/>
  <c r="U68" i="188"/>
  <c r="T68" i="188"/>
  <c r="S68" i="188"/>
  <c r="R68" i="188"/>
  <c r="Q68" i="188"/>
  <c r="P68" i="188"/>
  <c r="O68" i="188"/>
  <c r="N68" i="188"/>
  <c r="M68" i="188"/>
  <c r="L68" i="188"/>
  <c r="K68" i="188"/>
  <c r="J68" i="188"/>
  <c r="I68" i="188"/>
  <c r="H68" i="188"/>
  <c r="G68" i="188"/>
  <c r="F68" i="188"/>
  <c r="E68" i="188"/>
  <c r="D68" i="188"/>
  <c r="T64" i="188"/>
  <c r="K64" i="188"/>
  <c r="T63" i="188"/>
  <c r="S63" i="188"/>
  <c r="R63" i="188"/>
  <c r="Q63" i="188"/>
  <c r="P63" i="188"/>
  <c r="O63" i="188"/>
  <c r="N63" i="188"/>
  <c r="M63" i="188"/>
  <c r="K63" i="188"/>
  <c r="J63" i="188"/>
  <c r="I63" i="188"/>
  <c r="H63" i="188"/>
  <c r="G63" i="188"/>
  <c r="F63" i="188"/>
  <c r="E63" i="188"/>
  <c r="D63" i="188"/>
  <c r="T62" i="188"/>
  <c r="S62" i="188"/>
  <c r="K62" i="188"/>
  <c r="J62" i="188"/>
  <c r="I62" i="188"/>
  <c r="H62" i="188"/>
  <c r="G62" i="188"/>
  <c r="F62" i="188"/>
  <c r="E62" i="188"/>
  <c r="D62" i="188"/>
  <c r="T61" i="188"/>
  <c r="S61" i="188"/>
  <c r="K61" i="188"/>
  <c r="D61" i="188"/>
  <c r="T60" i="188"/>
  <c r="S60" i="188"/>
  <c r="R60" i="188"/>
  <c r="Q60" i="188"/>
  <c r="P60" i="188"/>
  <c r="O60" i="188"/>
  <c r="N60" i="188"/>
  <c r="M60" i="188"/>
  <c r="K60" i="188"/>
  <c r="J60" i="188"/>
  <c r="I60" i="188"/>
  <c r="H60" i="188"/>
  <c r="G60" i="188"/>
  <c r="F60" i="188"/>
  <c r="E60" i="188"/>
  <c r="D60" i="188"/>
  <c r="T43" i="188"/>
  <c r="S43" i="188"/>
  <c r="R43" i="188"/>
  <c r="Q43" i="188"/>
  <c r="P43" i="188"/>
  <c r="O43" i="188"/>
  <c r="N43" i="188"/>
  <c r="M43" i="188"/>
  <c r="U43" i="188" s="1"/>
  <c r="AH5" i="188" s="1"/>
  <c r="K43" i="188"/>
  <c r="J43" i="188"/>
  <c r="I43" i="188"/>
  <c r="H43" i="188"/>
  <c r="G43" i="188"/>
  <c r="F43" i="188"/>
  <c r="E43" i="188"/>
  <c r="D43" i="188"/>
  <c r="L43" i="188" s="1"/>
  <c r="T34" i="188"/>
  <c r="S34" i="188"/>
  <c r="R34" i="188"/>
  <c r="R62" i="188" s="1"/>
  <c r="Q34" i="188"/>
  <c r="Q62" i="188" s="1"/>
  <c r="P34" i="188"/>
  <c r="P62" i="188" s="1"/>
  <c r="O34" i="188"/>
  <c r="N34" i="188"/>
  <c r="N62" i="188" s="1"/>
  <c r="M34" i="188"/>
  <c r="K34" i="188"/>
  <c r="J34" i="188"/>
  <c r="I34" i="188"/>
  <c r="H34" i="188"/>
  <c r="G34" i="188"/>
  <c r="F34" i="188"/>
  <c r="E34" i="188"/>
  <c r="D34" i="188"/>
  <c r="L34" i="188" s="1"/>
  <c r="U33" i="188"/>
  <c r="L33" i="188"/>
  <c r="V33" i="188" s="1"/>
  <c r="V32" i="188"/>
  <c r="U32" i="188"/>
  <c r="L32" i="188"/>
  <c r="V31" i="188"/>
  <c r="U31" i="188"/>
  <c r="L31" i="188"/>
  <c r="U30" i="188"/>
  <c r="L30" i="188"/>
  <c r="V30" i="188" s="1"/>
  <c r="U29" i="188"/>
  <c r="L29" i="188"/>
  <c r="U28" i="188"/>
  <c r="AG5" i="188" s="1"/>
  <c r="L28" i="188"/>
  <c r="U24" i="188"/>
  <c r="L24" i="188"/>
  <c r="U23" i="188"/>
  <c r="L23" i="188"/>
  <c r="T21" i="188"/>
  <c r="T58" i="188" s="1"/>
  <c r="S21" i="188"/>
  <c r="R21" i="188"/>
  <c r="Q21" i="188"/>
  <c r="Q61" i="188" s="1"/>
  <c r="P21" i="188"/>
  <c r="O21" i="188"/>
  <c r="O61" i="188" s="1"/>
  <c r="N21" i="188"/>
  <c r="N61" i="188" s="1"/>
  <c r="M21" i="188"/>
  <c r="M61" i="188" s="1"/>
  <c r="K21" i="188"/>
  <c r="K58" i="188" s="1"/>
  <c r="J21" i="188"/>
  <c r="J61" i="188" s="1"/>
  <c r="I21" i="188"/>
  <c r="I61" i="188" s="1"/>
  <c r="H21" i="188"/>
  <c r="H58" i="188" s="1"/>
  <c r="H64" i="188" s="1"/>
  <c r="G21" i="188"/>
  <c r="G58" i="188" s="1"/>
  <c r="F21" i="188"/>
  <c r="F58" i="188" s="1"/>
  <c r="E21" i="188"/>
  <c r="E58" i="188" s="1"/>
  <c r="D21" i="188"/>
  <c r="V20" i="188"/>
  <c r="U20" i="188"/>
  <c r="L20" i="188"/>
  <c r="U19" i="188"/>
  <c r="L19" i="188"/>
  <c r="V18" i="188"/>
  <c r="U18" i="188"/>
  <c r="L18" i="188"/>
  <c r="AA17" i="188"/>
  <c r="Z17" i="188"/>
  <c r="V17" i="188"/>
  <c r="U17" i="188"/>
  <c r="L17" i="188"/>
  <c r="U16" i="188"/>
  <c r="L16" i="188"/>
  <c r="V16" i="188" s="1"/>
  <c r="R14" i="188"/>
  <c r="P14" i="188"/>
  <c r="O14" i="188"/>
  <c r="N14" i="188"/>
  <c r="M14" i="188"/>
  <c r="I14" i="188"/>
  <c r="G14" i="188"/>
  <c r="F14" i="188"/>
  <c r="L62" i="188" s="1"/>
  <c r="E14" i="188"/>
  <c r="D14" i="188"/>
  <c r="C14" i="188"/>
  <c r="V13" i="188"/>
  <c r="T13" i="188"/>
  <c r="T59" i="188" s="1"/>
  <c r="T25" i="188" s="1"/>
  <c r="T26" i="188" s="1"/>
  <c r="K13" i="188"/>
  <c r="K59" i="188" s="1"/>
  <c r="K25" i="188" s="1"/>
  <c r="K26" i="188" s="1"/>
  <c r="V12" i="188"/>
  <c r="T12" i="188"/>
  <c r="S59" i="188" s="1"/>
  <c r="K12" i="188"/>
  <c r="J59" i="188" s="1"/>
  <c r="V11" i="188"/>
  <c r="T11" i="188"/>
  <c r="R59" i="188" s="1"/>
  <c r="K11" i="188"/>
  <c r="I59" i="188" s="1"/>
  <c r="V10" i="188"/>
  <c r="T10" i="188"/>
  <c r="Q59" i="188" s="1"/>
  <c r="K10" i="188"/>
  <c r="H59" i="188" s="1"/>
  <c r="V9" i="188"/>
  <c r="T9" i="188"/>
  <c r="P59" i="188" s="1"/>
  <c r="K9" i="188"/>
  <c r="G59" i="188" s="1"/>
  <c r="V8" i="188"/>
  <c r="T8" i="188"/>
  <c r="O59" i="188" s="1"/>
  <c r="K8" i="188"/>
  <c r="F59" i="188" s="1"/>
  <c r="V7" i="188"/>
  <c r="T7" i="188"/>
  <c r="N59" i="188" s="1"/>
  <c r="K7" i="188"/>
  <c r="E59" i="188" s="1"/>
  <c r="E25" i="188" s="1"/>
  <c r="E26" i="188" s="1"/>
  <c r="V6" i="188"/>
  <c r="T6" i="188"/>
  <c r="M59" i="188" s="1"/>
  <c r="K6" i="188"/>
  <c r="D59" i="188" s="1"/>
  <c r="AA5" i="188"/>
  <c r="AG4" i="188"/>
  <c r="N78" i="189"/>
  <c r="M78" i="189"/>
  <c r="F74" i="189"/>
  <c r="U64" i="189"/>
  <c r="T64" i="189"/>
  <c r="S64" i="189"/>
  <c r="R64" i="189"/>
  <c r="Q64" i="189"/>
  <c r="P64" i="189"/>
  <c r="O64" i="189"/>
  <c r="N64" i="189"/>
  <c r="M64" i="189"/>
  <c r="L64" i="189"/>
  <c r="K64" i="189"/>
  <c r="J64" i="189"/>
  <c r="I64" i="189"/>
  <c r="H64" i="189"/>
  <c r="G64" i="189"/>
  <c r="F64" i="189"/>
  <c r="E64" i="189"/>
  <c r="D64" i="189"/>
  <c r="T60" i="189"/>
  <c r="R60" i="189"/>
  <c r="K60" i="189"/>
  <c r="J60" i="189"/>
  <c r="I60" i="189"/>
  <c r="T59" i="189"/>
  <c r="S59" i="189"/>
  <c r="R59" i="189"/>
  <c r="Q59" i="189"/>
  <c r="P59" i="189"/>
  <c r="O59" i="189"/>
  <c r="N59" i="189"/>
  <c r="M59" i="189"/>
  <c r="K59" i="189"/>
  <c r="J59" i="189"/>
  <c r="I59" i="189"/>
  <c r="H59" i="189"/>
  <c r="G59" i="189"/>
  <c r="F59" i="189"/>
  <c r="E59" i="189"/>
  <c r="D59" i="189"/>
  <c r="T58" i="189"/>
  <c r="S58" i="189"/>
  <c r="R58" i="189"/>
  <c r="Q58" i="189"/>
  <c r="N58" i="189"/>
  <c r="M58" i="189"/>
  <c r="K58" i="189"/>
  <c r="J58" i="189"/>
  <c r="I58" i="189"/>
  <c r="H58" i="189"/>
  <c r="G58" i="189"/>
  <c r="F58" i="189"/>
  <c r="D58" i="189"/>
  <c r="AD5" i="189"/>
  <c r="T43" i="189"/>
  <c r="S43" i="189"/>
  <c r="R43" i="189"/>
  <c r="Q43" i="189"/>
  <c r="P43" i="189"/>
  <c r="O43" i="189"/>
  <c r="N43" i="189"/>
  <c r="M43" i="189"/>
  <c r="U43" i="189" s="1"/>
  <c r="AH5" i="189" s="1"/>
  <c r="K43" i="189"/>
  <c r="J43" i="189"/>
  <c r="I43" i="189"/>
  <c r="H43" i="189"/>
  <c r="G43" i="189"/>
  <c r="F43" i="189"/>
  <c r="E43" i="189"/>
  <c r="D43" i="189"/>
  <c r="L43" i="189" s="1"/>
  <c r="U42" i="189"/>
  <c r="L42" i="189"/>
  <c r="U41" i="189"/>
  <c r="L41" i="189"/>
  <c r="U40" i="189"/>
  <c r="L40" i="189"/>
  <c r="V39" i="189"/>
  <c r="U39" i="189"/>
  <c r="L39" i="189"/>
  <c r="U38" i="189"/>
  <c r="L38" i="189"/>
  <c r="U37" i="189"/>
  <c r="L37" i="189"/>
  <c r="V37" i="189" s="1"/>
  <c r="U36" i="189"/>
  <c r="V36" i="189" s="1"/>
  <c r="L36" i="189"/>
  <c r="T34" i="189"/>
  <c r="S34" i="189"/>
  <c r="R34" i="189"/>
  <c r="Q34" i="189"/>
  <c r="P34" i="189"/>
  <c r="O34" i="189"/>
  <c r="N34" i="189"/>
  <c r="M34" i="189"/>
  <c r="K34" i="189"/>
  <c r="J34" i="189"/>
  <c r="I34" i="189"/>
  <c r="H34" i="189"/>
  <c r="G34" i="189"/>
  <c r="F34" i="189"/>
  <c r="E34" i="189"/>
  <c r="E58" i="189" s="1"/>
  <c r="D34" i="189"/>
  <c r="U33" i="189"/>
  <c r="L33" i="189"/>
  <c r="U32" i="189"/>
  <c r="L32" i="189"/>
  <c r="U31" i="189"/>
  <c r="L31" i="189"/>
  <c r="V31" i="189" s="1"/>
  <c r="V30" i="189"/>
  <c r="U30" i="189"/>
  <c r="L30" i="189"/>
  <c r="U29" i="189"/>
  <c r="L29" i="189"/>
  <c r="V29" i="189" s="1"/>
  <c r="U28" i="189"/>
  <c r="AG5" i="189" s="1"/>
  <c r="L28" i="189"/>
  <c r="P26" i="189"/>
  <c r="U24" i="189"/>
  <c r="L24" i="189"/>
  <c r="U23" i="189"/>
  <c r="L23" i="189"/>
  <c r="T21" i="189"/>
  <c r="T62" i="189" s="1"/>
  <c r="S21" i="189"/>
  <c r="R21" i="189"/>
  <c r="R63" i="189" s="1"/>
  <c r="Q21" i="189"/>
  <c r="P21" i="189"/>
  <c r="P57" i="189" s="1"/>
  <c r="O21" i="189"/>
  <c r="N21" i="189"/>
  <c r="M21" i="189"/>
  <c r="K21" i="189"/>
  <c r="J21" i="189"/>
  <c r="J54" i="189" s="1"/>
  <c r="I21" i="189"/>
  <c r="H21" i="189"/>
  <c r="G21" i="189"/>
  <c r="F21" i="189"/>
  <c r="E21" i="189"/>
  <c r="D21" i="189"/>
  <c r="V20" i="189"/>
  <c r="U20" i="189"/>
  <c r="L20" i="189"/>
  <c r="U19" i="189"/>
  <c r="L19" i="189"/>
  <c r="V18" i="189"/>
  <c r="U18" i="189"/>
  <c r="L18" i="189"/>
  <c r="AA17" i="189"/>
  <c r="Z17" i="189"/>
  <c r="U17" i="189"/>
  <c r="V17" i="189" s="1"/>
  <c r="L17" i="189"/>
  <c r="V16" i="189"/>
  <c r="U16" i="189"/>
  <c r="L16" i="189"/>
  <c r="R14" i="189"/>
  <c r="P14" i="189"/>
  <c r="O14" i="189"/>
  <c r="N14" i="189"/>
  <c r="M14" i="189"/>
  <c r="I14" i="189"/>
  <c r="G14" i="189"/>
  <c r="F14" i="189"/>
  <c r="AA4" i="189" s="1"/>
  <c r="E14" i="189"/>
  <c r="D14" i="189"/>
  <c r="C14" i="189"/>
  <c r="V13" i="189"/>
  <c r="T13" i="189"/>
  <c r="T25" i="189" s="1"/>
  <c r="T26" i="189" s="1"/>
  <c r="K13" i="189"/>
  <c r="V12" i="189"/>
  <c r="T12" i="189"/>
  <c r="K12" i="189"/>
  <c r="V11" i="189"/>
  <c r="T11" i="189"/>
  <c r="R25" i="189" s="1"/>
  <c r="R26" i="189" s="1"/>
  <c r="K11" i="189"/>
  <c r="V10" i="189"/>
  <c r="T10" i="189"/>
  <c r="Q55" i="189" s="1"/>
  <c r="K10" i="189"/>
  <c r="H55" i="189" s="1"/>
  <c r="V9" i="189"/>
  <c r="T9" i="189"/>
  <c r="P55" i="189" s="1"/>
  <c r="K9" i="189"/>
  <c r="G55" i="189" s="1"/>
  <c r="V8" i="189"/>
  <c r="T8" i="189"/>
  <c r="O55" i="189" s="1"/>
  <c r="K8" i="189"/>
  <c r="F55" i="189" s="1"/>
  <c r="V7" i="189"/>
  <c r="T7" i="189"/>
  <c r="N55" i="189" s="1"/>
  <c r="K7" i="189"/>
  <c r="V6" i="189"/>
  <c r="T6" i="189"/>
  <c r="M55" i="189" s="1"/>
  <c r="K6" i="189"/>
  <c r="N78" i="190"/>
  <c r="V64" i="190" s="1"/>
  <c r="D17" i="205" s="1"/>
  <c r="M78" i="190"/>
  <c r="O78" i="190" s="1"/>
  <c r="F74" i="190"/>
  <c r="U64" i="190"/>
  <c r="T64" i="190"/>
  <c r="S64" i="190"/>
  <c r="R64" i="190"/>
  <c r="Q64" i="190"/>
  <c r="P64" i="190"/>
  <c r="O64" i="190"/>
  <c r="N64" i="190"/>
  <c r="M64" i="190"/>
  <c r="L64" i="190"/>
  <c r="K64" i="190"/>
  <c r="J64" i="190"/>
  <c r="I64" i="190"/>
  <c r="H64" i="190"/>
  <c r="G64" i="190"/>
  <c r="F64" i="190"/>
  <c r="E64" i="190"/>
  <c r="D64" i="190"/>
  <c r="T60" i="190"/>
  <c r="S60" i="190"/>
  <c r="R60" i="190"/>
  <c r="Q60" i="190"/>
  <c r="P60" i="190"/>
  <c r="O60" i="190"/>
  <c r="N60" i="190"/>
  <c r="M60" i="190"/>
  <c r="L60" i="190"/>
  <c r="K60" i="190"/>
  <c r="J60" i="190"/>
  <c r="I60" i="190"/>
  <c r="H60" i="190"/>
  <c r="G60" i="190"/>
  <c r="F60" i="190"/>
  <c r="E60" i="190"/>
  <c r="D60" i="190"/>
  <c r="T59" i="190"/>
  <c r="S59" i="190"/>
  <c r="R59" i="190"/>
  <c r="Q59" i="190"/>
  <c r="P59" i="190"/>
  <c r="O59" i="190"/>
  <c r="N59" i="190"/>
  <c r="M59" i="190"/>
  <c r="K59" i="190"/>
  <c r="J59" i="190"/>
  <c r="I59" i="190"/>
  <c r="H59" i="190"/>
  <c r="G59" i="190"/>
  <c r="F59" i="190"/>
  <c r="E59" i="190"/>
  <c r="D59" i="190"/>
  <c r="T58" i="190"/>
  <c r="S58" i="190"/>
  <c r="R58" i="190"/>
  <c r="Q58" i="190"/>
  <c r="P58" i="190"/>
  <c r="O58" i="190"/>
  <c r="N58" i="190"/>
  <c r="M58" i="190"/>
  <c r="K58" i="190"/>
  <c r="J58" i="190"/>
  <c r="I58" i="190"/>
  <c r="H58" i="190"/>
  <c r="G58" i="190"/>
  <c r="F58" i="190"/>
  <c r="E58" i="190"/>
  <c r="D58" i="190"/>
  <c r="AD5" i="190"/>
  <c r="T43" i="190"/>
  <c r="S43" i="190"/>
  <c r="S63" i="190" s="1"/>
  <c r="R43" i="190"/>
  <c r="Q43" i="190"/>
  <c r="P43" i="190"/>
  <c r="O43" i="190"/>
  <c r="N43" i="190"/>
  <c r="M43" i="190"/>
  <c r="U43" i="190" s="1"/>
  <c r="AH5" i="190" s="1"/>
  <c r="K43" i="190"/>
  <c r="J43" i="190"/>
  <c r="I43" i="190"/>
  <c r="H43" i="190"/>
  <c r="G43" i="190"/>
  <c r="F43" i="190"/>
  <c r="E43" i="190"/>
  <c r="D43" i="190"/>
  <c r="L43" i="190" s="1"/>
  <c r="U42" i="190"/>
  <c r="V42" i="190" s="1"/>
  <c r="L42" i="190"/>
  <c r="U41" i="190"/>
  <c r="L41" i="190"/>
  <c r="U40" i="190"/>
  <c r="L40" i="190"/>
  <c r="V39" i="190"/>
  <c r="U39" i="190"/>
  <c r="L39" i="190"/>
  <c r="U38" i="190"/>
  <c r="L38" i="190"/>
  <c r="U37" i="190"/>
  <c r="L37" i="190"/>
  <c r="V37" i="190" s="1"/>
  <c r="U36" i="190"/>
  <c r="V36" i="190" s="1"/>
  <c r="L36" i="190"/>
  <c r="T34" i="190"/>
  <c r="S34" i="190"/>
  <c r="R34" i="190"/>
  <c r="Q34" i="190"/>
  <c r="Q63" i="190" s="1"/>
  <c r="P34" i="190"/>
  <c r="O34" i="190"/>
  <c r="N34" i="190"/>
  <c r="M34" i="190"/>
  <c r="U34" i="190" s="1"/>
  <c r="K34" i="190"/>
  <c r="J34" i="190"/>
  <c r="I34" i="190"/>
  <c r="I63" i="190" s="1"/>
  <c r="H34" i="190"/>
  <c r="G34" i="190"/>
  <c r="F34" i="190"/>
  <c r="E34" i="190"/>
  <c r="D34" i="190"/>
  <c r="L34" i="190" s="1"/>
  <c r="V33" i="190"/>
  <c r="U33" i="190"/>
  <c r="L33" i="190"/>
  <c r="V32" i="190"/>
  <c r="U32" i="190"/>
  <c r="L32" i="190"/>
  <c r="U31" i="190"/>
  <c r="L31" i="190"/>
  <c r="V31" i="190" s="1"/>
  <c r="U30" i="190"/>
  <c r="L30" i="190"/>
  <c r="U29" i="190"/>
  <c r="V29" i="190" s="1"/>
  <c r="L29" i="190"/>
  <c r="U28" i="190"/>
  <c r="AG5" i="190" s="1"/>
  <c r="L28" i="190"/>
  <c r="U24" i="190"/>
  <c r="L24" i="190"/>
  <c r="U23" i="190"/>
  <c r="L23" i="190"/>
  <c r="T21" i="190"/>
  <c r="T62" i="190" s="1"/>
  <c r="S21" i="190"/>
  <c r="R21" i="190"/>
  <c r="R63" i="190" s="1"/>
  <c r="Q21" i="190"/>
  <c r="P21" i="190"/>
  <c r="P63" i="190" s="1"/>
  <c r="O21" i="190"/>
  <c r="N21" i="190"/>
  <c r="M21" i="190"/>
  <c r="U21" i="190" s="1"/>
  <c r="K21" i="190"/>
  <c r="J21" i="190"/>
  <c r="J63" i="190" s="1"/>
  <c r="I21" i="190"/>
  <c r="H21" i="190"/>
  <c r="H63" i="190" s="1"/>
  <c r="G21" i="190"/>
  <c r="F21" i="190"/>
  <c r="E21" i="190"/>
  <c r="D21" i="190"/>
  <c r="L21" i="190" s="1"/>
  <c r="AE4" i="190" s="1"/>
  <c r="U20" i="190"/>
  <c r="L20" i="190"/>
  <c r="V20" i="190" s="1"/>
  <c r="U19" i="190"/>
  <c r="L19" i="190"/>
  <c r="V19" i="190" s="1"/>
  <c r="V18" i="190"/>
  <c r="U18" i="190"/>
  <c r="L18" i="190"/>
  <c r="AA17" i="190"/>
  <c r="Z17" i="190"/>
  <c r="V17" i="190"/>
  <c r="U17" i="190"/>
  <c r="L17" i="190"/>
  <c r="V16" i="190"/>
  <c r="U16" i="190"/>
  <c r="L16" i="190"/>
  <c r="T14" i="190"/>
  <c r="R14" i="190"/>
  <c r="P14" i="190"/>
  <c r="O14" i="190"/>
  <c r="U60" i="190" s="1"/>
  <c r="N14" i="190"/>
  <c r="M14" i="190"/>
  <c r="I14" i="190"/>
  <c r="G14" i="190"/>
  <c r="F14" i="190"/>
  <c r="V59" i="190" s="1"/>
  <c r="E14" i="190"/>
  <c r="D14" i="190"/>
  <c r="C14" i="190"/>
  <c r="V13" i="190"/>
  <c r="T13" i="190"/>
  <c r="T25" i="190" s="1"/>
  <c r="T26" i="190" s="1"/>
  <c r="K13" i="190"/>
  <c r="V12" i="190"/>
  <c r="T12" i="190"/>
  <c r="K12" i="190"/>
  <c r="V11" i="190"/>
  <c r="T11" i="190"/>
  <c r="R25" i="190" s="1"/>
  <c r="R26" i="190" s="1"/>
  <c r="K11" i="190"/>
  <c r="V10" i="190"/>
  <c r="T10" i="190"/>
  <c r="K10" i="190"/>
  <c r="H25" i="190" s="1"/>
  <c r="H26" i="190" s="1"/>
  <c r="V9" i="190"/>
  <c r="T9" i="190"/>
  <c r="K9" i="190"/>
  <c r="G25" i="190" s="1"/>
  <c r="G26" i="190" s="1"/>
  <c r="V8" i="190"/>
  <c r="T8" i="190"/>
  <c r="K8" i="190"/>
  <c r="F25" i="190" s="1"/>
  <c r="F26" i="190" s="1"/>
  <c r="V7" i="190"/>
  <c r="T7" i="190"/>
  <c r="K7" i="190"/>
  <c r="V6" i="190"/>
  <c r="T6" i="190"/>
  <c r="K6" i="190"/>
  <c r="AA5" i="190"/>
  <c r="AG4" i="190"/>
  <c r="AA4" i="190"/>
  <c r="N80" i="209"/>
  <c r="M80" i="209"/>
  <c r="F76" i="209"/>
  <c r="U66" i="209"/>
  <c r="T66" i="209"/>
  <c r="S66" i="209"/>
  <c r="R66" i="209"/>
  <c r="Q66" i="209"/>
  <c r="P66" i="209"/>
  <c r="O66" i="209"/>
  <c r="N66" i="209"/>
  <c r="M66" i="209"/>
  <c r="L66" i="209"/>
  <c r="K66" i="209"/>
  <c r="J66" i="209"/>
  <c r="I66" i="209"/>
  <c r="H66" i="209"/>
  <c r="G66" i="209"/>
  <c r="F66" i="209"/>
  <c r="E66" i="209"/>
  <c r="D66" i="209"/>
  <c r="T62" i="209"/>
  <c r="K62" i="209"/>
  <c r="T61" i="209"/>
  <c r="S61" i="209"/>
  <c r="R61" i="209"/>
  <c r="Q61" i="209"/>
  <c r="P61" i="209"/>
  <c r="O61" i="209"/>
  <c r="N61" i="209"/>
  <c r="M61" i="209"/>
  <c r="K61" i="209"/>
  <c r="J61" i="209"/>
  <c r="I61" i="209"/>
  <c r="H61" i="209"/>
  <c r="G61" i="209"/>
  <c r="F61" i="209"/>
  <c r="E61" i="209"/>
  <c r="D61" i="209"/>
  <c r="T60" i="209"/>
  <c r="P60" i="209"/>
  <c r="M60" i="209"/>
  <c r="K60" i="209"/>
  <c r="T59" i="209"/>
  <c r="R59" i="209"/>
  <c r="K59" i="209"/>
  <c r="G59" i="209"/>
  <c r="T58" i="209"/>
  <c r="S58" i="209"/>
  <c r="R58" i="209"/>
  <c r="Q58" i="209"/>
  <c r="P58" i="209"/>
  <c r="O58" i="209"/>
  <c r="N58" i="209"/>
  <c r="M58" i="209"/>
  <c r="K58" i="209"/>
  <c r="J58" i="209"/>
  <c r="I58" i="209"/>
  <c r="H58" i="209"/>
  <c r="G58" i="209"/>
  <c r="F58" i="209"/>
  <c r="E58" i="209"/>
  <c r="D58" i="209"/>
  <c r="T43" i="209"/>
  <c r="S43" i="209"/>
  <c r="R43" i="209"/>
  <c r="Q43" i="209"/>
  <c r="P43" i="209"/>
  <c r="O43" i="209"/>
  <c r="N43" i="209"/>
  <c r="M43" i="209"/>
  <c r="U43" i="209" s="1"/>
  <c r="AH5" i="209" s="1"/>
  <c r="K43" i="209"/>
  <c r="J43" i="209"/>
  <c r="I43" i="209"/>
  <c r="H43" i="209"/>
  <c r="G43" i="209"/>
  <c r="F43" i="209"/>
  <c r="E43" i="209"/>
  <c r="D43" i="209"/>
  <c r="L43" i="209" s="1"/>
  <c r="U42" i="209"/>
  <c r="L42" i="209"/>
  <c r="U41" i="209"/>
  <c r="V41" i="209" s="1"/>
  <c r="L41" i="209"/>
  <c r="U40" i="209"/>
  <c r="L40" i="209"/>
  <c r="V40" i="209" s="1"/>
  <c r="U39" i="209"/>
  <c r="L39" i="209"/>
  <c r="V39" i="209" s="1"/>
  <c r="U38" i="209"/>
  <c r="L38" i="209"/>
  <c r="U37" i="209"/>
  <c r="V37" i="209" s="1"/>
  <c r="L37" i="209"/>
  <c r="V36" i="209"/>
  <c r="U36" i="209"/>
  <c r="L36" i="209"/>
  <c r="T34" i="209"/>
  <c r="S34" i="209"/>
  <c r="S60" i="209" s="1"/>
  <c r="R34" i="209"/>
  <c r="R60" i="209" s="1"/>
  <c r="Q34" i="209"/>
  <c r="Q60" i="209" s="1"/>
  <c r="P34" i="209"/>
  <c r="O34" i="209"/>
  <c r="O60" i="209" s="1"/>
  <c r="N34" i="209"/>
  <c r="N60" i="209" s="1"/>
  <c r="M34" i="209"/>
  <c r="K34" i="209"/>
  <c r="J34" i="209"/>
  <c r="J60" i="209" s="1"/>
  <c r="I34" i="209"/>
  <c r="I60" i="209" s="1"/>
  <c r="H34" i="209"/>
  <c r="H60" i="209" s="1"/>
  <c r="G34" i="209"/>
  <c r="G60" i="209" s="1"/>
  <c r="F34" i="209"/>
  <c r="F60" i="209" s="1"/>
  <c r="E34" i="209"/>
  <c r="E60" i="209" s="1"/>
  <c r="D34" i="209"/>
  <c r="U33" i="209"/>
  <c r="L33" i="209"/>
  <c r="U32" i="209"/>
  <c r="V32" i="209" s="1"/>
  <c r="L32" i="209"/>
  <c r="U31" i="209"/>
  <c r="V31" i="209" s="1"/>
  <c r="L31" i="209"/>
  <c r="U30" i="209"/>
  <c r="L30" i="209"/>
  <c r="V30" i="209" s="1"/>
  <c r="U29" i="209"/>
  <c r="L29" i="209"/>
  <c r="V28" i="209"/>
  <c r="U28" i="209"/>
  <c r="L28" i="209"/>
  <c r="U24" i="209"/>
  <c r="L24" i="209"/>
  <c r="U23" i="209"/>
  <c r="L23" i="209"/>
  <c r="T21" i="209"/>
  <c r="S21" i="209"/>
  <c r="S56" i="209" s="1"/>
  <c r="S62" i="209" s="1"/>
  <c r="R21" i="209"/>
  <c r="Q21" i="209"/>
  <c r="Q56" i="209" s="1"/>
  <c r="Q62" i="209" s="1"/>
  <c r="P21" i="209"/>
  <c r="P56" i="209" s="1"/>
  <c r="P62" i="209" s="1"/>
  <c r="O21" i="209"/>
  <c r="O56" i="209" s="1"/>
  <c r="O62" i="209" s="1"/>
  <c r="N21" i="209"/>
  <c r="N56" i="209" s="1"/>
  <c r="N62" i="209" s="1"/>
  <c r="M21" i="209"/>
  <c r="K21" i="209"/>
  <c r="J21" i="209"/>
  <c r="I21" i="209"/>
  <c r="I56" i="209" s="1"/>
  <c r="I62" i="209" s="1"/>
  <c r="H21" i="209"/>
  <c r="H56" i="209" s="1"/>
  <c r="H62" i="209" s="1"/>
  <c r="G21" i="209"/>
  <c r="F21" i="209"/>
  <c r="E21" i="209"/>
  <c r="E56" i="209" s="1"/>
  <c r="E62" i="209" s="1"/>
  <c r="D21" i="209"/>
  <c r="U20" i="209"/>
  <c r="V20" i="209" s="1"/>
  <c r="L20" i="209"/>
  <c r="U19" i="209"/>
  <c r="L19" i="209"/>
  <c r="U18" i="209"/>
  <c r="V18" i="209" s="1"/>
  <c r="L18" i="209"/>
  <c r="AA17" i="209"/>
  <c r="Z17" i="209"/>
  <c r="U17" i="209"/>
  <c r="V17" i="209" s="1"/>
  <c r="L17" i="209"/>
  <c r="U16" i="209"/>
  <c r="L16" i="209"/>
  <c r="R14" i="209"/>
  <c r="P14" i="209"/>
  <c r="O14" i="209"/>
  <c r="N14" i="209"/>
  <c r="M14" i="209"/>
  <c r="I14" i="209"/>
  <c r="G14" i="209"/>
  <c r="F14" i="209"/>
  <c r="E14" i="209"/>
  <c r="D14" i="209"/>
  <c r="C14" i="209"/>
  <c r="V13" i="209"/>
  <c r="T13" i="209"/>
  <c r="K13" i="209"/>
  <c r="V12" i="209"/>
  <c r="T12" i="209"/>
  <c r="S57" i="209" s="1"/>
  <c r="K12" i="209"/>
  <c r="J57" i="209" s="1"/>
  <c r="V11" i="209"/>
  <c r="T11" i="209"/>
  <c r="K11" i="209"/>
  <c r="I57" i="209" s="1"/>
  <c r="V10" i="209"/>
  <c r="T10" i="209"/>
  <c r="Q57" i="209" s="1"/>
  <c r="K10" i="209"/>
  <c r="H57" i="209" s="1"/>
  <c r="V9" i="209"/>
  <c r="T9" i="209"/>
  <c r="K9" i="209"/>
  <c r="V8" i="209"/>
  <c r="T8" i="209"/>
  <c r="K8" i="209"/>
  <c r="V7" i="209"/>
  <c r="T7" i="209"/>
  <c r="N57" i="209" s="1"/>
  <c r="K7" i="209"/>
  <c r="E57" i="209" s="1"/>
  <c r="V6" i="209"/>
  <c r="T6" i="209"/>
  <c r="M57" i="209" s="1"/>
  <c r="K6" i="209"/>
  <c r="AG5" i="209"/>
  <c r="AG4" i="209"/>
  <c r="N78" i="191"/>
  <c r="M78" i="191"/>
  <c r="F74" i="191"/>
  <c r="U64" i="191"/>
  <c r="T64" i="191"/>
  <c r="S64" i="191"/>
  <c r="R64" i="191"/>
  <c r="Q64" i="191"/>
  <c r="P64" i="191"/>
  <c r="O64" i="191"/>
  <c r="N64" i="191"/>
  <c r="M64" i="191"/>
  <c r="L64" i="191"/>
  <c r="K64" i="191"/>
  <c r="J64" i="191"/>
  <c r="I64" i="191"/>
  <c r="H64" i="191"/>
  <c r="G64" i="191"/>
  <c r="F64" i="191"/>
  <c r="E64" i="191"/>
  <c r="D64" i="191"/>
  <c r="T60" i="191"/>
  <c r="K60" i="191"/>
  <c r="T59" i="191"/>
  <c r="S59" i="191"/>
  <c r="R59" i="191"/>
  <c r="Q59" i="191"/>
  <c r="P59" i="191"/>
  <c r="O59" i="191"/>
  <c r="N59" i="191"/>
  <c r="M59" i="191"/>
  <c r="K59" i="191"/>
  <c r="J59" i="191"/>
  <c r="I59" i="191"/>
  <c r="H59" i="191"/>
  <c r="G59" i="191"/>
  <c r="F59" i="191"/>
  <c r="E59" i="191"/>
  <c r="D59" i="191"/>
  <c r="T58" i="191"/>
  <c r="R58" i="191"/>
  <c r="K58" i="191"/>
  <c r="T57" i="191"/>
  <c r="R57" i="191"/>
  <c r="K57" i="191"/>
  <c r="T56" i="191"/>
  <c r="S56" i="191"/>
  <c r="R56" i="191"/>
  <c r="Q56" i="191"/>
  <c r="P56" i="191"/>
  <c r="O56" i="191"/>
  <c r="N56" i="191"/>
  <c r="M56" i="191"/>
  <c r="K56" i="191"/>
  <c r="J56" i="191"/>
  <c r="I56" i="191"/>
  <c r="H56" i="191"/>
  <c r="G56" i="191"/>
  <c r="F56" i="191"/>
  <c r="E56" i="191"/>
  <c r="D56" i="191"/>
  <c r="T55" i="191"/>
  <c r="S55" i="191"/>
  <c r="R55" i="191"/>
  <c r="Q55" i="191"/>
  <c r="P55" i="191"/>
  <c r="O55" i="191"/>
  <c r="N55" i="191"/>
  <c r="M55" i="191"/>
  <c r="K55" i="191"/>
  <c r="J55" i="191"/>
  <c r="I55" i="191"/>
  <c r="H55" i="191"/>
  <c r="G55" i="191"/>
  <c r="F55" i="191"/>
  <c r="E55" i="191"/>
  <c r="D55" i="191"/>
  <c r="R54" i="191"/>
  <c r="R61" i="191" s="1"/>
  <c r="V43" i="191"/>
  <c r="U43" i="191"/>
  <c r="T43" i="191"/>
  <c r="S43" i="191"/>
  <c r="R43" i="191"/>
  <c r="Q43" i="191"/>
  <c r="P43" i="191"/>
  <c r="O43" i="191"/>
  <c r="N43" i="191"/>
  <c r="M43" i="191"/>
  <c r="L43" i="191"/>
  <c r="K43" i="191"/>
  <c r="J43" i="191"/>
  <c r="I43" i="191"/>
  <c r="H43" i="191"/>
  <c r="G43" i="191"/>
  <c r="F43" i="191"/>
  <c r="E43" i="191"/>
  <c r="D43" i="191"/>
  <c r="V42" i="191"/>
  <c r="U42" i="191"/>
  <c r="L42" i="191"/>
  <c r="V41" i="191"/>
  <c r="U41" i="191"/>
  <c r="L41" i="191"/>
  <c r="V40" i="191"/>
  <c r="U40" i="191"/>
  <c r="L40" i="191"/>
  <c r="V39" i="191"/>
  <c r="U39" i="191"/>
  <c r="L39" i="191"/>
  <c r="V38" i="191"/>
  <c r="U38" i="191"/>
  <c r="L38" i="191"/>
  <c r="V37" i="191"/>
  <c r="U37" i="191"/>
  <c r="L37" i="191"/>
  <c r="V36" i="191"/>
  <c r="U36" i="191"/>
  <c r="L36" i="191"/>
  <c r="T34" i="191"/>
  <c r="T54" i="191" s="1"/>
  <c r="S34" i="191"/>
  <c r="S58" i="191" s="1"/>
  <c r="R34" i="191"/>
  <c r="Q34" i="191"/>
  <c r="Q58" i="191" s="1"/>
  <c r="P34" i="191"/>
  <c r="P58" i="191" s="1"/>
  <c r="O34" i="191"/>
  <c r="O58" i="191" s="1"/>
  <c r="N34" i="191"/>
  <c r="N58" i="191" s="1"/>
  <c r="M34" i="191"/>
  <c r="M58" i="191" s="1"/>
  <c r="K34" i="191"/>
  <c r="K54" i="191" s="1"/>
  <c r="J34" i="191"/>
  <c r="J58" i="191" s="1"/>
  <c r="I34" i="191"/>
  <c r="I58" i="191" s="1"/>
  <c r="H34" i="191"/>
  <c r="G34" i="191"/>
  <c r="G58" i="191" s="1"/>
  <c r="F34" i="191"/>
  <c r="F58" i="191" s="1"/>
  <c r="E34" i="191"/>
  <c r="E58" i="191" s="1"/>
  <c r="D34" i="191"/>
  <c r="V33" i="191"/>
  <c r="U33" i="191"/>
  <c r="L33" i="191"/>
  <c r="U32" i="191"/>
  <c r="L32" i="191"/>
  <c r="U31" i="191"/>
  <c r="L31" i="191"/>
  <c r="U30" i="191"/>
  <c r="L30" i="191"/>
  <c r="U29" i="191"/>
  <c r="V29" i="191" s="1"/>
  <c r="L29" i="191"/>
  <c r="U28" i="191"/>
  <c r="L28" i="191"/>
  <c r="V28" i="191" s="1"/>
  <c r="T25" i="191"/>
  <c r="T26" i="191" s="1"/>
  <c r="R25" i="191"/>
  <c r="R26" i="191" s="1"/>
  <c r="U24" i="191"/>
  <c r="L24" i="191"/>
  <c r="U23" i="191"/>
  <c r="L23" i="191"/>
  <c r="V23" i="191" s="1"/>
  <c r="T21" i="191"/>
  <c r="S21" i="191"/>
  <c r="S57" i="191" s="1"/>
  <c r="R21" i="191"/>
  <c r="Q21" i="191"/>
  <c r="Q57" i="191" s="1"/>
  <c r="P21" i="191"/>
  <c r="P57" i="191" s="1"/>
  <c r="O21" i="191"/>
  <c r="N21" i="191"/>
  <c r="N57" i="191" s="1"/>
  <c r="M21" i="191"/>
  <c r="M57" i="191" s="1"/>
  <c r="K21" i="191"/>
  <c r="J21" i="191"/>
  <c r="J57" i="191" s="1"/>
  <c r="I21" i="191"/>
  <c r="H21" i="191"/>
  <c r="H57" i="191" s="1"/>
  <c r="G21" i="191"/>
  <c r="G57" i="191" s="1"/>
  <c r="F21" i="191"/>
  <c r="F57" i="191" s="1"/>
  <c r="E21" i="191"/>
  <c r="E54" i="191" s="1"/>
  <c r="E60" i="191" s="1"/>
  <c r="D21" i="191"/>
  <c r="V20" i="191"/>
  <c r="U20" i="191"/>
  <c r="L20" i="191"/>
  <c r="U19" i="191"/>
  <c r="L19" i="191"/>
  <c r="U18" i="191"/>
  <c r="V18" i="191" s="1"/>
  <c r="L18" i="191"/>
  <c r="AA17" i="191"/>
  <c r="Z17" i="191"/>
  <c r="V17" i="191"/>
  <c r="U17" i="191"/>
  <c r="L17" i="191"/>
  <c r="V16" i="191"/>
  <c r="U16" i="191"/>
  <c r="L16" i="191"/>
  <c r="T14" i="191"/>
  <c r="R14" i="191"/>
  <c r="P14" i="191"/>
  <c r="O14" i="191"/>
  <c r="AA5" i="191" s="1"/>
  <c r="N14" i="191"/>
  <c r="M14" i="191"/>
  <c r="K14" i="191"/>
  <c r="I14" i="191"/>
  <c r="G14" i="191"/>
  <c r="F14" i="191"/>
  <c r="E14" i="191"/>
  <c r="D14" i="191"/>
  <c r="C14" i="191"/>
  <c r="V13" i="191"/>
  <c r="T13" i="191"/>
  <c r="K13" i="191"/>
  <c r="V12" i="191"/>
  <c r="V11" i="191"/>
  <c r="V10" i="191"/>
  <c r="V9" i="191"/>
  <c r="V8" i="191"/>
  <c r="V7" i="191"/>
  <c r="V6" i="191"/>
  <c r="AH5" i="191"/>
  <c r="AG5" i="191"/>
  <c r="AH4" i="191"/>
  <c r="N78" i="192"/>
  <c r="M78" i="192"/>
  <c r="F74" i="192"/>
  <c r="U64" i="192"/>
  <c r="T64" i="192"/>
  <c r="S64" i="192"/>
  <c r="R64" i="192"/>
  <c r="Q64" i="192"/>
  <c r="P64" i="192"/>
  <c r="O64" i="192"/>
  <c r="N64" i="192"/>
  <c r="M64" i="192"/>
  <c r="L64" i="192"/>
  <c r="K64" i="192"/>
  <c r="J64" i="192"/>
  <c r="I64" i="192"/>
  <c r="H64" i="192"/>
  <c r="G64" i="192"/>
  <c r="F64" i="192"/>
  <c r="E64" i="192"/>
  <c r="D64" i="192"/>
  <c r="T60" i="192"/>
  <c r="K60" i="192"/>
  <c r="T59" i="192"/>
  <c r="K59" i="192"/>
  <c r="T58" i="192"/>
  <c r="K58" i="192"/>
  <c r="T57" i="192"/>
  <c r="K57" i="192"/>
  <c r="T56" i="192"/>
  <c r="S56" i="192"/>
  <c r="R56" i="192"/>
  <c r="Q56" i="192"/>
  <c r="P56" i="192"/>
  <c r="O56" i="192"/>
  <c r="N56" i="192"/>
  <c r="M56" i="192"/>
  <c r="K56" i="192"/>
  <c r="J56" i="192"/>
  <c r="I56" i="192"/>
  <c r="H56" i="192"/>
  <c r="G56" i="192"/>
  <c r="F56" i="192"/>
  <c r="E56" i="192"/>
  <c r="D56" i="192"/>
  <c r="I55" i="192"/>
  <c r="T43" i="192"/>
  <c r="S43" i="192"/>
  <c r="S59" i="192" s="1"/>
  <c r="R43" i="192"/>
  <c r="R59" i="192" s="1"/>
  <c r="Q43" i="192"/>
  <c r="Q59" i="192" s="1"/>
  <c r="P43" i="192"/>
  <c r="P59" i="192" s="1"/>
  <c r="O43" i="192"/>
  <c r="O59" i="192" s="1"/>
  <c r="N43" i="192"/>
  <c r="N59" i="192" s="1"/>
  <c r="M43" i="192"/>
  <c r="K43" i="192"/>
  <c r="J43" i="192"/>
  <c r="J59" i="192" s="1"/>
  <c r="I43" i="192"/>
  <c r="I59" i="192" s="1"/>
  <c r="H43" i="192"/>
  <c r="H59" i="192" s="1"/>
  <c r="G43" i="192"/>
  <c r="G59" i="192" s="1"/>
  <c r="F43" i="192"/>
  <c r="F59" i="192" s="1"/>
  <c r="E43" i="192"/>
  <c r="E59" i="192" s="1"/>
  <c r="D43" i="192"/>
  <c r="U42" i="192"/>
  <c r="L42" i="192"/>
  <c r="V42" i="192" s="1"/>
  <c r="U41" i="192"/>
  <c r="L41" i="192"/>
  <c r="U40" i="192"/>
  <c r="L40" i="192"/>
  <c r="U39" i="192"/>
  <c r="V39" i="192" s="1"/>
  <c r="L39" i="192"/>
  <c r="U38" i="192"/>
  <c r="L38" i="192"/>
  <c r="U37" i="192"/>
  <c r="L37" i="192"/>
  <c r="U36" i="192"/>
  <c r="L36" i="192"/>
  <c r="T34" i="192"/>
  <c r="S34" i="192"/>
  <c r="S58" i="192" s="1"/>
  <c r="R34" i="192"/>
  <c r="Q34" i="192"/>
  <c r="Q58" i="192" s="1"/>
  <c r="P34" i="192"/>
  <c r="P58" i="192" s="1"/>
  <c r="O34" i="192"/>
  <c r="O58" i="192" s="1"/>
  <c r="N34" i="192"/>
  <c r="N58" i="192" s="1"/>
  <c r="M34" i="192"/>
  <c r="M58" i="192" s="1"/>
  <c r="K34" i="192"/>
  <c r="J34" i="192"/>
  <c r="J58" i="192" s="1"/>
  <c r="I34" i="192"/>
  <c r="I58" i="192" s="1"/>
  <c r="H34" i="192"/>
  <c r="H58" i="192" s="1"/>
  <c r="G34" i="192"/>
  <c r="G58" i="192" s="1"/>
  <c r="F34" i="192"/>
  <c r="F58" i="192" s="1"/>
  <c r="E34" i="192"/>
  <c r="E58" i="192" s="1"/>
  <c r="D34" i="192"/>
  <c r="D58" i="192" s="1"/>
  <c r="U33" i="192"/>
  <c r="L33" i="192"/>
  <c r="U32" i="192"/>
  <c r="L32" i="192"/>
  <c r="V32" i="192" s="1"/>
  <c r="U31" i="192"/>
  <c r="L31" i="192"/>
  <c r="V31" i="192" s="1"/>
  <c r="U30" i="192"/>
  <c r="L30" i="192"/>
  <c r="U29" i="192"/>
  <c r="L29" i="192"/>
  <c r="U28" i="192"/>
  <c r="AG5" i="192" s="1"/>
  <c r="L28" i="192"/>
  <c r="AG4" i="192" s="1"/>
  <c r="U24" i="192"/>
  <c r="L24" i="192"/>
  <c r="U23" i="192"/>
  <c r="L23" i="192"/>
  <c r="T21" i="192"/>
  <c r="T54" i="192" s="1"/>
  <c r="S21" i="192"/>
  <c r="S57" i="192" s="1"/>
  <c r="R21" i="192"/>
  <c r="R57" i="192" s="1"/>
  <c r="Q21" i="192"/>
  <c r="Q54" i="192" s="1"/>
  <c r="P21" i="192"/>
  <c r="P57" i="192" s="1"/>
  <c r="O21" i="192"/>
  <c r="O57" i="192" s="1"/>
  <c r="N21" i="192"/>
  <c r="M21" i="192"/>
  <c r="M54" i="192" s="1"/>
  <c r="M60" i="192" s="1"/>
  <c r="K21" i="192"/>
  <c r="J21" i="192"/>
  <c r="I21" i="192"/>
  <c r="H21" i="192"/>
  <c r="H57" i="192" s="1"/>
  <c r="G21" i="192"/>
  <c r="F21" i="192"/>
  <c r="F57" i="192" s="1"/>
  <c r="E21" i="192"/>
  <c r="E57" i="192" s="1"/>
  <c r="D21" i="192"/>
  <c r="D57" i="192" s="1"/>
  <c r="U20" i="192"/>
  <c r="L20" i="192"/>
  <c r="U19" i="192"/>
  <c r="L19" i="192"/>
  <c r="U18" i="192"/>
  <c r="V18" i="192" s="1"/>
  <c r="L18" i="192"/>
  <c r="AA17" i="192"/>
  <c r="Z17" i="192"/>
  <c r="U17" i="192"/>
  <c r="V17" i="192" s="1"/>
  <c r="L17" i="192"/>
  <c r="U16" i="192"/>
  <c r="L16" i="192"/>
  <c r="R14" i="192"/>
  <c r="P14" i="192"/>
  <c r="O14" i="192"/>
  <c r="N14" i="192"/>
  <c r="M14" i="192"/>
  <c r="I14" i="192"/>
  <c r="G14" i="192"/>
  <c r="F14" i="192"/>
  <c r="E14" i="192"/>
  <c r="D14" i="192"/>
  <c r="C14" i="192"/>
  <c r="V13" i="192"/>
  <c r="T13" i="192"/>
  <c r="T55" i="192" s="1"/>
  <c r="T25" i="192" s="1"/>
  <c r="T26" i="192" s="1"/>
  <c r="K13" i="192"/>
  <c r="K55" i="192" s="1"/>
  <c r="V12" i="192"/>
  <c r="T12" i="192"/>
  <c r="S55" i="192" s="1"/>
  <c r="K12" i="192"/>
  <c r="J55" i="192" s="1"/>
  <c r="V11" i="192"/>
  <c r="T11" i="192"/>
  <c r="R55" i="192" s="1"/>
  <c r="V10" i="192"/>
  <c r="T10" i="192"/>
  <c r="Q55" i="192" s="1"/>
  <c r="K10" i="192"/>
  <c r="H55" i="192" s="1"/>
  <c r="V9" i="192"/>
  <c r="T9" i="192"/>
  <c r="P55" i="192" s="1"/>
  <c r="K9" i="192"/>
  <c r="G55" i="192" s="1"/>
  <c r="V8" i="192"/>
  <c r="T8" i="192"/>
  <c r="O55" i="192" s="1"/>
  <c r="O25" i="192" s="1"/>
  <c r="O26" i="192" s="1"/>
  <c r="K8" i="192"/>
  <c r="F55" i="192" s="1"/>
  <c r="V7" i="192"/>
  <c r="T7" i="192"/>
  <c r="N55" i="192" s="1"/>
  <c r="K7" i="192"/>
  <c r="E55" i="192" s="1"/>
  <c r="V6" i="192"/>
  <c r="T6" i="192"/>
  <c r="K6" i="192"/>
  <c r="D55" i="192" s="1"/>
  <c r="N83" i="193"/>
  <c r="M83" i="193"/>
  <c r="F79" i="193"/>
  <c r="U69" i="193"/>
  <c r="T69" i="193"/>
  <c r="S69" i="193"/>
  <c r="R69" i="193"/>
  <c r="Q69" i="193"/>
  <c r="P69" i="193"/>
  <c r="O69" i="193"/>
  <c r="N69" i="193"/>
  <c r="M69" i="193"/>
  <c r="L69" i="193"/>
  <c r="K69" i="193"/>
  <c r="J69" i="193"/>
  <c r="I69" i="193"/>
  <c r="H69" i="193"/>
  <c r="G69" i="193"/>
  <c r="F69" i="193"/>
  <c r="E69" i="193"/>
  <c r="D69" i="193"/>
  <c r="T65" i="193"/>
  <c r="K65" i="193"/>
  <c r="T64" i="193"/>
  <c r="K64" i="193"/>
  <c r="T63" i="193"/>
  <c r="K63" i="193"/>
  <c r="T62" i="193"/>
  <c r="K62" i="193"/>
  <c r="T61" i="193"/>
  <c r="S61" i="193"/>
  <c r="R61" i="193"/>
  <c r="Q61" i="193"/>
  <c r="P61" i="193"/>
  <c r="O61" i="193"/>
  <c r="N61" i="193"/>
  <c r="M61" i="193"/>
  <c r="K61" i="193"/>
  <c r="J61" i="193"/>
  <c r="I61" i="193"/>
  <c r="H61" i="193"/>
  <c r="G61" i="193"/>
  <c r="F61" i="193"/>
  <c r="E61" i="193"/>
  <c r="D61" i="193"/>
  <c r="K60" i="193"/>
  <c r="J60" i="193"/>
  <c r="T43" i="193"/>
  <c r="S43" i="193"/>
  <c r="S64" i="193" s="1"/>
  <c r="R43" i="193"/>
  <c r="R64" i="193" s="1"/>
  <c r="Q43" i="193"/>
  <c r="Q64" i="193" s="1"/>
  <c r="P43" i="193"/>
  <c r="P64" i="193" s="1"/>
  <c r="O43" i="193"/>
  <c r="O64" i="193" s="1"/>
  <c r="N43" i="193"/>
  <c r="N64" i="193" s="1"/>
  <c r="M43" i="193"/>
  <c r="K43" i="193"/>
  <c r="J43" i="193"/>
  <c r="J64" i="193" s="1"/>
  <c r="I43" i="193"/>
  <c r="I64" i="193" s="1"/>
  <c r="H43" i="193"/>
  <c r="H64" i="193" s="1"/>
  <c r="G43" i="193"/>
  <c r="G64" i="193" s="1"/>
  <c r="F43" i="193"/>
  <c r="F64" i="193" s="1"/>
  <c r="E43" i="193"/>
  <c r="E64" i="193" s="1"/>
  <c r="D43" i="193"/>
  <c r="U42" i="193"/>
  <c r="L42" i="193"/>
  <c r="U41" i="193"/>
  <c r="L41" i="193"/>
  <c r="U40" i="193"/>
  <c r="L40" i="193"/>
  <c r="V40" i="193" s="1"/>
  <c r="V39" i="193"/>
  <c r="U39" i="193"/>
  <c r="L39" i="193"/>
  <c r="U38" i="193"/>
  <c r="L38" i="193"/>
  <c r="U37" i="193"/>
  <c r="L37" i="193"/>
  <c r="U36" i="193"/>
  <c r="L36" i="193"/>
  <c r="T34" i="193"/>
  <c r="S34" i="193"/>
  <c r="S63" i="193" s="1"/>
  <c r="R34" i="193"/>
  <c r="R63" i="193" s="1"/>
  <c r="Q34" i="193"/>
  <c r="Q63" i="193" s="1"/>
  <c r="P34" i="193"/>
  <c r="P63" i="193" s="1"/>
  <c r="O34" i="193"/>
  <c r="O63" i="193" s="1"/>
  <c r="N34" i="193"/>
  <c r="N63" i="193" s="1"/>
  <c r="M34" i="193"/>
  <c r="M63" i="193" s="1"/>
  <c r="K34" i="193"/>
  <c r="J34" i="193"/>
  <c r="J63" i="193" s="1"/>
  <c r="I34" i="193"/>
  <c r="I63" i="193" s="1"/>
  <c r="H34" i="193"/>
  <c r="H63" i="193" s="1"/>
  <c r="G34" i="193"/>
  <c r="G63" i="193" s="1"/>
  <c r="F34" i="193"/>
  <c r="F63" i="193" s="1"/>
  <c r="E34" i="193"/>
  <c r="E63" i="193" s="1"/>
  <c r="D34" i="193"/>
  <c r="U33" i="193"/>
  <c r="L33" i="193"/>
  <c r="U32" i="193"/>
  <c r="L32" i="193"/>
  <c r="U31" i="193"/>
  <c r="L31" i="193"/>
  <c r="U30" i="193"/>
  <c r="L30" i="193"/>
  <c r="U29" i="193"/>
  <c r="L29" i="193"/>
  <c r="U28" i="193"/>
  <c r="L28" i="193"/>
  <c r="AG4" i="193" s="1"/>
  <c r="U24" i="193"/>
  <c r="L24" i="193"/>
  <c r="U23" i="193"/>
  <c r="L23" i="193"/>
  <c r="T21" i="193"/>
  <c r="S21" i="193"/>
  <c r="S62" i="193" s="1"/>
  <c r="R21" i="193"/>
  <c r="R62" i="193" s="1"/>
  <c r="Q21" i="193"/>
  <c r="Q59" i="193" s="1"/>
  <c r="Q65" i="193" s="1"/>
  <c r="P21" i="193"/>
  <c r="P59" i="193" s="1"/>
  <c r="P65" i="193" s="1"/>
  <c r="O21" i="193"/>
  <c r="O62" i="193" s="1"/>
  <c r="N21" i="193"/>
  <c r="M21" i="193"/>
  <c r="K21" i="193"/>
  <c r="J21" i="193"/>
  <c r="J62" i="193" s="1"/>
  <c r="I21" i="193"/>
  <c r="I62" i="193" s="1"/>
  <c r="H21" i="193"/>
  <c r="H59" i="193" s="1"/>
  <c r="G21" i="193"/>
  <c r="G59" i="193" s="1"/>
  <c r="G65" i="193" s="1"/>
  <c r="F21" i="193"/>
  <c r="E21" i="193"/>
  <c r="D21" i="193"/>
  <c r="D62" i="193" s="1"/>
  <c r="U20" i="193"/>
  <c r="L20" i="193"/>
  <c r="U19" i="193"/>
  <c r="L19" i="193"/>
  <c r="U18" i="193"/>
  <c r="V18" i="193" s="1"/>
  <c r="L18" i="193"/>
  <c r="AA17" i="193"/>
  <c r="Z17" i="193"/>
  <c r="U17" i="193"/>
  <c r="V17" i="193" s="1"/>
  <c r="L17" i="193"/>
  <c r="U16" i="193"/>
  <c r="L16" i="193"/>
  <c r="V16" i="193" s="1"/>
  <c r="R14" i="193"/>
  <c r="P14" i="193"/>
  <c r="O14" i="193"/>
  <c r="AA5" i="193" s="1"/>
  <c r="N14" i="193"/>
  <c r="M14" i="193"/>
  <c r="I14" i="193"/>
  <c r="G14" i="193"/>
  <c r="F14" i="193"/>
  <c r="E14" i="193"/>
  <c r="D14" i="193"/>
  <c r="C14" i="193"/>
  <c r="V13" i="193"/>
  <c r="T13" i="193"/>
  <c r="T60" i="193" s="1"/>
  <c r="K13" i="193"/>
  <c r="K14" i="193" s="1"/>
  <c r="V12" i="193"/>
  <c r="T12" i="193"/>
  <c r="S60" i="193" s="1"/>
  <c r="V11" i="193"/>
  <c r="T11" i="193"/>
  <c r="R60" i="193" s="1"/>
  <c r="I60" i="193"/>
  <c r="V10" i="193"/>
  <c r="T10" i="193"/>
  <c r="Q60" i="193" s="1"/>
  <c r="H60" i="193"/>
  <c r="V9" i="193"/>
  <c r="T9" i="193"/>
  <c r="P60" i="193" s="1"/>
  <c r="G60" i="193"/>
  <c r="G25" i="193" s="1"/>
  <c r="G26" i="193" s="1"/>
  <c r="V8" i="193"/>
  <c r="T8" i="193"/>
  <c r="O60" i="193" s="1"/>
  <c r="F60" i="193"/>
  <c r="V7" i="193"/>
  <c r="T7" i="193"/>
  <c r="N60" i="193" s="1"/>
  <c r="E60" i="193"/>
  <c r="V6" i="193"/>
  <c r="T6" i="193"/>
  <c r="AG5" i="193"/>
  <c r="N80" i="194"/>
  <c r="M80" i="194"/>
  <c r="F76" i="194"/>
  <c r="U66" i="194"/>
  <c r="T66" i="194"/>
  <c r="S66" i="194"/>
  <c r="R66" i="194"/>
  <c r="Q66" i="194"/>
  <c r="P66" i="194"/>
  <c r="O66" i="194"/>
  <c r="N66" i="194"/>
  <c r="M66" i="194"/>
  <c r="L66" i="194"/>
  <c r="K66" i="194"/>
  <c r="J66" i="194"/>
  <c r="I66" i="194"/>
  <c r="H66" i="194"/>
  <c r="G66" i="194"/>
  <c r="F66" i="194"/>
  <c r="E66" i="194"/>
  <c r="D66" i="194"/>
  <c r="T62" i="194"/>
  <c r="K62" i="194"/>
  <c r="J62" i="194"/>
  <c r="I62" i="194"/>
  <c r="H62" i="194"/>
  <c r="G62" i="194"/>
  <c r="F62" i="194"/>
  <c r="E62" i="194"/>
  <c r="D62" i="194"/>
  <c r="T61" i="194"/>
  <c r="S61" i="194"/>
  <c r="R61" i="194"/>
  <c r="Q61" i="194"/>
  <c r="P61" i="194"/>
  <c r="O61" i="194"/>
  <c r="N61" i="194"/>
  <c r="M61" i="194"/>
  <c r="L61" i="194"/>
  <c r="K61" i="194"/>
  <c r="J61" i="194"/>
  <c r="I61" i="194"/>
  <c r="H61" i="194"/>
  <c r="G61" i="194"/>
  <c r="F61" i="194"/>
  <c r="E61" i="194"/>
  <c r="D61" i="194"/>
  <c r="T60" i="194"/>
  <c r="S60" i="194"/>
  <c r="R60" i="194"/>
  <c r="Q60" i="194"/>
  <c r="P60" i="194"/>
  <c r="O60" i="194"/>
  <c r="N60" i="194"/>
  <c r="M60" i="194"/>
  <c r="L60" i="194"/>
  <c r="K60" i="194"/>
  <c r="J60" i="194"/>
  <c r="I60" i="194"/>
  <c r="H60" i="194"/>
  <c r="G60" i="194"/>
  <c r="F60" i="194"/>
  <c r="E60" i="194"/>
  <c r="D60" i="194"/>
  <c r="T59" i="194"/>
  <c r="K59" i="194"/>
  <c r="J59" i="194"/>
  <c r="I59" i="194"/>
  <c r="H59" i="194"/>
  <c r="G59" i="194"/>
  <c r="F59" i="194"/>
  <c r="E59" i="194"/>
  <c r="D59" i="194"/>
  <c r="T58" i="194"/>
  <c r="S58" i="194"/>
  <c r="R58" i="194"/>
  <c r="Q58" i="194"/>
  <c r="P58" i="194"/>
  <c r="O58" i="194"/>
  <c r="N58" i="194"/>
  <c r="M58" i="194"/>
  <c r="K58" i="194"/>
  <c r="J58" i="194"/>
  <c r="I58" i="194"/>
  <c r="H58" i="194"/>
  <c r="G58" i="194"/>
  <c r="F58" i="194"/>
  <c r="E58" i="194"/>
  <c r="D58" i="194"/>
  <c r="L58" i="194" s="1"/>
  <c r="T57" i="194"/>
  <c r="K57" i="194"/>
  <c r="T43" i="194"/>
  <c r="S43" i="194"/>
  <c r="R43" i="194"/>
  <c r="Q43" i="194"/>
  <c r="P43" i="194"/>
  <c r="O43" i="194"/>
  <c r="N43" i="194"/>
  <c r="M43" i="194"/>
  <c r="U43" i="194" s="1"/>
  <c r="K43" i="194"/>
  <c r="J43" i="194"/>
  <c r="I43" i="194"/>
  <c r="H43" i="194"/>
  <c r="G43" i="194"/>
  <c r="F43" i="194"/>
  <c r="E43" i="194"/>
  <c r="D43" i="194"/>
  <c r="L43" i="194" s="1"/>
  <c r="AH4" i="194" s="1"/>
  <c r="U42" i="194"/>
  <c r="L42" i="194"/>
  <c r="V41" i="194"/>
  <c r="U41" i="194"/>
  <c r="L41" i="194"/>
  <c r="U40" i="194"/>
  <c r="L40" i="194"/>
  <c r="V40" i="194" s="1"/>
  <c r="U39" i="194"/>
  <c r="L39" i="194"/>
  <c r="V39" i="194" s="1"/>
  <c r="U38" i="194"/>
  <c r="L38" i="194"/>
  <c r="U37" i="194"/>
  <c r="V37" i="194" s="1"/>
  <c r="L37" i="194"/>
  <c r="U36" i="194"/>
  <c r="L36" i="194"/>
  <c r="T34" i="194"/>
  <c r="S34" i="194"/>
  <c r="R34" i="194"/>
  <c r="Q34" i="194"/>
  <c r="P34" i="194"/>
  <c r="O34" i="194"/>
  <c r="N34" i="194"/>
  <c r="M34" i="194"/>
  <c r="U34" i="194" s="1"/>
  <c r="K34" i="194"/>
  <c r="J34" i="194"/>
  <c r="I34" i="194"/>
  <c r="H34" i="194"/>
  <c r="G34" i="194"/>
  <c r="F34" i="194"/>
  <c r="E34" i="194"/>
  <c r="D34" i="194"/>
  <c r="L34" i="194" s="1"/>
  <c r="U33" i="194"/>
  <c r="L33" i="194"/>
  <c r="V33" i="194" s="1"/>
  <c r="U32" i="194"/>
  <c r="L32" i="194"/>
  <c r="V32" i="194" s="1"/>
  <c r="U31" i="194"/>
  <c r="L31" i="194"/>
  <c r="V31" i="194" s="1"/>
  <c r="U30" i="194"/>
  <c r="L30" i="194"/>
  <c r="U29" i="194"/>
  <c r="V29" i="194" s="1"/>
  <c r="L29" i="194"/>
  <c r="V28" i="194"/>
  <c r="U28" i="194"/>
  <c r="L28" i="194"/>
  <c r="T25" i="194"/>
  <c r="T26" i="194" s="1"/>
  <c r="U24" i="194"/>
  <c r="L24" i="194"/>
  <c r="U23" i="194"/>
  <c r="V23" i="194" s="1"/>
  <c r="L23" i="194"/>
  <c r="T21" i="194"/>
  <c r="T56" i="194" s="1"/>
  <c r="S21" i="194"/>
  <c r="S59" i="194" s="1"/>
  <c r="R21" i="194"/>
  <c r="R56" i="194" s="1"/>
  <c r="Q21" i="194"/>
  <c r="Q56" i="194" s="1"/>
  <c r="Q65" i="194" s="1"/>
  <c r="P21" i="194"/>
  <c r="P59" i="194" s="1"/>
  <c r="O21" i="194"/>
  <c r="O59" i="194" s="1"/>
  <c r="N21" i="194"/>
  <c r="N59" i="194" s="1"/>
  <c r="M21" i="194"/>
  <c r="M59" i="194" s="1"/>
  <c r="K21" i="194"/>
  <c r="K56" i="194" s="1"/>
  <c r="J21" i="194"/>
  <c r="J56" i="194" s="1"/>
  <c r="J65" i="194" s="1"/>
  <c r="I21" i="194"/>
  <c r="H21" i="194"/>
  <c r="H56" i="194" s="1"/>
  <c r="G21" i="194"/>
  <c r="G56" i="194" s="1"/>
  <c r="G65" i="194" s="1"/>
  <c r="F21" i="194"/>
  <c r="F56" i="194" s="1"/>
  <c r="E21" i="194"/>
  <c r="E56" i="194" s="1"/>
  <c r="D21" i="194"/>
  <c r="D56" i="194" s="1"/>
  <c r="U20" i="194"/>
  <c r="V20" i="194" s="1"/>
  <c r="L20" i="194"/>
  <c r="U19" i="194"/>
  <c r="L19" i="194"/>
  <c r="V18" i="194"/>
  <c r="U18" i="194"/>
  <c r="L18" i="194"/>
  <c r="AA17" i="194"/>
  <c r="Z17" i="194"/>
  <c r="V17" i="194"/>
  <c r="U17" i="194"/>
  <c r="L17" i="194"/>
  <c r="U16" i="194"/>
  <c r="L16" i="194"/>
  <c r="R14" i="194"/>
  <c r="P14" i="194"/>
  <c r="O14" i="194"/>
  <c r="N14" i="194"/>
  <c r="M14" i="194"/>
  <c r="I14" i="194"/>
  <c r="G14" i="194"/>
  <c r="F14" i="194"/>
  <c r="L62" i="194" s="1"/>
  <c r="E14" i="194"/>
  <c r="D14" i="194"/>
  <c r="C14" i="194"/>
  <c r="V13" i="194"/>
  <c r="T13" i="194"/>
  <c r="K13" i="194"/>
  <c r="V12" i="194"/>
  <c r="T12" i="194"/>
  <c r="S57" i="194" s="1"/>
  <c r="K12" i="194"/>
  <c r="J57" i="194" s="1"/>
  <c r="V11" i="194"/>
  <c r="T11" i="194"/>
  <c r="R57" i="194" s="1"/>
  <c r="K11" i="194"/>
  <c r="I57" i="194" s="1"/>
  <c r="V10" i="194"/>
  <c r="T10" i="194"/>
  <c r="Q57" i="194" s="1"/>
  <c r="K10" i="194"/>
  <c r="H57" i="194" s="1"/>
  <c r="H25" i="194" s="1"/>
  <c r="H26" i="194" s="1"/>
  <c r="V9" i="194"/>
  <c r="T9" i="194"/>
  <c r="P57" i="194" s="1"/>
  <c r="K9" i="194"/>
  <c r="G57" i="194" s="1"/>
  <c r="V8" i="194"/>
  <c r="T8" i="194"/>
  <c r="O57" i="194" s="1"/>
  <c r="K8" i="194"/>
  <c r="F57" i="194" s="1"/>
  <c r="V7" i="194"/>
  <c r="T7" i="194"/>
  <c r="N57" i="194" s="1"/>
  <c r="K7" i="194"/>
  <c r="E57" i="194" s="1"/>
  <c r="E25" i="194" s="1"/>
  <c r="E26" i="194" s="1"/>
  <c r="V6" i="194"/>
  <c r="T6" i="194"/>
  <c r="K6" i="194"/>
  <c r="D57" i="194" s="1"/>
  <c r="AG5" i="194"/>
  <c r="AG4" i="194"/>
  <c r="AA4" i="194"/>
  <c r="O79" i="195"/>
  <c r="F75" i="195"/>
  <c r="V65" i="195"/>
  <c r="U65" i="195"/>
  <c r="T65" i="195"/>
  <c r="S65" i="195"/>
  <c r="R65" i="195"/>
  <c r="Q65" i="195"/>
  <c r="P65" i="195"/>
  <c r="O65" i="195"/>
  <c r="N65" i="195"/>
  <c r="M65" i="195"/>
  <c r="L65" i="195"/>
  <c r="K65" i="195"/>
  <c r="J65" i="195"/>
  <c r="I65" i="195"/>
  <c r="H65" i="195"/>
  <c r="G65" i="195"/>
  <c r="F65" i="195"/>
  <c r="E65" i="195"/>
  <c r="D65" i="195"/>
  <c r="T61" i="195"/>
  <c r="K61" i="195"/>
  <c r="F61" i="195"/>
  <c r="T60" i="195"/>
  <c r="S60" i="195"/>
  <c r="R60" i="195"/>
  <c r="Q60" i="195"/>
  <c r="P60" i="195"/>
  <c r="O60" i="195"/>
  <c r="N60" i="195"/>
  <c r="M60" i="195"/>
  <c r="K60" i="195"/>
  <c r="J60" i="195"/>
  <c r="I60" i="195"/>
  <c r="H60" i="195"/>
  <c r="G60" i="195"/>
  <c r="F60" i="195"/>
  <c r="E60" i="195"/>
  <c r="D60" i="195"/>
  <c r="T59" i="195"/>
  <c r="S59" i="195"/>
  <c r="R59" i="195"/>
  <c r="Q59" i="195"/>
  <c r="O59" i="195"/>
  <c r="K59" i="195"/>
  <c r="J59" i="195"/>
  <c r="I59" i="195"/>
  <c r="H59" i="195"/>
  <c r="G59" i="195"/>
  <c r="F59" i="195"/>
  <c r="E59" i="195"/>
  <c r="D59" i="195"/>
  <c r="T58" i="195"/>
  <c r="O58" i="195"/>
  <c r="K58" i="195"/>
  <c r="J58" i="195"/>
  <c r="I58" i="195"/>
  <c r="H58" i="195"/>
  <c r="G58" i="195"/>
  <c r="F58" i="195"/>
  <c r="E58" i="195"/>
  <c r="D58" i="195"/>
  <c r="T57" i="195"/>
  <c r="S57" i="195"/>
  <c r="R57" i="195"/>
  <c r="Q57" i="195"/>
  <c r="P57" i="195"/>
  <c r="O57" i="195"/>
  <c r="N57" i="195"/>
  <c r="M57" i="195"/>
  <c r="K57" i="195"/>
  <c r="J57" i="195"/>
  <c r="I57" i="195"/>
  <c r="H57" i="195"/>
  <c r="G57" i="195"/>
  <c r="F57" i="195"/>
  <c r="E57" i="195"/>
  <c r="D57" i="195"/>
  <c r="K56" i="195"/>
  <c r="T43" i="195"/>
  <c r="S43" i="195"/>
  <c r="R43" i="195"/>
  <c r="Q43" i="195"/>
  <c r="P43" i="195"/>
  <c r="O43" i="195"/>
  <c r="N43" i="195"/>
  <c r="M43" i="195"/>
  <c r="U43" i="195" s="1"/>
  <c r="K43" i="195"/>
  <c r="J43" i="195"/>
  <c r="I43" i="195"/>
  <c r="H43" i="195"/>
  <c r="G43" i="195"/>
  <c r="F43" i="195"/>
  <c r="E43" i="195"/>
  <c r="D43" i="195"/>
  <c r="U42" i="195"/>
  <c r="L42" i="195"/>
  <c r="V42" i="195" s="1"/>
  <c r="V41" i="195"/>
  <c r="U41" i="195"/>
  <c r="L41" i="195"/>
  <c r="U40" i="195"/>
  <c r="L40" i="195"/>
  <c r="U39" i="195"/>
  <c r="L39" i="195"/>
  <c r="V39" i="195" s="1"/>
  <c r="U38" i="195"/>
  <c r="V38" i="195" s="1"/>
  <c r="L38" i="195"/>
  <c r="U37" i="195"/>
  <c r="L37" i="195"/>
  <c r="U36" i="195"/>
  <c r="V36" i="195" s="1"/>
  <c r="L36" i="195"/>
  <c r="T34" i="195"/>
  <c r="S34" i="195"/>
  <c r="R34" i="195"/>
  <c r="Q34" i="195"/>
  <c r="P34" i="195"/>
  <c r="P59" i="195" s="1"/>
  <c r="O34" i="195"/>
  <c r="N34" i="195"/>
  <c r="N59" i="195" s="1"/>
  <c r="M34" i="195"/>
  <c r="K34" i="195"/>
  <c r="K55" i="195" s="1"/>
  <c r="J34" i="195"/>
  <c r="I34" i="195"/>
  <c r="H34" i="195"/>
  <c r="G34" i="195"/>
  <c r="F34" i="195"/>
  <c r="F55" i="195" s="1"/>
  <c r="E34" i="195"/>
  <c r="D34" i="195"/>
  <c r="U33" i="195"/>
  <c r="V33" i="195" s="1"/>
  <c r="L33" i="195"/>
  <c r="U32" i="195"/>
  <c r="V32" i="195" s="1"/>
  <c r="L32" i="195"/>
  <c r="U31" i="195"/>
  <c r="V31" i="195" s="1"/>
  <c r="L31" i="195"/>
  <c r="U30" i="195"/>
  <c r="L30" i="195"/>
  <c r="U29" i="195"/>
  <c r="L29" i="195"/>
  <c r="V29" i="195" s="1"/>
  <c r="U28" i="195"/>
  <c r="AG5" i="195" s="1"/>
  <c r="L28" i="195"/>
  <c r="AG4" i="195" s="1"/>
  <c r="U24" i="195"/>
  <c r="L24" i="195"/>
  <c r="U23" i="195"/>
  <c r="L23" i="195"/>
  <c r="T21" i="195"/>
  <c r="S21" i="195"/>
  <c r="S58" i="195" s="1"/>
  <c r="R21" i="195"/>
  <c r="R55" i="195" s="1"/>
  <c r="R61" i="195" s="1"/>
  <c r="Q21" i="195"/>
  <c r="Q55" i="195" s="1"/>
  <c r="Q61" i="195" s="1"/>
  <c r="P21" i="195"/>
  <c r="P55" i="195" s="1"/>
  <c r="O21" i="195"/>
  <c r="O55" i="195" s="1"/>
  <c r="O64" i="195" s="1"/>
  <c r="N21" i="195"/>
  <c r="N58" i="195" s="1"/>
  <c r="M21" i="195"/>
  <c r="K21" i="195"/>
  <c r="J21" i="195"/>
  <c r="I21" i="195"/>
  <c r="I55" i="195" s="1"/>
  <c r="I64" i="195" s="1"/>
  <c r="H21" i="195"/>
  <c r="G21" i="195"/>
  <c r="F21" i="195"/>
  <c r="E21" i="195"/>
  <c r="D21" i="195"/>
  <c r="D55" i="195" s="1"/>
  <c r="D64" i="195" s="1"/>
  <c r="U20" i="195"/>
  <c r="L20" i="195"/>
  <c r="U19" i="195"/>
  <c r="L19" i="195"/>
  <c r="V18" i="195"/>
  <c r="U18" i="195"/>
  <c r="L18" i="195"/>
  <c r="AA17" i="195"/>
  <c r="Z17" i="195"/>
  <c r="U17" i="195"/>
  <c r="V17" i="195" s="1"/>
  <c r="L17" i="195"/>
  <c r="U16" i="195"/>
  <c r="L16" i="195"/>
  <c r="R14" i="195"/>
  <c r="P14" i="195"/>
  <c r="O14" i="195"/>
  <c r="AA5" i="195" s="1"/>
  <c r="N14" i="195"/>
  <c r="M14" i="195"/>
  <c r="I14" i="195"/>
  <c r="G14" i="195"/>
  <c r="F14" i="195"/>
  <c r="AA4" i="195" s="1"/>
  <c r="E14" i="195"/>
  <c r="D14" i="195"/>
  <c r="C14" i="195"/>
  <c r="V13" i="195"/>
  <c r="T13" i="195"/>
  <c r="T56" i="195" s="1"/>
  <c r="K13" i="195"/>
  <c r="V12" i="195"/>
  <c r="T12" i="195"/>
  <c r="S56" i="195" s="1"/>
  <c r="K12" i="195"/>
  <c r="J56" i="195" s="1"/>
  <c r="V11" i="195"/>
  <c r="T11" i="195"/>
  <c r="R56" i="195" s="1"/>
  <c r="K11" i="195"/>
  <c r="I56" i="195" s="1"/>
  <c r="V10" i="195"/>
  <c r="T10" i="195"/>
  <c r="Q56" i="195" s="1"/>
  <c r="K10" i="195"/>
  <c r="H56" i="195" s="1"/>
  <c r="V9" i="195"/>
  <c r="T9" i="195"/>
  <c r="P56" i="195" s="1"/>
  <c r="K9" i="195"/>
  <c r="G56" i="195" s="1"/>
  <c r="V8" i="195"/>
  <c r="T8" i="195"/>
  <c r="O56" i="195" s="1"/>
  <c r="K8" i="195"/>
  <c r="F56" i="195" s="1"/>
  <c r="F25" i="195" s="1"/>
  <c r="F26" i="195" s="1"/>
  <c r="V7" i="195"/>
  <c r="T7" i="195"/>
  <c r="N56" i="195" s="1"/>
  <c r="K7" i="195"/>
  <c r="E56" i="195" s="1"/>
  <c r="V6" i="195"/>
  <c r="T6" i="195"/>
  <c r="M56" i="195" s="1"/>
  <c r="K6" i="195"/>
  <c r="D56" i="195" s="1"/>
  <c r="N78" i="210"/>
  <c r="V64" i="210" s="1"/>
  <c r="M78" i="210"/>
  <c r="O78" i="210" s="1"/>
  <c r="F74" i="210"/>
  <c r="U64" i="210"/>
  <c r="T64" i="210"/>
  <c r="S64" i="210"/>
  <c r="R64" i="210"/>
  <c r="Q64" i="210"/>
  <c r="P64" i="210"/>
  <c r="O64" i="210"/>
  <c r="N64" i="210"/>
  <c r="M64" i="210"/>
  <c r="L64" i="210"/>
  <c r="K64" i="210"/>
  <c r="J64" i="210"/>
  <c r="I64" i="210"/>
  <c r="H64" i="210"/>
  <c r="G64" i="210"/>
  <c r="F64" i="210"/>
  <c r="E64" i="210"/>
  <c r="D64" i="210"/>
  <c r="T60" i="210"/>
  <c r="S60" i="210"/>
  <c r="R60" i="210"/>
  <c r="Q60" i="210"/>
  <c r="P60" i="210"/>
  <c r="O60" i="210"/>
  <c r="N60" i="210"/>
  <c r="M60" i="210"/>
  <c r="K60" i="210"/>
  <c r="J60" i="210"/>
  <c r="I60" i="210"/>
  <c r="H60" i="210"/>
  <c r="G60" i="210"/>
  <c r="F60" i="210"/>
  <c r="E60" i="210"/>
  <c r="D60" i="210"/>
  <c r="T59" i="210"/>
  <c r="S59" i="210"/>
  <c r="R59" i="210"/>
  <c r="Q59" i="210"/>
  <c r="P59" i="210"/>
  <c r="O59" i="210"/>
  <c r="N59" i="210"/>
  <c r="M59" i="210"/>
  <c r="K59" i="210"/>
  <c r="J59" i="210"/>
  <c r="I59" i="210"/>
  <c r="H59" i="210"/>
  <c r="G59" i="210"/>
  <c r="F59" i="210"/>
  <c r="E59" i="210"/>
  <c r="D59" i="210"/>
  <c r="T58" i="210"/>
  <c r="S58" i="210"/>
  <c r="R58" i="210"/>
  <c r="Q58" i="210"/>
  <c r="P58" i="210"/>
  <c r="O58" i="210"/>
  <c r="N58" i="210"/>
  <c r="M58" i="210"/>
  <c r="K58" i="210"/>
  <c r="J58" i="210"/>
  <c r="I58" i="210"/>
  <c r="H58" i="210"/>
  <c r="G58" i="210"/>
  <c r="F58" i="210"/>
  <c r="E58" i="210"/>
  <c r="D58" i="210"/>
  <c r="T57" i="210"/>
  <c r="S57" i="210"/>
  <c r="R57" i="210"/>
  <c r="Q57" i="210"/>
  <c r="P57" i="210"/>
  <c r="O57" i="210"/>
  <c r="N57" i="210"/>
  <c r="M57" i="210"/>
  <c r="L57" i="210"/>
  <c r="K57" i="210"/>
  <c r="J57" i="210"/>
  <c r="I57" i="210"/>
  <c r="H57" i="210"/>
  <c r="G57" i="210"/>
  <c r="F57" i="210"/>
  <c r="E57" i="210"/>
  <c r="D57" i="210"/>
  <c r="T56" i="210"/>
  <c r="S56" i="210"/>
  <c r="R56" i="210"/>
  <c r="Q56" i="210"/>
  <c r="P56" i="210"/>
  <c r="O56" i="210"/>
  <c r="N56" i="210"/>
  <c r="M56" i="210"/>
  <c r="U56" i="210" s="1"/>
  <c r="AD5" i="210" s="1"/>
  <c r="K56" i="210"/>
  <c r="J56" i="210"/>
  <c r="I56" i="210"/>
  <c r="H56" i="210"/>
  <c r="G56" i="210"/>
  <c r="F56" i="210"/>
  <c r="E56" i="210"/>
  <c r="D56" i="210"/>
  <c r="L56" i="210" s="1"/>
  <c r="T55" i="210"/>
  <c r="O55" i="210"/>
  <c r="K55" i="210"/>
  <c r="J55" i="210"/>
  <c r="F55" i="210"/>
  <c r="T43" i="210"/>
  <c r="S43" i="210"/>
  <c r="R43" i="210"/>
  <c r="Q43" i="210"/>
  <c r="P43" i="210"/>
  <c r="O43" i="210"/>
  <c r="N43" i="210"/>
  <c r="M43" i="210"/>
  <c r="U43" i="210" s="1"/>
  <c r="K43" i="210"/>
  <c r="J43" i="210"/>
  <c r="I43" i="210"/>
  <c r="H43" i="210"/>
  <c r="G43" i="210"/>
  <c r="F43" i="210"/>
  <c r="E43" i="210"/>
  <c r="D43" i="210"/>
  <c r="L43" i="210" s="1"/>
  <c r="AH4" i="210" s="1"/>
  <c r="U42" i="210"/>
  <c r="L42" i="210"/>
  <c r="U41" i="210"/>
  <c r="L41" i="210"/>
  <c r="U40" i="210"/>
  <c r="L40" i="210"/>
  <c r="V39" i="210"/>
  <c r="U39" i="210"/>
  <c r="L39" i="210"/>
  <c r="U38" i="210"/>
  <c r="L38" i="210"/>
  <c r="V38" i="210" s="1"/>
  <c r="U37" i="210"/>
  <c r="L37" i="210"/>
  <c r="U36" i="210"/>
  <c r="V36" i="210" s="1"/>
  <c r="L36" i="210"/>
  <c r="T34" i="210"/>
  <c r="S34" i="210"/>
  <c r="S54" i="210" s="1"/>
  <c r="R34" i="210"/>
  <c r="Q34" i="210"/>
  <c r="P34" i="210"/>
  <c r="O34" i="210"/>
  <c r="N34" i="210"/>
  <c r="M34" i="210"/>
  <c r="U34" i="210" s="1"/>
  <c r="K34" i="210"/>
  <c r="J34" i="210"/>
  <c r="J54" i="210" s="1"/>
  <c r="J61" i="210" s="1"/>
  <c r="I34" i="210"/>
  <c r="H34" i="210"/>
  <c r="H54" i="210" s="1"/>
  <c r="H61" i="210" s="1"/>
  <c r="G34" i="210"/>
  <c r="F34" i="210"/>
  <c r="E34" i="210"/>
  <c r="E54" i="210" s="1"/>
  <c r="D34" i="210"/>
  <c r="L34" i="210" s="1"/>
  <c r="U33" i="210"/>
  <c r="L33" i="210"/>
  <c r="V33" i="210" s="1"/>
  <c r="V32" i="210"/>
  <c r="U32" i="210"/>
  <c r="L32" i="210"/>
  <c r="U31" i="210"/>
  <c r="V31" i="210" s="1"/>
  <c r="L31" i="210"/>
  <c r="U30" i="210"/>
  <c r="L30" i="210"/>
  <c r="V30" i="210" s="1"/>
  <c r="U29" i="210"/>
  <c r="L29" i="210"/>
  <c r="V28" i="210"/>
  <c r="U28" i="210"/>
  <c r="L28" i="210"/>
  <c r="R26" i="210"/>
  <c r="T25" i="210"/>
  <c r="T26" i="210" s="1"/>
  <c r="R25" i="210"/>
  <c r="U24" i="210"/>
  <c r="L24" i="210"/>
  <c r="U23" i="210"/>
  <c r="L23" i="210"/>
  <c r="V23" i="210" s="1"/>
  <c r="T21" i="210"/>
  <c r="T54" i="210" s="1"/>
  <c r="S21" i="210"/>
  <c r="R21" i="210"/>
  <c r="Q21" i="210"/>
  <c r="Q54" i="210" s="1"/>
  <c r="P21" i="210"/>
  <c r="O21" i="210"/>
  <c r="N21" i="210"/>
  <c r="N54" i="210" s="1"/>
  <c r="M21" i="210"/>
  <c r="U21" i="210" s="1"/>
  <c r="AE5" i="210" s="1"/>
  <c r="K21" i="210"/>
  <c r="K54" i="210" s="1"/>
  <c r="J21" i="210"/>
  <c r="I21" i="210"/>
  <c r="I54" i="210" s="1"/>
  <c r="I61" i="210" s="1"/>
  <c r="H21" i="210"/>
  <c r="G21" i="210"/>
  <c r="G54" i="210" s="1"/>
  <c r="F21" i="210"/>
  <c r="E21" i="210"/>
  <c r="D21" i="210"/>
  <c r="D54" i="210" s="1"/>
  <c r="V20" i="210"/>
  <c r="U20" i="210"/>
  <c r="L20" i="210"/>
  <c r="U19" i="210"/>
  <c r="V19" i="210" s="1"/>
  <c r="L19" i="210"/>
  <c r="U18" i="210"/>
  <c r="V18" i="210" s="1"/>
  <c r="L18" i="210"/>
  <c r="AA17" i="210"/>
  <c r="Z17" i="210"/>
  <c r="U17" i="210"/>
  <c r="V17" i="210" s="1"/>
  <c r="L17" i="210"/>
  <c r="U16" i="210"/>
  <c r="V16" i="210" s="1"/>
  <c r="L16" i="210"/>
  <c r="R14" i="210"/>
  <c r="P14" i="210"/>
  <c r="O14" i="210"/>
  <c r="U60" i="210" s="1"/>
  <c r="N14" i="210"/>
  <c r="M14" i="210"/>
  <c r="I14" i="210"/>
  <c r="G14" i="210"/>
  <c r="F14" i="210"/>
  <c r="L58" i="210" s="1"/>
  <c r="E14" i="210"/>
  <c r="D14" i="210"/>
  <c r="C14" i="210"/>
  <c r="V13" i="210"/>
  <c r="T13" i="210"/>
  <c r="K13" i="210"/>
  <c r="V12" i="210"/>
  <c r="T12" i="210"/>
  <c r="S55" i="210" s="1"/>
  <c r="S25" i="210" s="1"/>
  <c r="S26" i="210" s="1"/>
  <c r="K12" i="210"/>
  <c r="V11" i="210"/>
  <c r="T11" i="210"/>
  <c r="R55" i="210" s="1"/>
  <c r="K11" i="210"/>
  <c r="I55" i="210" s="1"/>
  <c r="I25" i="210" s="1"/>
  <c r="I26" i="210" s="1"/>
  <c r="V10" i="210"/>
  <c r="T10" i="210"/>
  <c r="Q55" i="210" s="1"/>
  <c r="Q25" i="210" s="1"/>
  <c r="Q26" i="210" s="1"/>
  <c r="K10" i="210"/>
  <c r="H55" i="210" s="1"/>
  <c r="V9" i="210"/>
  <c r="T9" i="210"/>
  <c r="P55" i="210" s="1"/>
  <c r="K9" i="210"/>
  <c r="G55" i="210" s="1"/>
  <c r="V8" i="210"/>
  <c r="T8" i="210"/>
  <c r="K8" i="210"/>
  <c r="V7" i="210"/>
  <c r="T7" i="210"/>
  <c r="N55" i="210" s="1"/>
  <c r="N25" i="210" s="1"/>
  <c r="N26" i="210" s="1"/>
  <c r="K7" i="210"/>
  <c r="E55" i="210" s="1"/>
  <c r="V6" i="210"/>
  <c r="T6" i="210"/>
  <c r="M55" i="210" s="1"/>
  <c r="K6" i="210"/>
  <c r="D55" i="210" s="1"/>
  <c r="AG5" i="210"/>
  <c r="AA5" i="210"/>
  <c r="AG4" i="210"/>
  <c r="AA4" i="210"/>
  <c r="N80" i="211"/>
  <c r="V66" i="211" s="1"/>
  <c r="M80" i="211"/>
  <c r="O80" i="211" s="1"/>
  <c r="F76" i="211"/>
  <c r="U66" i="211"/>
  <c r="T66" i="211"/>
  <c r="S66" i="211"/>
  <c r="R66" i="211"/>
  <c r="Q66" i="211"/>
  <c r="P66" i="211"/>
  <c r="O66" i="211"/>
  <c r="N66" i="211"/>
  <c r="M66" i="211"/>
  <c r="L66" i="211"/>
  <c r="K66" i="211"/>
  <c r="J66" i="211"/>
  <c r="I66" i="211"/>
  <c r="H66" i="211"/>
  <c r="G66" i="211"/>
  <c r="F66" i="211"/>
  <c r="E66" i="211"/>
  <c r="D66" i="211"/>
  <c r="U62" i="211"/>
  <c r="T62" i="211"/>
  <c r="S62" i="211"/>
  <c r="R62" i="211"/>
  <c r="Q62" i="211"/>
  <c r="P62" i="211"/>
  <c r="O62" i="211"/>
  <c r="N62" i="211"/>
  <c r="M62" i="211"/>
  <c r="K62" i="211"/>
  <c r="J62" i="211"/>
  <c r="I62" i="211"/>
  <c r="H62" i="211"/>
  <c r="G62" i="211"/>
  <c r="F62" i="211"/>
  <c r="E62" i="211"/>
  <c r="D62" i="211"/>
  <c r="T61" i="211"/>
  <c r="S61" i="211"/>
  <c r="R61" i="211"/>
  <c r="Q61" i="211"/>
  <c r="P61" i="211"/>
  <c r="O61" i="211"/>
  <c r="N61" i="211"/>
  <c r="M61" i="211"/>
  <c r="K61" i="211"/>
  <c r="J61" i="211"/>
  <c r="I61" i="211"/>
  <c r="H61" i="211"/>
  <c r="G61" i="211"/>
  <c r="F61" i="211"/>
  <c r="E61" i="211"/>
  <c r="D61" i="211"/>
  <c r="T60" i="211"/>
  <c r="S60" i="211"/>
  <c r="R60" i="211"/>
  <c r="Q60" i="211"/>
  <c r="P60" i="211"/>
  <c r="O60" i="211"/>
  <c r="N60" i="211"/>
  <c r="M60" i="211"/>
  <c r="K60" i="211"/>
  <c r="J60" i="211"/>
  <c r="I60" i="211"/>
  <c r="H60" i="211"/>
  <c r="G60" i="211"/>
  <c r="F60" i="211"/>
  <c r="E60" i="211"/>
  <c r="D60" i="211"/>
  <c r="T59" i="211"/>
  <c r="S59" i="211"/>
  <c r="R59" i="211"/>
  <c r="Q59" i="211"/>
  <c r="P59" i="211"/>
  <c r="O59" i="211"/>
  <c r="N59" i="211"/>
  <c r="M59" i="211"/>
  <c r="K59" i="211"/>
  <c r="J59" i="211"/>
  <c r="I59" i="211"/>
  <c r="H59" i="211"/>
  <c r="G59" i="211"/>
  <c r="F59" i="211"/>
  <c r="E59" i="211"/>
  <c r="D59" i="211"/>
  <c r="T58" i="211"/>
  <c r="S58" i="211"/>
  <c r="R58" i="211"/>
  <c r="Q58" i="211"/>
  <c r="P58" i="211"/>
  <c r="O58" i="211"/>
  <c r="N58" i="211"/>
  <c r="M58" i="211"/>
  <c r="U58" i="211" s="1"/>
  <c r="AD5" i="211" s="1"/>
  <c r="K58" i="211"/>
  <c r="J58" i="211"/>
  <c r="I58" i="211"/>
  <c r="H58" i="211"/>
  <c r="G58" i="211"/>
  <c r="F58" i="211"/>
  <c r="E58" i="211"/>
  <c r="D58" i="211"/>
  <c r="L58" i="211" s="1"/>
  <c r="T57" i="211"/>
  <c r="R57" i="211"/>
  <c r="K57" i="211"/>
  <c r="J57" i="211"/>
  <c r="F57" i="211"/>
  <c r="T43" i="211"/>
  <c r="S43" i="211"/>
  <c r="R43" i="211"/>
  <c r="Q43" i="211"/>
  <c r="Q56" i="211" s="1"/>
  <c r="Q63" i="211" s="1"/>
  <c r="P43" i="211"/>
  <c r="O43" i="211"/>
  <c r="N43" i="211"/>
  <c r="M43" i="211"/>
  <c r="U43" i="211" s="1"/>
  <c r="K43" i="211"/>
  <c r="J43" i="211"/>
  <c r="I43" i="211"/>
  <c r="I56" i="211" s="1"/>
  <c r="I63" i="211" s="1"/>
  <c r="H43" i="211"/>
  <c r="G43" i="211"/>
  <c r="F43" i="211"/>
  <c r="E43" i="211"/>
  <c r="D43" i="211"/>
  <c r="L43" i="211" s="1"/>
  <c r="AH4" i="211" s="1"/>
  <c r="U42" i="211"/>
  <c r="V42" i="211" s="1"/>
  <c r="L42" i="211"/>
  <c r="U41" i="211"/>
  <c r="V41" i="211" s="1"/>
  <c r="L41" i="211"/>
  <c r="U40" i="211"/>
  <c r="L40" i="211"/>
  <c r="U39" i="211"/>
  <c r="L39" i="211"/>
  <c r="U38" i="211"/>
  <c r="L38" i="211"/>
  <c r="V38" i="211" s="1"/>
  <c r="U37" i="211"/>
  <c r="L37" i="211"/>
  <c r="V37" i="211" s="1"/>
  <c r="U36" i="211"/>
  <c r="L36" i="211"/>
  <c r="V36" i="211" s="1"/>
  <c r="T34" i="211"/>
  <c r="S34" i="211"/>
  <c r="R34" i="211"/>
  <c r="Q34" i="211"/>
  <c r="P34" i="211"/>
  <c r="P56" i="211" s="1"/>
  <c r="P63" i="211" s="1"/>
  <c r="O34" i="211"/>
  <c r="N34" i="211"/>
  <c r="M34" i="211"/>
  <c r="U34" i="211" s="1"/>
  <c r="K34" i="211"/>
  <c r="K56" i="211" s="1"/>
  <c r="J34" i="211"/>
  <c r="J56" i="211" s="1"/>
  <c r="J63" i="211" s="1"/>
  <c r="I34" i="211"/>
  <c r="H34" i="211"/>
  <c r="G34" i="211"/>
  <c r="F34" i="211"/>
  <c r="E34" i="211"/>
  <c r="E56" i="211" s="1"/>
  <c r="D34" i="211"/>
  <c r="L34" i="211" s="1"/>
  <c r="U33" i="211"/>
  <c r="L33" i="211"/>
  <c r="U32" i="211"/>
  <c r="V32" i="211" s="1"/>
  <c r="L32" i="211"/>
  <c r="U31" i="211"/>
  <c r="L31" i="211"/>
  <c r="U30" i="211"/>
  <c r="L30" i="211"/>
  <c r="U29" i="211"/>
  <c r="L29" i="211"/>
  <c r="U28" i="211"/>
  <c r="L28" i="211"/>
  <c r="V28" i="211" s="1"/>
  <c r="T25" i="211"/>
  <c r="T26" i="211" s="1"/>
  <c r="K25" i="211"/>
  <c r="K26" i="211" s="1"/>
  <c r="U24" i="211"/>
  <c r="L24" i="211"/>
  <c r="U23" i="211"/>
  <c r="L23" i="211"/>
  <c r="V23" i="211" s="1"/>
  <c r="T21" i="211"/>
  <c r="T56" i="211" s="1"/>
  <c r="S21" i="211"/>
  <c r="S56" i="211" s="1"/>
  <c r="S65" i="211" s="1"/>
  <c r="R21" i="211"/>
  <c r="R56" i="211" s="1"/>
  <c r="Q21" i="211"/>
  <c r="P21" i="211"/>
  <c r="O21" i="211"/>
  <c r="O56" i="211" s="1"/>
  <c r="O64" i="211" s="1"/>
  <c r="N21" i="211"/>
  <c r="N56" i="211" s="1"/>
  <c r="N64" i="211" s="1"/>
  <c r="M21" i="211"/>
  <c r="U21" i="211" s="1"/>
  <c r="AE5" i="211" s="1"/>
  <c r="K21" i="211"/>
  <c r="J21" i="211"/>
  <c r="I21" i="211"/>
  <c r="H21" i="211"/>
  <c r="H56" i="211" s="1"/>
  <c r="H65" i="211" s="1"/>
  <c r="G21" i="211"/>
  <c r="G56" i="211" s="1"/>
  <c r="F21" i="211"/>
  <c r="E21" i="211"/>
  <c r="D21" i="211"/>
  <c r="L21" i="211" s="1"/>
  <c r="U20" i="211"/>
  <c r="L20" i="211"/>
  <c r="U19" i="211"/>
  <c r="V19" i="211" s="1"/>
  <c r="L19" i="211"/>
  <c r="U18" i="211"/>
  <c r="V18" i="211" s="1"/>
  <c r="L18" i="211"/>
  <c r="AA17" i="211"/>
  <c r="Z17" i="211"/>
  <c r="U17" i="211"/>
  <c r="V17" i="211" s="1"/>
  <c r="L17" i="211"/>
  <c r="U16" i="211"/>
  <c r="L16" i="211"/>
  <c r="V16" i="211" s="1"/>
  <c r="R14" i="211"/>
  <c r="P14" i="211"/>
  <c r="O14" i="211"/>
  <c r="U61" i="211" s="1"/>
  <c r="N14" i="211"/>
  <c r="M14" i="211"/>
  <c r="I14" i="211"/>
  <c r="G14" i="211"/>
  <c r="F14" i="211"/>
  <c r="L60" i="211" s="1"/>
  <c r="E14" i="211"/>
  <c r="D14" i="211"/>
  <c r="C14" i="211"/>
  <c r="V13" i="211"/>
  <c r="T13" i="211"/>
  <c r="K13" i="211"/>
  <c r="V12" i="211"/>
  <c r="T12" i="211"/>
  <c r="S57" i="211" s="1"/>
  <c r="S25" i="211" s="1"/>
  <c r="S26" i="211" s="1"/>
  <c r="K12" i="211"/>
  <c r="V11" i="211"/>
  <c r="T11" i="211"/>
  <c r="K11" i="211"/>
  <c r="I57" i="211" s="1"/>
  <c r="I25" i="211" s="1"/>
  <c r="I26" i="211" s="1"/>
  <c r="V10" i="211"/>
  <c r="T10" i="211"/>
  <c r="Q57" i="211" s="1"/>
  <c r="K10" i="211"/>
  <c r="H57" i="211" s="1"/>
  <c r="V9" i="211"/>
  <c r="T9" i="211"/>
  <c r="P57" i="211" s="1"/>
  <c r="P25" i="211" s="1"/>
  <c r="P26" i="211" s="1"/>
  <c r="K9" i="211"/>
  <c r="G57" i="211" s="1"/>
  <c r="V8" i="211"/>
  <c r="T8" i="211"/>
  <c r="O57" i="211" s="1"/>
  <c r="K8" i="211"/>
  <c r="V7" i="211"/>
  <c r="T7" i="211"/>
  <c r="N57" i="211" s="1"/>
  <c r="K7" i="211"/>
  <c r="E57" i="211" s="1"/>
  <c r="E25" i="211" s="1"/>
  <c r="E26" i="211" s="1"/>
  <c r="V6" i="211"/>
  <c r="V14" i="211" s="1"/>
  <c r="T6" i="211"/>
  <c r="T14" i="211" s="1"/>
  <c r="K6" i="211"/>
  <c r="K14" i="211" s="1"/>
  <c r="AG5" i="211"/>
  <c r="AA5" i="211"/>
  <c r="AG4" i="211"/>
  <c r="N86" i="196"/>
  <c r="V72" i="196" s="1"/>
  <c r="D26" i="205" s="1"/>
  <c r="M86" i="196"/>
  <c r="O86" i="196" s="1"/>
  <c r="F82" i="196"/>
  <c r="U72" i="196"/>
  <c r="T72" i="196"/>
  <c r="S72" i="196"/>
  <c r="R72" i="196"/>
  <c r="Q72" i="196"/>
  <c r="P72" i="196"/>
  <c r="O72" i="196"/>
  <c r="N72" i="196"/>
  <c r="M72" i="196"/>
  <c r="L72" i="196"/>
  <c r="K72" i="196"/>
  <c r="J72" i="196"/>
  <c r="I72" i="196"/>
  <c r="H72" i="196"/>
  <c r="G72" i="196"/>
  <c r="F72" i="196"/>
  <c r="E72" i="196"/>
  <c r="D72" i="196"/>
  <c r="T68" i="196"/>
  <c r="S68" i="196"/>
  <c r="R68" i="196"/>
  <c r="Q68" i="196"/>
  <c r="P68" i="196"/>
  <c r="O68" i="196"/>
  <c r="N68" i="196"/>
  <c r="M68" i="196"/>
  <c r="K68" i="196"/>
  <c r="J68" i="196"/>
  <c r="I68" i="196"/>
  <c r="H68" i="196"/>
  <c r="G68" i="196"/>
  <c r="F68" i="196"/>
  <c r="E68" i="196"/>
  <c r="D68" i="196"/>
  <c r="T67" i="196"/>
  <c r="S67" i="196"/>
  <c r="R67" i="196"/>
  <c r="Q67" i="196"/>
  <c r="P67" i="196"/>
  <c r="O67" i="196"/>
  <c r="N67" i="196"/>
  <c r="M67" i="196"/>
  <c r="K67" i="196"/>
  <c r="J67" i="196"/>
  <c r="I67" i="196"/>
  <c r="H67" i="196"/>
  <c r="G67" i="196"/>
  <c r="F67" i="196"/>
  <c r="E67" i="196"/>
  <c r="D67" i="196"/>
  <c r="T66" i="196"/>
  <c r="S66" i="196"/>
  <c r="R66" i="196"/>
  <c r="Q66" i="196"/>
  <c r="P66" i="196"/>
  <c r="O66" i="196"/>
  <c r="N66" i="196"/>
  <c r="M66" i="196"/>
  <c r="K66" i="196"/>
  <c r="J66" i="196"/>
  <c r="I66" i="196"/>
  <c r="H66" i="196"/>
  <c r="G66" i="196"/>
  <c r="F66" i="196"/>
  <c r="E66" i="196"/>
  <c r="D66" i="196"/>
  <c r="T65" i="196"/>
  <c r="S65" i="196"/>
  <c r="R65" i="196"/>
  <c r="Q65" i="196"/>
  <c r="P65" i="196"/>
  <c r="O65" i="196"/>
  <c r="N65" i="196"/>
  <c r="M65" i="196"/>
  <c r="L65" i="196"/>
  <c r="K65" i="196"/>
  <c r="J65" i="196"/>
  <c r="I65" i="196"/>
  <c r="H65" i="196"/>
  <c r="G65" i="196"/>
  <c r="F65" i="196"/>
  <c r="E65" i="196"/>
  <c r="D65" i="196"/>
  <c r="T64" i="196"/>
  <c r="S64" i="196"/>
  <c r="R64" i="196"/>
  <c r="Q64" i="196"/>
  <c r="P64" i="196"/>
  <c r="O64" i="196"/>
  <c r="N64" i="196"/>
  <c r="M64" i="196"/>
  <c r="U64" i="196" s="1"/>
  <c r="AD5" i="196" s="1"/>
  <c r="K64" i="196"/>
  <c r="J64" i="196"/>
  <c r="I64" i="196"/>
  <c r="H64" i="196"/>
  <c r="G64" i="196"/>
  <c r="F64" i="196"/>
  <c r="E64" i="196"/>
  <c r="D64" i="196"/>
  <c r="L64" i="196" s="1"/>
  <c r="T63" i="196"/>
  <c r="O63" i="196"/>
  <c r="K63" i="196"/>
  <c r="J63" i="196"/>
  <c r="F63" i="196"/>
  <c r="T43" i="196"/>
  <c r="S43" i="196"/>
  <c r="R43" i="196"/>
  <c r="R62" i="196" s="1"/>
  <c r="R70" i="196" s="1"/>
  <c r="Q43" i="196"/>
  <c r="P43" i="196"/>
  <c r="O43" i="196"/>
  <c r="N43" i="196"/>
  <c r="M43" i="196"/>
  <c r="U43" i="196" s="1"/>
  <c r="K43" i="196"/>
  <c r="J43" i="196"/>
  <c r="I43" i="196"/>
  <c r="H43" i="196"/>
  <c r="G43" i="196"/>
  <c r="F43" i="196"/>
  <c r="E43" i="196"/>
  <c r="D43" i="196"/>
  <c r="L43" i="196" s="1"/>
  <c r="AH4" i="196" s="1"/>
  <c r="U42" i="196"/>
  <c r="L42" i="196"/>
  <c r="V42" i="196" s="1"/>
  <c r="V41" i="196"/>
  <c r="U41" i="196"/>
  <c r="L41" i="196"/>
  <c r="U40" i="196"/>
  <c r="L40" i="196"/>
  <c r="V40" i="196" s="1"/>
  <c r="U39" i="196"/>
  <c r="V39" i="196" s="1"/>
  <c r="L39" i="196"/>
  <c r="U38" i="196"/>
  <c r="V38" i="196" s="1"/>
  <c r="L38" i="196"/>
  <c r="U37" i="196"/>
  <c r="L37" i="196"/>
  <c r="V37" i="196" s="1"/>
  <c r="U36" i="196"/>
  <c r="L36" i="196"/>
  <c r="T34" i="196"/>
  <c r="T25" i="196" s="1"/>
  <c r="T26" i="196" s="1"/>
  <c r="S34" i="196"/>
  <c r="R34" i="196"/>
  <c r="Q34" i="196"/>
  <c r="Q62" i="196" s="1"/>
  <c r="Q71" i="196" s="1"/>
  <c r="P34" i="196"/>
  <c r="O34" i="196"/>
  <c r="N34" i="196"/>
  <c r="M34" i="196"/>
  <c r="U34" i="196" s="1"/>
  <c r="K34" i="196"/>
  <c r="K62" i="196" s="1"/>
  <c r="J34" i="196"/>
  <c r="I34" i="196"/>
  <c r="I62" i="196" s="1"/>
  <c r="H34" i="196"/>
  <c r="G34" i="196"/>
  <c r="G62" i="196" s="1"/>
  <c r="G71" i="196" s="1"/>
  <c r="F34" i="196"/>
  <c r="E34" i="196"/>
  <c r="D34" i="196"/>
  <c r="L34" i="196" s="1"/>
  <c r="V33" i="196"/>
  <c r="U33" i="196"/>
  <c r="L33" i="196"/>
  <c r="U32" i="196"/>
  <c r="L32" i="196"/>
  <c r="V32" i="196" s="1"/>
  <c r="U31" i="196"/>
  <c r="L31" i="196"/>
  <c r="U30" i="196"/>
  <c r="L30" i="196"/>
  <c r="V30" i="196" s="1"/>
  <c r="U29" i="196"/>
  <c r="V29" i="196" s="1"/>
  <c r="L29" i="196"/>
  <c r="U28" i="196"/>
  <c r="L28" i="196"/>
  <c r="V28" i="196" s="1"/>
  <c r="V24" i="196"/>
  <c r="U24" i="196"/>
  <c r="L24" i="196"/>
  <c r="U23" i="196"/>
  <c r="L23" i="196"/>
  <c r="V23" i="196" s="1"/>
  <c r="T21" i="196"/>
  <c r="S21" i="196"/>
  <c r="S62" i="196" s="1"/>
  <c r="R21" i="196"/>
  <c r="Q21" i="196"/>
  <c r="P21" i="196"/>
  <c r="P62" i="196" s="1"/>
  <c r="P71" i="196" s="1"/>
  <c r="O21" i="196"/>
  <c r="N21" i="196"/>
  <c r="N62" i="196" s="1"/>
  <c r="N69" i="196" s="1"/>
  <c r="M21" i="196"/>
  <c r="U21" i="196" s="1"/>
  <c r="AE5" i="196" s="1"/>
  <c r="K21" i="196"/>
  <c r="J21" i="196"/>
  <c r="I21" i="196"/>
  <c r="H21" i="196"/>
  <c r="H62" i="196" s="1"/>
  <c r="H71" i="196" s="1"/>
  <c r="G21" i="196"/>
  <c r="F21" i="196"/>
  <c r="F62" i="196" s="1"/>
  <c r="F69" i="196" s="1"/>
  <c r="E21" i="196"/>
  <c r="E62" i="196" s="1"/>
  <c r="D21" i="196"/>
  <c r="L21" i="196" s="1"/>
  <c r="U20" i="196"/>
  <c r="L20" i="196"/>
  <c r="V20" i="196" s="1"/>
  <c r="U19" i="196"/>
  <c r="V19" i="196" s="1"/>
  <c r="L19" i="196"/>
  <c r="U18" i="196"/>
  <c r="V18" i="196" s="1"/>
  <c r="L18" i="196"/>
  <c r="U17" i="196"/>
  <c r="V17" i="196" s="1"/>
  <c r="L17" i="196"/>
  <c r="V16" i="196"/>
  <c r="U16" i="196"/>
  <c r="L16" i="196"/>
  <c r="R14" i="196"/>
  <c r="P14" i="196"/>
  <c r="O14" i="196"/>
  <c r="U68" i="196" s="1"/>
  <c r="N14" i="196"/>
  <c r="M14" i="196"/>
  <c r="I14" i="196"/>
  <c r="G14" i="196"/>
  <c r="F14" i="196"/>
  <c r="L67" i="196" s="1"/>
  <c r="E14" i="196"/>
  <c r="D14" i="196"/>
  <c r="C14" i="196"/>
  <c r="V13" i="196"/>
  <c r="T13" i="196"/>
  <c r="K13" i="196"/>
  <c r="V12" i="196"/>
  <c r="T12" i="196"/>
  <c r="S63" i="196" s="1"/>
  <c r="S25" i="196" s="1"/>
  <c r="S26" i="196" s="1"/>
  <c r="K12" i="196"/>
  <c r="V11" i="196"/>
  <c r="T11" i="196"/>
  <c r="R63" i="196" s="1"/>
  <c r="R25" i="196" s="1"/>
  <c r="R26" i="196" s="1"/>
  <c r="K11" i="196"/>
  <c r="I63" i="196" s="1"/>
  <c r="I25" i="196" s="1"/>
  <c r="I26" i="196" s="1"/>
  <c r="V10" i="196"/>
  <c r="T10" i="196"/>
  <c r="Q63" i="196" s="1"/>
  <c r="Q25" i="196" s="1"/>
  <c r="Q26" i="196" s="1"/>
  <c r="K10" i="196"/>
  <c r="H63" i="196" s="1"/>
  <c r="V9" i="196"/>
  <c r="T9" i="196"/>
  <c r="P63" i="196" s="1"/>
  <c r="K9" i="196"/>
  <c r="G63" i="196" s="1"/>
  <c r="V8" i="196"/>
  <c r="T8" i="196"/>
  <c r="K8" i="196"/>
  <c r="V7" i="196"/>
  <c r="T7" i="196"/>
  <c r="N63" i="196" s="1"/>
  <c r="K7" i="196"/>
  <c r="E63" i="196" s="1"/>
  <c r="V6" i="196"/>
  <c r="T6" i="196"/>
  <c r="M63" i="196" s="1"/>
  <c r="K6" i="196"/>
  <c r="K14" i="196" s="1"/>
  <c r="AG5" i="196"/>
  <c r="AA5" i="196"/>
  <c r="AG4" i="196"/>
  <c r="O78" i="197"/>
  <c r="N78" i="197"/>
  <c r="M78" i="197"/>
  <c r="F74" i="197"/>
  <c r="V65" i="197"/>
  <c r="U65" i="197"/>
  <c r="T65" i="197"/>
  <c r="S65" i="197"/>
  <c r="R65" i="197"/>
  <c r="Q65" i="197"/>
  <c r="P65" i="197"/>
  <c r="O65" i="197"/>
  <c r="N65" i="197"/>
  <c r="M65" i="197"/>
  <c r="L65" i="197"/>
  <c r="K65" i="197"/>
  <c r="J65" i="197"/>
  <c r="I65" i="197"/>
  <c r="H65" i="197"/>
  <c r="G65" i="197"/>
  <c r="F65" i="197"/>
  <c r="E65" i="197"/>
  <c r="D65" i="197"/>
  <c r="V64" i="197"/>
  <c r="U64" i="197"/>
  <c r="T64" i="197"/>
  <c r="S64" i="197"/>
  <c r="R64" i="197"/>
  <c r="Q64" i="197"/>
  <c r="P64" i="197"/>
  <c r="O64" i="197"/>
  <c r="N64" i="197"/>
  <c r="M64" i="197"/>
  <c r="L64" i="197"/>
  <c r="K64" i="197"/>
  <c r="J64" i="197"/>
  <c r="I64" i="197"/>
  <c r="H64" i="197"/>
  <c r="G64" i="197"/>
  <c r="F64" i="197"/>
  <c r="E64" i="197"/>
  <c r="D64" i="197"/>
  <c r="V63" i="197"/>
  <c r="U63" i="197"/>
  <c r="T63" i="197"/>
  <c r="S63" i="197"/>
  <c r="R63" i="197"/>
  <c r="Q63" i="197"/>
  <c r="P63" i="197"/>
  <c r="O63" i="197"/>
  <c r="N63" i="197"/>
  <c r="M63" i="197"/>
  <c r="L63" i="197"/>
  <c r="K63" i="197"/>
  <c r="J63" i="197"/>
  <c r="I63" i="197"/>
  <c r="H63" i="197"/>
  <c r="G63" i="197"/>
  <c r="F63" i="197"/>
  <c r="E63" i="197"/>
  <c r="D63" i="197"/>
  <c r="Y62" i="197"/>
  <c r="V62" i="197"/>
  <c r="U62" i="197"/>
  <c r="T62" i="197"/>
  <c r="S62" i="197"/>
  <c r="R62" i="197"/>
  <c r="Q62" i="197"/>
  <c r="P62" i="197"/>
  <c r="O62" i="197"/>
  <c r="N62" i="197"/>
  <c r="M62" i="197"/>
  <c r="L62" i="197"/>
  <c r="K62" i="197"/>
  <c r="J62" i="197"/>
  <c r="I62" i="197"/>
  <c r="H62" i="197"/>
  <c r="G62" i="197"/>
  <c r="F62" i="197"/>
  <c r="E62" i="197"/>
  <c r="D62" i="197"/>
  <c r="V61" i="197"/>
  <c r="U61" i="197"/>
  <c r="T61" i="197"/>
  <c r="S61" i="197"/>
  <c r="R61" i="197"/>
  <c r="Q61" i="197"/>
  <c r="P61" i="197"/>
  <c r="O61" i="197"/>
  <c r="N61" i="197"/>
  <c r="M61" i="197"/>
  <c r="L61" i="197"/>
  <c r="K61" i="197"/>
  <c r="J61" i="197"/>
  <c r="I61" i="197"/>
  <c r="H61" i="197"/>
  <c r="G61" i="197"/>
  <c r="F61" i="197"/>
  <c r="E61" i="197"/>
  <c r="D61" i="197"/>
  <c r="V60" i="197"/>
  <c r="U60" i="197"/>
  <c r="T60" i="197"/>
  <c r="S60" i="197"/>
  <c r="R60" i="197"/>
  <c r="Q60" i="197"/>
  <c r="P60" i="197"/>
  <c r="O60" i="197"/>
  <c r="N60" i="197"/>
  <c r="M60" i="197"/>
  <c r="L60" i="197"/>
  <c r="K60" i="197"/>
  <c r="J60" i="197"/>
  <c r="I60" i="197"/>
  <c r="H60" i="197"/>
  <c r="G60" i="197"/>
  <c r="F60" i="197"/>
  <c r="E60" i="197"/>
  <c r="D60" i="197"/>
  <c r="V59" i="197"/>
  <c r="U59" i="197"/>
  <c r="T59" i="197"/>
  <c r="S59" i="197"/>
  <c r="R59" i="197"/>
  <c r="Q59" i="197"/>
  <c r="P59" i="197"/>
  <c r="O59" i="197"/>
  <c r="N59" i="197"/>
  <c r="M59" i="197"/>
  <c r="L59" i="197"/>
  <c r="K59" i="197"/>
  <c r="J59" i="197"/>
  <c r="I59" i="197"/>
  <c r="H59" i="197"/>
  <c r="G59" i="197"/>
  <c r="F59" i="197"/>
  <c r="E59" i="197"/>
  <c r="D59" i="197"/>
  <c r="Y58" i="197"/>
  <c r="V58" i="197"/>
  <c r="U58" i="197"/>
  <c r="T58" i="197"/>
  <c r="S58" i="197"/>
  <c r="R58" i="197"/>
  <c r="Q58" i="197"/>
  <c r="P58" i="197"/>
  <c r="O58" i="197"/>
  <c r="N58" i="197"/>
  <c r="M58" i="197"/>
  <c r="L58" i="197"/>
  <c r="K58" i="197"/>
  <c r="J58" i="197"/>
  <c r="I58" i="197"/>
  <c r="H58" i="197"/>
  <c r="G58" i="197"/>
  <c r="F58" i="197"/>
  <c r="E58" i="197"/>
  <c r="D58" i="197"/>
  <c r="V57" i="197"/>
  <c r="U57" i="197"/>
  <c r="T57" i="197"/>
  <c r="S57" i="197"/>
  <c r="R57" i="197"/>
  <c r="Q57" i="197"/>
  <c r="P57" i="197"/>
  <c r="O57" i="197"/>
  <c r="N57" i="197"/>
  <c r="M57" i="197"/>
  <c r="L57" i="197"/>
  <c r="K57" i="197"/>
  <c r="J57" i="197"/>
  <c r="I57" i="197"/>
  <c r="H57" i="197"/>
  <c r="G57" i="197"/>
  <c r="F57" i="197"/>
  <c r="E57" i="197"/>
  <c r="D57" i="197"/>
  <c r="V56" i="197"/>
  <c r="U56" i="197"/>
  <c r="T56" i="197"/>
  <c r="S56" i="197"/>
  <c r="R56" i="197"/>
  <c r="Q56" i="197"/>
  <c r="P56" i="197"/>
  <c r="O56" i="197"/>
  <c r="N56" i="197"/>
  <c r="M56" i="197"/>
  <c r="L56" i="197"/>
  <c r="K56" i="197"/>
  <c r="J56" i="197"/>
  <c r="I56" i="197"/>
  <c r="H56" i="197"/>
  <c r="G56" i="197"/>
  <c r="F56" i="197"/>
  <c r="E56" i="197"/>
  <c r="D56" i="197"/>
  <c r="V55" i="197"/>
  <c r="U55" i="197"/>
  <c r="T55" i="197"/>
  <c r="S55" i="197"/>
  <c r="R55" i="197"/>
  <c r="Q55" i="197"/>
  <c r="P55" i="197"/>
  <c r="O55" i="197"/>
  <c r="N55" i="197"/>
  <c r="M55" i="197"/>
  <c r="L55" i="197"/>
  <c r="K55" i="197"/>
  <c r="J55" i="197"/>
  <c r="I55" i="197"/>
  <c r="H55" i="197"/>
  <c r="G55" i="197"/>
  <c r="F55" i="197"/>
  <c r="E55" i="197"/>
  <c r="D55" i="197"/>
  <c r="V54" i="197"/>
  <c r="U54" i="197"/>
  <c r="T54" i="197"/>
  <c r="S54" i="197"/>
  <c r="R54" i="197"/>
  <c r="Q54" i="197"/>
  <c r="P54" i="197"/>
  <c r="O54" i="197"/>
  <c r="N54" i="197"/>
  <c r="M54" i="197"/>
  <c r="L54" i="197"/>
  <c r="K54" i="197"/>
  <c r="J54" i="197"/>
  <c r="I54" i="197"/>
  <c r="H54" i="197"/>
  <c r="G54" i="197"/>
  <c r="F54" i="197"/>
  <c r="E54" i="197"/>
  <c r="D54" i="197"/>
  <c r="V43" i="197"/>
  <c r="U43" i="197"/>
  <c r="T43" i="197"/>
  <c r="S43" i="197"/>
  <c r="R43" i="197"/>
  <c r="Q43" i="197"/>
  <c r="P43" i="197"/>
  <c r="O43" i="197"/>
  <c r="N43" i="197"/>
  <c r="M43" i="197"/>
  <c r="L43" i="197"/>
  <c r="K43" i="197"/>
  <c r="J43" i="197"/>
  <c r="I43" i="197"/>
  <c r="H43" i="197"/>
  <c r="G43" i="197"/>
  <c r="F43" i="197"/>
  <c r="E43" i="197"/>
  <c r="D43" i="197"/>
  <c r="V42" i="197"/>
  <c r="U42" i="197"/>
  <c r="L42" i="197"/>
  <c r="V41" i="197"/>
  <c r="U41" i="197"/>
  <c r="L41" i="197"/>
  <c r="V40" i="197"/>
  <c r="U40" i="197"/>
  <c r="L40" i="197"/>
  <c r="V39" i="197"/>
  <c r="U39" i="197"/>
  <c r="L39" i="197"/>
  <c r="V38" i="197"/>
  <c r="U38" i="197"/>
  <c r="L38" i="197"/>
  <c r="V37" i="197"/>
  <c r="U37" i="197"/>
  <c r="L37" i="197"/>
  <c r="V36" i="197"/>
  <c r="U36" i="197"/>
  <c r="L36" i="197"/>
  <c r="V34" i="197"/>
  <c r="U34" i="197"/>
  <c r="T34" i="197"/>
  <c r="S34" i="197"/>
  <c r="R34" i="197"/>
  <c r="Q34" i="197"/>
  <c r="P34" i="197"/>
  <c r="O34" i="197"/>
  <c r="N34" i="197"/>
  <c r="M34" i="197"/>
  <c r="L34" i="197"/>
  <c r="K34" i="197"/>
  <c r="J34" i="197"/>
  <c r="I34" i="197"/>
  <c r="H34" i="197"/>
  <c r="G34" i="197"/>
  <c r="F34" i="197"/>
  <c r="E34" i="197"/>
  <c r="D34" i="197"/>
  <c r="V33" i="197"/>
  <c r="U33" i="197"/>
  <c r="L33" i="197"/>
  <c r="V32" i="197"/>
  <c r="U32" i="197"/>
  <c r="L32" i="197"/>
  <c r="V31" i="197"/>
  <c r="U31" i="197"/>
  <c r="L31" i="197"/>
  <c r="V30" i="197"/>
  <c r="U30" i="197"/>
  <c r="L30" i="197"/>
  <c r="V29" i="197"/>
  <c r="U29" i="197"/>
  <c r="L29" i="197"/>
  <c r="V28" i="197"/>
  <c r="U28" i="197"/>
  <c r="L28" i="197"/>
  <c r="V26" i="197"/>
  <c r="U26" i="197"/>
  <c r="T26" i="197"/>
  <c r="S26" i="197"/>
  <c r="R26" i="197"/>
  <c r="Q26" i="197"/>
  <c r="P26" i="197"/>
  <c r="O26" i="197"/>
  <c r="N26" i="197"/>
  <c r="M26" i="197"/>
  <c r="L26" i="197"/>
  <c r="K26" i="197"/>
  <c r="J26" i="197"/>
  <c r="I26" i="197"/>
  <c r="H26" i="197"/>
  <c r="G26" i="197"/>
  <c r="F26" i="197"/>
  <c r="E26" i="197"/>
  <c r="D26" i="197"/>
  <c r="V25" i="197"/>
  <c r="U25" i="197"/>
  <c r="T25" i="197"/>
  <c r="S25" i="197"/>
  <c r="R25" i="197"/>
  <c r="Q25" i="197"/>
  <c r="P25" i="197"/>
  <c r="O25" i="197"/>
  <c r="N25" i="197"/>
  <c r="M25" i="197"/>
  <c r="L25" i="197"/>
  <c r="K25" i="197"/>
  <c r="J25" i="197"/>
  <c r="I25" i="197"/>
  <c r="H25" i="197"/>
  <c r="G25" i="197"/>
  <c r="F25" i="197"/>
  <c r="E25" i="197"/>
  <c r="D25" i="197"/>
  <c r="V24" i="197"/>
  <c r="U24" i="197"/>
  <c r="L24" i="197"/>
  <c r="V23" i="197"/>
  <c r="U23" i="197"/>
  <c r="L23" i="197"/>
  <c r="V21" i="197"/>
  <c r="U21" i="197"/>
  <c r="T21" i="197"/>
  <c r="S21" i="197"/>
  <c r="R21" i="197"/>
  <c r="Q21" i="197"/>
  <c r="P21" i="197"/>
  <c r="O21" i="197"/>
  <c r="N21" i="197"/>
  <c r="M21" i="197"/>
  <c r="L21" i="197"/>
  <c r="K21" i="197"/>
  <c r="J21" i="197"/>
  <c r="I21" i="197"/>
  <c r="H21" i="197"/>
  <c r="G21" i="197"/>
  <c r="F21" i="197"/>
  <c r="E21" i="197"/>
  <c r="D21" i="197"/>
  <c r="V20" i="197"/>
  <c r="U20" i="197"/>
  <c r="L20" i="197"/>
  <c r="V19" i="197"/>
  <c r="U19" i="197"/>
  <c r="L19" i="197"/>
  <c r="V18" i="197"/>
  <c r="U18" i="197"/>
  <c r="L18" i="197"/>
  <c r="AA17" i="197"/>
  <c r="Z17" i="197"/>
  <c r="V17" i="197"/>
  <c r="U17" i="197"/>
  <c r="L17" i="197"/>
  <c r="V16" i="197"/>
  <c r="U16" i="197"/>
  <c r="L16" i="197"/>
  <c r="V14" i="197"/>
  <c r="T14" i="197"/>
  <c r="R14" i="197"/>
  <c r="P14" i="197"/>
  <c r="O14" i="197"/>
  <c r="N14" i="197"/>
  <c r="M14" i="197"/>
  <c r="K14" i="197"/>
  <c r="I14" i="197"/>
  <c r="G14" i="197"/>
  <c r="F14" i="197"/>
  <c r="E14" i="197"/>
  <c r="D14" i="197"/>
  <c r="C14" i="197"/>
  <c r="V13" i="197"/>
  <c r="T13" i="197"/>
  <c r="K13" i="197"/>
  <c r="V12" i="197"/>
  <c r="T12" i="197"/>
  <c r="K12" i="197"/>
  <c r="V11" i="197"/>
  <c r="T11" i="197"/>
  <c r="K11" i="197"/>
  <c r="V10" i="197"/>
  <c r="T10" i="197"/>
  <c r="K10" i="197"/>
  <c r="V9" i="197"/>
  <c r="T9" i="197"/>
  <c r="K9" i="197"/>
  <c r="V8" i="197"/>
  <c r="T8" i="197"/>
  <c r="K8" i="197"/>
  <c r="V7" i="197"/>
  <c r="T7" i="197"/>
  <c r="K7" i="197"/>
  <c r="V6" i="197"/>
  <c r="T6" i="197"/>
  <c r="K6" i="197"/>
  <c r="AH5" i="197"/>
  <c r="AG5" i="197"/>
  <c r="AF5" i="197"/>
  <c r="AE5" i="197"/>
  <c r="AD5" i="197"/>
  <c r="AC5" i="197"/>
  <c r="AB5" i="197"/>
  <c r="AA5" i="197"/>
  <c r="AH4" i="197"/>
  <c r="AG4" i="197"/>
  <c r="AF4" i="197"/>
  <c r="AE4" i="197"/>
  <c r="AD4" i="197"/>
  <c r="AC4" i="197"/>
  <c r="AB4" i="197"/>
  <c r="AA4" i="197"/>
  <c r="N83" i="198"/>
  <c r="M83" i="198"/>
  <c r="O83" i="198" s="1"/>
  <c r="F79" i="198"/>
  <c r="U69" i="198"/>
  <c r="T69" i="198"/>
  <c r="S69" i="198"/>
  <c r="R69" i="198"/>
  <c r="Q69" i="198"/>
  <c r="P69" i="198"/>
  <c r="O69" i="198"/>
  <c r="N69" i="198"/>
  <c r="M69" i="198"/>
  <c r="L69" i="198"/>
  <c r="K69" i="198"/>
  <c r="J69" i="198"/>
  <c r="I69" i="198"/>
  <c r="H69" i="198"/>
  <c r="G69" i="198"/>
  <c r="F69" i="198"/>
  <c r="E69" i="198"/>
  <c r="D69" i="198"/>
  <c r="T65" i="198"/>
  <c r="K65" i="198"/>
  <c r="T64" i="198"/>
  <c r="S64" i="198"/>
  <c r="R64" i="198"/>
  <c r="Q64" i="198"/>
  <c r="P64" i="198"/>
  <c r="O64" i="198"/>
  <c r="N64" i="198"/>
  <c r="M64" i="198"/>
  <c r="K64" i="198"/>
  <c r="J64" i="198"/>
  <c r="I64" i="198"/>
  <c r="H64" i="198"/>
  <c r="G64" i="198"/>
  <c r="F64" i="198"/>
  <c r="E64" i="198"/>
  <c r="D64" i="198"/>
  <c r="T63" i="198"/>
  <c r="S63" i="198"/>
  <c r="R63" i="198"/>
  <c r="Q63" i="198"/>
  <c r="P63" i="198"/>
  <c r="O63" i="198"/>
  <c r="K63" i="198"/>
  <c r="J63" i="198"/>
  <c r="I63" i="198"/>
  <c r="H63" i="198"/>
  <c r="G63" i="198"/>
  <c r="F63" i="198"/>
  <c r="E63" i="198"/>
  <c r="D63" i="198"/>
  <c r="T62" i="198"/>
  <c r="K62" i="198"/>
  <c r="T61" i="198"/>
  <c r="S61" i="198"/>
  <c r="R61" i="198"/>
  <c r="Q61" i="198"/>
  <c r="P61" i="198"/>
  <c r="O61" i="198"/>
  <c r="N61" i="198"/>
  <c r="M61" i="198"/>
  <c r="K61" i="198"/>
  <c r="J61" i="198"/>
  <c r="I61" i="198"/>
  <c r="H61" i="198"/>
  <c r="G61" i="198"/>
  <c r="F61" i="198"/>
  <c r="E61" i="198"/>
  <c r="D61" i="198"/>
  <c r="L61" i="198" s="1"/>
  <c r="K60" i="198"/>
  <c r="T43" i="198"/>
  <c r="S43" i="198"/>
  <c r="R43" i="198"/>
  <c r="Q43" i="198"/>
  <c r="P43" i="198"/>
  <c r="O43" i="198"/>
  <c r="N43" i="198"/>
  <c r="M43" i="198"/>
  <c r="U43" i="198" s="1"/>
  <c r="K43" i="198"/>
  <c r="J43" i="198"/>
  <c r="I43" i="198"/>
  <c r="H43" i="198"/>
  <c r="G43" i="198"/>
  <c r="F43" i="198"/>
  <c r="E43" i="198"/>
  <c r="D43" i="198"/>
  <c r="L43" i="198" s="1"/>
  <c r="AH4" i="198" s="1"/>
  <c r="U42" i="198"/>
  <c r="V42" i="198" s="1"/>
  <c r="L42" i="198"/>
  <c r="U41" i="198"/>
  <c r="V41" i="198" s="1"/>
  <c r="L41" i="198"/>
  <c r="U40" i="198"/>
  <c r="L40" i="198"/>
  <c r="V40" i="198" s="1"/>
  <c r="V39" i="198"/>
  <c r="U39" i="198"/>
  <c r="L39" i="198"/>
  <c r="V38" i="198"/>
  <c r="U38" i="198"/>
  <c r="L38" i="198"/>
  <c r="U37" i="198"/>
  <c r="L37" i="198"/>
  <c r="V37" i="198" s="1"/>
  <c r="U36" i="198"/>
  <c r="V36" i="198" s="1"/>
  <c r="L36" i="198"/>
  <c r="T34" i="198"/>
  <c r="S34" i="198"/>
  <c r="R34" i="198"/>
  <c r="Q34" i="198"/>
  <c r="P34" i="198"/>
  <c r="O34" i="198"/>
  <c r="N34" i="198"/>
  <c r="N63" i="198" s="1"/>
  <c r="M34" i="198"/>
  <c r="M63" i="198" s="1"/>
  <c r="K34" i="198"/>
  <c r="J34" i="198"/>
  <c r="I34" i="198"/>
  <c r="H34" i="198"/>
  <c r="G34" i="198"/>
  <c r="F34" i="198"/>
  <c r="E34" i="198"/>
  <c r="D34" i="198"/>
  <c r="L34" i="198" s="1"/>
  <c r="U33" i="198"/>
  <c r="L33" i="198"/>
  <c r="U32" i="198"/>
  <c r="L32" i="198"/>
  <c r="V32" i="198" s="1"/>
  <c r="U31" i="198"/>
  <c r="L31" i="198"/>
  <c r="U30" i="198"/>
  <c r="L30" i="198"/>
  <c r="U29" i="198"/>
  <c r="L29" i="198"/>
  <c r="V29" i="198" s="1"/>
  <c r="U28" i="198"/>
  <c r="AG5" i="198" s="1"/>
  <c r="L28" i="198"/>
  <c r="AG4" i="198" s="1"/>
  <c r="U24" i="198"/>
  <c r="L24" i="198"/>
  <c r="U23" i="198"/>
  <c r="L23" i="198"/>
  <c r="T21" i="198"/>
  <c r="T59" i="198" s="1"/>
  <c r="T68" i="198" s="1"/>
  <c r="S21" i="198"/>
  <c r="S59" i="198" s="1"/>
  <c r="R21" i="198"/>
  <c r="R59" i="198" s="1"/>
  <c r="R65" i="198" s="1"/>
  <c r="Q21" i="198"/>
  <c r="P21" i="198"/>
  <c r="P59" i="198" s="1"/>
  <c r="O21" i="198"/>
  <c r="N21" i="198"/>
  <c r="M21" i="198"/>
  <c r="K21" i="198"/>
  <c r="J21" i="198"/>
  <c r="J62" i="198" s="1"/>
  <c r="I21" i="198"/>
  <c r="I62" i="198" s="1"/>
  <c r="H21" i="198"/>
  <c r="H62" i="198" s="1"/>
  <c r="G21" i="198"/>
  <c r="G59" i="198" s="1"/>
  <c r="G65" i="198" s="1"/>
  <c r="F21" i="198"/>
  <c r="F59" i="198" s="1"/>
  <c r="F65" i="198" s="1"/>
  <c r="E21" i="198"/>
  <c r="E62" i="198" s="1"/>
  <c r="D21" i="198"/>
  <c r="U20" i="198"/>
  <c r="L20" i="198"/>
  <c r="V20" i="198" s="1"/>
  <c r="U19" i="198"/>
  <c r="L19" i="198"/>
  <c r="V18" i="198"/>
  <c r="U18" i="198"/>
  <c r="L18" i="198"/>
  <c r="AA17" i="198"/>
  <c r="Z17" i="198"/>
  <c r="U17" i="198"/>
  <c r="V17" i="198" s="1"/>
  <c r="L17" i="198"/>
  <c r="U16" i="198"/>
  <c r="L16" i="198"/>
  <c r="V16" i="198" s="1"/>
  <c r="R14" i="198"/>
  <c r="P14" i="198"/>
  <c r="O14" i="198"/>
  <c r="N14" i="198"/>
  <c r="M14" i="198"/>
  <c r="I14" i="198"/>
  <c r="G14" i="198"/>
  <c r="F14" i="198"/>
  <c r="E14" i="198"/>
  <c r="D14" i="198"/>
  <c r="C14" i="198"/>
  <c r="V13" i="198"/>
  <c r="T13" i="198"/>
  <c r="T60" i="198" s="1"/>
  <c r="T25" i="198" s="1"/>
  <c r="T26" i="198" s="1"/>
  <c r="K13" i="198"/>
  <c r="V12" i="198"/>
  <c r="T12" i="198"/>
  <c r="S60" i="198" s="1"/>
  <c r="K12" i="198"/>
  <c r="J60" i="198" s="1"/>
  <c r="V11" i="198"/>
  <c r="T11" i="198"/>
  <c r="R60" i="198" s="1"/>
  <c r="K11" i="198"/>
  <c r="I60" i="198" s="1"/>
  <c r="V10" i="198"/>
  <c r="T10" i="198"/>
  <c r="Q60" i="198" s="1"/>
  <c r="K10" i="198"/>
  <c r="H60" i="198" s="1"/>
  <c r="V9" i="198"/>
  <c r="T9" i="198"/>
  <c r="P60" i="198" s="1"/>
  <c r="K9" i="198"/>
  <c r="G60" i="198" s="1"/>
  <c r="V8" i="198"/>
  <c r="T8" i="198"/>
  <c r="O60" i="198" s="1"/>
  <c r="K8" i="198"/>
  <c r="F60" i="198" s="1"/>
  <c r="V7" i="198"/>
  <c r="T7" i="198"/>
  <c r="N60" i="198" s="1"/>
  <c r="K7" i="198"/>
  <c r="E60" i="198" s="1"/>
  <c r="V6" i="198"/>
  <c r="T6" i="198"/>
  <c r="M60" i="198" s="1"/>
  <c r="K6" i="198"/>
  <c r="D60" i="198" s="1"/>
  <c r="N78" i="199"/>
  <c r="M78" i="199"/>
  <c r="F74" i="199"/>
  <c r="U64" i="199"/>
  <c r="T64" i="199"/>
  <c r="S64" i="199"/>
  <c r="R64" i="199"/>
  <c r="Q64" i="199"/>
  <c r="P64" i="199"/>
  <c r="O64" i="199"/>
  <c r="N64" i="199"/>
  <c r="M64" i="199"/>
  <c r="L64" i="199"/>
  <c r="K64" i="199"/>
  <c r="J64" i="199"/>
  <c r="I64" i="199"/>
  <c r="H64" i="199"/>
  <c r="G64" i="199"/>
  <c r="F64" i="199"/>
  <c r="E64" i="199"/>
  <c r="D64" i="199"/>
  <c r="T60" i="199"/>
  <c r="K60" i="199"/>
  <c r="T59" i="199"/>
  <c r="S59" i="199"/>
  <c r="R59" i="199"/>
  <c r="Q59" i="199"/>
  <c r="P59" i="199"/>
  <c r="O59" i="199"/>
  <c r="N59" i="199"/>
  <c r="M59" i="199"/>
  <c r="K59" i="199"/>
  <c r="J59" i="199"/>
  <c r="I59" i="199"/>
  <c r="H59" i="199"/>
  <c r="G59" i="199"/>
  <c r="F59" i="199"/>
  <c r="E59" i="199"/>
  <c r="D59" i="199"/>
  <c r="T58" i="199"/>
  <c r="S58" i="199"/>
  <c r="R58" i="199"/>
  <c r="Q58" i="199"/>
  <c r="P58" i="199"/>
  <c r="O58" i="199"/>
  <c r="N58" i="199"/>
  <c r="K58" i="199"/>
  <c r="F58" i="199"/>
  <c r="T57" i="199"/>
  <c r="K57" i="199"/>
  <c r="T56" i="199"/>
  <c r="S56" i="199"/>
  <c r="R56" i="199"/>
  <c r="Q56" i="199"/>
  <c r="P56" i="199"/>
  <c r="O56" i="199"/>
  <c r="N56" i="199"/>
  <c r="M56" i="199"/>
  <c r="K56" i="199"/>
  <c r="J56" i="199"/>
  <c r="I56" i="199"/>
  <c r="H56" i="199"/>
  <c r="G56" i="199"/>
  <c r="F56" i="199"/>
  <c r="E56" i="199"/>
  <c r="D56" i="199"/>
  <c r="K55" i="199"/>
  <c r="T43" i="199"/>
  <c r="S43" i="199"/>
  <c r="R43" i="199"/>
  <c r="Q43" i="199"/>
  <c r="P43" i="199"/>
  <c r="O43" i="199"/>
  <c r="N43" i="199"/>
  <c r="M43" i="199"/>
  <c r="U43" i="199" s="1"/>
  <c r="K43" i="199"/>
  <c r="J43" i="199"/>
  <c r="I43" i="199"/>
  <c r="H43" i="199"/>
  <c r="G43" i="199"/>
  <c r="F43" i="199"/>
  <c r="E43" i="199"/>
  <c r="D43" i="199"/>
  <c r="L43" i="199" s="1"/>
  <c r="AH4" i="199" s="1"/>
  <c r="U42" i="199"/>
  <c r="L42" i="199"/>
  <c r="U41" i="199"/>
  <c r="L41" i="199"/>
  <c r="U40" i="199"/>
  <c r="V40" i="199" s="1"/>
  <c r="L40" i="199"/>
  <c r="U39" i="199"/>
  <c r="L39" i="199"/>
  <c r="V39" i="199" s="1"/>
  <c r="U38" i="199"/>
  <c r="L38" i="199"/>
  <c r="V38" i="199" s="1"/>
  <c r="U37" i="199"/>
  <c r="L37" i="199"/>
  <c r="V37" i="199" s="1"/>
  <c r="U36" i="199"/>
  <c r="V36" i="199" s="1"/>
  <c r="L36" i="199"/>
  <c r="T34" i="199"/>
  <c r="S34" i="199"/>
  <c r="R34" i="199"/>
  <c r="Q34" i="199"/>
  <c r="P34" i="199"/>
  <c r="O34" i="199"/>
  <c r="N34" i="199"/>
  <c r="M34" i="199"/>
  <c r="M58" i="199" s="1"/>
  <c r="K34" i="199"/>
  <c r="J34" i="199"/>
  <c r="J58" i="199" s="1"/>
  <c r="I34" i="199"/>
  <c r="I58" i="199" s="1"/>
  <c r="H34" i="199"/>
  <c r="H58" i="199" s="1"/>
  <c r="G34" i="199"/>
  <c r="G58" i="199" s="1"/>
  <c r="F34" i="199"/>
  <c r="E34" i="199"/>
  <c r="E58" i="199" s="1"/>
  <c r="D34" i="199"/>
  <c r="D58" i="199" s="1"/>
  <c r="U33" i="199"/>
  <c r="L33" i="199"/>
  <c r="U32" i="199"/>
  <c r="L32" i="199"/>
  <c r="U31" i="199"/>
  <c r="L31" i="199"/>
  <c r="U30" i="199"/>
  <c r="L30" i="199"/>
  <c r="U29" i="199"/>
  <c r="L29" i="199"/>
  <c r="V29" i="199" s="1"/>
  <c r="U28" i="199"/>
  <c r="V28" i="199" s="1"/>
  <c r="L28" i="199"/>
  <c r="U24" i="199"/>
  <c r="L24" i="199"/>
  <c r="U23" i="199"/>
  <c r="L23" i="199"/>
  <c r="T21" i="199"/>
  <c r="T54" i="199" s="1"/>
  <c r="T63" i="199" s="1"/>
  <c r="S21" i="199"/>
  <c r="S54" i="199" s="1"/>
  <c r="R21" i="199"/>
  <c r="Q21" i="199"/>
  <c r="Q54" i="199" s="1"/>
  <c r="P21" i="199"/>
  <c r="P57" i="199" s="1"/>
  <c r="O21" i="199"/>
  <c r="O57" i="199" s="1"/>
  <c r="N21" i="199"/>
  <c r="M21" i="199"/>
  <c r="K21" i="199"/>
  <c r="K25" i="199" s="1"/>
  <c r="K26" i="199" s="1"/>
  <c r="J21" i="199"/>
  <c r="J57" i="199" s="1"/>
  <c r="I21" i="199"/>
  <c r="I54" i="199" s="1"/>
  <c r="I60" i="199" s="1"/>
  <c r="H21" i="199"/>
  <c r="H57" i="199" s="1"/>
  <c r="G21" i="199"/>
  <c r="G57" i="199" s="1"/>
  <c r="F21" i="199"/>
  <c r="F57" i="199" s="1"/>
  <c r="E21" i="199"/>
  <c r="D21" i="199"/>
  <c r="U20" i="199"/>
  <c r="L20" i="199"/>
  <c r="U19" i="199"/>
  <c r="L19" i="199"/>
  <c r="U18" i="199"/>
  <c r="V18" i="199" s="1"/>
  <c r="L18" i="199"/>
  <c r="AA17" i="199"/>
  <c r="Z17" i="199"/>
  <c r="V17" i="199"/>
  <c r="U17" i="199"/>
  <c r="L17" i="199"/>
  <c r="U16" i="199"/>
  <c r="L16" i="199"/>
  <c r="V16" i="199" s="1"/>
  <c r="R14" i="199"/>
  <c r="P14" i="199"/>
  <c r="O14" i="199"/>
  <c r="AA5" i="199" s="1"/>
  <c r="N14" i="199"/>
  <c r="M14" i="199"/>
  <c r="I14" i="199"/>
  <c r="G14" i="199"/>
  <c r="F14" i="199"/>
  <c r="E14" i="199"/>
  <c r="D14" i="199"/>
  <c r="C14" i="199"/>
  <c r="V13" i="199"/>
  <c r="T13" i="199"/>
  <c r="T55" i="199" s="1"/>
  <c r="T25" i="199" s="1"/>
  <c r="T26" i="199" s="1"/>
  <c r="K13" i="199"/>
  <c r="V12" i="199"/>
  <c r="T12" i="199"/>
  <c r="S55" i="199" s="1"/>
  <c r="K12" i="199"/>
  <c r="J55" i="199" s="1"/>
  <c r="V11" i="199"/>
  <c r="T11" i="199"/>
  <c r="R55" i="199" s="1"/>
  <c r="K11" i="199"/>
  <c r="I55" i="199" s="1"/>
  <c r="V10" i="199"/>
  <c r="T10" i="199"/>
  <c r="Q55" i="199" s="1"/>
  <c r="K10" i="199"/>
  <c r="H55" i="199" s="1"/>
  <c r="V9" i="199"/>
  <c r="T9" i="199"/>
  <c r="P55" i="199" s="1"/>
  <c r="K9" i="199"/>
  <c r="G55" i="199" s="1"/>
  <c r="V8" i="199"/>
  <c r="T8" i="199"/>
  <c r="O55" i="199" s="1"/>
  <c r="K8" i="199"/>
  <c r="F55" i="199" s="1"/>
  <c r="V7" i="199"/>
  <c r="T7" i="199"/>
  <c r="N55" i="199" s="1"/>
  <c r="K7" i="199"/>
  <c r="E55" i="199" s="1"/>
  <c r="V6" i="199"/>
  <c r="T6" i="199"/>
  <c r="M55" i="199" s="1"/>
  <c r="K6" i="199"/>
  <c r="D55" i="199" s="1"/>
  <c r="AG4" i="199"/>
  <c r="N78" i="201"/>
  <c r="M78" i="201"/>
  <c r="F74" i="201"/>
  <c r="U64" i="201"/>
  <c r="T64" i="201"/>
  <c r="S64" i="201"/>
  <c r="R64" i="201"/>
  <c r="Q64" i="201"/>
  <c r="P64" i="201"/>
  <c r="O64" i="201"/>
  <c r="N64" i="201"/>
  <c r="M64" i="201"/>
  <c r="L64" i="201"/>
  <c r="K64" i="201"/>
  <c r="J64" i="201"/>
  <c r="I64" i="201"/>
  <c r="H64" i="201"/>
  <c r="G64" i="201"/>
  <c r="F64" i="201"/>
  <c r="E64" i="201"/>
  <c r="D64" i="201"/>
  <c r="T60" i="201"/>
  <c r="K60" i="201"/>
  <c r="T59" i="201"/>
  <c r="S59" i="201"/>
  <c r="R59" i="201"/>
  <c r="Q59" i="201"/>
  <c r="P59" i="201"/>
  <c r="O59" i="201"/>
  <c r="N59" i="201"/>
  <c r="M59" i="201"/>
  <c r="K59" i="201"/>
  <c r="J59" i="201"/>
  <c r="I59" i="201"/>
  <c r="H59" i="201"/>
  <c r="G59" i="201"/>
  <c r="F59" i="201"/>
  <c r="E59" i="201"/>
  <c r="D59" i="201"/>
  <c r="T58" i="201"/>
  <c r="S58" i="201"/>
  <c r="R58" i="201"/>
  <c r="Q58" i="201"/>
  <c r="P58" i="201"/>
  <c r="O58" i="201"/>
  <c r="N58" i="201"/>
  <c r="M58" i="201"/>
  <c r="K58" i="201"/>
  <c r="J58" i="201"/>
  <c r="G58" i="201"/>
  <c r="T57" i="201"/>
  <c r="P57" i="201"/>
  <c r="O57" i="201"/>
  <c r="K57" i="201"/>
  <c r="T56" i="201"/>
  <c r="S56" i="201"/>
  <c r="R56" i="201"/>
  <c r="Q56" i="201"/>
  <c r="P56" i="201"/>
  <c r="O56" i="201"/>
  <c r="N56" i="201"/>
  <c r="M56" i="201"/>
  <c r="K56" i="201"/>
  <c r="J56" i="201"/>
  <c r="I56" i="201"/>
  <c r="H56" i="201"/>
  <c r="G56" i="201"/>
  <c r="F56" i="201"/>
  <c r="E56" i="201"/>
  <c r="D56" i="201"/>
  <c r="K55" i="201"/>
  <c r="T43" i="201"/>
  <c r="S43" i="201"/>
  <c r="R43" i="201"/>
  <c r="Q43" i="201"/>
  <c r="P43" i="201"/>
  <c r="O43" i="201"/>
  <c r="N43" i="201"/>
  <c r="M43" i="201"/>
  <c r="U43" i="201" s="1"/>
  <c r="K43" i="201"/>
  <c r="J43" i="201"/>
  <c r="I43" i="201"/>
  <c r="H43" i="201"/>
  <c r="G43" i="201"/>
  <c r="F43" i="201"/>
  <c r="E43" i="201"/>
  <c r="D43" i="201"/>
  <c r="L43" i="201" s="1"/>
  <c r="AH4" i="201" s="1"/>
  <c r="U42" i="201"/>
  <c r="V42" i="201" s="1"/>
  <c r="L42" i="201"/>
  <c r="U41" i="201"/>
  <c r="L41" i="201"/>
  <c r="U40" i="201"/>
  <c r="L40" i="201"/>
  <c r="V40" i="201" s="1"/>
  <c r="U39" i="201"/>
  <c r="L39" i="201"/>
  <c r="V39" i="201" s="1"/>
  <c r="U38" i="201"/>
  <c r="L38" i="201"/>
  <c r="U37" i="201"/>
  <c r="V37" i="201" s="1"/>
  <c r="L37" i="201"/>
  <c r="U36" i="201"/>
  <c r="V36" i="201" s="1"/>
  <c r="L36" i="201"/>
  <c r="T34" i="201"/>
  <c r="S34" i="201"/>
  <c r="R34" i="201"/>
  <c r="Q34" i="201"/>
  <c r="P34" i="201"/>
  <c r="O34" i="201"/>
  <c r="N34" i="201"/>
  <c r="M34" i="201"/>
  <c r="U34" i="201" s="1"/>
  <c r="K34" i="201"/>
  <c r="J34" i="201"/>
  <c r="I34" i="201"/>
  <c r="I58" i="201" s="1"/>
  <c r="H34" i="201"/>
  <c r="H58" i="201" s="1"/>
  <c r="G34" i="201"/>
  <c r="F34" i="201"/>
  <c r="F58" i="201" s="1"/>
  <c r="E34" i="201"/>
  <c r="E58" i="201" s="1"/>
  <c r="D34" i="201"/>
  <c r="D58" i="201" s="1"/>
  <c r="U33" i="201"/>
  <c r="L33" i="201"/>
  <c r="V33" i="201" s="1"/>
  <c r="U32" i="201"/>
  <c r="L32" i="201"/>
  <c r="V32" i="201" s="1"/>
  <c r="U31" i="201"/>
  <c r="L31" i="201"/>
  <c r="V31" i="201" s="1"/>
  <c r="U30" i="201"/>
  <c r="L30" i="201"/>
  <c r="V30" i="201" s="1"/>
  <c r="U29" i="201"/>
  <c r="L29" i="201"/>
  <c r="U28" i="201"/>
  <c r="L28" i="201"/>
  <c r="AG4" i="201" s="1"/>
  <c r="U24" i="201"/>
  <c r="L24" i="201"/>
  <c r="U23" i="201"/>
  <c r="L23" i="201"/>
  <c r="T21" i="201"/>
  <c r="T54" i="201" s="1"/>
  <c r="T61" i="201" s="1"/>
  <c r="S21" i="201"/>
  <c r="S54" i="201" s="1"/>
  <c r="S60" i="201" s="1"/>
  <c r="R21" i="201"/>
  <c r="R57" i="201" s="1"/>
  <c r="Q21" i="201"/>
  <c r="Q57" i="201" s="1"/>
  <c r="P21" i="201"/>
  <c r="P54" i="201" s="1"/>
  <c r="O21" i="201"/>
  <c r="O54" i="201" s="1"/>
  <c r="N21" i="201"/>
  <c r="N57" i="201" s="1"/>
  <c r="M21" i="201"/>
  <c r="M57" i="201" s="1"/>
  <c r="K21" i="201"/>
  <c r="K54" i="201" s="1"/>
  <c r="J21" i="201"/>
  <c r="I21" i="201"/>
  <c r="I57" i="201" s="1"/>
  <c r="H21" i="201"/>
  <c r="H57" i="201" s="1"/>
  <c r="G21" i="201"/>
  <c r="G54" i="201" s="1"/>
  <c r="F21" i="201"/>
  <c r="F57" i="201" s="1"/>
  <c r="E21" i="201"/>
  <c r="E57" i="201" s="1"/>
  <c r="D21" i="201"/>
  <c r="U20" i="201"/>
  <c r="L20" i="201"/>
  <c r="V20" i="201" s="1"/>
  <c r="U19" i="201"/>
  <c r="L19" i="201"/>
  <c r="V18" i="201"/>
  <c r="U18" i="201"/>
  <c r="L18" i="201"/>
  <c r="AA17" i="201"/>
  <c r="Z17" i="201"/>
  <c r="V17" i="201"/>
  <c r="U17" i="201"/>
  <c r="L17" i="201"/>
  <c r="U16" i="201"/>
  <c r="L16" i="201"/>
  <c r="R14" i="201"/>
  <c r="P14" i="201"/>
  <c r="O14" i="201"/>
  <c r="U59" i="201" s="1"/>
  <c r="N14" i="201"/>
  <c r="M14" i="201"/>
  <c r="I14" i="201"/>
  <c r="G14" i="201"/>
  <c r="F14" i="201"/>
  <c r="E14" i="201"/>
  <c r="D14" i="201"/>
  <c r="C14" i="201"/>
  <c r="V13" i="201"/>
  <c r="T13" i="201"/>
  <c r="T55" i="201" s="1"/>
  <c r="T25" i="201" s="1"/>
  <c r="T26" i="201" s="1"/>
  <c r="K13" i="201"/>
  <c r="V12" i="201"/>
  <c r="T12" i="201"/>
  <c r="S55" i="201" s="1"/>
  <c r="K12" i="201"/>
  <c r="J55" i="201" s="1"/>
  <c r="J25" i="201" s="1"/>
  <c r="J26" i="201" s="1"/>
  <c r="V11" i="201"/>
  <c r="T11" i="201"/>
  <c r="R55" i="201" s="1"/>
  <c r="R25" i="201" s="1"/>
  <c r="R26" i="201" s="1"/>
  <c r="K11" i="201"/>
  <c r="I55" i="201" s="1"/>
  <c r="V10" i="201"/>
  <c r="T10" i="201"/>
  <c r="Q55" i="201" s="1"/>
  <c r="K10" i="201"/>
  <c r="H55" i="201" s="1"/>
  <c r="V9" i="201"/>
  <c r="T9" i="201"/>
  <c r="P55" i="201" s="1"/>
  <c r="K9" i="201"/>
  <c r="G55" i="201" s="1"/>
  <c r="V8" i="201"/>
  <c r="T8" i="201"/>
  <c r="O55" i="201" s="1"/>
  <c r="O25" i="201" s="1"/>
  <c r="O26" i="201" s="1"/>
  <c r="K8" i="201"/>
  <c r="F55" i="201" s="1"/>
  <c r="V7" i="201"/>
  <c r="T7" i="201"/>
  <c r="N55" i="201" s="1"/>
  <c r="N25" i="201" s="1"/>
  <c r="N26" i="201" s="1"/>
  <c r="K7" i="201"/>
  <c r="E55" i="201" s="1"/>
  <c r="V6" i="201"/>
  <c r="T6" i="201"/>
  <c r="K6" i="201"/>
  <c r="D55" i="201" s="1"/>
  <c r="AG5" i="201"/>
  <c r="N78" i="200"/>
  <c r="M78" i="200"/>
  <c r="F74" i="200"/>
  <c r="U64" i="200"/>
  <c r="T64" i="200"/>
  <c r="S64" i="200"/>
  <c r="R64" i="200"/>
  <c r="Q64" i="200"/>
  <c r="P64" i="200"/>
  <c r="O64" i="200"/>
  <c r="N64" i="200"/>
  <c r="M64" i="200"/>
  <c r="L64" i="200"/>
  <c r="K64" i="200"/>
  <c r="J64" i="200"/>
  <c r="I64" i="200"/>
  <c r="H64" i="200"/>
  <c r="G64" i="200"/>
  <c r="F64" i="200"/>
  <c r="E64" i="200"/>
  <c r="D64" i="200"/>
  <c r="T60" i="200"/>
  <c r="K60" i="200"/>
  <c r="T59" i="200"/>
  <c r="S59" i="200"/>
  <c r="R59" i="200"/>
  <c r="Q59" i="200"/>
  <c r="P59" i="200"/>
  <c r="O59" i="200"/>
  <c r="N59" i="200"/>
  <c r="M59" i="200"/>
  <c r="K59" i="200"/>
  <c r="J59" i="200"/>
  <c r="I59" i="200"/>
  <c r="H59" i="200"/>
  <c r="G59" i="200"/>
  <c r="F59" i="200"/>
  <c r="E59" i="200"/>
  <c r="D59" i="200"/>
  <c r="T58" i="200"/>
  <c r="R58" i="200"/>
  <c r="Q58" i="200"/>
  <c r="P58" i="200"/>
  <c r="O58" i="200"/>
  <c r="N58" i="200"/>
  <c r="M58" i="200"/>
  <c r="K58" i="200"/>
  <c r="J58" i="200"/>
  <c r="I58" i="200"/>
  <c r="H58" i="200"/>
  <c r="G58" i="200"/>
  <c r="E58" i="200"/>
  <c r="D58" i="200"/>
  <c r="T57" i="200"/>
  <c r="N57" i="200"/>
  <c r="K57" i="200"/>
  <c r="T56" i="200"/>
  <c r="S56" i="200"/>
  <c r="R56" i="200"/>
  <c r="Q56" i="200"/>
  <c r="P56" i="200"/>
  <c r="O56" i="200"/>
  <c r="N56" i="200"/>
  <c r="M56" i="200"/>
  <c r="K56" i="200"/>
  <c r="J56" i="200"/>
  <c r="I56" i="200"/>
  <c r="H56" i="200"/>
  <c r="G56" i="200"/>
  <c r="F56" i="200"/>
  <c r="E56" i="200"/>
  <c r="D56" i="200"/>
  <c r="K55" i="200"/>
  <c r="T43" i="200"/>
  <c r="S43" i="200"/>
  <c r="R43" i="200"/>
  <c r="Q43" i="200"/>
  <c r="P43" i="200"/>
  <c r="O43" i="200"/>
  <c r="N43" i="200"/>
  <c r="M43" i="200"/>
  <c r="U43" i="200" s="1"/>
  <c r="K43" i="200"/>
  <c r="J43" i="200"/>
  <c r="I43" i="200"/>
  <c r="H43" i="200"/>
  <c r="G43" i="200"/>
  <c r="F43" i="200"/>
  <c r="E43" i="200"/>
  <c r="D43" i="200"/>
  <c r="L43" i="200" s="1"/>
  <c r="AH4" i="200" s="1"/>
  <c r="U42" i="200"/>
  <c r="L42" i="200"/>
  <c r="U41" i="200"/>
  <c r="L41" i="200"/>
  <c r="U40" i="200"/>
  <c r="L40" i="200"/>
  <c r="V40" i="200" s="1"/>
  <c r="U39" i="200"/>
  <c r="L39" i="200"/>
  <c r="V39" i="200" s="1"/>
  <c r="U38" i="200"/>
  <c r="L38" i="200"/>
  <c r="V38" i="200" s="1"/>
  <c r="U37" i="200"/>
  <c r="L37" i="200"/>
  <c r="U36" i="200"/>
  <c r="L36" i="200"/>
  <c r="V36" i="200" s="1"/>
  <c r="T34" i="200"/>
  <c r="S34" i="200"/>
  <c r="R34" i="200"/>
  <c r="Q34" i="200"/>
  <c r="P34" i="200"/>
  <c r="O34" i="200"/>
  <c r="N34" i="200"/>
  <c r="M34" i="200"/>
  <c r="K34" i="200"/>
  <c r="J34" i="200"/>
  <c r="I34" i="200"/>
  <c r="H34" i="200"/>
  <c r="G34" i="200"/>
  <c r="F34" i="200"/>
  <c r="F58" i="200" s="1"/>
  <c r="E34" i="200"/>
  <c r="D34" i="200"/>
  <c r="U33" i="200"/>
  <c r="V33" i="200" s="1"/>
  <c r="L33" i="200"/>
  <c r="U32" i="200"/>
  <c r="L32" i="200"/>
  <c r="U31" i="200"/>
  <c r="V31" i="200" s="1"/>
  <c r="L31" i="200"/>
  <c r="U30" i="200"/>
  <c r="V30" i="200" s="1"/>
  <c r="L30" i="200"/>
  <c r="U29" i="200"/>
  <c r="L29" i="200"/>
  <c r="U28" i="200"/>
  <c r="AG5" i="200" s="1"/>
  <c r="L28" i="200"/>
  <c r="U24" i="200"/>
  <c r="L24" i="200"/>
  <c r="U23" i="200"/>
  <c r="L23" i="200"/>
  <c r="T21" i="200"/>
  <c r="T54" i="200" s="1"/>
  <c r="S21" i="200"/>
  <c r="S57" i="200" s="1"/>
  <c r="R21" i="200"/>
  <c r="R57" i="200" s="1"/>
  <c r="Q21" i="200"/>
  <c r="Q54" i="200" s="1"/>
  <c r="P21" i="200"/>
  <c r="P57" i="200" s="1"/>
  <c r="O21" i="200"/>
  <c r="O54" i="200" s="1"/>
  <c r="N21" i="200"/>
  <c r="M21" i="200"/>
  <c r="M54" i="200" s="1"/>
  <c r="M60" i="200" s="1"/>
  <c r="K21" i="200"/>
  <c r="J21" i="200"/>
  <c r="J54" i="200" s="1"/>
  <c r="I21" i="200"/>
  <c r="I54" i="200" s="1"/>
  <c r="H21" i="200"/>
  <c r="G21" i="200"/>
  <c r="G54" i="200" s="1"/>
  <c r="G60" i="200" s="1"/>
  <c r="F21" i="200"/>
  <c r="F57" i="200" s="1"/>
  <c r="E21" i="200"/>
  <c r="E57" i="200" s="1"/>
  <c r="D21" i="200"/>
  <c r="D57" i="200" s="1"/>
  <c r="U20" i="200"/>
  <c r="L20" i="200"/>
  <c r="U19" i="200"/>
  <c r="L19" i="200"/>
  <c r="U18" i="200"/>
  <c r="V18" i="200" s="1"/>
  <c r="L18" i="200"/>
  <c r="AA17" i="200"/>
  <c r="Z17" i="200"/>
  <c r="U17" i="200"/>
  <c r="V17" i="200" s="1"/>
  <c r="L17" i="200"/>
  <c r="U16" i="200"/>
  <c r="V16" i="200" s="1"/>
  <c r="L16" i="200"/>
  <c r="R14" i="200"/>
  <c r="P14" i="200"/>
  <c r="O14" i="200"/>
  <c r="N14" i="200"/>
  <c r="M14" i="200"/>
  <c r="I14" i="200"/>
  <c r="G14" i="200"/>
  <c r="F14" i="200"/>
  <c r="E14" i="200"/>
  <c r="D14" i="200"/>
  <c r="C14" i="200"/>
  <c r="V13" i="200"/>
  <c r="T13" i="200"/>
  <c r="T55" i="200" s="1"/>
  <c r="T25" i="200" s="1"/>
  <c r="T26" i="200" s="1"/>
  <c r="K13" i="200"/>
  <c r="V12" i="200"/>
  <c r="T12" i="200"/>
  <c r="S55" i="200" s="1"/>
  <c r="K12" i="200"/>
  <c r="J55" i="200" s="1"/>
  <c r="V11" i="200"/>
  <c r="T11" i="200"/>
  <c r="R55" i="200" s="1"/>
  <c r="K11" i="200"/>
  <c r="I55" i="200" s="1"/>
  <c r="I25" i="200" s="1"/>
  <c r="I26" i="200" s="1"/>
  <c r="V10" i="200"/>
  <c r="T10" i="200"/>
  <c r="Q55" i="200" s="1"/>
  <c r="K10" i="200"/>
  <c r="H55" i="200" s="1"/>
  <c r="V9" i="200"/>
  <c r="T9" i="200"/>
  <c r="P55" i="200" s="1"/>
  <c r="K9" i="200"/>
  <c r="G55" i="200" s="1"/>
  <c r="V8" i="200"/>
  <c r="T8" i="200"/>
  <c r="O55" i="200" s="1"/>
  <c r="K8" i="200"/>
  <c r="F55" i="200" s="1"/>
  <c r="V7" i="200"/>
  <c r="T7" i="200"/>
  <c r="N55" i="200" s="1"/>
  <c r="K7" i="200"/>
  <c r="E55" i="200" s="1"/>
  <c r="V6" i="200"/>
  <c r="T6" i="200"/>
  <c r="M55" i="200" s="1"/>
  <c r="K6" i="200"/>
  <c r="D55" i="200" s="1"/>
  <c r="AG4" i="200"/>
  <c r="N78" i="202"/>
  <c r="M78" i="202"/>
  <c r="F74" i="202"/>
  <c r="U64" i="202"/>
  <c r="T64" i="202"/>
  <c r="S64" i="202"/>
  <c r="R64" i="202"/>
  <c r="Q64" i="202"/>
  <c r="P64" i="202"/>
  <c r="O64" i="202"/>
  <c r="N64" i="202"/>
  <c r="M64" i="202"/>
  <c r="L64" i="202"/>
  <c r="K64" i="202"/>
  <c r="J64" i="202"/>
  <c r="I64" i="202"/>
  <c r="H64" i="202"/>
  <c r="G64" i="202"/>
  <c r="F64" i="202"/>
  <c r="E64" i="202"/>
  <c r="D64" i="202"/>
  <c r="T60" i="202"/>
  <c r="K60" i="202"/>
  <c r="T59" i="202"/>
  <c r="S59" i="202"/>
  <c r="R59" i="202"/>
  <c r="Q59" i="202"/>
  <c r="P59" i="202"/>
  <c r="O59" i="202"/>
  <c r="N59" i="202"/>
  <c r="M59" i="202"/>
  <c r="K59" i="202"/>
  <c r="J59" i="202"/>
  <c r="I59" i="202"/>
  <c r="H59" i="202"/>
  <c r="G59" i="202"/>
  <c r="F59" i="202"/>
  <c r="E59" i="202"/>
  <c r="D59" i="202"/>
  <c r="T58" i="202"/>
  <c r="S58" i="202"/>
  <c r="Q58" i="202"/>
  <c r="O58" i="202"/>
  <c r="N58" i="202"/>
  <c r="M58" i="202"/>
  <c r="K58" i="202"/>
  <c r="T57" i="202"/>
  <c r="O57" i="202"/>
  <c r="K57" i="202"/>
  <c r="T56" i="202"/>
  <c r="S56" i="202"/>
  <c r="R56" i="202"/>
  <c r="Q56" i="202"/>
  <c r="P56" i="202"/>
  <c r="O56" i="202"/>
  <c r="N56" i="202"/>
  <c r="M56" i="202"/>
  <c r="K56" i="202"/>
  <c r="J56" i="202"/>
  <c r="I56" i="202"/>
  <c r="H56" i="202"/>
  <c r="G56" i="202"/>
  <c r="F56" i="202"/>
  <c r="E56" i="202"/>
  <c r="D56" i="202"/>
  <c r="K55" i="202"/>
  <c r="T43" i="202"/>
  <c r="S43" i="202"/>
  <c r="R43" i="202"/>
  <c r="Q43" i="202"/>
  <c r="P43" i="202"/>
  <c r="O43" i="202"/>
  <c r="N43" i="202"/>
  <c r="M43" i="202"/>
  <c r="U43" i="202" s="1"/>
  <c r="K43" i="202"/>
  <c r="J43" i="202"/>
  <c r="I43" i="202"/>
  <c r="H43" i="202"/>
  <c r="G43" i="202"/>
  <c r="F43" i="202"/>
  <c r="E43" i="202"/>
  <c r="D43" i="202"/>
  <c r="L43" i="202" s="1"/>
  <c r="AH4" i="202" s="1"/>
  <c r="U42" i="202"/>
  <c r="L42" i="202"/>
  <c r="U41" i="202"/>
  <c r="L41" i="202"/>
  <c r="U40" i="202"/>
  <c r="L40" i="202"/>
  <c r="U39" i="202"/>
  <c r="L39" i="202"/>
  <c r="U38" i="202"/>
  <c r="L38" i="202"/>
  <c r="U37" i="202"/>
  <c r="L37" i="202"/>
  <c r="U36" i="202"/>
  <c r="L36" i="202"/>
  <c r="T34" i="202"/>
  <c r="S34" i="202"/>
  <c r="R34" i="202"/>
  <c r="R58" i="202" s="1"/>
  <c r="Q34" i="202"/>
  <c r="P34" i="202"/>
  <c r="O34" i="202"/>
  <c r="N34" i="202"/>
  <c r="M34" i="202"/>
  <c r="K34" i="202"/>
  <c r="J34" i="202"/>
  <c r="J58" i="202" s="1"/>
  <c r="I34" i="202"/>
  <c r="I58" i="202" s="1"/>
  <c r="H34" i="202"/>
  <c r="H58" i="202" s="1"/>
  <c r="G34" i="202"/>
  <c r="G58" i="202" s="1"/>
  <c r="F34" i="202"/>
  <c r="F58" i="202" s="1"/>
  <c r="E34" i="202"/>
  <c r="E58" i="202" s="1"/>
  <c r="D34" i="202"/>
  <c r="V33" i="202"/>
  <c r="U33" i="202"/>
  <c r="L33" i="202"/>
  <c r="U32" i="202"/>
  <c r="L32" i="202"/>
  <c r="U31" i="202"/>
  <c r="V31" i="202" s="1"/>
  <c r="L31" i="202"/>
  <c r="V30" i="202"/>
  <c r="U30" i="202"/>
  <c r="L30" i="202"/>
  <c r="U29" i="202"/>
  <c r="L29" i="202"/>
  <c r="U28" i="202"/>
  <c r="L28" i="202"/>
  <c r="AG4" i="202" s="1"/>
  <c r="U24" i="202"/>
  <c r="L24" i="202"/>
  <c r="U23" i="202"/>
  <c r="L23" i="202"/>
  <c r="T21" i="202"/>
  <c r="T54" i="202" s="1"/>
  <c r="S21" i="202"/>
  <c r="S54" i="202" s="1"/>
  <c r="R21" i="202"/>
  <c r="R57" i="202" s="1"/>
  <c r="Q21" i="202"/>
  <c r="Q57" i="202" s="1"/>
  <c r="P21" i="202"/>
  <c r="P54" i="202" s="1"/>
  <c r="P63" i="202" s="1"/>
  <c r="O21" i="202"/>
  <c r="O54" i="202" s="1"/>
  <c r="O63" i="202" s="1"/>
  <c r="N21" i="202"/>
  <c r="N57" i="202" s="1"/>
  <c r="M21" i="202"/>
  <c r="K21" i="202"/>
  <c r="J21" i="202"/>
  <c r="J57" i="202" s="1"/>
  <c r="I21" i="202"/>
  <c r="I57" i="202" s="1"/>
  <c r="H21" i="202"/>
  <c r="G21" i="202"/>
  <c r="G57" i="202" s="1"/>
  <c r="F21" i="202"/>
  <c r="F57" i="202" s="1"/>
  <c r="E21" i="202"/>
  <c r="E57" i="202" s="1"/>
  <c r="D21" i="202"/>
  <c r="U20" i="202"/>
  <c r="L20" i="202"/>
  <c r="V20" i="202" s="1"/>
  <c r="U19" i="202"/>
  <c r="L19" i="202"/>
  <c r="V18" i="202"/>
  <c r="U18" i="202"/>
  <c r="L18" i="202"/>
  <c r="AA17" i="202"/>
  <c r="Z17" i="202"/>
  <c r="V17" i="202"/>
  <c r="U17" i="202"/>
  <c r="L17" i="202"/>
  <c r="U16" i="202"/>
  <c r="L16" i="202"/>
  <c r="R14" i="202"/>
  <c r="P14" i="202"/>
  <c r="O14" i="202"/>
  <c r="N14" i="202"/>
  <c r="M14" i="202"/>
  <c r="I14" i="202"/>
  <c r="G14" i="202"/>
  <c r="F14" i="202"/>
  <c r="E14" i="202"/>
  <c r="D14" i="202"/>
  <c r="C14" i="202"/>
  <c r="V13" i="202"/>
  <c r="T13" i="202"/>
  <c r="T55" i="202" s="1"/>
  <c r="T25" i="202" s="1"/>
  <c r="T26" i="202" s="1"/>
  <c r="K13" i="202"/>
  <c r="V12" i="202"/>
  <c r="T12" i="202"/>
  <c r="S55" i="202" s="1"/>
  <c r="K12" i="202"/>
  <c r="J55" i="202" s="1"/>
  <c r="V11" i="202"/>
  <c r="T11" i="202"/>
  <c r="R55" i="202" s="1"/>
  <c r="K11" i="202"/>
  <c r="I55" i="202" s="1"/>
  <c r="V10" i="202"/>
  <c r="T10" i="202"/>
  <c r="Q55" i="202" s="1"/>
  <c r="K10" i="202"/>
  <c r="H55" i="202" s="1"/>
  <c r="V9" i="202"/>
  <c r="T9" i="202"/>
  <c r="P55" i="202" s="1"/>
  <c r="K9" i="202"/>
  <c r="G55" i="202" s="1"/>
  <c r="V8" i="202"/>
  <c r="T8" i="202"/>
  <c r="O55" i="202" s="1"/>
  <c r="O25" i="202" s="1"/>
  <c r="O26" i="202" s="1"/>
  <c r="K8" i="202"/>
  <c r="F55" i="202" s="1"/>
  <c r="V7" i="202"/>
  <c r="T7" i="202"/>
  <c r="N55" i="202" s="1"/>
  <c r="K7" i="202"/>
  <c r="V6" i="202"/>
  <c r="T6" i="202"/>
  <c r="K6" i="202"/>
  <c r="D55" i="202" s="1"/>
  <c r="AG5" i="202"/>
  <c r="E74" i="203"/>
  <c r="D74" i="203"/>
  <c r="Y62" i="203"/>
  <c r="Y58" i="203"/>
  <c r="C52" i="203"/>
  <c r="C51" i="203"/>
  <c r="C50" i="203"/>
  <c r="C49" i="203"/>
  <c r="C48" i="203"/>
  <c r="C47" i="203"/>
  <c r="C46" i="203"/>
  <c r="C45" i="203"/>
  <c r="K42" i="203"/>
  <c r="J42" i="203"/>
  <c r="I42" i="203"/>
  <c r="H42" i="203"/>
  <c r="G42" i="203"/>
  <c r="F42" i="203"/>
  <c r="E42" i="203"/>
  <c r="D42" i="203"/>
  <c r="K41" i="203"/>
  <c r="J41" i="203"/>
  <c r="I41" i="203"/>
  <c r="H41" i="203"/>
  <c r="G41" i="203"/>
  <c r="F41" i="203"/>
  <c r="E41" i="203"/>
  <c r="D41" i="203"/>
  <c r="K40" i="203"/>
  <c r="J40" i="203"/>
  <c r="I40" i="203"/>
  <c r="H40" i="203"/>
  <c r="G40" i="203"/>
  <c r="F40" i="203"/>
  <c r="E40" i="203"/>
  <c r="D40" i="203"/>
  <c r="K39" i="203"/>
  <c r="J39" i="203"/>
  <c r="I39" i="203"/>
  <c r="H39" i="203"/>
  <c r="G39" i="203"/>
  <c r="F39" i="203"/>
  <c r="E39" i="203"/>
  <c r="D39" i="203"/>
  <c r="K38" i="203"/>
  <c r="J38" i="203"/>
  <c r="I38" i="203"/>
  <c r="H38" i="203"/>
  <c r="G38" i="203"/>
  <c r="F38" i="203"/>
  <c r="E38" i="203"/>
  <c r="D38" i="203"/>
  <c r="K37" i="203"/>
  <c r="J37" i="203"/>
  <c r="I37" i="203"/>
  <c r="H37" i="203"/>
  <c r="G37" i="203"/>
  <c r="F37" i="203"/>
  <c r="E37" i="203"/>
  <c r="D37" i="203"/>
  <c r="K36" i="203"/>
  <c r="J36" i="203"/>
  <c r="I36" i="203"/>
  <c r="H36" i="203"/>
  <c r="G36" i="203"/>
  <c r="F36" i="203"/>
  <c r="E36" i="203"/>
  <c r="D36" i="203"/>
  <c r="K33" i="203"/>
  <c r="J33" i="203"/>
  <c r="I33" i="203"/>
  <c r="H33" i="203"/>
  <c r="G33" i="203"/>
  <c r="F33" i="203"/>
  <c r="E33" i="203"/>
  <c r="D33" i="203"/>
  <c r="K32" i="203"/>
  <c r="J32" i="203"/>
  <c r="I32" i="203"/>
  <c r="H32" i="203"/>
  <c r="G32" i="203"/>
  <c r="F32" i="203"/>
  <c r="E32" i="203"/>
  <c r="D32" i="203"/>
  <c r="K31" i="203"/>
  <c r="J31" i="203"/>
  <c r="I31" i="203"/>
  <c r="H31" i="203"/>
  <c r="G31" i="203"/>
  <c r="F31" i="203"/>
  <c r="E31" i="203"/>
  <c r="D31" i="203"/>
  <c r="K30" i="203"/>
  <c r="J30" i="203"/>
  <c r="I30" i="203"/>
  <c r="H30" i="203"/>
  <c r="G30" i="203"/>
  <c r="F30" i="203"/>
  <c r="E30" i="203"/>
  <c r="D30" i="203"/>
  <c r="K29" i="203"/>
  <c r="J29" i="203"/>
  <c r="I29" i="203"/>
  <c r="H29" i="203"/>
  <c r="G29" i="203"/>
  <c r="F29" i="203"/>
  <c r="E29" i="203"/>
  <c r="D29" i="203"/>
  <c r="K28" i="203"/>
  <c r="K34" i="203" s="1"/>
  <c r="J28" i="203"/>
  <c r="I28" i="203"/>
  <c r="H28" i="203"/>
  <c r="G28" i="203"/>
  <c r="F28" i="203"/>
  <c r="E28" i="203"/>
  <c r="D28" i="203"/>
  <c r="K24" i="203"/>
  <c r="J24" i="203"/>
  <c r="I24" i="203"/>
  <c r="H24" i="203"/>
  <c r="G24" i="203"/>
  <c r="F24" i="203"/>
  <c r="E24" i="203"/>
  <c r="D24" i="203"/>
  <c r="K23" i="203"/>
  <c r="J23" i="203"/>
  <c r="I23" i="203"/>
  <c r="H23" i="203"/>
  <c r="G23" i="203"/>
  <c r="F23" i="203"/>
  <c r="E23" i="203"/>
  <c r="D23" i="203"/>
  <c r="K20" i="203"/>
  <c r="J20" i="203"/>
  <c r="I20" i="203"/>
  <c r="H20" i="203"/>
  <c r="G20" i="203"/>
  <c r="F20" i="203"/>
  <c r="E20" i="203"/>
  <c r="D20" i="203"/>
  <c r="K19" i="203"/>
  <c r="J19" i="203"/>
  <c r="I19" i="203"/>
  <c r="H19" i="203"/>
  <c r="G19" i="203"/>
  <c r="F19" i="203"/>
  <c r="E19" i="203"/>
  <c r="D19" i="203"/>
  <c r="K18" i="203"/>
  <c r="J18" i="203"/>
  <c r="I18" i="203"/>
  <c r="H18" i="203"/>
  <c r="G18" i="203"/>
  <c r="F18" i="203"/>
  <c r="E18" i="203"/>
  <c r="D18" i="203"/>
  <c r="AA17" i="203"/>
  <c r="Z17" i="203"/>
  <c r="K17" i="203"/>
  <c r="J17" i="203"/>
  <c r="I17" i="203"/>
  <c r="H17" i="203"/>
  <c r="G17" i="203"/>
  <c r="F17" i="203"/>
  <c r="E17" i="203"/>
  <c r="D17" i="203"/>
  <c r="K16" i="203"/>
  <c r="J16" i="203"/>
  <c r="I16" i="203"/>
  <c r="H16" i="203"/>
  <c r="G16" i="203"/>
  <c r="F16" i="203"/>
  <c r="E16" i="203"/>
  <c r="D16" i="203"/>
  <c r="E14" i="203"/>
  <c r="D14" i="203"/>
  <c r="C14" i="203"/>
  <c r="I13" i="203"/>
  <c r="K56" i="203" s="1"/>
  <c r="G13" i="203"/>
  <c r="F13" i="203"/>
  <c r="K58" i="203" s="1"/>
  <c r="I12" i="203"/>
  <c r="J56" i="203" s="1"/>
  <c r="G12" i="203"/>
  <c r="F12" i="203"/>
  <c r="I11" i="203"/>
  <c r="I56" i="203" s="1"/>
  <c r="G11" i="203"/>
  <c r="F11" i="203"/>
  <c r="I10" i="203"/>
  <c r="H56" i="203" s="1"/>
  <c r="G10" i="203"/>
  <c r="F10" i="203"/>
  <c r="I9" i="203"/>
  <c r="G56" i="203" s="1"/>
  <c r="G9" i="203"/>
  <c r="F9" i="203"/>
  <c r="I8" i="203"/>
  <c r="F56" i="203" s="1"/>
  <c r="G8" i="203"/>
  <c r="F8" i="203"/>
  <c r="I7" i="203"/>
  <c r="E56" i="203" s="1"/>
  <c r="G7" i="203"/>
  <c r="F7" i="203"/>
  <c r="I6" i="203"/>
  <c r="G6" i="203"/>
  <c r="F6" i="203"/>
  <c r="AH5" i="203"/>
  <c r="AG5" i="203"/>
  <c r="AF5" i="203"/>
  <c r="AE5" i="203"/>
  <c r="AD5" i="203"/>
  <c r="AC5" i="203"/>
  <c r="AB5" i="203"/>
  <c r="AA5" i="203"/>
  <c r="E27" i="205"/>
  <c r="D27" i="205"/>
  <c r="C27" i="205"/>
  <c r="B27" i="205"/>
  <c r="E25" i="205"/>
  <c r="D25" i="205"/>
  <c r="C25" i="205"/>
  <c r="B25" i="205"/>
  <c r="E24" i="205"/>
  <c r="D24" i="205"/>
  <c r="C24" i="205"/>
  <c r="B24" i="205"/>
  <c r="D23" i="205"/>
  <c r="E18" i="205"/>
  <c r="D18" i="205"/>
  <c r="C18" i="205"/>
  <c r="B18" i="205"/>
  <c r="E13" i="205"/>
  <c r="D13" i="205"/>
  <c r="C13" i="205"/>
  <c r="B13" i="205"/>
  <c r="E11" i="205"/>
  <c r="D11" i="205"/>
  <c r="C11" i="205"/>
  <c r="B11" i="205"/>
  <c r="E10" i="205"/>
  <c r="D10" i="205"/>
  <c r="C10" i="205"/>
  <c r="B10" i="205"/>
  <c r="E4" i="205"/>
  <c r="D4" i="205"/>
  <c r="C4" i="205"/>
  <c r="B4" i="205"/>
  <c r="E3" i="205"/>
  <c r="D3" i="205"/>
  <c r="C3" i="205"/>
  <c r="B3" i="205"/>
  <c r="O45" i="11"/>
  <c r="N45" i="11"/>
  <c r="M45" i="11"/>
  <c r="L45" i="11"/>
  <c r="O44" i="11"/>
  <c r="N44" i="11"/>
  <c r="M44" i="11"/>
  <c r="L44" i="11"/>
  <c r="O43" i="11"/>
  <c r="N43" i="11"/>
  <c r="M43" i="11"/>
  <c r="L43" i="11"/>
  <c r="Q42" i="11"/>
  <c r="O42" i="11"/>
  <c r="N42" i="11"/>
  <c r="M42" i="11"/>
  <c r="L42" i="11"/>
  <c r="R41" i="11"/>
  <c r="O41" i="11"/>
  <c r="N41" i="11"/>
  <c r="M41" i="11"/>
  <c r="L41" i="11"/>
  <c r="O40" i="11"/>
  <c r="N40" i="11"/>
  <c r="M40" i="11"/>
  <c r="L40" i="11"/>
  <c r="Q39" i="11"/>
  <c r="O39" i="11"/>
  <c r="N39" i="11"/>
  <c r="M39" i="11"/>
  <c r="L39" i="11"/>
  <c r="R38" i="11"/>
  <c r="O38" i="11"/>
  <c r="N38" i="11"/>
  <c r="M38" i="11"/>
  <c r="L38" i="11"/>
  <c r="O37" i="11"/>
  <c r="N37" i="11"/>
  <c r="M37" i="11"/>
  <c r="L37" i="11"/>
  <c r="O36" i="11"/>
  <c r="N36" i="11"/>
  <c r="M36" i="11"/>
  <c r="L36" i="11"/>
  <c r="O35" i="11"/>
  <c r="N35" i="11"/>
  <c r="M35" i="11"/>
  <c r="L35" i="11"/>
  <c r="O34" i="11"/>
  <c r="N34" i="11"/>
  <c r="M34" i="11"/>
  <c r="L34" i="11"/>
  <c r="K32" i="11"/>
  <c r="J32" i="11"/>
  <c r="I32" i="11"/>
  <c r="D32" i="11"/>
  <c r="C32" i="11"/>
  <c r="B32" i="11"/>
  <c r="A32" i="11"/>
  <c r="K31" i="11"/>
  <c r="J31" i="11"/>
  <c r="I31" i="11"/>
  <c r="D31" i="11"/>
  <c r="C31" i="11"/>
  <c r="B31" i="11"/>
  <c r="A31" i="11"/>
  <c r="K30" i="11"/>
  <c r="J30" i="11"/>
  <c r="I30" i="11"/>
  <c r="D30" i="11"/>
  <c r="C30" i="11"/>
  <c r="B30" i="11"/>
  <c r="A30" i="11"/>
  <c r="K29" i="11"/>
  <c r="J29" i="11"/>
  <c r="I29" i="11"/>
  <c r="D29" i="11"/>
  <c r="C29" i="11"/>
  <c r="B29" i="11"/>
  <c r="A29" i="11"/>
  <c r="K28" i="11"/>
  <c r="J28" i="11"/>
  <c r="I28" i="11"/>
  <c r="D28" i="11"/>
  <c r="C28" i="11"/>
  <c r="B28" i="11"/>
  <c r="A28" i="11"/>
  <c r="K27" i="11"/>
  <c r="J27" i="11"/>
  <c r="I27" i="11"/>
  <c r="D27" i="11"/>
  <c r="C27" i="11"/>
  <c r="B27" i="11"/>
  <c r="A27" i="11"/>
  <c r="K26" i="11"/>
  <c r="J26" i="11"/>
  <c r="I26" i="11"/>
  <c r="D26" i="11"/>
  <c r="C26" i="11"/>
  <c r="B26" i="11"/>
  <c r="A26" i="11"/>
  <c r="K25" i="11"/>
  <c r="J25" i="11"/>
  <c r="I25" i="11"/>
  <c r="D25" i="11"/>
  <c r="C25" i="11"/>
  <c r="B25" i="11"/>
  <c r="A25" i="11"/>
  <c r="K24" i="11"/>
  <c r="J24" i="11"/>
  <c r="I24" i="11"/>
  <c r="D24" i="11"/>
  <c r="C24" i="11"/>
  <c r="B24" i="11"/>
  <c r="A24" i="11"/>
  <c r="O22" i="11"/>
  <c r="N22" i="11"/>
  <c r="M22" i="11"/>
  <c r="L22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O19" i="11"/>
  <c r="N19" i="11"/>
  <c r="M19" i="11"/>
  <c r="L19" i="11"/>
  <c r="H19" i="11"/>
  <c r="G19" i="11"/>
  <c r="F19" i="11"/>
  <c r="E19" i="11"/>
  <c r="O18" i="11"/>
  <c r="N18" i="11"/>
  <c r="M18" i="11"/>
  <c r="L18" i="11"/>
  <c r="H18" i="11"/>
  <c r="G18" i="11"/>
  <c r="F18" i="11"/>
  <c r="E18" i="11"/>
  <c r="O17" i="11"/>
  <c r="N17" i="11"/>
  <c r="M17" i="11"/>
  <c r="L17" i="11"/>
  <c r="H17" i="11"/>
  <c r="G17" i="11"/>
  <c r="F17" i="11"/>
  <c r="E17" i="11"/>
  <c r="O16" i="11"/>
  <c r="N16" i="11"/>
  <c r="M16" i="11"/>
  <c r="L16" i="11"/>
  <c r="H16" i="11"/>
  <c r="G16" i="11"/>
  <c r="F16" i="11"/>
  <c r="E16" i="11"/>
  <c r="O15" i="11"/>
  <c r="N15" i="11"/>
  <c r="M15" i="11"/>
  <c r="L15" i="11"/>
  <c r="H15" i="11"/>
  <c r="G15" i="11"/>
  <c r="F15" i="11"/>
  <c r="E15" i="11"/>
  <c r="O14" i="11"/>
  <c r="N14" i="11"/>
  <c r="M14" i="11"/>
  <c r="L14" i="11"/>
  <c r="H14" i="11"/>
  <c r="G14" i="11"/>
  <c r="F14" i="11"/>
  <c r="E14" i="11"/>
  <c r="O12" i="11"/>
  <c r="N12" i="11"/>
  <c r="M12" i="11"/>
  <c r="L12" i="11"/>
  <c r="H12" i="11"/>
  <c r="G12" i="11"/>
  <c r="F12" i="11"/>
  <c r="E12" i="11"/>
  <c r="O11" i="11"/>
  <c r="H11" i="11"/>
  <c r="G11" i="11"/>
  <c r="F11" i="11"/>
  <c r="E11" i="11"/>
  <c r="O10" i="11"/>
  <c r="H10" i="11"/>
  <c r="G10" i="11"/>
  <c r="F10" i="11"/>
  <c r="E10" i="11"/>
  <c r="O9" i="11"/>
  <c r="H9" i="11"/>
  <c r="G9" i="11"/>
  <c r="F9" i="11"/>
  <c r="E9" i="11"/>
  <c r="O8" i="11"/>
  <c r="N8" i="11"/>
  <c r="M8" i="11"/>
  <c r="L8" i="11"/>
  <c r="H8" i="11"/>
  <c r="G8" i="11"/>
  <c r="F8" i="11"/>
  <c r="E8" i="11"/>
  <c r="L6" i="11"/>
  <c r="K6" i="11"/>
  <c r="J6" i="11"/>
  <c r="H6" i="11"/>
  <c r="D6" i="11"/>
  <c r="C6" i="11"/>
  <c r="B6" i="11"/>
  <c r="L5" i="11"/>
  <c r="K5" i="11"/>
  <c r="J5" i="11"/>
  <c r="H5" i="11"/>
  <c r="D5" i="11"/>
  <c r="C5" i="11"/>
  <c r="B5" i="11"/>
  <c r="P4" i="11"/>
  <c r="L4" i="11"/>
  <c r="K4" i="11"/>
  <c r="J4" i="11"/>
  <c r="H4" i="11"/>
  <c r="D4" i="11"/>
  <c r="C4" i="11"/>
  <c r="B4" i="11"/>
  <c r="M1" i="11"/>
  <c r="E1" i="11"/>
  <c r="P50" i="12"/>
  <c r="L50" i="12"/>
  <c r="W49" i="12"/>
  <c r="U48" i="12"/>
  <c r="T48" i="12"/>
  <c r="S48" i="12"/>
  <c r="R48" i="12"/>
  <c r="Q48" i="12"/>
  <c r="P48" i="12"/>
  <c r="O48" i="12"/>
  <c r="N48" i="12"/>
  <c r="M48" i="12"/>
  <c r="L48" i="12"/>
  <c r="Q35" i="12"/>
  <c r="P35" i="12"/>
  <c r="O35" i="12"/>
  <c r="N35" i="12"/>
  <c r="M35" i="12"/>
  <c r="L35" i="12"/>
  <c r="K35" i="12"/>
  <c r="J35" i="12"/>
  <c r="I35" i="12"/>
  <c r="G35" i="12"/>
  <c r="F35" i="12"/>
  <c r="E35" i="12"/>
  <c r="Q34" i="12"/>
  <c r="P34" i="12"/>
  <c r="O34" i="12"/>
  <c r="N34" i="12"/>
  <c r="M34" i="12"/>
  <c r="L34" i="12"/>
  <c r="K34" i="12"/>
  <c r="J34" i="12"/>
  <c r="I34" i="12"/>
  <c r="G34" i="12"/>
  <c r="F34" i="12"/>
  <c r="E34" i="12"/>
  <c r="R33" i="12"/>
  <c r="Q33" i="12"/>
  <c r="P33" i="12"/>
  <c r="O33" i="12"/>
  <c r="N33" i="12"/>
  <c r="M33" i="12"/>
  <c r="L33" i="12"/>
  <c r="K33" i="12"/>
  <c r="J33" i="12"/>
  <c r="I33" i="12"/>
  <c r="G33" i="12"/>
  <c r="F33" i="12"/>
  <c r="E33" i="12"/>
  <c r="D33" i="12"/>
  <c r="C33" i="12"/>
  <c r="B33" i="12"/>
  <c r="R32" i="12"/>
  <c r="Q32" i="12"/>
  <c r="P32" i="12"/>
  <c r="O32" i="12"/>
  <c r="N32" i="12"/>
  <c r="M32" i="12"/>
  <c r="L32" i="12"/>
  <c r="K32" i="12"/>
  <c r="J32" i="12"/>
  <c r="I32" i="12"/>
  <c r="G32" i="12"/>
  <c r="F32" i="12"/>
  <c r="E32" i="12"/>
  <c r="D32" i="12"/>
  <c r="C32" i="12"/>
  <c r="B32" i="12"/>
  <c r="R31" i="12"/>
  <c r="Q31" i="12"/>
  <c r="P31" i="12"/>
  <c r="O31" i="12"/>
  <c r="N31" i="12"/>
  <c r="M31" i="12"/>
  <c r="L31" i="12"/>
  <c r="K31" i="12"/>
  <c r="J31" i="12"/>
  <c r="I31" i="12"/>
  <c r="G31" i="12"/>
  <c r="F31" i="12"/>
  <c r="E31" i="12"/>
  <c r="D31" i="12"/>
  <c r="C31" i="12"/>
  <c r="B31" i="12"/>
  <c r="Q30" i="12"/>
  <c r="P30" i="12"/>
  <c r="O30" i="12"/>
  <c r="N30" i="12"/>
  <c r="M30" i="12"/>
  <c r="L30" i="12"/>
  <c r="K30" i="12"/>
  <c r="J30" i="12"/>
  <c r="I30" i="12"/>
  <c r="G30" i="12"/>
  <c r="F30" i="12"/>
  <c r="E30" i="12"/>
  <c r="R29" i="12"/>
  <c r="Q29" i="12"/>
  <c r="P29" i="12"/>
  <c r="O29" i="12"/>
  <c r="N29" i="12"/>
  <c r="M29" i="12"/>
  <c r="L29" i="12"/>
  <c r="K29" i="12"/>
  <c r="J29" i="12"/>
  <c r="I29" i="12"/>
  <c r="G29" i="12"/>
  <c r="F29" i="12"/>
  <c r="E29" i="12"/>
  <c r="D29" i="12"/>
  <c r="C29" i="12"/>
  <c r="B29" i="12"/>
  <c r="R28" i="12"/>
  <c r="Q28" i="12"/>
  <c r="P28" i="12"/>
  <c r="O28" i="12"/>
  <c r="N28" i="12"/>
  <c r="M28" i="12"/>
  <c r="L28" i="12"/>
  <c r="K28" i="12"/>
  <c r="J28" i="12"/>
  <c r="I28" i="12"/>
  <c r="G28" i="12"/>
  <c r="F28" i="12"/>
  <c r="E28" i="12"/>
  <c r="D28" i="12"/>
  <c r="C28" i="12"/>
  <c r="B28" i="12"/>
  <c r="R27" i="12"/>
  <c r="Q27" i="12"/>
  <c r="P27" i="12"/>
  <c r="O27" i="12"/>
  <c r="N27" i="12"/>
  <c r="M27" i="12"/>
  <c r="L27" i="12"/>
  <c r="K27" i="12"/>
  <c r="J27" i="12"/>
  <c r="I27" i="12"/>
  <c r="G27" i="12"/>
  <c r="F27" i="12"/>
  <c r="E27" i="12"/>
  <c r="D27" i="12"/>
  <c r="C27" i="12"/>
  <c r="B27" i="12"/>
  <c r="Q26" i="12"/>
  <c r="P26" i="12"/>
  <c r="O26" i="12"/>
  <c r="N26" i="12"/>
  <c r="M26" i="12"/>
  <c r="L26" i="12"/>
  <c r="K26" i="12"/>
  <c r="J26" i="12"/>
  <c r="I26" i="12"/>
  <c r="G26" i="12"/>
  <c r="F26" i="12"/>
  <c r="E26" i="12"/>
  <c r="R25" i="12"/>
  <c r="Q25" i="12"/>
  <c r="P25" i="12"/>
  <c r="O25" i="12"/>
  <c r="N25" i="12"/>
  <c r="M25" i="12"/>
  <c r="L25" i="12"/>
  <c r="K25" i="12"/>
  <c r="J25" i="12"/>
  <c r="I25" i="12"/>
  <c r="G25" i="12"/>
  <c r="F25" i="12"/>
  <c r="E25" i="12"/>
  <c r="D25" i="12"/>
  <c r="C25" i="12"/>
  <c r="B25" i="12"/>
  <c r="R24" i="12"/>
  <c r="Q24" i="12"/>
  <c r="P24" i="12"/>
  <c r="O24" i="12"/>
  <c r="N24" i="12"/>
  <c r="M24" i="12"/>
  <c r="L24" i="12"/>
  <c r="K24" i="12"/>
  <c r="J24" i="12"/>
  <c r="I24" i="12"/>
  <c r="G24" i="12"/>
  <c r="F24" i="12"/>
  <c r="E24" i="12"/>
  <c r="D24" i="12"/>
  <c r="C24" i="12"/>
  <c r="B24" i="12"/>
  <c r="R23" i="12"/>
  <c r="Q23" i="12"/>
  <c r="P23" i="12"/>
  <c r="O23" i="12"/>
  <c r="N23" i="12"/>
  <c r="M23" i="12"/>
  <c r="L23" i="12"/>
  <c r="K23" i="12"/>
  <c r="J23" i="12"/>
  <c r="I23" i="12"/>
  <c r="G23" i="12"/>
  <c r="F23" i="12"/>
  <c r="E23" i="12"/>
  <c r="D23" i="12"/>
  <c r="C23" i="12"/>
  <c r="B23" i="12"/>
  <c r="V19" i="12"/>
  <c r="U19" i="12"/>
  <c r="T19" i="12"/>
  <c r="S19" i="12"/>
  <c r="R19" i="12"/>
  <c r="Q19" i="12"/>
  <c r="P19" i="12"/>
  <c r="O19" i="12"/>
  <c r="N19" i="12"/>
  <c r="M19" i="12"/>
  <c r="L19" i="12"/>
  <c r="V18" i="12"/>
  <c r="U18" i="12"/>
  <c r="T18" i="12"/>
  <c r="S18" i="12"/>
  <c r="R18" i="12"/>
  <c r="Q18" i="12"/>
  <c r="P18" i="12"/>
  <c r="O18" i="12"/>
  <c r="N18" i="12"/>
  <c r="M18" i="12"/>
  <c r="L18" i="12"/>
  <c r="G18" i="12"/>
  <c r="F18" i="12"/>
  <c r="E18" i="12"/>
  <c r="V17" i="12"/>
  <c r="U17" i="12"/>
  <c r="T17" i="12"/>
  <c r="S17" i="12"/>
  <c r="R17" i="12"/>
  <c r="Q17" i="12"/>
  <c r="P17" i="12"/>
  <c r="O17" i="12"/>
  <c r="N17" i="12"/>
  <c r="M17" i="12"/>
  <c r="L17" i="12"/>
  <c r="AC16" i="12"/>
  <c r="AB16" i="12"/>
  <c r="AA16" i="12"/>
  <c r="Z16" i="12"/>
  <c r="Y16" i="12"/>
  <c r="U16" i="12"/>
  <c r="S16" i="12"/>
  <c r="P16" i="12"/>
  <c r="M16" i="12"/>
  <c r="G16" i="12"/>
  <c r="F16" i="12"/>
  <c r="E16" i="12"/>
  <c r="AD15" i="12"/>
  <c r="AD16" i="12" s="1"/>
  <c r="V15" i="12"/>
  <c r="U15" i="12"/>
  <c r="T15" i="12"/>
  <c r="S15" i="12"/>
  <c r="R15" i="12"/>
  <c r="Q15" i="12"/>
  <c r="P15" i="12"/>
  <c r="O15" i="12"/>
  <c r="N15" i="12"/>
  <c r="M15" i="12"/>
  <c r="L15" i="12"/>
  <c r="V14" i="12"/>
  <c r="U14" i="12"/>
  <c r="T14" i="12"/>
  <c r="S14" i="12"/>
  <c r="R14" i="12"/>
  <c r="Q14" i="12"/>
  <c r="P14" i="12"/>
  <c r="O14" i="12"/>
  <c r="N14" i="12"/>
  <c r="M14" i="12"/>
  <c r="L14" i="12"/>
  <c r="U12" i="12"/>
  <c r="S12" i="12"/>
  <c r="P12" i="12"/>
  <c r="M12" i="12"/>
  <c r="G12" i="12"/>
  <c r="F12" i="12"/>
  <c r="E12" i="12"/>
  <c r="V11" i="12"/>
  <c r="U11" i="12"/>
  <c r="T11" i="12"/>
  <c r="S11" i="12"/>
  <c r="R11" i="12"/>
  <c r="Q11" i="12"/>
  <c r="P11" i="12"/>
  <c r="O11" i="12"/>
  <c r="N11" i="12"/>
  <c r="M11" i="12"/>
  <c r="L11" i="12"/>
  <c r="X10" i="12"/>
  <c r="V10" i="12"/>
  <c r="U10" i="12"/>
  <c r="T10" i="12"/>
  <c r="S10" i="12"/>
  <c r="R10" i="12"/>
  <c r="Q10" i="12"/>
  <c r="P10" i="12"/>
  <c r="O10" i="12"/>
  <c r="N10" i="12"/>
  <c r="M10" i="12"/>
  <c r="L10" i="12"/>
  <c r="AA8" i="12"/>
  <c r="Z8" i="12"/>
  <c r="Y8" i="12"/>
  <c r="U8" i="12"/>
  <c r="S8" i="12"/>
  <c r="P8" i="12"/>
  <c r="M8" i="12"/>
  <c r="G8" i="12"/>
  <c r="F8" i="12"/>
  <c r="E8" i="12"/>
  <c r="V7" i="12"/>
  <c r="U7" i="12"/>
  <c r="T7" i="12"/>
  <c r="S7" i="12"/>
  <c r="R7" i="12"/>
  <c r="Q7" i="12"/>
  <c r="P7" i="12"/>
  <c r="O7" i="12"/>
  <c r="N7" i="12"/>
  <c r="M7" i="12"/>
  <c r="L7" i="12"/>
  <c r="V6" i="12"/>
  <c r="U6" i="12"/>
  <c r="T6" i="12"/>
  <c r="S6" i="12"/>
  <c r="R6" i="12"/>
  <c r="Q6" i="12"/>
  <c r="P6" i="12"/>
  <c r="O6" i="12"/>
  <c r="N6" i="12"/>
  <c r="M6" i="12"/>
  <c r="L6" i="12"/>
  <c r="AD4" i="12"/>
  <c r="AC4" i="12"/>
  <c r="AB4" i="12"/>
  <c r="AA4" i="12"/>
  <c r="Z4" i="12"/>
  <c r="Y4" i="12"/>
  <c r="AD3" i="12"/>
  <c r="AA3" i="12"/>
  <c r="Y1" i="12"/>
  <c r="X2" i="12" s="1"/>
  <c r="X1" i="12"/>
  <c r="O1" i="12"/>
  <c r="L1" i="12"/>
  <c r="H1" i="12"/>
  <c r="W57" i="1"/>
  <c r="P57" i="1"/>
  <c r="L57" i="1"/>
  <c r="AF56" i="1"/>
  <c r="U55" i="1"/>
  <c r="T55" i="1"/>
  <c r="S55" i="1"/>
  <c r="R55" i="1"/>
  <c r="Q55" i="1"/>
  <c r="P55" i="1"/>
  <c r="O55" i="1"/>
  <c r="N55" i="1"/>
  <c r="M55" i="1"/>
  <c r="L55" i="1"/>
  <c r="Q42" i="1"/>
  <c r="P42" i="1"/>
  <c r="O42" i="1"/>
  <c r="N42" i="1"/>
  <c r="M42" i="1"/>
  <c r="L42" i="1"/>
  <c r="K42" i="1"/>
  <c r="J42" i="1"/>
  <c r="I42" i="1"/>
  <c r="G42" i="1"/>
  <c r="F42" i="1"/>
  <c r="E42" i="1"/>
  <c r="Q41" i="1"/>
  <c r="P41" i="1"/>
  <c r="O41" i="1"/>
  <c r="N41" i="1"/>
  <c r="M41" i="1"/>
  <c r="L41" i="1"/>
  <c r="K41" i="1"/>
  <c r="J41" i="1"/>
  <c r="I41" i="1"/>
  <c r="G41" i="1"/>
  <c r="F41" i="1"/>
  <c r="E41" i="1"/>
  <c r="Q40" i="1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B40" i="1"/>
  <c r="Q39" i="1"/>
  <c r="P39" i="1"/>
  <c r="O39" i="1"/>
  <c r="N39" i="1"/>
  <c r="M39" i="1"/>
  <c r="L39" i="1"/>
  <c r="K39" i="1"/>
  <c r="J39" i="1"/>
  <c r="I39" i="1"/>
  <c r="G39" i="1"/>
  <c r="F39" i="1"/>
  <c r="E39" i="1"/>
  <c r="Q38" i="1"/>
  <c r="P38" i="1"/>
  <c r="O38" i="1"/>
  <c r="N38" i="1"/>
  <c r="M38" i="1"/>
  <c r="L38" i="1"/>
  <c r="K38" i="1"/>
  <c r="J38" i="1"/>
  <c r="I38" i="1"/>
  <c r="G38" i="1"/>
  <c r="D38" i="1"/>
  <c r="C38" i="1"/>
  <c r="B38" i="1"/>
  <c r="Q37" i="1"/>
  <c r="P37" i="1"/>
  <c r="O37" i="1"/>
  <c r="N37" i="1"/>
  <c r="M37" i="1"/>
  <c r="L37" i="1"/>
  <c r="K37" i="1"/>
  <c r="J37" i="1"/>
  <c r="I37" i="1"/>
  <c r="G37" i="1"/>
  <c r="D37" i="1"/>
  <c r="C37" i="1"/>
  <c r="B37" i="1"/>
  <c r="Q36" i="1"/>
  <c r="P36" i="1"/>
  <c r="O36" i="1"/>
  <c r="N36" i="1"/>
  <c r="M36" i="1"/>
  <c r="L36" i="1"/>
  <c r="K36" i="1"/>
  <c r="J36" i="1"/>
  <c r="I36" i="1"/>
  <c r="G36" i="1"/>
  <c r="D36" i="1"/>
  <c r="C36" i="1"/>
  <c r="B36" i="1"/>
  <c r="Q35" i="1"/>
  <c r="P35" i="1"/>
  <c r="O35" i="1"/>
  <c r="N35" i="1"/>
  <c r="M35" i="1"/>
  <c r="L35" i="1"/>
  <c r="K35" i="1"/>
  <c r="J35" i="1"/>
  <c r="I35" i="1"/>
  <c r="G35" i="1"/>
  <c r="D35" i="1"/>
  <c r="C35" i="1"/>
  <c r="B35" i="1"/>
  <c r="I34" i="1"/>
  <c r="G34" i="1"/>
  <c r="I33" i="1"/>
  <c r="G33" i="1"/>
  <c r="Q32" i="1"/>
  <c r="P32" i="1"/>
  <c r="O32" i="1"/>
  <c r="N32" i="1"/>
  <c r="M32" i="1"/>
  <c r="L32" i="1"/>
  <c r="K32" i="1"/>
  <c r="J32" i="1"/>
  <c r="I32" i="1"/>
  <c r="G32" i="1"/>
  <c r="F32" i="1"/>
  <c r="E32" i="1"/>
  <c r="I31" i="1"/>
  <c r="G31" i="1"/>
  <c r="I30" i="1"/>
  <c r="G30" i="1"/>
  <c r="I29" i="1"/>
  <c r="G29" i="1"/>
  <c r="Y28" i="1"/>
  <c r="I28" i="1"/>
  <c r="G28" i="1"/>
  <c r="Y27" i="1"/>
  <c r="I27" i="1"/>
  <c r="G27" i="1"/>
  <c r="Y26" i="1"/>
  <c r="I26" i="1"/>
  <c r="G26" i="1"/>
  <c r="AA24" i="1"/>
  <c r="AA22" i="1"/>
  <c r="V22" i="1"/>
  <c r="U22" i="1"/>
  <c r="T22" i="1"/>
  <c r="S22" i="1"/>
  <c r="R22" i="1"/>
  <c r="Q22" i="1"/>
  <c r="P22" i="1"/>
  <c r="O22" i="1"/>
  <c r="N22" i="1"/>
  <c r="M22" i="1"/>
  <c r="L22" i="1"/>
  <c r="V21" i="1"/>
  <c r="U21" i="1"/>
  <c r="T21" i="1"/>
  <c r="S21" i="1"/>
  <c r="R21" i="1"/>
  <c r="Q21" i="1"/>
  <c r="O21" i="1"/>
  <c r="N21" i="1"/>
  <c r="M21" i="1"/>
  <c r="L21" i="1"/>
  <c r="G21" i="1"/>
  <c r="F21" i="1"/>
  <c r="E21" i="1"/>
  <c r="V20" i="1"/>
  <c r="U20" i="1"/>
  <c r="T20" i="1"/>
  <c r="S20" i="1"/>
  <c r="R20" i="1"/>
  <c r="Q20" i="1"/>
  <c r="P20" i="1"/>
  <c r="O20" i="1"/>
  <c r="N20" i="1"/>
  <c r="M20" i="1"/>
  <c r="L20" i="1"/>
  <c r="AL19" i="1"/>
  <c r="AK19" i="1"/>
  <c r="AJ19" i="1"/>
  <c r="AI19" i="1"/>
  <c r="AH19" i="1"/>
  <c r="U19" i="1"/>
  <c r="S19" i="1"/>
  <c r="P19" i="1"/>
  <c r="G19" i="1"/>
  <c r="F19" i="1"/>
  <c r="E19" i="1"/>
  <c r="AM18" i="1"/>
  <c r="AM19" i="1" s="1"/>
  <c r="V18" i="1"/>
  <c r="U18" i="1"/>
  <c r="T18" i="1"/>
  <c r="S18" i="1"/>
  <c r="R18" i="1"/>
  <c r="Q18" i="1"/>
  <c r="P18" i="1"/>
  <c r="O18" i="1"/>
  <c r="N18" i="1"/>
  <c r="M18" i="1"/>
  <c r="L18" i="1"/>
  <c r="G18" i="1"/>
  <c r="F18" i="1"/>
  <c r="E18" i="1"/>
  <c r="D18" i="1"/>
  <c r="C18" i="1"/>
  <c r="B18" i="1"/>
  <c r="V17" i="1"/>
  <c r="U17" i="1"/>
  <c r="T17" i="1"/>
  <c r="S17" i="1"/>
  <c r="R17" i="1"/>
  <c r="Q17" i="1"/>
  <c r="P17" i="1"/>
  <c r="O17" i="1"/>
  <c r="N17" i="1"/>
  <c r="M17" i="1"/>
  <c r="L17" i="1"/>
  <c r="B17" i="1"/>
  <c r="T15" i="1"/>
  <c r="O15" i="1"/>
  <c r="G15" i="1"/>
  <c r="F15" i="1"/>
  <c r="E15" i="1"/>
  <c r="U14" i="1"/>
  <c r="P14" i="1"/>
  <c r="G14" i="1"/>
  <c r="F14" i="1"/>
  <c r="E14" i="1"/>
  <c r="D14" i="1"/>
  <c r="C14" i="1"/>
  <c r="B14" i="1"/>
  <c r="AW13" i="1"/>
  <c r="AV13" i="1"/>
  <c r="AU13" i="1"/>
  <c r="AT13" i="1"/>
  <c r="AS13" i="1"/>
  <c r="V13" i="1"/>
  <c r="U13" i="1"/>
  <c r="T13" i="1"/>
  <c r="S13" i="1"/>
  <c r="R13" i="1"/>
  <c r="Q13" i="1"/>
  <c r="P13" i="1"/>
  <c r="O13" i="1"/>
  <c r="N13" i="1"/>
  <c r="M13" i="1"/>
  <c r="L13" i="1"/>
  <c r="G13" i="1"/>
  <c r="F13" i="1"/>
  <c r="E13" i="1"/>
  <c r="D13" i="1"/>
  <c r="C13" i="1"/>
  <c r="B13" i="1"/>
  <c r="AW12" i="1"/>
  <c r="AV12" i="1"/>
  <c r="AU12" i="1"/>
  <c r="AT12" i="1"/>
  <c r="AS12" i="1"/>
  <c r="AG12" i="1"/>
  <c r="V12" i="1"/>
  <c r="U12" i="1"/>
  <c r="T12" i="1"/>
  <c r="S12" i="1"/>
  <c r="R12" i="1"/>
  <c r="Q12" i="1"/>
  <c r="P12" i="1"/>
  <c r="O12" i="1"/>
  <c r="N12" i="1"/>
  <c r="M12" i="1"/>
  <c r="L12" i="1"/>
  <c r="AJ10" i="1"/>
  <c r="AI10" i="1"/>
  <c r="AH10" i="1"/>
  <c r="T10" i="1"/>
  <c r="O10" i="1"/>
  <c r="G10" i="1"/>
  <c r="F10" i="1"/>
  <c r="E10" i="1"/>
  <c r="U9" i="1"/>
  <c r="G9" i="1"/>
  <c r="F9" i="1"/>
  <c r="E9" i="1"/>
  <c r="D9" i="1"/>
  <c r="C9" i="1"/>
  <c r="B9" i="1"/>
  <c r="G8" i="1"/>
  <c r="F8" i="1"/>
  <c r="E8" i="1"/>
  <c r="D8" i="1"/>
  <c r="C8" i="1"/>
  <c r="B8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E7" i="1"/>
  <c r="D7" i="1"/>
  <c r="C7" i="1"/>
  <c r="B7" i="1"/>
  <c r="BP6" i="1"/>
  <c r="BO6" i="1"/>
  <c r="BN6" i="1"/>
  <c r="BL6" i="1"/>
  <c r="BJ6" i="1"/>
  <c r="BH6" i="1"/>
  <c r="BF6" i="1"/>
  <c r="BD6" i="1"/>
  <c r="BB6" i="1"/>
  <c r="AZ6" i="1"/>
  <c r="AX6" i="1"/>
  <c r="AV6" i="1"/>
  <c r="AT6" i="1"/>
  <c r="AS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L6" i="1"/>
  <c r="BP5" i="1"/>
  <c r="BO5" i="1"/>
  <c r="BN5" i="1"/>
  <c r="BL5" i="1"/>
  <c r="BJ5" i="1"/>
  <c r="BH5" i="1"/>
  <c r="BF5" i="1"/>
  <c r="BD5" i="1"/>
  <c r="BB5" i="1"/>
  <c r="AZ5" i="1"/>
  <c r="AX5" i="1"/>
  <c r="AV5" i="1"/>
  <c r="AT5" i="1"/>
  <c r="AS5" i="1"/>
  <c r="AM4" i="1"/>
  <c r="AL4" i="1"/>
  <c r="AK4" i="1"/>
  <c r="AJ4" i="1"/>
  <c r="AI4" i="1"/>
  <c r="AH4" i="1"/>
  <c r="AM3" i="1"/>
  <c r="AJ3" i="1"/>
  <c r="AH1" i="1"/>
  <c r="AG2" i="1" s="1"/>
  <c r="AG1" i="1"/>
  <c r="U1" i="1"/>
  <c r="L1" i="1"/>
  <c r="F1" i="1"/>
  <c r="U34" i="195" l="1"/>
  <c r="M59" i="195"/>
  <c r="I61" i="195"/>
  <c r="D61" i="195"/>
  <c r="L57" i="195"/>
  <c r="J55" i="195"/>
  <c r="J61" i="195" s="1"/>
  <c r="J25" i="195"/>
  <c r="J26" i="195" s="1"/>
  <c r="V28" i="195"/>
  <c r="L34" i="195"/>
  <c r="G43" i="203"/>
  <c r="G55" i="195"/>
  <c r="G61" i="195" s="1"/>
  <c r="L43" i="195"/>
  <c r="AH4" i="195" s="1"/>
  <c r="V24" i="195"/>
  <c r="V19" i="195"/>
  <c r="R25" i="195"/>
  <c r="R26" i="195" s="1"/>
  <c r="R58" i="195"/>
  <c r="Q58" i="195"/>
  <c r="Q25" i="195"/>
  <c r="Q26" i="195" s="1"/>
  <c r="Q63" i="195" s="1"/>
  <c r="P58" i="195"/>
  <c r="O25" i="195"/>
  <c r="O26" i="195" s="1"/>
  <c r="U21" i="195"/>
  <c r="AE5" i="195" s="1"/>
  <c r="M58" i="195"/>
  <c r="U57" i="195"/>
  <c r="AD5" i="195" s="1"/>
  <c r="O61" i="195"/>
  <c r="O66" i="195" s="1"/>
  <c r="P61" i="195"/>
  <c r="O56" i="194"/>
  <c r="O62" i="194" s="1"/>
  <c r="O25" i="194"/>
  <c r="O26" i="194" s="1"/>
  <c r="V66" i="194"/>
  <c r="D22" i="205" s="1"/>
  <c r="O80" i="194"/>
  <c r="R65" i="194"/>
  <c r="U58" i="194"/>
  <c r="AD5" i="194" s="1"/>
  <c r="R59" i="194"/>
  <c r="R25" i="194"/>
  <c r="R26" i="194" s="1"/>
  <c r="Q59" i="194"/>
  <c r="N25" i="194"/>
  <c r="N26" i="194" s="1"/>
  <c r="T14" i="194"/>
  <c r="V14" i="194"/>
  <c r="AA5" i="194"/>
  <c r="Q62" i="194"/>
  <c r="R62" i="194"/>
  <c r="U60" i="194"/>
  <c r="V38" i="193"/>
  <c r="V20" i="193"/>
  <c r="T25" i="193"/>
  <c r="T26" i="193" s="1"/>
  <c r="V33" i="193"/>
  <c r="T59" i="193"/>
  <c r="T68" i="193" s="1"/>
  <c r="L43" i="193"/>
  <c r="AH4" i="193" s="1"/>
  <c r="U43" i="193"/>
  <c r="D64" i="193"/>
  <c r="M64" i="193"/>
  <c r="E59" i="193"/>
  <c r="E65" i="193" s="1"/>
  <c r="N59" i="193"/>
  <c r="N65" i="193" s="1"/>
  <c r="V36" i="193"/>
  <c r="F59" i="193"/>
  <c r="F66" i="193" s="1"/>
  <c r="O59" i="193"/>
  <c r="O65" i="193" s="1"/>
  <c r="L64" i="193"/>
  <c r="Q62" i="193"/>
  <c r="P62" i="193"/>
  <c r="O25" i="193"/>
  <c r="O26" i="193" s="1"/>
  <c r="N62" i="193"/>
  <c r="N25" i="193"/>
  <c r="N26" i="193" s="1"/>
  <c r="U21" i="193"/>
  <c r="AE5" i="193" s="1"/>
  <c r="M59" i="193"/>
  <c r="M65" i="193" s="1"/>
  <c r="M62" i="193"/>
  <c r="Q25" i="193"/>
  <c r="Q26" i="193" s="1"/>
  <c r="P25" i="193"/>
  <c r="P26" i="193" s="1"/>
  <c r="U61" i="193"/>
  <c r="AD5" i="193" s="1"/>
  <c r="V69" i="193"/>
  <c r="D21" i="205" s="1"/>
  <c r="O83" i="193"/>
  <c r="L61" i="193"/>
  <c r="H68" i="193"/>
  <c r="I59" i="193"/>
  <c r="I65" i="193" s="1"/>
  <c r="J59" i="193"/>
  <c r="J65" i="193" s="1"/>
  <c r="H62" i="193"/>
  <c r="G62" i="193"/>
  <c r="L34" i="193"/>
  <c r="F62" i="193"/>
  <c r="E62" i="193"/>
  <c r="E25" i="193"/>
  <c r="E26" i="193" s="1"/>
  <c r="E67" i="193" s="1"/>
  <c r="L21" i="193"/>
  <c r="L62" i="193" s="1"/>
  <c r="D63" i="193"/>
  <c r="V28" i="193"/>
  <c r="V24" i="193"/>
  <c r="V19" i="193"/>
  <c r="H65" i="193"/>
  <c r="AA4" i="193"/>
  <c r="T14" i="193"/>
  <c r="F65" i="193"/>
  <c r="V37" i="192"/>
  <c r="Q25" i="192"/>
  <c r="Q26" i="192" s="1"/>
  <c r="Q62" i="192" s="1"/>
  <c r="F43" i="203"/>
  <c r="K25" i="192"/>
  <c r="K26" i="192" s="1"/>
  <c r="V20" i="192"/>
  <c r="V33" i="192"/>
  <c r="L43" i="192"/>
  <c r="V43" i="192" s="1"/>
  <c r="V59" i="192" s="1"/>
  <c r="U43" i="192"/>
  <c r="AH5" i="192" s="1"/>
  <c r="V23" i="192"/>
  <c r="V40" i="192"/>
  <c r="V16" i="192"/>
  <c r="V41" i="192"/>
  <c r="V38" i="192"/>
  <c r="V30" i="192"/>
  <c r="V36" i="192"/>
  <c r="T63" i="192"/>
  <c r="T65" i="192" s="1"/>
  <c r="T62" i="192"/>
  <c r="T61" i="192"/>
  <c r="K54" i="192"/>
  <c r="K63" i="192" s="1"/>
  <c r="K65" i="192" s="1"/>
  <c r="S54" i="192"/>
  <c r="S60" i="192" s="1"/>
  <c r="D59" i="192"/>
  <c r="M59" i="192"/>
  <c r="S25" i="192"/>
  <c r="S26" i="192" s="1"/>
  <c r="N54" i="192"/>
  <c r="N63" i="192" s="1"/>
  <c r="V29" i="192"/>
  <c r="U34" i="192"/>
  <c r="N57" i="192"/>
  <c r="K61" i="192"/>
  <c r="J25" i="192"/>
  <c r="J26" i="192" s="1"/>
  <c r="V24" i="192"/>
  <c r="R54" i="192"/>
  <c r="R61" i="192" s="1"/>
  <c r="R58" i="192"/>
  <c r="Q57" i="192"/>
  <c r="P25" i="192"/>
  <c r="P26" i="192" s="1"/>
  <c r="P54" i="192"/>
  <c r="O54" i="192"/>
  <c r="O61" i="192" s="1"/>
  <c r="V19" i="192"/>
  <c r="N25" i="192"/>
  <c r="N26" i="192" s="1"/>
  <c r="M57" i="192"/>
  <c r="U21" i="192"/>
  <c r="AE5" i="192" s="1"/>
  <c r="U56" i="192"/>
  <c r="AD5" i="192" s="1"/>
  <c r="R25" i="192"/>
  <c r="R26" i="192" s="1"/>
  <c r="T14" i="192"/>
  <c r="M55" i="192"/>
  <c r="P63" i="192"/>
  <c r="P60" i="192"/>
  <c r="Q63" i="192"/>
  <c r="Q60" i="192"/>
  <c r="V14" i="192"/>
  <c r="U58" i="192"/>
  <c r="P61" i="192"/>
  <c r="AA5" i="192"/>
  <c r="Q61" i="192"/>
  <c r="O62" i="192"/>
  <c r="M63" i="192"/>
  <c r="M65" i="192" s="1"/>
  <c r="V64" i="192"/>
  <c r="D20" i="205" s="1"/>
  <c r="O78" i="192"/>
  <c r="I54" i="192"/>
  <c r="I63" i="192" s="1"/>
  <c r="V28" i="192"/>
  <c r="G54" i="192"/>
  <c r="G60" i="192" s="1"/>
  <c r="J54" i="192"/>
  <c r="J63" i="192" s="1"/>
  <c r="L34" i="192"/>
  <c r="V34" i="192" s="1"/>
  <c r="V58" i="192" s="1"/>
  <c r="G57" i="192"/>
  <c r="F54" i="192"/>
  <c r="F61" i="192" s="1"/>
  <c r="J57" i="192"/>
  <c r="I57" i="192"/>
  <c r="H25" i="192"/>
  <c r="H26" i="192" s="1"/>
  <c r="H54" i="192"/>
  <c r="H60" i="192" s="1"/>
  <c r="G25" i="192"/>
  <c r="G26" i="192" s="1"/>
  <c r="E25" i="192"/>
  <c r="E26" i="192" s="1"/>
  <c r="E54" i="192"/>
  <c r="E60" i="192" s="1"/>
  <c r="L21" i="192"/>
  <c r="L57" i="192" s="1"/>
  <c r="D54" i="192"/>
  <c r="D60" i="192" s="1"/>
  <c r="F25" i="192"/>
  <c r="F26" i="192" s="1"/>
  <c r="I25" i="192"/>
  <c r="I26" i="192" s="1"/>
  <c r="I62" i="192" s="1"/>
  <c r="L56" i="192"/>
  <c r="AD4" i="192" s="1"/>
  <c r="L55" i="192"/>
  <c r="D25" i="192"/>
  <c r="D26" i="192" s="1"/>
  <c r="K14" i="192"/>
  <c r="AA4" i="192"/>
  <c r="I60" i="192"/>
  <c r="T63" i="191"/>
  <c r="T62" i="191"/>
  <c r="T61" i="191"/>
  <c r="T65" i="191"/>
  <c r="V31" i="191"/>
  <c r="AG4" i="191"/>
  <c r="K63" i="191"/>
  <c r="K62" i="191"/>
  <c r="K61" i="191"/>
  <c r="K25" i="191"/>
  <c r="K26" i="191" s="1"/>
  <c r="V30" i="191"/>
  <c r="K65" i="191"/>
  <c r="H54" i="191"/>
  <c r="H61" i="191" s="1"/>
  <c r="Q54" i="191"/>
  <c r="Q61" i="191" s="1"/>
  <c r="U34" i="191"/>
  <c r="U58" i="191" s="1"/>
  <c r="N54" i="191"/>
  <c r="N60" i="191" s="1"/>
  <c r="N25" i="191"/>
  <c r="N26" i="191" s="1"/>
  <c r="S54" i="191"/>
  <c r="S63" i="191" s="1"/>
  <c r="V32" i="191"/>
  <c r="O54" i="191"/>
  <c r="O60" i="191" s="1"/>
  <c r="P54" i="191"/>
  <c r="P61" i="191" s="1"/>
  <c r="V24" i="191"/>
  <c r="Q25" i="191"/>
  <c r="Q26" i="191" s="1"/>
  <c r="P25" i="191"/>
  <c r="P26" i="191" s="1"/>
  <c r="O57" i="191"/>
  <c r="O25" i="191"/>
  <c r="O26" i="191" s="1"/>
  <c r="U21" i="191"/>
  <c r="AE5" i="191" s="1"/>
  <c r="V19" i="191"/>
  <c r="M54" i="191"/>
  <c r="M60" i="191" s="1"/>
  <c r="M25" i="191"/>
  <c r="M26" i="191" s="1"/>
  <c r="M62" i="191" s="1"/>
  <c r="V64" i="191"/>
  <c r="D19" i="205" s="1"/>
  <c r="O78" i="191"/>
  <c r="I54" i="191"/>
  <c r="I61" i="191" s="1"/>
  <c r="H58" i="191"/>
  <c r="L34" i="191"/>
  <c r="D58" i="191"/>
  <c r="J54" i="191"/>
  <c r="J61" i="191" s="1"/>
  <c r="J25" i="191"/>
  <c r="J26" i="191" s="1"/>
  <c r="I57" i="191"/>
  <c r="I25" i="191"/>
  <c r="I26" i="191" s="1"/>
  <c r="I62" i="191" s="1"/>
  <c r="H25" i="191"/>
  <c r="H26" i="191" s="1"/>
  <c r="G54" i="191"/>
  <c r="G63" i="191" s="1"/>
  <c r="G25" i="191"/>
  <c r="G26" i="191" s="1"/>
  <c r="F54" i="191"/>
  <c r="F60" i="191" s="1"/>
  <c r="F25" i="191"/>
  <c r="F26" i="191" s="1"/>
  <c r="L21" i="191"/>
  <c r="AE4" i="191" s="1"/>
  <c r="E57" i="191"/>
  <c r="E25" i="191"/>
  <c r="E26" i="191" s="1"/>
  <c r="E62" i="191" s="1"/>
  <c r="D54" i="191"/>
  <c r="D60" i="191" s="1"/>
  <c r="D57" i="191"/>
  <c r="L56" i="191"/>
  <c r="L55" i="191"/>
  <c r="V55" i="191" s="1"/>
  <c r="D25" i="191"/>
  <c r="D26" i="191" s="1"/>
  <c r="AA4" i="191"/>
  <c r="V14" i="191"/>
  <c r="U55" i="191"/>
  <c r="AC5" i="191" s="1"/>
  <c r="U56" i="191"/>
  <c r="AD5" i="191" s="1"/>
  <c r="S25" i="191"/>
  <c r="S26" i="191" s="1"/>
  <c r="AD4" i="191"/>
  <c r="E63" i="191"/>
  <c r="E65" i="191" s="1"/>
  <c r="E61" i="191"/>
  <c r="R62" i="191"/>
  <c r="L59" i="191"/>
  <c r="I60" i="191"/>
  <c r="U59" i="191"/>
  <c r="R60" i="191"/>
  <c r="V59" i="191"/>
  <c r="I63" i="191"/>
  <c r="R63" i="191"/>
  <c r="Q59" i="209"/>
  <c r="D56" i="209"/>
  <c r="R56" i="209"/>
  <c r="R62" i="209" s="1"/>
  <c r="J56" i="209"/>
  <c r="J62" i="209" s="1"/>
  <c r="G56" i="209"/>
  <c r="G62" i="209" s="1"/>
  <c r="F56" i="209"/>
  <c r="F62" i="209" s="1"/>
  <c r="L34" i="209"/>
  <c r="D60" i="209"/>
  <c r="S59" i="209"/>
  <c r="P59" i="209"/>
  <c r="O59" i="209"/>
  <c r="N59" i="209"/>
  <c r="U21" i="209"/>
  <c r="M56" i="209"/>
  <c r="M65" i="209" s="1"/>
  <c r="M59" i="209"/>
  <c r="U58" i="209"/>
  <c r="AD5" i="209" s="1"/>
  <c r="R57" i="209"/>
  <c r="O57" i="209"/>
  <c r="O25" i="209" s="1"/>
  <c r="O26" i="209" s="1"/>
  <c r="O64" i="209" s="1"/>
  <c r="P57" i="209"/>
  <c r="U57" i="209" s="1"/>
  <c r="AA5" i="209"/>
  <c r="V66" i="209"/>
  <c r="O80" i="209"/>
  <c r="J59" i="209"/>
  <c r="I59" i="209"/>
  <c r="H59" i="209"/>
  <c r="F59" i="209"/>
  <c r="E59" i="209"/>
  <c r="D59" i="209"/>
  <c r="D62" i="209"/>
  <c r="L58" i="209"/>
  <c r="G57" i="209"/>
  <c r="G25" i="209" s="1"/>
  <c r="G26" i="209" s="1"/>
  <c r="G64" i="209" s="1"/>
  <c r="F57" i="209"/>
  <c r="E63" i="209"/>
  <c r="K14" i="209"/>
  <c r="D57" i="209"/>
  <c r="L57" i="209" s="1"/>
  <c r="AA4" i="209"/>
  <c r="J25" i="209"/>
  <c r="J26" i="209" s="1"/>
  <c r="J64" i="209" s="1"/>
  <c r="E25" i="209"/>
  <c r="E26" i="209" s="1"/>
  <c r="E64" i="209" s="1"/>
  <c r="S25" i="209"/>
  <c r="S26" i="209" s="1"/>
  <c r="O25" i="189"/>
  <c r="L34" i="189"/>
  <c r="I54" i="189"/>
  <c r="I63" i="189" s="1"/>
  <c r="I65" i="189" s="1"/>
  <c r="S57" i="189"/>
  <c r="S54" i="189"/>
  <c r="S60" i="189" s="1"/>
  <c r="Q25" i="189"/>
  <c r="Q26" i="189" s="1"/>
  <c r="Q57" i="189"/>
  <c r="Q54" i="189"/>
  <c r="Q60" i="189" s="1"/>
  <c r="P54" i="189"/>
  <c r="P60" i="189" s="1"/>
  <c r="U34" i="189"/>
  <c r="P58" i="189"/>
  <c r="O58" i="189"/>
  <c r="V28" i="189"/>
  <c r="O57" i="189"/>
  <c r="O54" i="189"/>
  <c r="O60" i="189" s="1"/>
  <c r="N57" i="189"/>
  <c r="N54" i="189"/>
  <c r="N60" i="189" s="1"/>
  <c r="M57" i="189"/>
  <c r="M54" i="189"/>
  <c r="M63" i="189" s="1"/>
  <c r="U21" i="189"/>
  <c r="AE5" i="189" s="1"/>
  <c r="S55" i="189"/>
  <c r="U55" i="189" s="1"/>
  <c r="AC5" i="189" s="1"/>
  <c r="U58" i="189"/>
  <c r="AA5" i="189"/>
  <c r="V64" i="189"/>
  <c r="D16" i="205" s="1"/>
  <c r="O78" i="189"/>
  <c r="H57" i="189"/>
  <c r="H54" i="189"/>
  <c r="H60" i="189" s="1"/>
  <c r="G54" i="189"/>
  <c r="G60" i="189" s="1"/>
  <c r="G57" i="189"/>
  <c r="F54" i="189"/>
  <c r="F60" i="189" s="1"/>
  <c r="F57" i="189"/>
  <c r="E57" i="189"/>
  <c r="E54" i="189"/>
  <c r="E60" i="189" s="1"/>
  <c r="L21" i="189"/>
  <c r="AE4" i="189" s="1"/>
  <c r="D54" i="189"/>
  <c r="D57" i="189"/>
  <c r="E55" i="189"/>
  <c r="E25" i="189" s="1"/>
  <c r="E26" i="189" s="1"/>
  <c r="K14" i="189"/>
  <c r="D55" i="189"/>
  <c r="L55" i="189" s="1"/>
  <c r="L59" i="189"/>
  <c r="O58" i="188"/>
  <c r="V24" i="188"/>
  <c r="V23" i="188"/>
  <c r="R58" i="188"/>
  <c r="R67" i="188" s="1"/>
  <c r="P58" i="188"/>
  <c r="P67" i="188" s="1"/>
  <c r="O62" i="188"/>
  <c r="U34" i="188"/>
  <c r="M62" i="188"/>
  <c r="R61" i="188"/>
  <c r="P25" i="188"/>
  <c r="P26" i="188" s="1"/>
  <c r="P61" i="188"/>
  <c r="O25" i="188"/>
  <c r="O26" i="188" s="1"/>
  <c r="N25" i="188"/>
  <c r="N26" i="188" s="1"/>
  <c r="V19" i="188"/>
  <c r="O65" i="188"/>
  <c r="R64" i="188"/>
  <c r="R69" i="188" s="1"/>
  <c r="O64" i="188"/>
  <c r="P64" i="188"/>
  <c r="P69" i="188" s="1"/>
  <c r="O82" i="188"/>
  <c r="E61" i="188"/>
  <c r="J25" i="188"/>
  <c r="J26" i="188" s="1"/>
  <c r="J58" i="188"/>
  <c r="J64" i="188" s="1"/>
  <c r="I58" i="188"/>
  <c r="I64" i="188" s="1"/>
  <c r="H25" i="188"/>
  <c r="H26" i="188" s="1"/>
  <c r="H66" i="188" s="1"/>
  <c r="H61" i="188"/>
  <c r="L21" i="188"/>
  <c r="AE4" i="188" s="1"/>
  <c r="G61" i="188"/>
  <c r="F61" i="188"/>
  <c r="F25" i="188"/>
  <c r="F26" i="188" s="1"/>
  <c r="F66" i="188" s="1"/>
  <c r="E67" i="188"/>
  <c r="AA4" i="188"/>
  <c r="G65" i="188"/>
  <c r="L60" i="188"/>
  <c r="AD4" i="188" s="1"/>
  <c r="U60" i="188"/>
  <c r="AD5" i="188" s="1"/>
  <c r="E64" i="188"/>
  <c r="R25" i="188"/>
  <c r="R26" i="188" s="1"/>
  <c r="F64" i="188"/>
  <c r="G64" i="188"/>
  <c r="R62" i="187"/>
  <c r="V69" i="187"/>
  <c r="D14" i="205" s="1"/>
  <c r="Q68" i="187"/>
  <c r="P68" i="187"/>
  <c r="R68" i="187"/>
  <c r="S68" i="187"/>
  <c r="V24" i="187"/>
  <c r="V28" i="187"/>
  <c r="V23" i="187"/>
  <c r="S62" i="187"/>
  <c r="Q62" i="187"/>
  <c r="P25" i="187"/>
  <c r="P26" i="187" s="1"/>
  <c r="P62" i="187"/>
  <c r="O59" i="187"/>
  <c r="O68" i="187" s="1"/>
  <c r="U21" i="187"/>
  <c r="AE5" i="187" s="1"/>
  <c r="M59" i="187"/>
  <c r="M65" i="187" s="1"/>
  <c r="M62" i="187"/>
  <c r="Q65" i="187"/>
  <c r="Q70" i="187" s="1"/>
  <c r="R65" i="187"/>
  <c r="S65" i="187"/>
  <c r="P65" i="187"/>
  <c r="P70" i="187" s="1"/>
  <c r="O83" i="187"/>
  <c r="V31" i="187"/>
  <c r="L34" i="187"/>
  <c r="J62" i="187"/>
  <c r="I62" i="187"/>
  <c r="H59" i="187"/>
  <c r="H65" i="187" s="1"/>
  <c r="E25" i="187"/>
  <c r="E26" i="187" s="1"/>
  <c r="E62" i="187"/>
  <c r="D62" i="187"/>
  <c r="I25" i="187"/>
  <c r="I26" i="187" s="1"/>
  <c r="J25" i="187"/>
  <c r="J26" i="187" s="1"/>
  <c r="J67" i="187" s="1"/>
  <c r="S25" i="187"/>
  <c r="S26" i="187" s="1"/>
  <c r="Q25" i="187"/>
  <c r="Q26" i="187" s="1"/>
  <c r="L61" i="187"/>
  <c r="U61" i="187"/>
  <c r="AD5" i="187" s="1"/>
  <c r="V23" i="186"/>
  <c r="G54" i="186"/>
  <c r="G61" i="186" s="1"/>
  <c r="V64" i="186"/>
  <c r="D12" i="205" s="1"/>
  <c r="Q54" i="186"/>
  <c r="O54" i="186"/>
  <c r="O60" i="186" s="1"/>
  <c r="U34" i="186"/>
  <c r="M58" i="186"/>
  <c r="V24" i="186"/>
  <c r="N25" i="186"/>
  <c r="N26" i="186" s="1"/>
  <c r="R57" i="186"/>
  <c r="R25" i="186"/>
  <c r="R26" i="186" s="1"/>
  <c r="R62" i="186" s="1"/>
  <c r="Q25" i="186"/>
  <c r="Q26" i="186" s="1"/>
  <c r="Q62" i="186" s="1"/>
  <c r="Q57" i="186"/>
  <c r="S54" i="186"/>
  <c r="S60" i="186" s="1"/>
  <c r="P54" i="186"/>
  <c r="P60" i="186" s="1"/>
  <c r="P25" i="186"/>
  <c r="P26" i="186" s="1"/>
  <c r="O57" i="186"/>
  <c r="N54" i="186"/>
  <c r="N60" i="186" s="1"/>
  <c r="M54" i="186"/>
  <c r="M60" i="186" s="1"/>
  <c r="V19" i="186"/>
  <c r="R63" i="186"/>
  <c r="Q63" i="186"/>
  <c r="S25" i="186"/>
  <c r="S26" i="186" s="1"/>
  <c r="U56" i="186"/>
  <c r="AD5" i="186" s="1"/>
  <c r="T14" i="186"/>
  <c r="M55" i="186"/>
  <c r="M25" i="186" s="1"/>
  <c r="M26" i="186" s="1"/>
  <c r="Q61" i="186"/>
  <c r="Q60" i="186"/>
  <c r="AA5" i="186"/>
  <c r="U58" i="186"/>
  <c r="R60" i="186"/>
  <c r="R61" i="186"/>
  <c r="O61" i="186"/>
  <c r="O63" i="186"/>
  <c r="O65" i="186" s="1"/>
  <c r="U21" i="186"/>
  <c r="AE5" i="186" s="1"/>
  <c r="O25" i="186"/>
  <c r="O26" i="186" s="1"/>
  <c r="H25" i="186"/>
  <c r="H26" i="186" s="1"/>
  <c r="H62" i="186" s="1"/>
  <c r="H57" i="186"/>
  <c r="F54" i="186"/>
  <c r="F63" i="186" s="1"/>
  <c r="V28" i="186"/>
  <c r="L34" i="186"/>
  <c r="D25" i="186"/>
  <c r="D26" i="186" s="1"/>
  <c r="J57" i="186"/>
  <c r="I57" i="186"/>
  <c r="F25" i="186"/>
  <c r="F26" i="186" s="1"/>
  <c r="F62" i="186" s="1"/>
  <c r="E54" i="186"/>
  <c r="E61" i="186" s="1"/>
  <c r="E25" i="186"/>
  <c r="E26" i="186" s="1"/>
  <c r="D54" i="186"/>
  <c r="D63" i="186" s="1"/>
  <c r="L21" i="186"/>
  <c r="L57" i="186" s="1"/>
  <c r="O78" i="186"/>
  <c r="H63" i="186"/>
  <c r="L56" i="186"/>
  <c r="J25" i="186"/>
  <c r="J26" i="186" s="1"/>
  <c r="J62" i="186" s="1"/>
  <c r="K14" i="186"/>
  <c r="F61" i="186"/>
  <c r="L55" i="186"/>
  <c r="AC4" i="186" s="1"/>
  <c r="J63" i="186"/>
  <c r="J65" i="186" s="1"/>
  <c r="J61" i="186"/>
  <c r="I61" i="186"/>
  <c r="V14" i="186"/>
  <c r="AA4" i="186"/>
  <c r="G65" i="186"/>
  <c r="V59" i="186"/>
  <c r="H61" i="186"/>
  <c r="I63" i="186"/>
  <c r="I65" i="186" s="1"/>
  <c r="G62" i="186"/>
  <c r="I62" i="186"/>
  <c r="H60" i="186"/>
  <c r="L59" i="186"/>
  <c r="G63" i="186"/>
  <c r="V24" i="207"/>
  <c r="J54" i="207"/>
  <c r="G25" i="207"/>
  <c r="G26" i="207" s="1"/>
  <c r="R54" i="207"/>
  <c r="R25" i="207"/>
  <c r="R26" i="207" s="1"/>
  <c r="R62" i="207" s="1"/>
  <c r="U34" i="207"/>
  <c r="V23" i="207"/>
  <c r="S25" i="207"/>
  <c r="S26" i="207" s="1"/>
  <c r="S62" i="207" s="1"/>
  <c r="U21" i="207"/>
  <c r="AE5" i="207" s="1"/>
  <c r="Q25" i="207"/>
  <c r="Q26" i="207" s="1"/>
  <c r="Q62" i="207" s="1"/>
  <c r="Q54" i="207"/>
  <c r="O54" i="207"/>
  <c r="O63" i="207" s="1"/>
  <c r="O25" i="207"/>
  <c r="O26" i="207" s="1"/>
  <c r="O62" i="207" s="1"/>
  <c r="N54" i="207"/>
  <c r="N60" i="207" s="1"/>
  <c r="N57" i="207"/>
  <c r="V19" i="207"/>
  <c r="S63" i="207"/>
  <c r="U56" i="207"/>
  <c r="AD5" i="207" s="1"/>
  <c r="R63" i="207"/>
  <c r="Q61" i="207"/>
  <c r="T14" i="207"/>
  <c r="U55" i="207"/>
  <c r="AC5" i="207" s="1"/>
  <c r="P63" i="207"/>
  <c r="P65" i="207" s="1"/>
  <c r="R60" i="207"/>
  <c r="R61" i="207"/>
  <c r="S60" i="207"/>
  <c r="S65" i="207" s="1"/>
  <c r="S61" i="207"/>
  <c r="U54" i="207"/>
  <c r="U60" i="207" s="1"/>
  <c r="O60" i="207"/>
  <c r="O65" i="207" s="1"/>
  <c r="O61" i="207"/>
  <c r="N61" i="207"/>
  <c r="AA5" i="207"/>
  <c r="U58" i="207"/>
  <c r="N62" i="207"/>
  <c r="U57" i="207"/>
  <c r="U59" i="207"/>
  <c r="N63" i="207"/>
  <c r="N65" i="207" s="1"/>
  <c r="V28" i="207"/>
  <c r="L34" i="207"/>
  <c r="V34" i="207" s="1"/>
  <c r="V58" i="207" s="1"/>
  <c r="H25" i="207"/>
  <c r="H26" i="207" s="1"/>
  <c r="J25" i="207"/>
  <c r="J26" i="207" s="1"/>
  <c r="J62" i="207" s="1"/>
  <c r="I25" i="207"/>
  <c r="I26" i="207" s="1"/>
  <c r="I54" i="207"/>
  <c r="L21" i="207"/>
  <c r="AE4" i="207" s="1"/>
  <c r="H54" i="207"/>
  <c r="H61" i="207" s="1"/>
  <c r="F54" i="207"/>
  <c r="F60" i="207" s="1"/>
  <c r="F57" i="207"/>
  <c r="F25" i="207"/>
  <c r="F26" i="207" s="1"/>
  <c r="F62" i="207" s="1"/>
  <c r="E25" i="207"/>
  <c r="E26" i="207" s="1"/>
  <c r="E62" i="207" s="1"/>
  <c r="E57" i="207"/>
  <c r="V64" i="207"/>
  <c r="O78" i="207"/>
  <c r="L56" i="207"/>
  <c r="J61" i="207"/>
  <c r="I61" i="207"/>
  <c r="K14" i="207"/>
  <c r="L55" i="207"/>
  <c r="AC4" i="207" s="1"/>
  <c r="V14" i="207"/>
  <c r="G62" i="207"/>
  <c r="G60" i="207"/>
  <c r="D61" i="207"/>
  <c r="E63" i="207"/>
  <c r="E65" i="207" s="1"/>
  <c r="E61" i="207"/>
  <c r="D26" i="207"/>
  <c r="L59" i="207"/>
  <c r="I60" i="207"/>
  <c r="G63" i="207"/>
  <c r="J60" i="207"/>
  <c r="G61" i="207"/>
  <c r="D62" i="207"/>
  <c r="H63" i="207"/>
  <c r="V59" i="207"/>
  <c r="I63" i="207"/>
  <c r="D60" i="207"/>
  <c r="D65" i="207" s="1"/>
  <c r="J63" i="207"/>
  <c r="V23" i="184"/>
  <c r="S54" i="184"/>
  <c r="S60" i="184" s="1"/>
  <c r="I25" i="184"/>
  <c r="I26" i="184" s="1"/>
  <c r="L34" i="184"/>
  <c r="V34" i="184" s="1"/>
  <c r="D54" i="184"/>
  <c r="D60" i="184" s="1"/>
  <c r="I43" i="203"/>
  <c r="I59" i="203" s="1"/>
  <c r="V24" i="184"/>
  <c r="S25" i="184"/>
  <c r="S26" i="184" s="1"/>
  <c r="S62" i="184" s="1"/>
  <c r="R57" i="184"/>
  <c r="N25" i="184"/>
  <c r="N26" i="184" s="1"/>
  <c r="Q57" i="184"/>
  <c r="Q25" i="184"/>
  <c r="Q26" i="184" s="1"/>
  <c r="Q62" i="184" s="1"/>
  <c r="O57" i="184"/>
  <c r="O25" i="184"/>
  <c r="O26" i="184" s="1"/>
  <c r="O62" i="184" s="1"/>
  <c r="N54" i="184"/>
  <c r="N63" i="184" s="1"/>
  <c r="U21" i="184"/>
  <c r="AE5" i="184" s="1"/>
  <c r="V19" i="184"/>
  <c r="M54" i="184"/>
  <c r="M61" i="184" s="1"/>
  <c r="V64" i="184"/>
  <c r="D9" i="205" s="1"/>
  <c r="O78" i="184"/>
  <c r="I54" i="184"/>
  <c r="H25" i="184"/>
  <c r="H26" i="184" s="1"/>
  <c r="H62" i="184" s="1"/>
  <c r="H54" i="184"/>
  <c r="H60" i="184" s="1"/>
  <c r="F57" i="184"/>
  <c r="E57" i="184"/>
  <c r="L21" i="184"/>
  <c r="L57" i="184" s="1"/>
  <c r="D57" i="184"/>
  <c r="F25" i="184"/>
  <c r="F26" i="184" s="1"/>
  <c r="F62" i="184" s="1"/>
  <c r="L56" i="184"/>
  <c r="AD4" i="184" s="1"/>
  <c r="K14" i="184"/>
  <c r="J25" i="184"/>
  <c r="J26" i="184" s="1"/>
  <c r="J62" i="184" s="1"/>
  <c r="I61" i="184"/>
  <c r="H61" i="184"/>
  <c r="E55" i="184"/>
  <c r="E25" i="184" s="1"/>
  <c r="E26" i="184" s="1"/>
  <c r="E62" i="184" s="1"/>
  <c r="D25" i="184"/>
  <c r="D26" i="184" s="1"/>
  <c r="D62" i="184" s="1"/>
  <c r="R63" i="184"/>
  <c r="U56" i="184"/>
  <c r="AD5" i="184" s="1"/>
  <c r="R25" i="184"/>
  <c r="R26" i="184" s="1"/>
  <c r="R62" i="184" s="1"/>
  <c r="O61" i="184"/>
  <c r="M25" i="184"/>
  <c r="M26" i="184" s="1"/>
  <c r="T14" i="184"/>
  <c r="U59" i="184"/>
  <c r="R60" i="184"/>
  <c r="P61" i="184"/>
  <c r="Q61" i="184"/>
  <c r="R61" i="184"/>
  <c r="S61" i="184"/>
  <c r="P62" i="184"/>
  <c r="O63" i="184"/>
  <c r="O60" i="184"/>
  <c r="AA5" i="184"/>
  <c r="Q63" i="184"/>
  <c r="Q65" i="184" s="1"/>
  <c r="J61" i="184"/>
  <c r="V14" i="184"/>
  <c r="E60" i="184"/>
  <c r="L58" i="184"/>
  <c r="U55" i="184"/>
  <c r="AC5" i="184" s="1"/>
  <c r="F60" i="184"/>
  <c r="D63" i="184"/>
  <c r="D65" i="184" s="1"/>
  <c r="V58" i="184"/>
  <c r="D61" i="184"/>
  <c r="E63" i="184"/>
  <c r="E65" i="184" s="1"/>
  <c r="F63" i="184"/>
  <c r="L59" i="184"/>
  <c r="I60" i="184"/>
  <c r="F61" i="184"/>
  <c r="G63" i="184"/>
  <c r="G65" i="184" s="1"/>
  <c r="J60" i="184"/>
  <c r="J65" i="184" s="1"/>
  <c r="H63" i="184"/>
  <c r="V59" i="184"/>
  <c r="H60" i="183"/>
  <c r="V23" i="183"/>
  <c r="V30" i="183"/>
  <c r="V37" i="183"/>
  <c r="V43" i="183"/>
  <c r="K43" i="203"/>
  <c r="J60" i="183"/>
  <c r="J69" i="183" s="1"/>
  <c r="I25" i="183"/>
  <c r="I26" i="183" s="1"/>
  <c r="I60" i="183"/>
  <c r="I69" i="183" s="1"/>
  <c r="E25" i="183"/>
  <c r="E26" i="183" s="1"/>
  <c r="D60" i="183"/>
  <c r="D66" i="183" s="1"/>
  <c r="U34" i="183"/>
  <c r="M64" i="183"/>
  <c r="V28" i="183"/>
  <c r="V24" i="183"/>
  <c r="V70" i="183"/>
  <c r="D8" i="205" s="1"/>
  <c r="S60" i="183"/>
  <c r="S69" i="183" s="1"/>
  <c r="R60" i="183"/>
  <c r="R69" i="183" s="1"/>
  <c r="Q63" i="183"/>
  <c r="Q25" i="183"/>
  <c r="Q26" i="183" s="1"/>
  <c r="Q68" i="183" s="1"/>
  <c r="O63" i="183"/>
  <c r="O25" i="183"/>
  <c r="O26" i="183" s="1"/>
  <c r="O68" i="183" s="1"/>
  <c r="N60" i="183"/>
  <c r="N69" i="183" s="1"/>
  <c r="U21" i="183"/>
  <c r="AE5" i="183" s="1"/>
  <c r="V19" i="183"/>
  <c r="M63" i="183"/>
  <c r="S25" i="183"/>
  <c r="S26" i="183" s="1"/>
  <c r="R25" i="183"/>
  <c r="R26" i="183" s="1"/>
  <c r="U62" i="183"/>
  <c r="AD5" i="183" s="1"/>
  <c r="O67" i="183"/>
  <c r="N67" i="183"/>
  <c r="T14" i="183"/>
  <c r="M61" i="183"/>
  <c r="M25" i="183" s="1"/>
  <c r="M26" i="183" s="1"/>
  <c r="M68" i="183" s="1"/>
  <c r="U61" i="183"/>
  <c r="AC5" i="183" s="1"/>
  <c r="T71" i="183"/>
  <c r="U64" i="183"/>
  <c r="P67" i="183"/>
  <c r="T69" i="183"/>
  <c r="U65" i="183"/>
  <c r="Q67" i="183"/>
  <c r="M69" i="183"/>
  <c r="M66" i="183"/>
  <c r="O69" i="183"/>
  <c r="T67" i="183"/>
  <c r="O66" i="183"/>
  <c r="M67" i="183"/>
  <c r="Q69" i="183"/>
  <c r="Q71" i="183" s="1"/>
  <c r="O84" i="183"/>
  <c r="J25" i="183"/>
  <c r="J26" i="183" s="1"/>
  <c r="L34" i="183"/>
  <c r="J64" i="183"/>
  <c r="I64" i="183"/>
  <c r="H25" i="183"/>
  <c r="H26" i="183" s="1"/>
  <c r="H68" i="183" s="1"/>
  <c r="F60" i="183"/>
  <c r="F67" i="183" s="1"/>
  <c r="E60" i="183"/>
  <c r="L21" i="183"/>
  <c r="L63" i="183" s="1"/>
  <c r="D25" i="183"/>
  <c r="D26" i="183" s="1"/>
  <c r="D68" i="183" s="1"/>
  <c r="L62" i="183"/>
  <c r="AD4" i="183" s="1"/>
  <c r="H67" i="183"/>
  <c r="K14" i="183"/>
  <c r="L61" i="183"/>
  <c r="AC4" i="183" s="1"/>
  <c r="P25" i="183"/>
  <c r="G25" i="183"/>
  <c r="G26" i="183" s="1"/>
  <c r="G68" i="183" s="1"/>
  <c r="V14" i="183"/>
  <c r="AA4" i="183"/>
  <c r="D69" i="183"/>
  <c r="G66" i="183"/>
  <c r="D67" i="183"/>
  <c r="H66" i="183"/>
  <c r="L65" i="183"/>
  <c r="I66" i="183"/>
  <c r="G69" i="183"/>
  <c r="H69" i="183"/>
  <c r="V65" i="183"/>
  <c r="R25" i="182"/>
  <c r="R26" i="182" s="1"/>
  <c r="U34" i="182"/>
  <c r="V34" i="182" s="1"/>
  <c r="V58" i="182" s="1"/>
  <c r="Q25" i="182"/>
  <c r="Q26" i="182" s="1"/>
  <c r="Q54" i="182"/>
  <c r="Q60" i="182" s="1"/>
  <c r="N25" i="182"/>
  <c r="N26" i="182" s="1"/>
  <c r="S54" i="182"/>
  <c r="S60" i="182" s="1"/>
  <c r="R57" i="182"/>
  <c r="U21" i="182"/>
  <c r="U57" i="182" s="1"/>
  <c r="P54" i="182"/>
  <c r="P60" i="182" s="1"/>
  <c r="P25" i="182"/>
  <c r="P26" i="182" s="1"/>
  <c r="O54" i="182"/>
  <c r="O61" i="182" s="1"/>
  <c r="N54" i="182"/>
  <c r="N61" i="182" s="1"/>
  <c r="M54" i="182"/>
  <c r="M60" i="182" s="1"/>
  <c r="M57" i="182"/>
  <c r="T60" i="182"/>
  <c r="V64" i="182"/>
  <c r="D7" i="205" s="1"/>
  <c r="T65" i="182"/>
  <c r="O78" i="182"/>
  <c r="O63" i="182"/>
  <c r="S25" i="182"/>
  <c r="S26" i="182" s="1"/>
  <c r="T14" i="182"/>
  <c r="U55" i="182"/>
  <c r="AC5" i="182" s="1"/>
  <c r="M25" i="182"/>
  <c r="M26" i="182" s="1"/>
  <c r="T61" i="182"/>
  <c r="T62" i="182"/>
  <c r="V14" i="182"/>
  <c r="U59" i="182"/>
  <c r="V59" i="182"/>
  <c r="AA5" i="182"/>
  <c r="L56" i="182"/>
  <c r="AC4" i="182"/>
  <c r="AD4" i="182"/>
  <c r="L26" i="182"/>
  <c r="AF4" i="182" s="1"/>
  <c r="U56" i="182"/>
  <c r="AD5" i="182" s="1"/>
  <c r="L25" i="182"/>
  <c r="O25" i="182"/>
  <c r="O26" i="182" s="1"/>
  <c r="O62" i="182" s="1"/>
  <c r="R62" i="182"/>
  <c r="Q61" i="182"/>
  <c r="R63" i="182"/>
  <c r="R65" i="182" s="1"/>
  <c r="R61" i="182"/>
  <c r="O60" i="182"/>
  <c r="O65" i="182" s="1"/>
  <c r="Q55" i="181"/>
  <c r="Q61" i="181" s="1"/>
  <c r="S25" i="180"/>
  <c r="S26" i="180" s="1"/>
  <c r="S57" i="180"/>
  <c r="R57" i="180"/>
  <c r="V23" i="180"/>
  <c r="M54" i="180"/>
  <c r="M60" i="180" s="1"/>
  <c r="K61" i="180"/>
  <c r="K63" i="180"/>
  <c r="K62" i="180"/>
  <c r="H54" i="180"/>
  <c r="H60" i="180" s="1"/>
  <c r="H25" i="180"/>
  <c r="H26" i="180" s="1"/>
  <c r="H62" i="180" s="1"/>
  <c r="K65" i="180"/>
  <c r="F57" i="180"/>
  <c r="V23" i="181"/>
  <c r="Q59" i="181"/>
  <c r="O55" i="181"/>
  <c r="O62" i="181" s="1"/>
  <c r="V28" i="181"/>
  <c r="N55" i="181"/>
  <c r="N64" i="181" s="1"/>
  <c r="U34" i="181"/>
  <c r="U59" i="181" s="1"/>
  <c r="V24" i="181"/>
  <c r="S64" i="181"/>
  <c r="S61" i="181"/>
  <c r="S58" i="181"/>
  <c r="S25" i="181"/>
  <c r="S26" i="181" s="1"/>
  <c r="S63" i="181" s="1"/>
  <c r="R55" i="181"/>
  <c r="R61" i="181" s="1"/>
  <c r="Q25" i="181"/>
  <c r="Q26" i="181" s="1"/>
  <c r="Q63" i="181" s="1"/>
  <c r="P55" i="181"/>
  <c r="P25" i="181"/>
  <c r="P26" i="181" s="1"/>
  <c r="P63" i="181" s="1"/>
  <c r="U21" i="181"/>
  <c r="AE5" i="181" s="1"/>
  <c r="M58" i="181"/>
  <c r="V19" i="181"/>
  <c r="U57" i="181"/>
  <c r="AD5" i="181" s="1"/>
  <c r="P62" i="181"/>
  <c r="N63" i="181"/>
  <c r="U56" i="181"/>
  <c r="AC5" i="181" s="1"/>
  <c r="T14" i="181"/>
  <c r="M25" i="181"/>
  <c r="M26" i="181" s="1"/>
  <c r="M63" i="181" s="1"/>
  <c r="N61" i="181"/>
  <c r="AA5" i="181"/>
  <c r="U60" i="181"/>
  <c r="M64" i="181"/>
  <c r="Q62" i="181"/>
  <c r="M61" i="181"/>
  <c r="S62" i="181"/>
  <c r="P64" i="181"/>
  <c r="O61" i="181"/>
  <c r="M62" i="181"/>
  <c r="Q64" i="181"/>
  <c r="Q66" i="181" s="1"/>
  <c r="P61" i="181"/>
  <c r="N62" i="181"/>
  <c r="R64" i="181"/>
  <c r="R66" i="181" s="1"/>
  <c r="V65" i="181"/>
  <c r="D6" i="205" s="1"/>
  <c r="O79" i="181"/>
  <c r="L34" i="181"/>
  <c r="H64" i="181"/>
  <c r="L57" i="181"/>
  <c r="AD4" i="181" s="1"/>
  <c r="H25" i="181"/>
  <c r="H26" i="181" s="1"/>
  <c r="H63" i="181" s="1"/>
  <c r="G55" i="181"/>
  <c r="G64" i="181" s="1"/>
  <c r="F55" i="181"/>
  <c r="F64" i="181" s="1"/>
  <c r="F25" i="181"/>
  <c r="F26" i="181" s="1"/>
  <c r="F63" i="181" s="1"/>
  <c r="I55" i="181"/>
  <c r="I64" i="181" s="1"/>
  <c r="E55" i="181"/>
  <c r="E64" i="181" s="1"/>
  <c r="D59" i="181"/>
  <c r="J55" i="181"/>
  <c r="J64" i="181" s="1"/>
  <c r="I25" i="181"/>
  <c r="I26" i="181" s="1"/>
  <c r="I58" i="181"/>
  <c r="H58" i="181"/>
  <c r="G25" i="181"/>
  <c r="G26" i="181" s="1"/>
  <c r="G63" i="181" s="1"/>
  <c r="E58" i="181"/>
  <c r="E25" i="181"/>
  <c r="E26" i="181" s="1"/>
  <c r="L21" i="181"/>
  <c r="L58" i="181" s="1"/>
  <c r="D55" i="181"/>
  <c r="D61" i="181" s="1"/>
  <c r="K14" i="181"/>
  <c r="L56" i="181"/>
  <c r="AA4" i="181"/>
  <c r="G61" i="181"/>
  <c r="H61" i="181"/>
  <c r="H66" i="181" s="1"/>
  <c r="H62" i="181"/>
  <c r="L60" i="181"/>
  <c r="J61" i="181"/>
  <c r="J62" i="181"/>
  <c r="J63" i="181"/>
  <c r="V14" i="181"/>
  <c r="V60" i="181"/>
  <c r="L59" i="181"/>
  <c r="O26" i="181"/>
  <c r="D25" i="181"/>
  <c r="V24" i="180"/>
  <c r="Q25" i="180"/>
  <c r="Q26" i="180" s="1"/>
  <c r="Q62" i="180" s="1"/>
  <c r="P25" i="180"/>
  <c r="P26" i="180" s="1"/>
  <c r="P62" i="180" s="1"/>
  <c r="P54" i="180"/>
  <c r="O54" i="180"/>
  <c r="O63" i="180" s="1"/>
  <c r="N54" i="180"/>
  <c r="N60" i="180" s="1"/>
  <c r="V19" i="180"/>
  <c r="U21" i="180"/>
  <c r="AE5" i="180" s="1"/>
  <c r="R25" i="180"/>
  <c r="R26" i="180" s="1"/>
  <c r="R62" i="180" s="1"/>
  <c r="S61" i="180"/>
  <c r="O25" i="180"/>
  <c r="O26" i="180" s="1"/>
  <c r="O62" i="180" s="1"/>
  <c r="U55" i="180"/>
  <c r="AC5" i="180" s="1"/>
  <c r="T14" i="180"/>
  <c r="M25" i="180"/>
  <c r="M26" i="180" s="1"/>
  <c r="V64" i="180"/>
  <c r="D5" i="205" s="1"/>
  <c r="O78" i="180"/>
  <c r="G54" i="180"/>
  <c r="G63" i="180" s="1"/>
  <c r="E54" i="180"/>
  <c r="E61" i="180" s="1"/>
  <c r="E25" i="180"/>
  <c r="E26" i="180" s="1"/>
  <c r="J25" i="180"/>
  <c r="J26" i="180" s="1"/>
  <c r="J54" i="180"/>
  <c r="J60" i="180" s="1"/>
  <c r="I63" i="180"/>
  <c r="I65" i="180" s="1"/>
  <c r="I57" i="180"/>
  <c r="H57" i="180"/>
  <c r="F25" i="180"/>
  <c r="F26" i="180" s="1"/>
  <c r="F62" i="180" s="1"/>
  <c r="L21" i="180"/>
  <c r="L57" i="180" s="1"/>
  <c r="D54" i="180"/>
  <c r="I25" i="180"/>
  <c r="I26" i="180" s="1"/>
  <c r="I62" i="180" s="1"/>
  <c r="L56" i="180"/>
  <c r="AD4" i="180" s="1"/>
  <c r="G25" i="180"/>
  <c r="G26" i="180" s="1"/>
  <c r="G62" i="180" s="1"/>
  <c r="F61" i="180"/>
  <c r="L55" i="180"/>
  <c r="D25" i="180"/>
  <c r="D26" i="180" s="1"/>
  <c r="D62" i="180" s="1"/>
  <c r="K14" i="180"/>
  <c r="S62" i="180"/>
  <c r="R60" i="180"/>
  <c r="O60" i="180"/>
  <c r="O65" i="180" s="1"/>
  <c r="AA5" i="180"/>
  <c r="P63" i="180"/>
  <c r="Q63" i="180"/>
  <c r="S63" i="180"/>
  <c r="U59" i="180"/>
  <c r="P60" i="180"/>
  <c r="N61" i="180"/>
  <c r="U58" i="180"/>
  <c r="Q60" i="180"/>
  <c r="O61" i="180"/>
  <c r="R63" i="180"/>
  <c r="R65" i="180" s="1"/>
  <c r="S60" i="180"/>
  <c r="Q61" i="180"/>
  <c r="P61" i="180"/>
  <c r="R61" i="180"/>
  <c r="M63" i="180"/>
  <c r="M61" i="180"/>
  <c r="N63" i="180"/>
  <c r="N65" i="180" s="1"/>
  <c r="V14" i="180"/>
  <c r="H63" i="180"/>
  <c r="H65" i="180" s="1"/>
  <c r="AA4" i="180"/>
  <c r="V59" i="180"/>
  <c r="V56" i="180"/>
  <c r="D60" i="180"/>
  <c r="I61" i="180"/>
  <c r="L58" i="180"/>
  <c r="J61" i="180"/>
  <c r="F60" i="180"/>
  <c r="V58" i="180"/>
  <c r="D61" i="180"/>
  <c r="E63" i="180"/>
  <c r="F63" i="180"/>
  <c r="R54" i="206"/>
  <c r="V28" i="206"/>
  <c r="V23" i="206"/>
  <c r="O54" i="206"/>
  <c r="O58" i="206"/>
  <c r="K54" i="206"/>
  <c r="I54" i="206"/>
  <c r="I60" i="206" s="1"/>
  <c r="O78" i="206"/>
  <c r="V24" i="206"/>
  <c r="Q54" i="206"/>
  <c r="Q60" i="206" s="1"/>
  <c r="R58" i="206"/>
  <c r="U34" i="206"/>
  <c r="U58" i="206" s="1"/>
  <c r="P54" i="206"/>
  <c r="P60" i="206" s="1"/>
  <c r="M58" i="206"/>
  <c r="V32" i="206"/>
  <c r="S54" i="206"/>
  <c r="S63" i="206" s="1"/>
  <c r="Q25" i="206"/>
  <c r="Q26" i="206" s="1"/>
  <c r="Q62" i="206" s="1"/>
  <c r="Q57" i="206"/>
  <c r="P25" i="206"/>
  <c r="P26" i="206" s="1"/>
  <c r="P62" i="206" s="1"/>
  <c r="V19" i="206"/>
  <c r="N54" i="206"/>
  <c r="M54" i="206"/>
  <c r="M60" i="206" s="1"/>
  <c r="U21" i="206"/>
  <c r="AE5" i="206" s="1"/>
  <c r="N25" i="206"/>
  <c r="N26" i="206" s="1"/>
  <c r="N62" i="206" s="1"/>
  <c r="R63" i="206"/>
  <c r="S25" i="206"/>
  <c r="S26" i="206" s="1"/>
  <c r="U56" i="206"/>
  <c r="AD5" i="206" s="1"/>
  <c r="O61" i="206"/>
  <c r="O25" i="206"/>
  <c r="O26" i="206" s="1"/>
  <c r="O62" i="206" s="1"/>
  <c r="N61" i="206"/>
  <c r="U55" i="206"/>
  <c r="AC5" i="206" s="1"/>
  <c r="M25" i="206"/>
  <c r="M26" i="206" s="1"/>
  <c r="T14" i="206"/>
  <c r="R61" i="206"/>
  <c r="U59" i="206"/>
  <c r="N63" i="206"/>
  <c r="R60" i="206"/>
  <c r="T63" i="206"/>
  <c r="T65" i="206" s="1"/>
  <c r="O63" i="206"/>
  <c r="N60" i="206"/>
  <c r="T61" i="206"/>
  <c r="R62" i="206"/>
  <c r="P63" i="206"/>
  <c r="P65" i="206" s="1"/>
  <c r="O60" i="206"/>
  <c r="Q63" i="206"/>
  <c r="Q65" i="206" s="1"/>
  <c r="V64" i="206"/>
  <c r="L34" i="206"/>
  <c r="H54" i="206"/>
  <c r="H60" i="206" s="1"/>
  <c r="J25" i="206"/>
  <c r="J26" i="206" s="1"/>
  <c r="J62" i="206" s="1"/>
  <c r="H25" i="206"/>
  <c r="H26" i="206" s="1"/>
  <c r="J54" i="206"/>
  <c r="J63" i="206" s="1"/>
  <c r="I25" i="206"/>
  <c r="I26" i="206" s="1"/>
  <c r="G54" i="206"/>
  <c r="G60" i="206" s="1"/>
  <c r="F25" i="206"/>
  <c r="F26" i="206" s="1"/>
  <c r="F54" i="206"/>
  <c r="F60" i="206" s="1"/>
  <c r="E54" i="206"/>
  <c r="E61" i="206" s="1"/>
  <c r="E25" i="206"/>
  <c r="E26" i="206" s="1"/>
  <c r="L21" i="206"/>
  <c r="L57" i="206" s="1"/>
  <c r="D54" i="206"/>
  <c r="D63" i="206" s="1"/>
  <c r="I63" i="206"/>
  <c r="L56" i="206"/>
  <c r="AD4" i="206" s="1"/>
  <c r="G25" i="206"/>
  <c r="G26" i="206" s="1"/>
  <c r="K14" i="206"/>
  <c r="D55" i="206"/>
  <c r="J60" i="206"/>
  <c r="V59" i="206"/>
  <c r="V14" i="206"/>
  <c r="AA4" i="206"/>
  <c r="L59" i="206"/>
  <c r="F61" i="206"/>
  <c r="I61" i="206"/>
  <c r="K63" i="178"/>
  <c r="K65" i="178"/>
  <c r="V36" i="202"/>
  <c r="V40" i="202"/>
  <c r="V41" i="200"/>
  <c r="V41" i="199"/>
  <c r="V37" i="202"/>
  <c r="V41" i="202"/>
  <c r="V42" i="200"/>
  <c r="V42" i="199"/>
  <c r="V38" i="202"/>
  <c r="V42" i="202"/>
  <c r="J25" i="199"/>
  <c r="J26" i="199" s="1"/>
  <c r="V37" i="200"/>
  <c r="V38" i="201"/>
  <c r="V41" i="201"/>
  <c r="V39" i="202"/>
  <c r="V43" i="201"/>
  <c r="AH5" i="201"/>
  <c r="V43" i="198"/>
  <c r="AH5" i="198"/>
  <c r="V43" i="200"/>
  <c r="AH5" i="200"/>
  <c r="V43" i="199"/>
  <c r="AH5" i="199"/>
  <c r="V43" i="202"/>
  <c r="AH5" i="202"/>
  <c r="J43" i="203"/>
  <c r="N25" i="200"/>
  <c r="N26" i="200" s="1"/>
  <c r="V31" i="199"/>
  <c r="V29" i="200"/>
  <c r="V32" i="200"/>
  <c r="V29" i="201"/>
  <c r="V33" i="198"/>
  <c r="V29" i="202"/>
  <c r="V32" i="202"/>
  <c r="V32" i="199"/>
  <c r="V30" i="198"/>
  <c r="N54" i="200"/>
  <c r="N60" i="200" s="1"/>
  <c r="V33" i="199"/>
  <c r="V31" i="198"/>
  <c r="V30" i="199"/>
  <c r="K54" i="202"/>
  <c r="K25" i="200"/>
  <c r="K26" i="200" s="1"/>
  <c r="I25" i="201"/>
  <c r="I26" i="201" s="1"/>
  <c r="D54" i="201"/>
  <c r="D60" i="201" s="1"/>
  <c r="K59" i="198"/>
  <c r="H54" i="202"/>
  <c r="H54" i="200"/>
  <c r="H61" i="200" s="1"/>
  <c r="V23" i="200"/>
  <c r="V23" i="201"/>
  <c r="T62" i="202"/>
  <c r="T63" i="202"/>
  <c r="T65" i="202" s="1"/>
  <c r="T62" i="200"/>
  <c r="T63" i="200"/>
  <c r="T65" i="200" s="1"/>
  <c r="M54" i="201"/>
  <c r="M63" i="201" s="1"/>
  <c r="Q54" i="201"/>
  <c r="R54" i="200"/>
  <c r="R54" i="201"/>
  <c r="R60" i="201" s="1"/>
  <c r="V16" i="202"/>
  <c r="V16" i="201"/>
  <c r="K63" i="202"/>
  <c r="K65" i="202" s="1"/>
  <c r="K62" i="202"/>
  <c r="K61" i="202"/>
  <c r="K62" i="201"/>
  <c r="K61" i="201"/>
  <c r="K63" i="201"/>
  <c r="K68" i="198"/>
  <c r="K67" i="198"/>
  <c r="K66" i="198"/>
  <c r="K54" i="200"/>
  <c r="V20" i="200"/>
  <c r="V20" i="199"/>
  <c r="K54" i="199"/>
  <c r="K65" i="201"/>
  <c r="K25" i="201"/>
  <c r="K26" i="201" s="1"/>
  <c r="K25" i="198"/>
  <c r="K26" i="198" s="1"/>
  <c r="K25" i="202"/>
  <c r="K26" i="202" s="1"/>
  <c r="K70" i="198"/>
  <c r="T62" i="201"/>
  <c r="Q63" i="199"/>
  <c r="T61" i="199"/>
  <c r="T66" i="198"/>
  <c r="T63" i="201"/>
  <c r="T65" i="201" s="1"/>
  <c r="T61" i="202"/>
  <c r="T61" i="200"/>
  <c r="T62" i="199"/>
  <c r="T67" i="198"/>
  <c r="T65" i="199"/>
  <c r="T70" i="198"/>
  <c r="L56" i="201"/>
  <c r="V37" i="210"/>
  <c r="V40" i="210"/>
  <c r="V42" i="194"/>
  <c r="V36" i="194"/>
  <c r="V41" i="193"/>
  <c r="V41" i="210"/>
  <c r="I25" i="194"/>
  <c r="I26" i="194" s="1"/>
  <c r="I56" i="194"/>
  <c r="I63" i="194" s="1"/>
  <c r="F56" i="211"/>
  <c r="F64" i="211" s="1"/>
  <c r="E25" i="210"/>
  <c r="E26" i="210" s="1"/>
  <c r="V40" i="195"/>
  <c r="F25" i="193"/>
  <c r="F26" i="193" s="1"/>
  <c r="V42" i="193"/>
  <c r="J62" i="196"/>
  <c r="V42" i="210"/>
  <c r="V37" i="195"/>
  <c r="V39" i="211"/>
  <c r="H55" i="195"/>
  <c r="V38" i="194"/>
  <c r="V36" i="196"/>
  <c r="V40" i="211"/>
  <c r="V37" i="193"/>
  <c r="V43" i="196"/>
  <c r="AH5" i="196"/>
  <c r="AH5" i="194"/>
  <c r="V43" i="194"/>
  <c r="V43" i="195"/>
  <c r="AH5" i="195"/>
  <c r="V43" i="211"/>
  <c r="AH5" i="211"/>
  <c r="AH5" i="193"/>
  <c r="V43" i="193"/>
  <c r="V43" i="210"/>
  <c r="AH5" i="210"/>
  <c r="Q25" i="211"/>
  <c r="Q26" i="211" s="1"/>
  <c r="S55" i="195"/>
  <c r="S61" i="195" s="1"/>
  <c r="P56" i="194"/>
  <c r="R59" i="193"/>
  <c r="R68" i="193" s="1"/>
  <c r="T55" i="195"/>
  <c r="N56" i="194"/>
  <c r="N65" i="194" s="1"/>
  <c r="H43" i="203"/>
  <c r="P25" i="196"/>
  <c r="P26" i="196" s="1"/>
  <c r="O54" i="210"/>
  <c r="O63" i="210" s="1"/>
  <c r="R54" i="210"/>
  <c r="R62" i="210" s="1"/>
  <c r="N55" i="195"/>
  <c r="S25" i="195"/>
  <c r="S26" i="195" s="1"/>
  <c r="S63" i="195" s="1"/>
  <c r="M56" i="194"/>
  <c r="M62" i="194" s="1"/>
  <c r="V34" i="196"/>
  <c r="V31" i="211"/>
  <c r="V29" i="210"/>
  <c r="M55" i="195"/>
  <c r="M62" i="195" s="1"/>
  <c r="V30" i="193"/>
  <c r="T70" i="193"/>
  <c r="V34" i="211"/>
  <c r="V31" i="196"/>
  <c r="P54" i="210"/>
  <c r="P63" i="210" s="1"/>
  <c r="V30" i="194"/>
  <c r="V34" i="194"/>
  <c r="U34" i="193"/>
  <c r="U63" i="193" s="1"/>
  <c r="V31" i="193"/>
  <c r="V34" i="195"/>
  <c r="T62" i="196"/>
  <c r="T70" i="196" s="1"/>
  <c r="S56" i="194"/>
  <c r="V29" i="211"/>
  <c r="V34" i="210"/>
  <c r="V30" i="195"/>
  <c r="V32" i="193"/>
  <c r="V33" i="211"/>
  <c r="Q25" i="194"/>
  <c r="Q26" i="194" s="1"/>
  <c r="Q64" i="194" s="1"/>
  <c r="S59" i="193"/>
  <c r="S66" i="193" s="1"/>
  <c r="O62" i="196"/>
  <c r="O71" i="196" s="1"/>
  <c r="V30" i="211"/>
  <c r="R25" i="211"/>
  <c r="R26" i="211" s="1"/>
  <c r="V29" i="193"/>
  <c r="K71" i="196"/>
  <c r="K73" i="196" s="1"/>
  <c r="K69" i="196"/>
  <c r="K65" i="211"/>
  <c r="K67" i="211" s="1"/>
  <c r="K64" i="211"/>
  <c r="K63" i="211"/>
  <c r="K63" i="195"/>
  <c r="K64" i="195"/>
  <c r="K66" i="195" s="1"/>
  <c r="J25" i="196"/>
  <c r="J26" i="196" s="1"/>
  <c r="K25" i="195"/>
  <c r="K26" i="195" s="1"/>
  <c r="D59" i="193"/>
  <c r="D65" i="193" s="1"/>
  <c r="K25" i="196"/>
  <c r="K26" i="196" s="1"/>
  <c r="F54" i="210"/>
  <c r="J25" i="210"/>
  <c r="J26" i="210" s="1"/>
  <c r="H25" i="211"/>
  <c r="H26" i="211" s="1"/>
  <c r="E55" i="195"/>
  <c r="J25" i="193"/>
  <c r="J26" i="193" s="1"/>
  <c r="J67" i="193" s="1"/>
  <c r="E25" i="195"/>
  <c r="E26" i="195" s="1"/>
  <c r="E63" i="195" s="1"/>
  <c r="G25" i="194"/>
  <c r="G26" i="194" s="1"/>
  <c r="K59" i="193"/>
  <c r="K66" i="193" s="1"/>
  <c r="V24" i="211"/>
  <c r="V23" i="193"/>
  <c r="V24" i="210"/>
  <c r="V24" i="194"/>
  <c r="V23" i="195"/>
  <c r="F63" i="195"/>
  <c r="T65" i="194"/>
  <c r="T67" i="194" s="1"/>
  <c r="T64" i="194"/>
  <c r="T63" i="194"/>
  <c r="T63" i="210"/>
  <c r="T65" i="210" s="1"/>
  <c r="T61" i="210"/>
  <c r="T62" i="210"/>
  <c r="N67" i="193"/>
  <c r="N68" i="193"/>
  <c r="N70" i="193" s="1"/>
  <c r="T63" i="195"/>
  <c r="T62" i="195"/>
  <c r="T64" i="195"/>
  <c r="T66" i="195" s="1"/>
  <c r="R65" i="211"/>
  <c r="R67" i="211" s="1"/>
  <c r="R63" i="211"/>
  <c r="T64" i="211"/>
  <c r="T63" i="211"/>
  <c r="T65" i="211"/>
  <c r="T67" i="211" s="1"/>
  <c r="T71" i="196"/>
  <c r="T73" i="196" s="1"/>
  <c r="Q62" i="210"/>
  <c r="Q63" i="210"/>
  <c r="N25" i="196"/>
  <c r="N26" i="196" s="1"/>
  <c r="N25" i="195"/>
  <c r="N26" i="195" s="1"/>
  <c r="M54" i="210"/>
  <c r="M61" i="210" s="1"/>
  <c r="O65" i="210"/>
  <c r="V20" i="195"/>
  <c r="S25" i="194"/>
  <c r="S26" i="194" s="1"/>
  <c r="S64" i="194" s="1"/>
  <c r="U21" i="194"/>
  <c r="AE5" i="194" s="1"/>
  <c r="R25" i="193"/>
  <c r="R26" i="193" s="1"/>
  <c r="M62" i="196"/>
  <c r="O25" i="211"/>
  <c r="O26" i="211" s="1"/>
  <c r="P25" i="210"/>
  <c r="P26" i="210" s="1"/>
  <c r="V16" i="194"/>
  <c r="P73" i="196"/>
  <c r="V20" i="211"/>
  <c r="M56" i="211"/>
  <c r="U56" i="211" s="1"/>
  <c r="U64" i="211" s="1"/>
  <c r="Q65" i="210"/>
  <c r="Q67" i="193"/>
  <c r="T66" i="193"/>
  <c r="N25" i="211"/>
  <c r="N26" i="211" s="1"/>
  <c r="Q73" i="196"/>
  <c r="O25" i="210"/>
  <c r="O26" i="210" s="1"/>
  <c r="P25" i="195"/>
  <c r="P26" i="195" s="1"/>
  <c r="P63" i="195" s="1"/>
  <c r="T25" i="195"/>
  <c r="T26" i="195" s="1"/>
  <c r="V19" i="194"/>
  <c r="T67" i="193"/>
  <c r="O25" i="196"/>
  <c r="O26" i="196" s="1"/>
  <c r="P64" i="211"/>
  <c r="V16" i="195"/>
  <c r="K63" i="194"/>
  <c r="K65" i="194"/>
  <c r="K67" i="194" s="1"/>
  <c r="K64" i="194"/>
  <c r="K67" i="193"/>
  <c r="AE4" i="196"/>
  <c r="V21" i="196"/>
  <c r="V21" i="211"/>
  <c r="AE4" i="211"/>
  <c r="K62" i="210"/>
  <c r="K61" i="210"/>
  <c r="K63" i="210"/>
  <c r="K65" i="210" s="1"/>
  <c r="L54" i="210"/>
  <c r="D63" i="210"/>
  <c r="D65" i="210" s="1"/>
  <c r="G68" i="193"/>
  <c r="G66" i="193"/>
  <c r="K25" i="194"/>
  <c r="K26" i="194" s="1"/>
  <c r="L21" i="210"/>
  <c r="L21" i="194"/>
  <c r="L16" i="203"/>
  <c r="D62" i="196"/>
  <c r="F25" i="196"/>
  <c r="F26" i="196" s="1"/>
  <c r="K70" i="196"/>
  <c r="D56" i="211"/>
  <c r="F25" i="211"/>
  <c r="F26" i="211" s="1"/>
  <c r="H63" i="210"/>
  <c r="H65" i="210" s="1"/>
  <c r="D66" i="195"/>
  <c r="K62" i="195"/>
  <c r="G67" i="194"/>
  <c r="K25" i="193"/>
  <c r="K26" i="193" s="1"/>
  <c r="K21" i="203"/>
  <c r="H70" i="193"/>
  <c r="J25" i="211"/>
  <c r="J26" i="211" s="1"/>
  <c r="H67" i="211"/>
  <c r="L21" i="195"/>
  <c r="H73" i="196"/>
  <c r="K25" i="210"/>
  <c r="K26" i="210" s="1"/>
  <c r="H25" i="193"/>
  <c r="H26" i="193" s="1"/>
  <c r="H67" i="193" s="1"/>
  <c r="H64" i="211"/>
  <c r="G64" i="194"/>
  <c r="J67" i="194"/>
  <c r="E25" i="196"/>
  <c r="E26" i="196" s="1"/>
  <c r="I25" i="195"/>
  <c r="I26" i="195" s="1"/>
  <c r="I63" i="195" s="1"/>
  <c r="G25" i="195"/>
  <c r="G26" i="195" s="1"/>
  <c r="G63" i="195" s="1"/>
  <c r="H25" i="196"/>
  <c r="H26" i="196" s="1"/>
  <c r="H70" i="196" s="1"/>
  <c r="H25" i="210"/>
  <c r="H26" i="210" s="1"/>
  <c r="H62" i="210" s="1"/>
  <c r="F25" i="210"/>
  <c r="F26" i="210" s="1"/>
  <c r="I66" i="195"/>
  <c r="I25" i="193"/>
  <c r="I26" i="193" s="1"/>
  <c r="I67" i="193" s="1"/>
  <c r="S70" i="196"/>
  <c r="U55" i="210"/>
  <c r="AC5" i="210" s="1"/>
  <c r="M25" i="210"/>
  <c r="S67" i="211"/>
  <c r="S62" i="210"/>
  <c r="R63" i="195"/>
  <c r="O63" i="194"/>
  <c r="Q67" i="194"/>
  <c r="S25" i="193"/>
  <c r="S26" i="193" s="1"/>
  <c r="S67" i="193" s="1"/>
  <c r="U63" i="196"/>
  <c r="AC5" i="196" s="1"/>
  <c r="M25" i="196"/>
  <c r="M69" i="196"/>
  <c r="O73" i="196"/>
  <c r="S62" i="195"/>
  <c r="R67" i="194"/>
  <c r="N61" i="210"/>
  <c r="P65" i="210"/>
  <c r="U56" i="195"/>
  <c r="AC5" i="195" s="1"/>
  <c r="M25" i="195"/>
  <c r="P25" i="194"/>
  <c r="P26" i="194" s="1"/>
  <c r="O67" i="193"/>
  <c r="P67" i="193"/>
  <c r="Q70" i="196"/>
  <c r="O63" i="195"/>
  <c r="Q66" i="193"/>
  <c r="U65" i="196"/>
  <c r="P69" i="196"/>
  <c r="N70" i="196"/>
  <c r="R71" i="196"/>
  <c r="R73" i="196" s="1"/>
  <c r="V62" i="211"/>
  <c r="S63" i="211"/>
  <c r="Q64" i="211"/>
  <c r="V14" i="210"/>
  <c r="U57" i="210"/>
  <c r="P61" i="210"/>
  <c r="N62" i="210"/>
  <c r="R63" i="210"/>
  <c r="R65" i="210" s="1"/>
  <c r="P64" i="195"/>
  <c r="Q63" i="194"/>
  <c r="O64" i="194"/>
  <c r="M60" i="193"/>
  <c r="O68" i="193"/>
  <c r="O70" i="193" s="1"/>
  <c r="V14" i="196"/>
  <c r="U62" i="196"/>
  <c r="U66" i="196"/>
  <c r="Q69" i="196"/>
  <c r="O70" i="196"/>
  <c r="S71" i="196"/>
  <c r="S73" i="196" s="1"/>
  <c r="R64" i="211"/>
  <c r="N65" i="211"/>
  <c r="N67" i="211" s="1"/>
  <c r="T14" i="210"/>
  <c r="U54" i="210"/>
  <c r="V54" i="210" s="1"/>
  <c r="U58" i="210"/>
  <c r="Q61" i="210"/>
  <c r="O62" i="210"/>
  <c r="S63" i="210"/>
  <c r="S65" i="210" s="1"/>
  <c r="U59" i="195"/>
  <c r="O62" i="195"/>
  <c r="Q64" i="195"/>
  <c r="Q66" i="195" s="1"/>
  <c r="U61" i="194"/>
  <c r="R63" i="194"/>
  <c r="M65" i="194"/>
  <c r="M67" i="194" s="1"/>
  <c r="P68" i="193"/>
  <c r="P70" i="193" s="1"/>
  <c r="O69" i="196"/>
  <c r="O61" i="210"/>
  <c r="T14" i="196"/>
  <c r="U67" i="196"/>
  <c r="R69" i="196"/>
  <c r="P70" i="196"/>
  <c r="M57" i="211"/>
  <c r="M63" i="211"/>
  <c r="S64" i="211"/>
  <c r="O65" i="211"/>
  <c r="O67" i="211" s="1"/>
  <c r="U59" i="210"/>
  <c r="R61" i="210"/>
  <c r="P62" i="210"/>
  <c r="V59" i="195"/>
  <c r="P62" i="195"/>
  <c r="R64" i="195"/>
  <c r="R66" i="195" s="1"/>
  <c r="S63" i="194"/>
  <c r="V14" i="193"/>
  <c r="N66" i="193"/>
  <c r="Q68" i="193"/>
  <c r="Q70" i="193" s="1"/>
  <c r="S69" i="196"/>
  <c r="M71" i="196"/>
  <c r="M73" i="196" s="1"/>
  <c r="N63" i="211"/>
  <c r="P65" i="211"/>
  <c r="P67" i="211" s="1"/>
  <c r="S61" i="210"/>
  <c r="M63" i="210"/>
  <c r="M65" i="210" s="1"/>
  <c r="V14" i="195"/>
  <c r="U60" i="195"/>
  <c r="Q62" i="195"/>
  <c r="S64" i="195"/>
  <c r="S66" i="195" s="1"/>
  <c r="M57" i="194"/>
  <c r="M63" i="194" s="1"/>
  <c r="R64" i="194"/>
  <c r="O65" i="194"/>
  <c r="O67" i="194" s="1"/>
  <c r="U62" i="193"/>
  <c r="O66" i="193"/>
  <c r="N71" i="196"/>
  <c r="N73" i="196" s="1"/>
  <c r="U59" i="211"/>
  <c r="O63" i="211"/>
  <c r="M64" i="211"/>
  <c r="Q65" i="211"/>
  <c r="Q67" i="211" s="1"/>
  <c r="N63" i="210"/>
  <c r="N65" i="210" s="1"/>
  <c r="T14" i="195"/>
  <c r="V60" i="195"/>
  <c r="R62" i="195"/>
  <c r="P66" i="193"/>
  <c r="U60" i="211"/>
  <c r="U64" i="193"/>
  <c r="G62" i="210"/>
  <c r="G25" i="196"/>
  <c r="G26" i="196" s="1"/>
  <c r="G69" i="196"/>
  <c r="H69" i="196"/>
  <c r="V56" i="210"/>
  <c r="AD4" i="210"/>
  <c r="AD4" i="195"/>
  <c r="V57" i="195"/>
  <c r="V61" i="193"/>
  <c r="AD4" i="193"/>
  <c r="G70" i="193"/>
  <c r="I70" i="196"/>
  <c r="V64" i="196"/>
  <c r="AD4" i="196"/>
  <c r="G73" i="196"/>
  <c r="L55" i="210"/>
  <c r="D25" i="210"/>
  <c r="I62" i="195"/>
  <c r="J70" i="196"/>
  <c r="E64" i="211"/>
  <c r="J62" i="195"/>
  <c r="E64" i="194"/>
  <c r="AD4" i="211"/>
  <c r="V58" i="211"/>
  <c r="AB4" i="210"/>
  <c r="L63" i="210"/>
  <c r="D25" i="195"/>
  <c r="L56" i="195"/>
  <c r="D62" i="195"/>
  <c r="H25" i="195"/>
  <c r="H26" i="195" s="1"/>
  <c r="H63" i="195" s="1"/>
  <c r="G63" i="211"/>
  <c r="G25" i="211"/>
  <c r="G26" i="211" s="1"/>
  <c r="G64" i="211" s="1"/>
  <c r="E62" i="210"/>
  <c r="L57" i="194"/>
  <c r="D25" i="194"/>
  <c r="F63" i="194"/>
  <c r="F25" i="194"/>
  <c r="F26" i="194" s="1"/>
  <c r="F64" i="194" s="1"/>
  <c r="J25" i="194"/>
  <c r="J26" i="194" s="1"/>
  <c r="J63" i="194"/>
  <c r="G63" i="194"/>
  <c r="AD4" i="194"/>
  <c r="V58" i="194"/>
  <c r="E69" i="196"/>
  <c r="H63" i="211"/>
  <c r="G61" i="210"/>
  <c r="G25" i="210"/>
  <c r="G26" i="210" s="1"/>
  <c r="F62" i="210"/>
  <c r="E62" i="195"/>
  <c r="H63" i="194"/>
  <c r="E66" i="193"/>
  <c r="V67" i="196"/>
  <c r="E70" i="196"/>
  <c r="I71" i="196"/>
  <c r="I73" i="196" s="1"/>
  <c r="AA4" i="211"/>
  <c r="V60" i="211"/>
  <c r="D63" i="211"/>
  <c r="I64" i="211"/>
  <c r="E65" i="211"/>
  <c r="E67" i="211" s="1"/>
  <c r="V58" i="210"/>
  <c r="D61" i="210"/>
  <c r="I62" i="210"/>
  <c r="E63" i="210"/>
  <c r="E65" i="210" s="1"/>
  <c r="J63" i="195"/>
  <c r="F64" i="195"/>
  <c r="F66" i="195" s="1"/>
  <c r="K14" i="194"/>
  <c r="H64" i="194"/>
  <c r="D65" i="194"/>
  <c r="D67" i="194" s="1"/>
  <c r="V64" i="193"/>
  <c r="H66" i="193"/>
  <c r="I68" i="193"/>
  <c r="I70" i="193" s="1"/>
  <c r="AA4" i="196"/>
  <c r="D63" i="196"/>
  <c r="V65" i="196"/>
  <c r="L68" i="196"/>
  <c r="I69" i="196"/>
  <c r="F70" i="196"/>
  <c r="J71" i="196"/>
  <c r="J73" i="196" s="1"/>
  <c r="E63" i="211"/>
  <c r="J64" i="211"/>
  <c r="F65" i="211"/>
  <c r="F67" i="211" s="1"/>
  <c r="K14" i="210"/>
  <c r="E61" i="210"/>
  <c r="J62" i="210"/>
  <c r="F63" i="210"/>
  <c r="F65" i="210" s="1"/>
  <c r="K14" i="195"/>
  <c r="L55" i="195"/>
  <c r="L61" i="195" s="1"/>
  <c r="L60" i="195"/>
  <c r="F62" i="195"/>
  <c r="G64" i="195"/>
  <c r="G66" i="195" s="1"/>
  <c r="V60" i="194"/>
  <c r="D63" i="194"/>
  <c r="I64" i="194"/>
  <c r="E65" i="194"/>
  <c r="E67" i="194" s="1"/>
  <c r="D60" i="193"/>
  <c r="D66" i="193" s="1"/>
  <c r="I66" i="193"/>
  <c r="F67" i="193"/>
  <c r="L66" i="196"/>
  <c r="J69" i="196"/>
  <c r="G70" i="196"/>
  <c r="L61" i="211"/>
  <c r="F63" i="211"/>
  <c r="G65" i="211"/>
  <c r="G67" i="211" s="1"/>
  <c r="L59" i="210"/>
  <c r="F61" i="210"/>
  <c r="G63" i="210"/>
  <c r="G65" i="210" s="1"/>
  <c r="L58" i="195"/>
  <c r="G62" i="195"/>
  <c r="H64" i="195"/>
  <c r="E63" i="194"/>
  <c r="J64" i="194"/>
  <c r="F65" i="194"/>
  <c r="F67" i="194" s="1"/>
  <c r="L63" i="193"/>
  <c r="G67" i="193"/>
  <c r="L59" i="211"/>
  <c r="L56" i="194"/>
  <c r="D68" i="193"/>
  <c r="D70" i="193" s="1"/>
  <c r="V66" i="196"/>
  <c r="D69" i="196"/>
  <c r="E71" i="196"/>
  <c r="E73" i="196" s="1"/>
  <c r="V61" i="211"/>
  <c r="I65" i="211"/>
  <c r="I67" i="211" s="1"/>
  <c r="V59" i="210"/>
  <c r="I63" i="210"/>
  <c r="I65" i="210" s="1"/>
  <c r="J64" i="195"/>
  <c r="J66" i="195" s="1"/>
  <c r="L59" i="194"/>
  <c r="H65" i="194"/>
  <c r="H67" i="194" s="1"/>
  <c r="E68" i="193"/>
  <c r="E70" i="193" s="1"/>
  <c r="F71" i="196"/>
  <c r="F73" i="196" s="1"/>
  <c r="D57" i="211"/>
  <c r="V59" i="211"/>
  <c r="L62" i="211"/>
  <c r="J65" i="211"/>
  <c r="J67" i="211" s="1"/>
  <c r="V57" i="210"/>
  <c r="L60" i="210"/>
  <c r="J63" i="210"/>
  <c r="J65" i="210" s="1"/>
  <c r="L59" i="195"/>
  <c r="V61" i="194"/>
  <c r="I65" i="194"/>
  <c r="I67" i="194" s="1"/>
  <c r="F68" i="193"/>
  <c r="F70" i="193" s="1"/>
  <c r="V41" i="190"/>
  <c r="V40" i="189"/>
  <c r="V38" i="190"/>
  <c r="V41" i="189"/>
  <c r="N58" i="188"/>
  <c r="N64" i="188" s="1"/>
  <c r="V38" i="209"/>
  <c r="V38" i="189"/>
  <c r="L36" i="203"/>
  <c r="L37" i="203"/>
  <c r="L38" i="203"/>
  <c r="L39" i="203"/>
  <c r="L40" i="203"/>
  <c r="L41" i="203"/>
  <c r="L42" i="203"/>
  <c r="V42" i="209"/>
  <c r="N63" i="189"/>
  <c r="N65" i="189" s="1"/>
  <c r="V42" i="189"/>
  <c r="Q25" i="188"/>
  <c r="Q26" i="188" s="1"/>
  <c r="N25" i="189"/>
  <c r="N26" i="189" s="1"/>
  <c r="N62" i="189" s="1"/>
  <c r="Q58" i="188"/>
  <c r="Q65" i="188" s="1"/>
  <c r="N59" i="187"/>
  <c r="V36" i="187"/>
  <c r="V39" i="187"/>
  <c r="E43" i="203"/>
  <c r="E59" i="203" s="1"/>
  <c r="O25" i="190"/>
  <c r="O26" i="190" s="1"/>
  <c r="V40" i="190"/>
  <c r="V43" i="188"/>
  <c r="AH4" i="188"/>
  <c r="AH4" i="190"/>
  <c r="V43" i="190"/>
  <c r="V43" i="209"/>
  <c r="AH4" i="209"/>
  <c r="V43" i="189"/>
  <c r="AH4" i="189"/>
  <c r="V43" i="187"/>
  <c r="AH4" i="187"/>
  <c r="F59" i="187"/>
  <c r="F66" i="187" s="1"/>
  <c r="H25" i="209"/>
  <c r="H26" i="209" s="1"/>
  <c r="H64" i="209" s="1"/>
  <c r="J25" i="189"/>
  <c r="J26" i="189" s="1"/>
  <c r="J63" i="189"/>
  <c r="J65" i="189" s="1"/>
  <c r="G59" i="187"/>
  <c r="D43" i="203"/>
  <c r="K25" i="190"/>
  <c r="K26" i="190" s="1"/>
  <c r="F25" i="187"/>
  <c r="F26" i="187" s="1"/>
  <c r="K61" i="189"/>
  <c r="K62" i="189"/>
  <c r="V34" i="189"/>
  <c r="V34" i="190"/>
  <c r="AG4" i="189"/>
  <c r="G25" i="187"/>
  <c r="G26" i="187" s="1"/>
  <c r="V32" i="187"/>
  <c r="V29" i="187"/>
  <c r="I25" i="188"/>
  <c r="I26" i="188" s="1"/>
  <c r="V34" i="188"/>
  <c r="V62" i="188" s="1"/>
  <c r="V33" i="187"/>
  <c r="K62" i="190"/>
  <c r="V32" i="189"/>
  <c r="L29" i="203"/>
  <c r="L30" i="203"/>
  <c r="L31" i="203"/>
  <c r="L33" i="203"/>
  <c r="V29" i="209"/>
  <c r="V29" i="188"/>
  <c r="V33" i="209"/>
  <c r="V30" i="190"/>
  <c r="V33" i="189"/>
  <c r="T63" i="209"/>
  <c r="U34" i="209"/>
  <c r="V34" i="209" s="1"/>
  <c r="V60" i="209" s="1"/>
  <c r="S58" i="188"/>
  <c r="V28" i="188"/>
  <c r="N65" i="209"/>
  <c r="N67" i="209" s="1"/>
  <c r="V28" i="190"/>
  <c r="M58" i="188"/>
  <c r="M64" i="188" s="1"/>
  <c r="U34" i="187"/>
  <c r="V34" i="187" s="1"/>
  <c r="V63" i="187" s="1"/>
  <c r="S25" i="190"/>
  <c r="S26" i="190" s="1"/>
  <c r="O26" i="189"/>
  <c r="O62" i="189" s="1"/>
  <c r="S25" i="188"/>
  <c r="S26" i="188" s="1"/>
  <c r="Q25" i="190"/>
  <c r="Q26" i="190" s="1"/>
  <c r="N25" i="209"/>
  <c r="N26" i="209" s="1"/>
  <c r="N64" i="209" s="1"/>
  <c r="V23" i="209"/>
  <c r="V24" i="189"/>
  <c r="V24" i="209"/>
  <c r="V23" i="190"/>
  <c r="V24" i="190"/>
  <c r="V23" i="189"/>
  <c r="G63" i="209"/>
  <c r="G65" i="209"/>
  <c r="G67" i="209" s="1"/>
  <c r="H65" i="209"/>
  <c r="H67" i="209" s="1"/>
  <c r="H63" i="209"/>
  <c r="K65" i="188"/>
  <c r="K67" i="188"/>
  <c r="I65" i="209"/>
  <c r="I67" i="209" s="1"/>
  <c r="E68" i="187"/>
  <c r="E70" i="187" s="1"/>
  <c r="E66" i="187"/>
  <c r="K63" i="209"/>
  <c r="K64" i="209"/>
  <c r="F62" i="190"/>
  <c r="J65" i="190"/>
  <c r="L21" i="209"/>
  <c r="AE4" i="209" s="1"/>
  <c r="I25" i="209"/>
  <c r="I26" i="209" s="1"/>
  <c r="I64" i="209" s="1"/>
  <c r="L21" i="187"/>
  <c r="AE4" i="187" s="1"/>
  <c r="F25" i="189"/>
  <c r="F26" i="189" s="1"/>
  <c r="F62" i="189" s="1"/>
  <c r="V19" i="189"/>
  <c r="D63" i="189"/>
  <c r="K25" i="209"/>
  <c r="K26" i="209" s="1"/>
  <c r="G25" i="188"/>
  <c r="G26" i="188" s="1"/>
  <c r="G66" i="188" s="1"/>
  <c r="D58" i="188"/>
  <c r="I25" i="189"/>
  <c r="I26" i="189" s="1"/>
  <c r="K25" i="187"/>
  <c r="K26" i="187" s="1"/>
  <c r="D25" i="190"/>
  <c r="G25" i="189"/>
  <c r="G26" i="189" s="1"/>
  <c r="G62" i="189" s="1"/>
  <c r="K25" i="189"/>
  <c r="K26" i="189" s="1"/>
  <c r="K69" i="188"/>
  <c r="V16" i="209"/>
  <c r="V19" i="209"/>
  <c r="J25" i="190"/>
  <c r="J26" i="190" s="1"/>
  <c r="H65" i="190"/>
  <c r="V19" i="187"/>
  <c r="H25" i="187"/>
  <c r="H26" i="187" s="1"/>
  <c r="H67" i="187" s="1"/>
  <c r="T67" i="187"/>
  <c r="T68" i="187"/>
  <c r="T70" i="187" s="1"/>
  <c r="O65" i="209"/>
  <c r="O67" i="209" s="1"/>
  <c r="O63" i="190"/>
  <c r="O65" i="190" s="1"/>
  <c r="O61" i="190"/>
  <c r="T66" i="188"/>
  <c r="T67" i="188"/>
  <c r="T69" i="188" s="1"/>
  <c r="N61" i="190"/>
  <c r="N62" i="190"/>
  <c r="V21" i="190"/>
  <c r="AE5" i="190"/>
  <c r="T25" i="187"/>
  <c r="T26" i="187" s="1"/>
  <c r="U21" i="188"/>
  <c r="U61" i="188" s="1"/>
  <c r="M62" i="190"/>
  <c r="O66" i="188"/>
  <c r="N25" i="190"/>
  <c r="N26" i="190" s="1"/>
  <c r="P65" i="190"/>
  <c r="R25" i="187"/>
  <c r="R26" i="187" s="1"/>
  <c r="R67" i="187" s="1"/>
  <c r="Q25" i="209"/>
  <c r="Q26" i="209" s="1"/>
  <c r="Q64" i="209" s="1"/>
  <c r="P25" i="190"/>
  <c r="P26" i="190" s="1"/>
  <c r="Q65" i="190"/>
  <c r="T25" i="209"/>
  <c r="T26" i="209" s="1"/>
  <c r="R70" i="187"/>
  <c r="L18" i="203"/>
  <c r="S65" i="190"/>
  <c r="M63" i="209"/>
  <c r="N25" i="187"/>
  <c r="N26" i="187" s="1"/>
  <c r="AC5" i="190"/>
  <c r="M25" i="190"/>
  <c r="S63" i="209"/>
  <c r="O25" i="187"/>
  <c r="O26" i="187" s="1"/>
  <c r="O67" i="187" s="1"/>
  <c r="O66" i="187"/>
  <c r="U60" i="187"/>
  <c r="AC5" i="187" s="1"/>
  <c r="M25" i="187"/>
  <c r="M25" i="189"/>
  <c r="U59" i="188"/>
  <c r="AC5" i="188" s="1"/>
  <c r="M25" i="188"/>
  <c r="AC5" i="209"/>
  <c r="R65" i="190"/>
  <c r="R65" i="189"/>
  <c r="S70" i="187"/>
  <c r="O61" i="189"/>
  <c r="N66" i="188"/>
  <c r="N63" i="209"/>
  <c r="S64" i="209"/>
  <c r="P65" i="209"/>
  <c r="P67" i="209" s="1"/>
  <c r="P61" i="190"/>
  <c r="O62" i="190"/>
  <c r="T63" i="190"/>
  <c r="T65" i="190" s="1"/>
  <c r="V14" i="189"/>
  <c r="U59" i="189"/>
  <c r="R61" i="189"/>
  <c r="P62" i="189"/>
  <c r="V14" i="188"/>
  <c r="U62" i="188"/>
  <c r="P66" i="188"/>
  <c r="V14" i="187"/>
  <c r="P66" i="187"/>
  <c r="O63" i="209"/>
  <c r="T64" i="209"/>
  <c r="Q65" i="209"/>
  <c r="Q67" i="209" s="1"/>
  <c r="U58" i="190"/>
  <c r="Q61" i="190"/>
  <c r="P62" i="190"/>
  <c r="T14" i="189"/>
  <c r="V59" i="189"/>
  <c r="S61" i="189"/>
  <c r="T14" i="188"/>
  <c r="R65" i="188"/>
  <c r="N67" i="188"/>
  <c r="N69" i="188" s="1"/>
  <c r="T14" i="187"/>
  <c r="Q66" i="187"/>
  <c r="P67" i="187"/>
  <c r="N68" i="187"/>
  <c r="P63" i="209"/>
  <c r="R65" i="209"/>
  <c r="R67" i="209" s="1"/>
  <c r="U59" i="190"/>
  <c r="R61" i="190"/>
  <c r="Q62" i="190"/>
  <c r="N63" i="190"/>
  <c r="N65" i="190" s="1"/>
  <c r="T61" i="189"/>
  <c r="R62" i="189"/>
  <c r="O63" i="189"/>
  <c r="O65" i="189" s="1"/>
  <c r="U63" i="188"/>
  <c r="R66" i="188"/>
  <c r="O67" i="188"/>
  <c r="U64" i="187"/>
  <c r="R66" i="187"/>
  <c r="Q67" i="187"/>
  <c r="T63" i="189"/>
  <c r="T65" i="189" s="1"/>
  <c r="U61" i="209"/>
  <c r="Q63" i="209"/>
  <c r="S65" i="209"/>
  <c r="S67" i="209" s="1"/>
  <c r="S61" i="190"/>
  <c r="R62" i="190"/>
  <c r="P63" i="189"/>
  <c r="P65" i="189" s="1"/>
  <c r="T65" i="188"/>
  <c r="S66" i="187"/>
  <c r="T14" i="209"/>
  <c r="Q61" i="189"/>
  <c r="P65" i="188"/>
  <c r="V14" i="209"/>
  <c r="V61" i="209"/>
  <c r="T65" i="209"/>
  <c r="T67" i="209" s="1"/>
  <c r="T61" i="190"/>
  <c r="S62" i="190"/>
  <c r="N61" i="189"/>
  <c r="T66" i="187"/>
  <c r="S67" i="187"/>
  <c r="M25" i="209"/>
  <c r="M66" i="187"/>
  <c r="V14" i="190"/>
  <c r="I25" i="190"/>
  <c r="I26" i="190" s="1"/>
  <c r="I61" i="190"/>
  <c r="F61" i="190"/>
  <c r="AD4" i="189"/>
  <c r="D25" i="187"/>
  <c r="L60" i="187"/>
  <c r="AD4" i="187"/>
  <c r="G61" i="190"/>
  <c r="I62" i="189"/>
  <c r="H61" i="190"/>
  <c r="AD4" i="190"/>
  <c r="J62" i="189"/>
  <c r="L59" i="188"/>
  <c r="D25" i="188"/>
  <c r="I67" i="187"/>
  <c r="H25" i="189"/>
  <c r="H26" i="189" s="1"/>
  <c r="H62" i="189" s="1"/>
  <c r="H61" i="189"/>
  <c r="J65" i="188"/>
  <c r="J66" i="187"/>
  <c r="E25" i="190"/>
  <c r="E26" i="190" s="1"/>
  <c r="E62" i="190" s="1"/>
  <c r="J62" i="190"/>
  <c r="V58" i="209"/>
  <c r="AD4" i="209"/>
  <c r="I65" i="190"/>
  <c r="D66" i="187"/>
  <c r="F61" i="189"/>
  <c r="E66" i="188"/>
  <c r="D26" i="190"/>
  <c r="G61" i="189"/>
  <c r="K14" i="190"/>
  <c r="K59" i="203"/>
  <c r="I63" i="209"/>
  <c r="J65" i="209"/>
  <c r="J67" i="209" s="1"/>
  <c r="L58" i="190"/>
  <c r="J61" i="190"/>
  <c r="G62" i="190"/>
  <c r="I61" i="189"/>
  <c r="E65" i="188"/>
  <c r="J66" i="188"/>
  <c r="F67" i="188"/>
  <c r="F69" i="188" s="1"/>
  <c r="L64" i="187"/>
  <c r="K67" i="187"/>
  <c r="L60" i="209"/>
  <c r="J63" i="209"/>
  <c r="K65" i="209"/>
  <c r="K67" i="209" s="1"/>
  <c r="V60" i="190"/>
  <c r="H62" i="190"/>
  <c r="D63" i="190"/>
  <c r="D65" i="190" s="1"/>
  <c r="L58" i="189"/>
  <c r="J61" i="189"/>
  <c r="K63" i="189"/>
  <c r="K65" i="189" s="1"/>
  <c r="L63" i="188"/>
  <c r="F65" i="188"/>
  <c r="K66" i="188"/>
  <c r="G67" i="188"/>
  <c r="G69" i="188" s="1"/>
  <c r="G66" i="187"/>
  <c r="H68" i="187"/>
  <c r="H70" i="187" s="1"/>
  <c r="D65" i="209"/>
  <c r="V58" i="190"/>
  <c r="D61" i="190"/>
  <c r="I62" i="190"/>
  <c r="E63" i="190"/>
  <c r="E65" i="190" s="1"/>
  <c r="H67" i="188"/>
  <c r="H69" i="188" s="1"/>
  <c r="K14" i="187"/>
  <c r="V64" i="187"/>
  <c r="H66" i="187"/>
  <c r="E67" i="187"/>
  <c r="I68" i="187"/>
  <c r="I70" i="187" s="1"/>
  <c r="E65" i="209"/>
  <c r="E67" i="209" s="1"/>
  <c r="E61" i="190"/>
  <c r="F63" i="190"/>
  <c r="F65" i="190" s="1"/>
  <c r="V58" i="189"/>
  <c r="V63" i="188"/>
  <c r="H65" i="188"/>
  <c r="I66" i="187"/>
  <c r="J68" i="187"/>
  <c r="J70" i="187" s="1"/>
  <c r="L59" i="190"/>
  <c r="G63" i="190"/>
  <c r="G65" i="190" s="1"/>
  <c r="F63" i="189"/>
  <c r="F65" i="189" s="1"/>
  <c r="K14" i="188"/>
  <c r="J67" i="188"/>
  <c r="J69" i="188" s="1"/>
  <c r="L63" i="187"/>
  <c r="K68" i="187"/>
  <c r="K70" i="187" s="1"/>
  <c r="K57" i="203"/>
  <c r="L61" i="209"/>
  <c r="AA4" i="187"/>
  <c r="D68" i="187"/>
  <c r="D70" i="187" s="1"/>
  <c r="K13" i="203"/>
  <c r="K55" i="203" s="1"/>
  <c r="I54" i="178"/>
  <c r="I60" i="178" s="1"/>
  <c r="U34" i="178"/>
  <c r="Q54" i="178"/>
  <c r="Q60" i="178" s="1"/>
  <c r="U58" i="178"/>
  <c r="P54" i="178"/>
  <c r="P60" i="178" s="1"/>
  <c r="V24" i="178"/>
  <c r="S57" i="178"/>
  <c r="R57" i="178"/>
  <c r="Q57" i="178"/>
  <c r="Q25" i="178"/>
  <c r="Q26" i="178" s="1"/>
  <c r="Q62" i="178" s="1"/>
  <c r="P57" i="178"/>
  <c r="O57" i="178"/>
  <c r="M57" i="178"/>
  <c r="U56" i="178"/>
  <c r="AD5" i="178" s="1"/>
  <c r="AA5" i="178"/>
  <c r="G58" i="178"/>
  <c r="V28" i="178"/>
  <c r="J54" i="178"/>
  <c r="J63" i="178" s="1"/>
  <c r="H34" i="203"/>
  <c r="H58" i="203" s="1"/>
  <c r="H58" i="178"/>
  <c r="L34" i="178"/>
  <c r="V34" i="178" s="1"/>
  <c r="I57" i="178"/>
  <c r="J60" i="178"/>
  <c r="J57" i="178"/>
  <c r="J61" i="178"/>
  <c r="I25" i="178"/>
  <c r="I26" i="178" s="1"/>
  <c r="J25" i="178"/>
  <c r="J26" i="178" s="1"/>
  <c r="J62" i="178" s="1"/>
  <c r="V10" i="178"/>
  <c r="H59" i="178"/>
  <c r="H54" i="178"/>
  <c r="H60" i="178" s="1"/>
  <c r="G59" i="178"/>
  <c r="G54" i="178"/>
  <c r="G60" i="178" s="1"/>
  <c r="F58" i="178"/>
  <c r="V8" i="178"/>
  <c r="F57" i="178"/>
  <c r="F54" i="178"/>
  <c r="F60" i="178" s="1"/>
  <c r="E54" i="178"/>
  <c r="E60" i="178" s="1"/>
  <c r="V7" i="178"/>
  <c r="E58" i="178"/>
  <c r="F14" i="178"/>
  <c r="L59" i="178" s="1"/>
  <c r="V6" i="178"/>
  <c r="D58" i="178"/>
  <c r="D54" i="178"/>
  <c r="D60" i="178" s="1"/>
  <c r="D59" i="178"/>
  <c r="D57" i="178"/>
  <c r="O78" i="178"/>
  <c r="V64" i="178"/>
  <c r="D2" i="205" s="1"/>
  <c r="V23" i="178"/>
  <c r="Q61" i="178"/>
  <c r="Q63" i="178"/>
  <c r="Q65" i="178" s="1"/>
  <c r="U54" i="178"/>
  <c r="U60" i="178" s="1"/>
  <c r="V19" i="178"/>
  <c r="R63" i="178"/>
  <c r="R65" i="178" s="1"/>
  <c r="U21" i="178"/>
  <c r="AE5" i="178" s="1"/>
  <c r="E57" i="178"/>
  <c r="L21" i="178"/>
  <c r="G57" i="178"/>
  <c r="H57" i="178"/>
  <c r="P63" i="178"/>
  <c r="P65" i="178" s="1"/>
  <c r="M63" i="178"/>
  <c r="M65" i="178" s="1"/>
  <c r="S63" i="178"/>
  <c r="S65" i="178" s="1"/>
  <c r="P61" i="178"/>
  <c r="U59" i="178"/>
  <c r="N63" i="178"/>
  <c r="N65" i="178" s="1"/>
  <c r="O63" i="178"/>
  <c r="O65" i="178" s="1"/>
  <c r="O25" i="178"/>
  <c r="O26" i="178" s="1"/>
  <c r="O62" i="178" s="1"/>
  <c r="O61" i="178"/>
  <c r="S61" i="178"/>
  <c r="S25" i="178"/>
  <c r="S26" i="178" s="1"/>
  <c r="S62" i="178" s="1"/>
  <c r="N25" i="178"/>
  <c r="N26" i="178" s="1"/>
  <c r="N62" i="178" s="1"/>
  <c r="N61" i="178"/>
  <c r="R61" i="178"/>
  <c r="R25" i="178"/>
  <c r="R26" i="178" s="1"/>
  <c r="R62" i="178" s="1"/>
  <c r="U55" i="178"/>
  <c r="M25" i="178"/>
  <c r="M61" i="178"/>
  <c r="T14" i="178"/>
  <c r="P25" i="178"/>
  <c r="P26" i="178" s="1"/>
  <c r="P62" i="178" s="1"/>
  <c r="E25" i="178"/>
  <c r="E26" i="178" s="1"/>
  <c r="L55" i="178"/>
  <c r="D25" i="178"/>
  <c r="F25" i="178"/>
  <c r="F26" i="178" s="1"/>
  <c r="H25" i="178"/>
  <c r="H26" i="178" s="1"/>
  <c r="AD4" i="178"/>
  <c r="K14" i="178"/>
  <c r="G25" i="178"/>
  <c r="G26" i="178" s="1"/>
  <c r="U34" i="202"/>
  <c r="P58" i="202"/>
  <c r="V23" i="202"/>
  <c r="V24" i="202"/>
  <c r="S57" i="202"/>
  <c r="R54" i="202"/>
  <c r="R60" i="202" s="1"/>
  <c r="Q25" i="202"/>
  <c r="Q26" i="202" s="1"/>
  <c r="Q54" i="202"/>
  <c r="Q61" i="202" s="1"/>
  <c r="P57" i="202"/>
  <c r="P25" i="202"/>
  <c r="P26" i="202" s="1"/>
  <c r="P62" i="202" s="1"/>
  <c r="U21" i="202"/>
  <c r="AE5" i="202" s="1"/>
  <c r="N54" i="202"/>
  <c r="N60" i="202" s="1"/>
  <c r="V19" i="202"/>
  <c r="M54" i="202"/>
  <c r="M60" i="202" s="1"/>
  <c r="M57" i="202"/>
  <c r="R25" i="202"/>
  <c r="R26" i="202" s="1"/>
  <c r="U56" i="202"/>
  <c r="AD5" i="202" s="1"/>
  <c r="S25" i="202"/>
  <c r="S26" i="202" s="1"/>
  <c r="S62" i="202" s="1"/>
  <c r="S61" i="202"/>
  <c r="T14" i="202"/>
  <c r="N25" i="202"/>
  <c r="N26" i="202" s="1"/>
  <c r="N62" i="202" s="1"/>
  <c r="N61" i="202"/>
  <c r="M55" i="202"/>
  <c r="O60" i="202"/>
  <c r="O65" i="202" s="1"/>
  <c r="P60" i="202"/>
  <c r="P65" i="202" s="1"/>
  <c r="Q60" i="202"/>
  <c r="O61" i="202"/>
  <c r="S63" i="202"/>
  <c r="U58" i="202"/>
  <c r="P61" i="202"/>
  <c r="AA5" i="202"/>
  <c r="U59" i="202"/>
  <c r="S60" i="202"/>
  <c r="O62" i="202"/>
  <c r="N63" i="202"/>
  <c r="N65" i="202" s="1"/>
  <c r="J34" i="203"/>
  <c r="J58" i="203" s="1"/>
  <c r="I34" i="203"/>
  <c r="I58" i="203" s="1"/>
  <c r="G34" i="203"/>
  <c r="G58" i="203" s="1"/>
  <c r="L32" i="203"/>
  <c r="E34" i="203"/>
  <c r="E58" i="203" s="1"/>
  <c r="J25" i="202"/>
  <c r="J26" i="202" s="1"/>
  <c r="J54" i="202"/>
  <c r="J61" i="202" s="1"/>
  <c r="I54" i="202"/>
  <c r="I63" i="202" s="1"/>
  <c r="I25" i="202"/>
  <c r="I26" i="202" s="1"/>
  <c r="H25" i="202"/>
  <c r="H26" i="202" s="1"/>
  <c r="H62" i="202" s="1"/>
  <c r="H57" i="202"/>
  <c r="L21" i="202"/>
  <c r="AE4" i="202" s="1"/>
  <c r="D57" i="202"/>
  <c r="G25" i="202"/>
  <c r="G26" i="202" s="1"/>
  <c r="G54" i="202"/>
  <c r="G63" i="202" s="1"/>
  <c r="V28" i="202"/>
  <c r="L34" i="202"/>
  <c r="V34" i="202" s="1"/>
  <c r="V58" i="202" s="1"/>
  <c r="F54" i="202"/>
  <c r="F60" i="202" s="1"/>
  <c r="F25" i="202"/>
  <c r="F26" i="202" s="1"/>
  <c r="E54" i="202"/>
  <c r="E60" i="202" s="1"/>
  <c r="D54" i="202"/>
  <c r="D60" i="202" s="1"/>
  <c r="D58" i="202"/>
  <c r="O78" i="202"/>
  <c r="V64" i="202"/>
  <c r="D32" i="205" s="1"/>
  <c r="L56" i="202"/>
  <c r="H61" i="202"/>
  <c r="K14" i="202"/>
  <c r="E55" i="202"/>
  <c r="E25" i="202" s="1"/>
  <c r="E26" i="202" s="1"/>
  <c r="E62" i="202" s="1"/>
  <c r="D25" i="202"/>
  <c r="D26" i="202" s="1"/>
  <c r="AA4" i="202"/>
  <c r="V14" i="202"/>
  <c r="V56" i="202"/>
  <c r="AD4" i="202"/>
  <c r="H60" i="202"/>
  <c r="L59" i="202"/>
  <c r="J60" i="202"/>
  <c r="H63" i="202"/>
  <c r="V59" i="202"/>
  <c r="V24" i="200"/>
  <c r="S54" i="200"/>
  <c r="S61" i="200" s="1"/>
  <c r="R25" i="200"/>
  <c r="R26" i="200" s="1"/>
  <c r="R62" i="200" s="1"/>
  <c r="Q57" i="200"/>
  <c r="Q25" i="200"/>
  <c r="Q26" i="200" s="1"/>
  <c r="Q62" i="200" s="1"/>
  <c r="P25" i="200"/>
  <c r="P26" i="200" s="1"/>
  <c r="P54" i="200"/>
  <c r="P60" i="200" s="1"/>
  <c r="V19" i="200"/>
  <c r="O57" i="200"/>
  <c r="M57" i="200"/>
  <c r="U21" i="200"/>
  <c r="AE5" i="200" s="1"/>
  <c r="O63" i="200"/>
  <c r="O25" i="200"/>
  <c r="O26" i="200" s="1"/>
  <c r="O62" i="200" s="1"/>
  <c r="U56" i="200"/>
  <c r="AD5" i="200" s="1"/>
  <c r="R61" i="200"/>
  <c r="U55" i="200"/>
  <c r="AC5" i="200" s="1"/>
  <c r="M25" i="200"/>
  <c r="M26" i="200" s="1"/>
  <c r="M62" i="200" s="1"/>
  <c r="T14" i="200"/>
  <c r="O60" i="200"/>
  <c r="O65" i="200" s="1"/>
  <c r="R63" i="200"/>
  <c r="S60" i="200"/>
  <c r="V28" i="200"/>
  <c r="S25" i="200"/>
  <c r="S26" i="200" s="1"/>
  <c r="S62" i="200" s="1"/>
  <c r="S58" i="200"/>
  <c r="U34" i="200"/>
  <c r="U58" i="200" s="1"/>
  <c r="M61" i="200"/>
  <c r="Q63" i="200"/>
  <c r="Q60" i="200"/>
  <c r="O61" i="200"/>
  <c r="S63" i="200"/>
  <c r="R60" i="200"/>
  <c r="R65" i="200" s="1"/>
  <c r="N62" i="200"/>
  <c r="N61" i="200"/>
  <c r="AA5" i="200"/>
  <c r="U59" i="200"/>
  <c r="Q61" i="200"/>
  <c r="M63" i="200"/>
  <c r="M65" i="200" s="1"/>
  <c r="N63" i="200"/>
  <c r="N65" i="200" s="1"/>
  <c r="O78" i="200"/>
  <c r="V64" i="200"/>
  <c r="D30" i="205" s="1"/>
  <c r="L34" i="200"/>
  <c r="V34" i="200" s="1"/>
  <c r="V58" i="200" s="1"/>
  <c r="F34" i="203"/>
  <c r="F58" i="203" s="1"/>
  <c r="H25" i="200"/>
  <c r="H26" i="200" s="1"/>
  <c r="G57" i="200"/>
  <c r="F54" i="200"/>
  <c r="F60" i="200" s="1"/>
  <c r="J57" i="200"/>
  <c r="J25" i="200"/>
  <c r="J26" i="200" s="1"/>
  <c r="J62" i="200" s="1"/>
  <c r="I57" i="200"/>
  <c r="H57" i="200"/>
  <c r="F25" i="200"/>
  <c r="F26" i="200" s="1"/>
  <c r="E25" i="200"/>
  <c r="E26" i="200" s="1"/>
  <c r="E54" i="200"/>
  <c r="E60" i="200" s="1"/>
  <c r="L21" i="200"/>
  <c r="L57" i="200" s="1"/>
  <c r="D54" i="200"/>
  <c r="D60" i="200" s="1"/>
  <c r="G25" i="200"/>
  <c r="G26" i="200" s="1"/>
  <c r="G62" i="200" s="1"/>
  <c r="L56" i="200"/>
  <c r="J61" i="200"/>
  <c r="I61" i="200"/>
  <c r="L55" i="200"/>
  <c r="AC4" i="200" s="1"/>
  <c r="D25" i="200"/>
  <c r="D26" i="200" s="1"/>
  <c r="K14" i="200"/>
  <c r="V14" i="200"/>
  <c r="AA4" i="200"/>
  <c r="E63" i="200"/>
  <c r="E65" i="200" s="1"/>
  <c r="AD4" i="200"/>
  <c r="I62" i="200"/>
  <c r="H60" i="200"/>
  <c r="E61" i="200"/>
  <c r="L59" i="200"/>
  <c r="I60" i="200"/>
  <c r="G63" i="200"/>
  <c r="G65" i="200" s="1"/>
  <c r="J60" i="200"/>
  <c r="G61" i="200"/>
  <c r="V59" i="200"/>
  <c r="I63" i="200"/>
  <c r="J63" i="200"/>
  <c r="V64" i="201"/>
  <c r="D31" i="205" s="1"/>
  <c r="V24" i="201"/>
  <c r="S57" i="201"/>
  <c r="Q25" i="201"/>
  <c r="Q26" i="201" s="1"/>
  <c r="Q62" i="201" s="1"/>
  <c r="N54" i="201"/>
  <c r="N60" i="201" s="1"/>
  <c r="M60" i="201"/>
  <c r="M65" i="201" s="1"/>
  <c r="U21" i="201"/>
  <c r="AE5" i="201" s="1"/>
  <c r="V19" i="201"/>
  <c r="U56" i="201"/>
  <c r="AD5" i="201" s="1"/>
  <c r="S63" i="201"/>
  <c r="S65" i="201" s="1"/>
  <c r="S25" i="201"/>
  <c r="S26" i="201" s="1"/>
  <c r="S62" i="201" s="1"/>
  <c r="S61" i="201"/>
  <c r="Q61" i="201"/>
  <c r="P25" i="201"/>
  <c r="P26" i="201" s="1"/>
  <c r="P62" i="201" s="1"/>
  <c r="P61" i="201"/>
  <c r="O62" i="201"/>
  <c r="T14" i="201"/>
  <c r="N62" i="201"/>
  <c r="M55" i="201"/>
  <c r="M61" i="201" s="1"/>
  <c r="O63" i="201"/>
  <c r="P63" i="201"/>
  <c r="O60" i="201"/>
  <c r="Q63" i="201"/>
  <c r="AA5" i="201"/>
  <c r="P60" i="201"/>
  <c r="Q60" i="201"/>
  <c r="O61" i="201"/>
  <c r="U58" i="201"/>
  <c r="O78" i="201"/>
  <c r="J54" i="201"/>
  <c r="J60" i="201" s="1"/>
  <c r="V28" i="201"/>
  <c r="L34" i="201"/>
  <c r="V34" i="201" s="1"/>
  <c r="V58" i="201" s="1"/>
  <c r="G25" i="201"/>
  <c r="G26" i="201" s="1"/>
  <c r="G62" i="201" s="1"/>
  <c r="E25" i="201"/>
  <c r="E26" i="201" s="1"/>
  <c r="J57" i="201"/>
  <c r="I54" i="201"/>
  <c r="I60" i="201" s="1"/>
  <c r="H54" i="201"/>
  <c r="H63" i="201" s="1"/>
  <c r="G57" i="201"/>
  <c r="F25" i="201"/>
  <c r="F26" i="201" s="1"/>
  <c r="F54" i="201"/>
  <c r="F61" i="201" s="1"/>
  <c r="E54" i="201"/>
  <c r="E61" i="201" s="1"/>
  <c r="L21" i="201"/>
  <c r="L57" i="201" s="1"/>
  <c r="D57" i="201"/>
  <c r="D25" i="201"/>
  <c r="D26" i="201" s="1"/>
  <c r="D63" i="201"/>
  <c r="D65" i="201" s="1"/>
  <c r="H25" i="201"/>
  <c r="H26" i="201" s="1"/>
  <c r="H62" i="201" s="1"/>
  <c r="G61" i="201"/>
  <c r="K14" i="201"/>
  <c r="V14" i="201"/>
  <c r="AA4" i="201"/>
  <c r="V59" i="201"/>
  <c r="AD4" i="201"/>
  <c r="L55" i="201"/>
  <c r="F60" i="201"/>
  <c r="G60" i="201"/>
  <c r="D61" i="201"/>
  <c r="L59" i="201"/>
  <c r="G63" i="201"/>
  <c r="F54" i="199"/>
  <c r="F60" i="199" s="1"/>
  <c r="E54" i="199"/>
  <c r="L34" i="199"/>
  <c r="L58" i="199" s="1"/>
  <c r="J64" i="203"/>
  <c r="U34" i="199"/>
  <c r="AG5" i="199"/>
  <c r="V24" i="199"/>
  <c r="V23" i="199"/>
  <c r="Q57" i="199"/>
  <c r="V19" i="199"/>
  <c r="S61" i="199"/>
  <c r="R25" i="199"/>
  <c r="R26" i="199" s="1"/>
  <c r="U55" i="199"/>
  <c r="AC5" i="199" s="1"/>
  <c r="T14" i="199"/>
  <c r="N25" i="199"/>
  <c r="N26" i="199" s="1"/>
  <c r="P54" i="199"/>
  <c r="P63" i="199" s="1"/>
  <c r="S25" i="199"/>
  <c r="S26" i="199" s="1"/>
  <c r="S62" i="199" s="1"/>
  <c r="S57" i="199"/>
  <c r="R57" i="199"/>
  <c r="R54" i="199"/>
  <c r="Q25" i="199"/>
  <c r="Q26" i="199" s="1"/>
  <c r="Q62" i="199" s="1"/>
  <c r="P25" i="199"/>
  <c r="P26" i="199" s="1"/>
  <c r="O25" i="199"/>
  <c r="O26" i="199" s="1"/>
  <c r="O54" i="199"/>
  <c r="O63" i="199" s="1"/>
  <c r="L20" i="203"/>
  <c r="U21" i="199"/>
  <c r="AE5" i="199" s="1"/>
  <c r="N54" i="199"/>
  <c r="N63" i="199" s="1"/>
  <c r="N57" i="199"/>
  <c r="M54" i="199"/>
  <c r="M61" i="199" s="1"/>
  <c r="M25" i="199"/>
  <c r="M26" i="199" s="1"/>
  <c r="M57" i="199"/>
  <c r="S60" i="199"/>
  <c r="S63" i="199"/>
  <c r="U58" i="199"/>
  <c r="N61" i="199"/>
  <c r="Q60" i="199"/>
  <c r="Q65" i="199" s="1"/>
  <c r="Q61" i="199"/>
  <c r="U59" i="199"/>
  <c r="V58" i="199"/>
  <c r="H54" i="199"/>
  <c r="H63" i="199" s="1"/>
  <c r="E57" i="199"/>
  <c r="J54" i="199"/>
  <c r="J62" i="199" s="1"/>
  <c r="I57" i="199"/>
  <c r="G25" i="199"/>
  <c r="G26" i="199" s="1"/>
  <c r="G54" i="199"/>
  <c r="G60" i="199" s="1"/>
  <c r="F25" i="199"/>
  <c r="F26" i="199" s="1"/>
  <c r="L21" i="199"/>
  <c r="D57" i="199"/>
  <c r="D54" i="199"/>
  <c r="D61" i="199" s="1"/>
  <c r="F74" i="203"/>
  <c r="O78" i="199"/>
  <c r="G64" i="203"/>
  <c r="I64" i="203"/>
  <c r="K64" i="203"/>
  <c r="V64" i="199"/>
  <c r="D29" i="205" s="1"/>
  <c r="D64" i="203"/>
  <c r="L64" i="203"/>
  <c r="D33" i="205" s="1"/>
  <c r="E64" i="203"/>
  <c r="F64" i="203"/>
  <c r="H64" i="203"/>
  <c r="H25" i="199"/>
  <c r="H26" i="199" s="1"/>
  <c r="E63" i="199"/>
  <c r="I25" i="199"/>
  <c r="I26" i="199" s="1"/>
  <c r="I62" i="199" s="1"/>
  <c r="L56" i="199"/>
  <c r="AD4" i="199" s="1"/>
  <c r="K14" i="199"/>
  <c r="E25" i="199"/>
  <c r="E26" i="199" s="1"/>
  <c r="E62" i="199" s="1"/>
  <c r="L55" i="199"/>
  <c r="AC4" i="199" s="1"/>
  <c r="D25" i="199"/>
  <c r="D26" i="199" s="1"/>
  <c r="E61" i="199"/>
  <c r="H60" i="199"/>
  <c r="V14" i="199"/>
  <c r="V59" i="199"/>
  <c r="I63" i="199"/>
  <c r="I65" i="199" s="1"/>
  <c r="U56" i="199"/>
  <c r="AD5" i="199" s="1"/>
  <c r="I61" i="199"/>
  <c r="E60" i="199"/>
  <c r="AA4" i="199"/>
  <c r="L59" i="199"/>
  <c r="L24" i="203"/>
  <c r="L23" i="203"/>
  <c r="V24" i="198"/>
  <c r="V23" i="198"/>
  <c r="V19" i="198"/>
  <c r="P62" i="198"/>
  <c r="L28" i="203"/>
  <c r="AG4" i="203" s="1"/>
  <c r="V28" i="198"/>
  <c r="U34" i="198"/>
  <c r="V34" i="198" s="1"/>
  <c r="D34" i="203"/>
  <c r="S68" i="198"/>
  <c r="Q25" i="198"/>
  <c r="Q26" i="198" s="1"/>
  <c r="P66" i="198"/>
  <c r="O25" i="198"/>
  <c r="O26" i="198" s="1"/>
  <c r="U60" i="198"/>
  <c r="AC5" i="198" s="1"/>
  <c r="N25" i="198"/>
  <c r="N26" i="198" s="1"/>
  <c r="T14" i="198"/>
  <c r="S62" i="198"/>
  <c r="S25" i="198"/>
  <c r="S26" i="198" s="1"/>
  <c r="S67" i="198" s="1"/>
  <c r="J21" i="203"/>
  <c r="J57" i="203" s="1"/>
  <c r="R25" i="198"/>
  <c r="R26" i="198" s="1"/>
  <c r="R67" i="198" s="1"/>
  <c r="R62" i="198"/>
  <c r="Q62" i="198"/>
  <c r="Q59" i="198"/>
  <c r="Q65" i="198" s="1"/>
  <c r="P25" i="198"/>
  <c r="P26" i="198" s="1"/>
  <c r="P67" i="198" s="1"/>
  <c r="O59" i="198"/>
  <c r="O66" i="198" s="1"/>
  <c r="O62" i="198"/>
  <c r="U21" i="198"/>
  <c r="AE5" i="198" s="1"/>
  <c r="N59" i="198"/>
  <c r="N66" i="198" s="1"/>
  <c r="N62" i="198"/>
  <c r="M59" i="198"/>
  <c r="M68" i="198" s="1"/>
  <c r="M25" i="198"/>
  <c r="M62" i="198"/>
  <c r="I21" i="203"/>
  <c r="H21" i="203"/>
  <c r="H57" i="203" s="1"/>
  <c r="H25" i="198"/>
  <c r="H26" i="198" s="1"/>
  <c r="G21" i="203"/>
  <c r="G25" i="198"/>
  <c r="G26" i="198" s="1"/>
  <c r="G67" i="198" s="1"/>
  <c r="F21" i="203"/>
  <c r="F57" i="203" s="1"/>
  <c r="E21" i="203"/>
  <c r="E57" i="203" s="1"/>
  <c r="E59" i="198"/>
  <c r="E68" i="198" s="1"/>
  <c r="L19" i="203"/>
  <c r="V69" i="198"/>
  <c r="D28" i="205" s="1"/>
  <c r="J25" i="198"/>
  <c r="J26" i="198" s="1"/>
  <c r="J59" i="198"/>
  <c r="J66" i="198" s="1"/>
  <c r="I59" i="198"/>
  <c r="I65" i="198" s="1"/>
  <c r="I25" i="198"/>
  <c r="I26" i="198" s="1"/>
  <c r="H59" i="198"/>
  <c r="G62" i="198"/>
  <c r="F62" i="198"/>
  <c r="F25" i="198"/>
  <c r="F26" i="198" s="1"/>
  <c r="F67" i="198" s="1"/>
  <c r="L21" i="198"/>
  <c r="AE4" i="198" s="1"/>
  <c r="L17" i="203"/>
  <c r="D59" i="198"/>
  <c r="D62" i="198"/>
  <c r="D21" i="203"/>
  <c r="D57" i="203" s="1"/>
  <c r="K12" i="203"/>
  <c r="J55" i="203" s="1"/>
  <c r="K10" i="203"/>
  <c r="H55" i="203" s="1"/>
  <c r="K7" i="203"/>
  <c r="E55" i="203" s="1"/>
  <c r="K9" i="203"/>
  <c r="G55" i="203" s="1"/>
  <c r="K8" i="203"/>
  <c r="F55" i="203" s="1"/>
  <c r="K11" i="203"/>
  <c r="I55" i="203" s="1"/>
  <c r="I14" i="203"/>
  <c r="D56" i="203"/>
  <c r="L56" i="203" s="1"/>
  <c r="AD4" i="203" s="1"/>
  <c r="AA5" i="198"/>
  <c r="U64" i="198"/>
  <c r="S65" i="198"/>
  <c r="V63" i="198"/>
  <c r="S66" i="198"/>
  <c r="N65" i="198"/>
  <c r="P68" i="198"/>
  <c r="P65" i="198"/>
  <c r="R68" i="198"/>
  <c r="R70" i="198" s="1"/>
  <c r="R66" i="198"/>
  <c r="G14" i="203"/>
  <c r="E25" i="198"/>
  <c r="E26" i="198" s="1"/>
  <c r="L60" i="198"/>
  <c r="D25" i="198"/>
  <c r="D26" i="198" s="1"/>
  <c r="K14" i="198"/>
  <c r="K6" i="203"/>
  <c r="V14" i="198"/>
  <c r="F68" i="198"/>
  <c r="F70" i="198" s="1"/>
  <c r="AA4" i="198"/>
  <c r="AD4" i="198"/>
  <c r="U61" i="198"/>
  <c r="AD5" i="198" s="1"/>
  <c r="F59" i="203"/>
  <c r="L64" i="198"/>
  <c r="F66" i="198"/>
  <c r="G68" i="198"/>
  <c r="G70" i="198" s="1"/>
  <c r="F14" i="203"/>
  <c r="G59" i="203"/>
  <c r="J65" i="198"/>
  <c r="G66" i="198"/>
  <c r="H59" i="203"/>
  <c r="V64" i="198"/>
  <c r="I66" i="198"/>
  <c r="J59" i="203"/>
  <c r="L63" i="198"/>
  <c r="E65" i="198"/>
  <c r="E70" i="198" s="1"/>
  <c r="E64" i="195" l="1"/>
  <c r="E61" i="195"/>
  <c r="E66" i="195" s="1"/>
  <c r="H62" i="195"/>
  <c r="H61" i="195"/>
  <c r="H66" i="195"/>
  <c r="U58" i="195"/>
  <c r="P66" i="195"/>
  <c r="N64" i="195"/>
  <c r="N61" i="195"/>
  <c r="M64" i="195"/>
  <c r="M61" i="195"/>
  <c r="N64" i="194"/>
  <c r="U59" i="194"/>
  <c r="P65" i="194"/>
  <c r="P62" i="194"/>
  <c r="N63" i="194"/>
  <c r="N62" i="194"/>
  <c r="N67" i="194" s="1"/>
  <c r="S65" i="194"/>
  <c r="S62" i="194"/>
  <c r="J66" i="193"/>
  <c r="J68" i="193"/>
  <c r="J70" i="193" s="1"/>
  <c r="M68" i="193"/>
  <c r="M70" i="193" s="1"/>
  <c r="V34" i="193"/>
  <c r="V63" i="193" s="1"/>
  <c r="M66" i="193"/>
  <c r="AE4" i="193"/>
  <c r="V21" i="193"/>
  <c r="V62" i="193" s="1"/>
  <c r="U59" i="193"/>
  <c r="U65" i="193" s="1"/>
  <c r="R67" i="193"/>
  <c r="L59" i="193"/>
  <c r="S68" i="193"/>
  <c r="S65" i="193"/>
  <c r="S70" i="193" s="1"/>
  <c r="R66" i="193"/>
  <c r="R65" i="193"/>
  <c r="R70" i="193" s="1"/>
  <c r="P62" i="192"/>
  <c r="L59" i="192"/>
  <c r="S61" i="192"/>
  <c r="S63" i="192"/>
  <c r="F62" i="192"/>
  <c r="N62" i="192"/>
  <c r="U54" i="192"/>
  <c r="U60" i="192" s="1"/>
  <c r="AH4" i="192"/>
  <c r="U59" i="192"/>
  <c r="R63" i="192"/>
  <c r="N61" i="192"/>
  <c r="N60" i="192"/>
  <c r="N65" i="192" s="1"/>
  <c r="R60" i="192"/>
  <c r="J60" i="192"/>
  <c r="J61" i="192"/>
  <c r="J62" i="192"/>
  <c r="S62" i="192"/>
  <c r="R62" i="192"/>
  <c r="K62" i="192"/>
  <c r="L58" i="192"/>
  <c r="I61" i="192"/>
  <c r="D61" i="192"/>
  <c r="D63" i="192"/>
  <c r="H61" i="192"/>
  <c r="H63" i="192"/>
  <c r="H65" i="192" s="1"/>
  <c r="G61" i="192"/>
  <c r="G63" i="192"/>
  <c r="G65" i="192" s="1"/>
  <c r="G62" i="192"/>
  <c r="S65" i="192"/>
  <c r="U57" i="192"/>
  <c r="P65" i="192"/>
  <c r="O63" i="192"/>
  <c r="O60" i="192"/>
  <c r="V56" i="192"/>
  <c r="U55" i="192"/>
  <c r="AC5" i="192" s="1"/>
  <c r="M25" i="192"/>
  <c r="M61" i="192"/>
  <c r="AB5" i="192"/>
  <c r="U63" i="192"/>
  <c r="Q65" i="192"/>
  <c r="F60" i="192"/>
  <c r="F63" i="192"/>
  <c r="E62" i="192"/>
  <c r="H62" i="192"/>
  <c r="L54" i="192"/>
  <c r="L60" i="192" s="1"/>
  <c r="E61" i="192"/>
  <c r="E63" i="192"/>
  <c r="E65" i="192" s="1"/>
  <c r="AE4" i="192"/>
  <c r="V21" i="192"/>
  <c r="V57" i="192" s="1"/>
  <c r="AC4" i="192"/>
  <c r="L25" i="192"/>
  <c r="L26" i="192"/>
  <c r="D62" i="192"/>
  <c r="J65" i="192"/>
  <c r="D65" i="192"/>
  <c r="I65" i="192"/>
  <c r="P63" i="191"/>
  <c r="O62" i="191"/>
  <c r="N62" i="191"/>
  <c r="N63" i="191"/>
  <c r="N65" i="191" s="1"/>
  <c r="J63" i="191"/>
  <c r="S60" i="191"/>
  <c r="S65" i="191" s="1"/>
  <c r="Q60" i="191"/>
  <c r="Q63" i="191"/>
  <c r="Q65" i="191" s="1"/>
  <c r="Q62" i="191"/>
  <c r="H63" i="191"/>
  <c r="O61" i="191"/>
  <c r="U57" i="191"/>
  <c r="J62" i="191"/>
  <c r="H62" i="191"/>
  <c r="H60" i="191"/>
  <c r="G61" i="191"/>
  <c r="F62" i="191"/>
  <c r="V34" i="191"/>
  <c r="V58" i="191" s="1"/>
  <c r="S61" i="191"/>
  <c r="P60" i="191"/>
  <c r="P65" i="191" s="1"/>
  <c r="P62" i="191"/>
  <c r="O63" i="191"/>
  <c r="U54" i="191"/>
  <c r="U63" i="191" s="1"/>
  <c r="N61" i="191"/>
  <c r="M61" i="191"/>
  <c r="U26" i="191"/>
  <c r="AF5" i="191" s="1"/>
  <c r="M63" i="191"/>
  <c r="M65" i="191" s="1"/>
  <c r="J60" i="191"/>
  <c r="J65" i="191" s="1"/>
  <c r="G60" i="191"/>
  <c r="G65" i="191" s="1"/>
  <c r="F63" i="191"/>
  <c r="F65" i="191" s="1"/>
  <c r="F61" i="191"/>
  <c r="U25" i="191"/>
  <c r="V56" i="191"/>
  <c r="S62" i="191"/>
  <c r="G62" i="191"/>
  <c r="L58" i="191"/>
  <c r="D61" i="191"/>
  <c r="D62" i="191"/>
  <c r="L54" i="191"/>
  <c r="L60" i="191" s="1"/>
  <c r="L26" i="191"/>
  <c r="V21" i="191"/>
  <c r="V57" i="191" s="1"/>
  <c r="L57" i="191"/>
  <c r="L25" i="191"/>
  <c r="D63" i="191"/>
  <c r="D65" i="191" s="1"/>
  <c r="AC4" i="191"/>
  <c r="O65" i="191"/>
  <c r="I65" i="191"/>
  <c r="H65" i="191"/>
  <c r="R65" i="191"/>
  <c r="V21" i="209"/>
  <c r="V59" i="209" s="1"/>
  <c r="F65" i="209"/>
  <c r="F67" i="209" s="1"/>
  <c r="U59" i="209"/>
  <c r="AE5" i="209"/>
  <c r="R63" i="209"/>
  <c r="L56" i="209"/>
  <c r="L62" i="209" s="1"/>
  <c r="F63" i="209"/>
  <c r="U60" i="209"/>
  <c r="D67" i="209"/>
  <c r="U56" i="209"/>
  <c r="U62" i="209" s="1"/>
  <c r="M62" i="209"/>
  <c r="M67" i="209" s="1"/>
  <c r="R25" i="209"/>
  <c r="R26" i="209" s="1"/>
  <c r="R64" i="209" s="1"/>
  <c r="V57" i="209"/>
  <c r="P25" i="209"/>
  <c r="P26" i="209" s="1"/>
  <c r="P64" i="209" s="1"/>
  <c r="L59" i="209"/>
  <c r="D63" i="209"/>
  <c r="F25" i="209"/>
  <c r="F26" i="209" s="1"/>
  <c r="F64" i="209" s="1"/>
  <c r="Q62" i="189"/>
  <c r="P61" i="189"/>
  <c r="M61" i="189"/>
  <c r="S63" i="189"/>
  <c r="S65" i="189" s="1"/>
  <c r="Q63" i="189"/>
  <c r="Q65" i="189" s="1"/>
  <c r="U57" i="189"/>
  <c r="U54" i="189"/>
  <c r="U60" i="189" s="1"/>
  <c r="M60" i="189"/>
  <c r="M65" i="189"/>
  <c r="V55" i="189"/>
  <c r="S25" i="189"/>
  <c r="S26" i="189" s="1"/>
  <c r="S62" i="189" s="1"/>
  <c r="E63" i="189"/>
  <c r="E65" i="189" s="1"/>
  <c r="E61" i="189"/>
  <c r="E62" i="189"/>
  <c r="H63" i="189"/>
  <c r="H65" i="189" s="1"/>
  <c r="V21" i="189"/>
  <c r="V57" i="189" s="1"/>
  <c r="G63" i="189"/>
  <c r="G65" i="189" s="1"/>
  <c r="L57" i="189"/>
  <c r="L54" i="189"/>
  <c r="AB4" i="189" s="1"/>
  <c r="D60" i="189"/>
  <c r="D65" i="189" s="1"/>
  <c r="I66" i="188"/>
  <c r="I67" i="188"/>
  <c r="I69" i="188" s="1"/>
  <c r="I65" i="188"/>
  <c r="N65" i="188"/>
  <c r="E69" i="188"/>
  <c r="O69" i="188"/>
  <c r="Q66" i="188"/>
  <c r="M67" i="188"/>
  <c r="M69" i="188" s="1"/>
  <c r="S67" i="188"/>
  <c r="S64" i="188"/>
  <c r="Q67" i="188"/>
  <c r="Q64" i="188"/>
  <c r="Q69" i="188" s="1"/>
  <c r="L61" i="188"/>
  <c r="V60" i="188"/>
  <c r="D67" i="188"/>
  <c r="D64" i="188"/>
  <c r="M68" i="187"/>
  <c r="M70" i="187" s="1"/>
  <c r="U62" i="187"/>
  <c r="V61" i="187"/>
  <c r="U63" i="187"/>
  <c r="O65" i="187"/>
  <c r="O70" i="187" s="1"/>
  <c r="N66" i="187"/>
  <c r="N65" i="187"/>
  <c r="N70" i="187" s="1"/>
  <c r="L62" i="187"/>
  <c r="V21" i="187"/>
  <c r="V62" i="187" s="1"/>
  <c r="G68" i="187"/>
  <c r="G65" i="187"/>
  <c r="L59" i="187"/>
  <c r="L65" i="187" s="1"/>
  <c r="F65" i="187"/>
  <c r="V34" i="186"/>
  <c r="V58" i="186" s="1"/>
  <c r="F60" i="186"/>
  <c r="D61" i="186"/>
  <c r="D62" i="186"/>
  <c r="M62" i="186"/>
  <c r="M63" i="186"/>
  <c r="M65" i="186" s="1"/>
  <c r="S63" i="186"/>
  <c r="S65" i="186" s="1"/>
  <c r="S61" i="186"/>
  <c r="S62" i="186"/>
  <c r="R65" i="186"/>
  <c r="P63" i="186"/>
  <c r="P65" i="186" s="1"/>
  <c r="P62" i="186"/>
  <c r="P61" i="186"/>
  <c r="U54" i="186"/>
  <c r="U60" i="186" s="1"/>
  <c r="N63" i="186"/>
  <c r="N65" i="186" s="1"/>
  <c r="Q65" i="186"/>
  <c r="N61" i="186"/>
  <c r="N62" i="186"/>
  <c r="U57" i="186"/>
  <c r="U55" i="186"/>
  <c r="AC5" i="186" s="1"/>
  <c r="V56" i="186"/>
  <c r="M61" i="186"/>
  <c r="U26" i="186"/>
  <c r="AF5" i="186" s="1"/>
  <c r="O62" i="186"/>
  <c r="U25" i="186"/>
  <c r="E63" i="186"/>
  <c r="E60" i="186"/>
  <c r="L54" i="186"/>
  <c r="AB4" i="186" s="1"/>
  <c r="L58" i="186"/>
  <c r="D60" i="186"/>
  <c r="D65" i="186" s="1"/>
  <c r="AE4" i="186"/>
  <c r="V21" i="186"/>
  <c r="V57" i="186" s="1"/>
  <c r="AD4" i="186"/>
  <c r="H65" i="186"/>
  <c r="L25" i="186"/>
  <c r="L26" i="186"/>
  <c r="F65" i="186"/>
  <c r="E62" i="186"/>
  <c r="L58" i="207"/>
  <c r="R65" i="207"/>
  <c r="U26" i="207"/>
  <c r="AF5" i="207" s="1"/>
  <c r="U25" i="207"/>
  <c r="Q63" i="207"/>
  <c r="Q60" i="207"/>
  <c r="Q65" i="207" s="1"/>
  <c r="V56" i="207"/>
  <c r="U63" i="207"/>
  <c r="U65" i="207" s="1"/>
  <c r="AB5" i="207"/>
  <c r="U61" i="207"/>
  <c r="U62" i="207"/>
  <c r="I62" i="207"/>
  <c r="F63" i="207"/>
  <c r="F65" i="207" s="1"/>
  <c r="I65" i="207"/>
  <c r="H62" i="207"/>
  <c r="H60" i="207"/>
  <c r="F61" i="207"/>
  <c r="L25" i="207"/>
  <c r="L54" i="207"/>
  <c r="L60" i="207" s="1"/>
  <c r="L57" i="207"/>
  <c r="V21" i="207"/>
  <c r="V57" i="207" s="1"/>
  <c r="L26" i="207"/>
  <c r="V26" i="207" s="1"/>
  <c r="AD4" i="207"/>
  <c r="V55" i="207"/>
  <c r="G65" i="207"/>
  <c r="J65" i="207"/>
  <c r="H65" i="207"/>
  <c r="R65" i="184"/>
  <c r="S63" i="184"/>
  <c r="S65" i="184" s="1"/>
  <c r="N61" i="184"/>
  <c r="N60" i="184"/>
  <c r="U54" i="184"/>
  <c r="U60" i="184" s="1"/>
  <c r="I62" i="184"/>
  <c r="I63" i="184"/>
  <c r="L54" i="184"/>
  <c r="K54" i="203"/>
  <c r="K60" i="203" s="1"/>
  <c r="N62" i="184"/>
  <c r="U26" i="184"/>
  <c r="AF5" i="184" s="1"/>
  <c r="M63" i="184"/>
  <c r="M60" i="184"/>
  <c r="M65" i="184" s="1"/>
  <c r="U57" i="184"/>
  <c r="AE4" i="184"/>
  <c r="V21" i="184"/>
  <c r="V57" i="184" s="1"/>
  <c r="H65" i="184"/>
  <c r="F65" i="184"/>
  <c r="L55" i="184"/>
  <c r="AC4" i="184" s="1"/>
  <c r="E61" i="184"/>
  <c r="L26" i="184"/>
  <c r="AF4" i="184" s="1"/>
  <c r="L25" i="184"/>
  <c r="V56" i="184"/>
  <c r="U25" i="184"/>
  <c r="O65" i="184"/>
  <c r="N65" i="184"/>
  <c r="M62" i="184"/>
  <c r="AB5" i="184"/>
  <c r="I65" i="184"/>
  <c r="AB4" i="184"/>
  <c r="L63" i="184"/>
  <c r="L60" i="184"/>
  <c r="D71" i="183"/>
  <c r="J67" i="183"/>
  <c r="J68" i="183"/>
  <c r="S66" i="183"/>
  <c r="V34" i="183"/>
  <c r="V64" i="183" s="1"/>
  <c r="N66" i="183"/>
  <c r="N71" i="183" s="1"/>
  <c r="N68" i="183"/>
  <c r="U63" i="183"/>
  <c r="U60" i="183"/>
  <c r="U66" i="183" s="1"/>
  <c r="L64" i="183"/>
  <c r="S67" i="183"/>
  <c r="S68" i="183"/>
  <c r="F69" i="183"/>
  <c r="F66" i="183"/>
  <c r="F68" i="183"/>
  <c r="J66" i="183"/>
  <c r="J71" i="183" s="1"/>
  <c r="I68" i="183"/>
  <c r="I67" i="183"/>
  <c r="E68" i="183"/>
  <c r="E67" i="183"/>
  <c r="E69" i="183"/>
  <c r="L60" i="183"/>
  <c r="L66" i="183" s="1"/>
  <c r="S71" i="183"/>
  <c r="R67" i="183"/>
  <c r="R66" i="183"/>
  <c r="R71" i="183" s="1"/>
  <c r="R68" i="183"/>
  <c r="U25" i="183"/>
  <c r="O71" i="183"/>
  <c r="M71" i="183"/>
  <c r="P26" i="183"/>
  <c r="V62" i="183"/>
  <c r="E66" i="183"/>
  <c r="E71" i="183" s="1"/>
  <c r="L26" i="183"/>
  <c r="AF4" i="183" s="1"/>
  <c r="AE4" i="183"/>
  <c r="V21" i="183"/>
  <c r="V63" i="183" s="1"/>
  <c r="V61" i="183"/>
  <c r="L25" i="183"/>
  <c r="H71" i="183"/>
  <c r="I71" i="183"/>
  <c r="G71" i="183"/>
  <c r="S62" i="182"/>
  <c r="S61" i="182"/>
  <c r="S63" i="182"/>
  <c r="S65" i="182" s="1"/>
  <c r="Q63" i="182"/>
  <c r="Q65" i="182" s="1"/>
  <c r="Q62" i="182"/>
  <c r="N60" i="182"/>
  <c r="M63" i="182"/>
  <c r="M65" i="182" s="1"/>
  <c r="P61" i="182"/>
  <c r="P63" i="182"/>
  <c r="P65" i="182" s="1"/>
  <c r="P62" i="182"/>
  <c r="N62" i="182"/>
  <c r="U58" i="182"/>
  <c r="N63" i="182"/>
  <c r="M62" i="182"/>
  <c r="U54" i="182"/>
  <c r="U60" i="182" s="1"/>
  <c r="AE5" i="182"/>
  <c r="V21" i="182"/>
  <c r="V57" i="182" s="1"/>
  <c r="M61" i="182"/>
  <c r="V56" i="182"/>
  <c r="V55" i="182"/>
  <c r="U26" i="182"/>
  <c r="V26" i="182" s="1"/>
  <c r="U25" i="182"/>
  <c r="V25" i="182" s="1"/>
  <c r="S66" i="181"/>
  <c r="U58" i="181"/>
  <c r="O64" i="181"/>
  <c r="I63" i="181"/>
  <c r="H61" i="180"/>
  <c r="N62" i="180"/>
  <c r="U54" i="180"/>
  <c r="AB5" i="180" s="1"/>
  <c r="M62" i="180"/>
  <c r="R62" i="181"/>
  <c r="O63" i="181"/>
  <c r="V34" i="181"/>
  <c r="V59" i="181" s="1"/>
  <c r="U55" i="181"/>
  <c r="U62" i="181" s="1"/>
  <c r="R63" i="181"/>
  <c r="O66" i="181"/>
  <c r="N66" i="181"/>
  <c r="V57" i="181"/>
  <c r="P66" i="181"/>
  <c r="U25" i="181"/>
  <c r="V56" i="181"/>
  <c r="M66" i="181"/>
  <c r="U26" i="181"/>
  <c r="AF5" i="181" s="1"/>
  <c r="I62" i="181"/>
  <c r="I61" i="181"/>
  <c r="G62" i="181"/>
  <c r="F61" i="181"/>
  <c r="F66" i="181" s="1"/>
  <c r="F62" i="181"/>
  <c r="I66" i="181"/>
  <c r="G66" i="181"/>
  <c r="E61" i="181"/>
  <c r="E66" i="181" s="1"/>
  <c r="E62" i="181"/>
  <c r="E63" i="181"/>
  <c r="D64" i="181"/>
  <c r="D66" i="181" s="1"/>
  <c r="D62" i="181"/>
  <c r="L55" i="181"/>
  <c r="L61" i="181" s="1"/>
  <c r="AE4" i="181"/>
  <c r="V21" i="181"/>
  <c r="V58" i="181" s="1"/>
  <c r="J66" i="181"/>
  <c r="AC4" i="181"/>
  <c r="D26" i="181"/>
  <c r="L25" i="181"/>
  <c r="Q65" i="180"/>
  <c r="U57" i="180"/>
  <c r="V55" i="180"/>
  <c r="U25" i="180"/>
  <c r="U26" i="180"/>
  <c r="AF5" i="180" s="1"/>
  <c r="J62" i="180"/>
  <c r="J63" i="180"/>
  <c r="J65" i="180" s="1"/>
  <c r="G61" i="180"/>
  <c r="G60" i="180"/>
  <c r="G65" i="180" s="1"/>
  <c r="L54" i="180"/>
  <c r="L61" i="180" s="1"/>
  <c r="E62" i="180"/>
  <c r="E60" i="180"/>
  <c r="E65" i="180" s="1"/>
  <c r="D63" i="180"/>
  <c r="AE4" i="180"/>
  <c r="V21" i="180"/>
  <c r="V57" i="180" s="1"/>
  <c r="F65" i="180"/>
  <c r="D65" i="180"/>
  <c r="AC4" i="180"/>
  <c r="L26" i="180"/>
  <c r="L25" i="180"/>
  <c r="P65" i="180"/>
  <c r="M65" i="180"/>
  <c r="S65" i="180"/>
  <c r="S62" i="206"/>
  <c r="I62" i="206"/>
  <c r="P61" i="206"/>
  <c r="K63" i="206"/>
  <c r="K65" i="206" s="1"/>
  <c r="K62" i="206"/>
  <c r="K61" i="206"/>
  <c r="Q61" i="206"/>
  <c r="S61" i="206"/>
  <c r="S60" i="206"/>
  <c r="S65" i="206" s="1"/>
  <c r="V34" i="206"/>
  <c r="V58" i="206" s="1"/>
  <c r="M63" i="206"/>
  <c r="M65" i="206" s="1"/>
  <c r="M62" i="206"/>
  <c r="U57" i="206"/>
  <c r="U54" i="206"/>
  <c r="U60" i="206" s="1"/>
  <c r="M61" i="206"/>
  <c r="R65" i="206"/>
  <c r="U26" i="206"/>
  <c r="AF5" i="206" s="1"/>
  <c r="U25" i="206"/>
  <c r="N65" i="206"/>
  <c r="O65" i="206"/>
  <c r="G61" i="206"/>
  <c r="F62" i="206"/>
  <c r="L58" i="206"/>
  <c r="D60" i="206"/>
  <c r="D65" i="206" s="1"/>
  <c r="J65" i="206"/>
  <c r="J61" i="206"/>
  <c r="H62" i="206"/>
  <c r="H61" i="206"/>
  <c r="H63" i="206"/>
  <c r="H65" i="206" s="1"/>
  <c r="G63" i="206"/>
  <c r="G65" i="206" s="1"/>
  <c r="G62" i="206"/>
  <c r="F63" i="206"/>
  <c r="F65" i="206" s="1"/>
  <c r="E60" i="206"/>
  <c r="E62" i="206"/>
  <c r="L54" i="206"/>
  <c r="L63" i="206" s="1"/>
  <c r="E63" i="206"/>
  <c r="AE4" i="206"/>
  <c r="V21" i="206"/>
  <c r="V57" i="206" s="1"/>
  <c r="I65" i="206"/>
  <c r="V56" i="206"/>
  <c r="L55" i="206"/>
  <c r="D25" i="206"/>
  <c r="D61" i="206"/>
  <c r="I63" i="178"/>
  <c r="I65" i="178" s="1"/>
  <c r="I61" i="178"/>
  <c r="I62" i="178"/>
  <c r="E63" i="201"/>
  <c r="E62" i="201"/>
  <c r="R61" i="202"/>
  <c r="R61" i="201"/>
  <c r="R63" i="201"/>
  <c r="R65" i="201" s="1"/>
  <c r="R62" i="201"/>
  <c r="Q66" i="198"/>
  <c r="H63" i="200"/>
  <c r="H65" i="200" s="1"/>
  <c r="E62" i="200"/>
  <c r="H62" i="200"/>
  <c r="V34" i="199"/>
  <c r="I61" i="201"/>
  <c r="O65" i="201"/>
  <c r="F63" i="201"/>
  <c r="F61" i="199"/>
  <c r="J62" i="201"/>
  <c r="D62" i="200"/>
  <c r="D63" i="200"/>
  <c r="D65" i="200" s="1"/>
  <c r="F61" i="202"/>
  <c r="K63" i="200"/>
  <c r="K65" i="200" s="1"/>
  <c r="K61" i="200"/>
  <c r="K62" i="200"/>
  <c r="K63" i="199"/>
  <c r="K65" i="199" s="1"/>
  <c r="K62" i="199"/>
  <c r="K61" i="199"/>
  <c r="D61" i="200"/>
  <c r="F62" i="200"/>
  <c r="N63" i="201"/>
  <c r="N65" i="201" s="1"/>
  <c r="R62" i="202"/>
  <c r="Q63" i="202"/>
  <c r="Q65" i="202" s="1"/>
  <c r="Q62" i="202"/>
  <c r="O62" i="199"/>
  <c r="Q65" i="201"/>
  <c r="P62" i="199"/>
  <c r="P62" i="200"/>
  <c r="P61" i="200"/>
  <c r="U54" i="200"/>
  <c r="U60" i="200" s="1"/>
  <c r="H61" i="199"/>
  <c r="H61" i="201"/>
  <c r="L55" i="202"/>
  <c r="AC4" i="202" s="1"/>
  <c r="H67" i="198"/>
  <c r="J61" i="201"/>
  <c r="F63" i="199"/>
  <c r="F65" i="199" s="1"/>
  <c r="F62" i="199"/>
  <c r="F62" i="201"/>
  <c r="K68" i="193"/>
  <c r="K70" i="193" s="1"/>
  <c r="Y60" i="211"/>
  <c r="U55" i="195"/>
  <c r="U62" i="195" s="1"/>
  <c r="N63" i="195"/>
  <c r="P64" i="194"/>
  <c r="P63" i="194"/>
  <c r="U56" i="194"/>
  <c r="N62" i="195"/>
  <c r="U65" i="211"/>
  <c r="U67" i="211" s="1"/>
  <c r="AB5" i="211"/>
  <c r="U63" i="211"/>
  <c r="T69" i="196"/>
  <c r="M65" i="211"/>
  <c r="M67" i="211" s="1"/>
  <c r="AE4" i="194"/>
  <c r="V21" i="194"/>
  <c r="V59" i="194" s="1"/>
  <c r="L56" i="211"/>
  <c r="D65" i="211"/>
  <c r="D67" i="211" s="1"/>
  <c r="AE4" i="210"/>
  <c r="V21" i="210"/>
  <c r="K25" i="203"/>
  <c r="K26" i="203" s="1"/>
  <c r="K62" i="203" s="1"/>
  <c r="L65" i="210"/>
  <c r="V21" i="195"/>
  <c r="V58" i="195" s="1"/>
  <c r="AE4" i="195"/>
  <c r="L62" i="196"/>
  <c r="D71" i="196"/>
  <c r="D73" i="196" s="1"/>
  <c r="AB5" i="210"/>
  <c r="U61" i="210"/>
  <c r="U63" i="210"/>
  <c r="U65" i="210" s="1"/>
  <c r="U69" i="196"/>
  <c r="U71" i="196"/>
  <c r="U73" i="196" s="1"/>
  <c r="AB5" i="196"/>
  <c r="M26" i="210"/>
  <c r="U25" i="210"/>
  <c r="M25" i="211"/>
  <c r="U57" i="211"/>
  <c r="AC5" i="211" s="1"/>
  <c r="U57" i="194"/>
  <c r="AC5" i="194" s="1"/>
  <c r="M25" i="194"/>
  <c r="M25" i="193"/>
  <c r="U60" i="193"/>
  <c r="AC5" i="193" s="1"/>
  <c r="M26" i="195"/>
  <c r="U25" i="195"/>
  <c r="M26" i="196"/>
  <c r="U25" i="196"/>
  <c r="D25" i="211"/>
  <c r="L57" i="211"/>
  <c r="V60" i="210"/>
  <c r="Y58" i="210" s="1"/>
  <c r="V61" i="210"/>
  <c r="V63" i="210"/>
  <c r="V56" i="195"/>
  <c r="AC4" i="195"/>
  <c r="L25" i="195"/>
  <c r="D26" i="195"/>
  <c r="D26" i="210"/>
  <c r="L25" i="210"/>
  <c r="AC4" i="210"/>
  <c r="V55" i="210"/>
  <c r="AB4" i="194"/>
  <c r="L63" i="194"/>
  <c r="L65" i="194"/>
  <c r="L67" i="194" s="1"/>
  <c r="D25" i="196"/>
  <c r="L63" i="196"/>
  <c r="V68" i="196"/>
  <c r="Y66" i="196" s="1"/>
  <c r="D26" i="194"/>
  <c r="L25" i="194"/>
  <c r="L61" i="210"/>
  <c r="D25" i="193"/>
  <c r="L60" i="193"/>
  <c r="L64" i="195"/>
  <c r="L66" i="195" s="1"/>
  <c r="AB4" i="195"/>
  <c r="L62" i="195"/>
  <c r="AC4" i="194"/>
  <c r="M61" i="190"/>
  <c r="U59" i="187"/>
  <c r="U65" i="187" s="1"/>
  <c r="U58" i="188"/>
  <c r="U64" i="188" s="1"/>
  <c r="L43" i="203"/>
  <c r="AH4" i="203" s="1"/>
  <c r="M63" i="190"/>
  <c r="M65" i="190" s="1"/>
  <c r="N67" i="187"/>
  <c r="K63" i="190"/>
  <c r="K65" i="190" s="1"/>
  <c r="G67" i="187"/>
  <c r="F68" i="187"/>
  <c r="D61" i="189"/>
  <c r="K61" i="190"/>
  <c r="F67" i="187"/>
  <c r="D59" i="203"/>
  <c r="S66" i="188"/>
  <c r="M65" i="188"/>
  <c r="S65" i="188"/>
  <c r="L25" i="190"/>
  <c r="L58" i="188"/>
  <c r="L64" i="188" s="1"/>
  <c r="D65" i="188"/>
  <c r="AE5" i="188"/>
  <c r="V21" i="188"/>
  <c r="V61" i="188" s="1"/>
  <c r="Y58" i="190"/>
  <c r="M26" i="188"/>
  <c r="U25" i="188"/>
  <c r="M26" i="209"/>
  <c r="U61" i="189"/>
  <c r="U63" i="189"/>
  <c r="U65" i="189" s="1"/>
  <c r="M26" i="190"/>
  <c r="U26" i="190" s="1"/>
  <c r="AF5" i="190" s="1"/>
  <c r="U25" i="190"/>
  <c r="M26" i="189"/>
  <c r="U25" i="189"/>
  <c r="U62" i="190"/>
  <c r="U61" i="190"/>
  <c r="AB5" i="190"/>
  <c r="U63" i="190"/>
  <c r="U65" i="190" s="1"/>
  <c r="M26" i="187"/>
  <c r="U25" i="187"/>
  <c r="AC4" i="190"/>
  <c r="V59" i="188"/>
  <c r="AC4" i="188"/>
  <c r="L68" i="187"/>
  <c r="L70" i="187" s="1"/>
  <c r="D25" i="189"/>
  <c r="D25" i="209"/>
  <c r="AC4" i="187"/>
  <c r="V60" i="187"/>
  <c r="K63" i="203"/>
  <c r="K65" i="203" s="1"/>
  <c r="K61" i="203"/>
  <c r="D26" i="187"/>
  <c r="L25" i="187"/>
  <c r="L61" i="190"/>
  <c r="L63" i="189"/>
  <c r="B17" i="205"/>
  <c r="D62" i="190"/>
  <c r="L26" i="190"/>
  <c r="D26" i="188"/>
  <c r="L25" i="188"/>
  <c r="I54" i="203"/>
  <c r="I63" i="203" s="1"/>
  <c r="G61" i="178"/>
  <c r="J65" i="178"/>
  <c r="U57" i="178"/>
  <c r="V56" i="178"/>
  <c r="AB5" i="178"/>
  <c r="U63" i="178"/>
  <c r="U65" i="178" s="1"/>
  <c r="F62" i="178"/>
  <c r="H62" i="178"/>
  <c r="G54" i="203"/>
  <c r="G60" i="203" s="1"/>
  <c r="G62" i="178"/>
  <c r="G63" i="178"/>
  <c r="G65" i="178" s="1"/>
  <c r="F61" i="178"/>
  <c r="L34" i="203"/>
  <c r="L58" i="203" s="1"/>
  <c r="H63" i="178"/>
  <c r="H65" i="178" s="1"/>
  <c r="H61" i="178"/>
  <c r="F63" i="178"/>
  <c r="F65" i="178" s="1"/>
  <c r="E63" i="178"/>
  <c r="E65" i="178" s="1"/>
  <c r="E61" i="178"/>
  <c r="E62" i="178"/>
  <c r="V59" i="178"/>
  <c r="AA4" i="178"/>
  <c r="L58" i="178"/>
  <c r="V58" i="178"/>
  <c r="V14" i="178"/>
  <c r="D63" i="178"/>
  <c r="D65" i="178" s="1"/>
  <c r="L54" i="178"/>
  <c r="L63" i="178" s="1"/>
  <c r="D61" i="178"/>
  <c r="L57" i="178"/>
  <c r="AE4" i="178"/>
  <c r="V21" i="178"/>
  <c r="V57" i="178" s="1"/>
  <c r="AC5" i="178"/>
  <c r="U61" i="178"/>
  <c r="U25" i="178"/>
  <c r="M26" i="178"/>
  <c r="D26" i="178"/>
  <c r="L25" i="178"/>
  <c r="AC4" i="178"/>
  <c r="V55" i="178"/>
  <c r="R63" i="202"/>
  <c r="R65" i="202" s="1"/>
  <c r="U57" i="202"/>
  <c r="M63" i="202"/>
  <c r="M65" i="202" s="1"/>
  <c r="U54" i="202"/>
  <c r="U60" i="202" s="1"/>
  <c r="U55" i="202"/>
  <c r="AC5" i="202" s="1"/>
  <c r="M61" i="202"/>
  <c r="M25" i="202"/>
  <c r="S65" i="202"/>
  <c r="J62" i="202"/>
  <c r="D63" i="202"/>
  <c r="D65" i="202" s="1"/>
  <c r="J63" i="202"/>
  <c r="J65" i="202" s="1"/>
  <c r="I60" i="202"/>
  <c r="I65" i="202" s="1"/>
  <c r="I62" i="202"/>
  <c r="I61" i="202"/>
  <c r="E61" i="202"/>
  <c r="D61" i="202"/>
  <c r="D62" i="202"/>
  <c r="L57" i="202"/>
  <c r="V21" i="202"/>
  <c r="V57" i="202" s="1"/>
  <c r="G61" i="202"/>
  <c r="F62" i="202"/>
  <c r="F63" i="202"/>
  <c r="F65" i="202" s="1"/>
  <c r="E63" i="202"/>
  <c r="E65" i="202" s="1"/>
  <c r="L58" i="202"/>
  <c r="G60" i="202"/>
  <c r="G65" i="202" s="1"/>
  <c r="L54" i="202"/>
  <c r="L60" i="202" s="1"/>
  <c r="G62" i="202"/>
  <c r="L26" i="202"/>
  <c r="L25" i="202"/>
  <c r="H65" i="202"/>
  <c r="L58" i="200"/>
  <c r="Q65" i="200"/>
  <c r="P63" i="200"/>
  <c r="P65" i="200" s="1"/>
  <c r="U25" i="200"/>
  <c r="U57" i="200"/>
  <c r="V56" i="200"/>
  <c r="U26" i="200"/>
  <c r="AF5" i="200" s="1"/>
  <c r="S65" i="200"/>
  <c r="U63" i="200"/>
  <c r="U65" i="200" s="1"/>
  <c r="U61" i="200"/>
  <c r="F63" i="200"/>
  <c r="F65" i="200" s="1"/>
  <c r="F61" i="200"/>
  <c r="L54" i="200"/>
  <c r="L60" i="200" s="1"/>
  <c r="AE4" i="200"/>
  <c r="V21" i="200"/>
  <c r="V57" i="200" s="1"/>
  <c r="L26" i="200"/>
  <c r="L25" i="200"/>
  <c r="V55" i="200"/>
  <c r="I65" i="200"/>
  <c r="J65" i="200"/>
  <c r="U57" i="201"/>
  <c r="U54" i="201"/>
  <c r="U63" i="201" s="1"/>
  <c r="N61" i="201"/>
  <c r="V56" i="201"/>
  <c r="U55" i="201"/>
  <c r="AC5" i="201" s="1"/>
  <c r="M25" i="201"/>
  <c r="P65" i="201"/>
  <c r="J63" i="201"/>
  <c r="J65" i="201" s="1"/>
  <c r="I63" i="201"/>
  <c r="I65" i="201" s="1"/>
  <c r="I62" i="201"/>
  <c r="L58" i="201"/>
  <c r="H60" i="201"/>
  <c r="H65" i="201" s="1"/>
  <c r="E60" i="201"/>
  <c r="L54" i="201"/>
  <c r="L61" i="201" s="1"/>
  <c r="AE4" i="201"/>
  <c r="V21" i="201"/>
  <c r="V57" i="201" s="1"/>
  <c r="L26" i="201"/>
  <c r="L25" i="201"/>
  <c r="F65" i="201"/>
  <c r="AC4" i="201"/>
  <c r="G65" i="201"/>
  <c r="D62" i="201"/>
  <c r="G61" i="199"/>
  <c r="G63" i="199"/>
  <c r="G65" i="199" s="1"/>
  <c r="D58" i="203"/>
  <c r="P61" i="199"/>
  <c r="P60" i="199"/>
  <c r="P65" i="199" s="1"/>
  <c r="R62" i="199"/>
  <c r="O60" i="199"/>
  <c r="O65" i="199" s="1"/>
  <c r="R60" i="199"/>
  <c r="R61" i="199"/>
  <c r="R63" i="199"/>
  <c r="O61" i="199"/>
  <c r="J54" i="203"/>
  <c r="J63" i="203" s="1"/>
  <c r="J25" i="203"/>
  <c r="J26" i="203" s="1"/>
  <c r="U57" i="199"/>
  <c r="U25" i="199"/>
  <c r="V21" i="199"/>
  <c r="V57" i="199" s="1"/>
  <c r="U26" i="199"/>
  <c r="AF5" i="199" s="1"/>
  <c r="N60" i="199"/>
  <c r="N65" i="199" s="1"/>
  <c r="N62" i="199"/>
  <c r="U54" i="199"/>
  <c r="AB5" i="199" s="1"/>
  <c r="M60" i="199"/>
  <c r="M63" i="199"/>
  <c r="S65" i="199"/>
  <c r="M62" i="199"/>
  <c r="I25" i="203"/>
  <c r="I26" i="203" s="1"/>
  <c r="H62" i="199"/>
  <c r="G62" i="199"/>
  <c r="J61" i="199"/>
  <c r="L54" i="199"/>
  <c r="L60" i="199" s="1"/>
  <c r="J60" i="199"/>
  <c r="J63" i="199"/>
  <c r="H65" i="199"/>
  <c r="F54" i="203"/>
  <c r="F63" i="203" s="1"/>
  <c r="AE4" i="199"/>
  <c r="L57" i="199"/>
  <c r="D63" i="199"/>
  <c r="D60" i="199"/>
  <c r="E65" i="199"/>
  <c r="V55" i="199"/>
  <c r="L26" i="199"/>
  <c r="D62" i="199"/>
  <c r="L25" i="199"/>
  <c r="V56" i="199"/>
  <c r="Q68" i="198"/>
  <c r="Q70" i="198" s="1"/>
  <c r="F25" i="203"/>
  <c r="F26" i="203" s="1"/>
  <c r="E54" i="203"/>
  <c r="E63" i="203" s="1"/>
  <c r="I57" i="203"/>
  <c r="H54" i="203"/>
  <c r="H61" i="203" s="1"/>
  <c r="H25" i="203"/>
  <c r="H26" i="203" s="1"/>
  <c r="G57" i="203"/>
  <c r="U62" i="198"/>
  <c r="U63" i="198"/>
  <c r="G25" i="203"/>
  <c r="G26" i="203" s="1"/>
  <c r="S70" i="198"/>
  <c r="V60" i="198"/>
  <c r="U25" i="198"/>
  <c r="Q67" i="198"/>
  <c r="O65" i="198"/>
  <c r="O67" i="198"/>
  <c r="O68" i="198"/>
  <c r="N67" i="198"/>
  <c r="N68" i="198"/>
  <c r="N70" i="198" s="1"/>
  <c r="M66" i="198"/>
  <c r="M26" i="198"/>
  <c r="U26" i="198" s="1"/>
  <c r="AF5" i="198" s="1"/>
  <c r="M65" i="198"/>
  <c r="M70" i="198" s="1"/>
  <c r="U59" i="198"/>
  <c r="U65" i="198" s="1"/>
  <c r="E66" i="198"/>
  <c r="E67" i="198"/>
  <c r="E25" i="203"/>
  <c r="E26" i="203" s="1"/>
  <c r="L21" i="203"/>
  <c r="AE4" i="203" s="1"/>
  <c r="D54" i="203"/>
  <c r="D63" i="203" s="1"/>
  <c r="J68" i="198"/>
  <c r="J70" i="198" s="1"/>
  <c r="J67" i="198"/>
  <c r="I68" i="198"/>
  <c r="I70" i="198" s="1"/>
  <c r="I67" i="198"/>
  <c r="L59" i="198"/>
  <c r="L65" i="198" s="1"/>
  <c r="H68" i="198"/>
  <c r="H66" i="198"/>
  <c r="H65" i="198"/>
  <c r="L62" i="198"/>
  <c r="V21" i="198"/>
  <c r="V62" i="198" s="1"/>
  <c r="D65" i="198"/>
  <c r="D68" i="198"/>
  <c r="D66" i="198"/>
  <c r="AC4" i="198"/>
  <c r="P70" i="198"/>
  <c r="L25" i="198"/>
  <c r="L26" i="198"/>
  <c r="D55" i="203"/>
  <c r="K14" i="203"/>
  <c r="D67" i="198"/>
  <c r="V61" i="198"/>
  <c r="AA4" i="203"/>
  <c r="N66" i="195" l="1"/>
  <c r="M66" i="195"/>
  <c r="V55" i="195"/>
  <c r="V64" i="195" s="1"/>
  <c r="C23" i="205" s="1"/>
  <c r="U64" i="195"/>
  <c r="AB5" i="195"/>
  <c r="U61" i="195"/>
  <c r="U66" i="195" s="1"/>
  <c r="S67" i="194"/>
  <c r="V57" i="194"/>
  <c r="AB5" i="194"/>
  <c r="U62" i="194"/>
  <c r="V56" i="194"/>
  <c r="V62" i="194" s="1"/>
  <c r="U65" i="194"/>
  <c r="U63" i="194"/>
  <c r="P67" i="194"/>
  <c r="AB5" i="193"/>
  <c r="U68" i="193"/>
  <c r="U70" i="193" s="1"/>
  <c r="V59" i="193"/>
  <c r="V65" i="193" s="1"/>
  <c r="Y63" i="193" s="1"/>
  <c r="V68" i="193"/>
  <c r="C21" i="205" s="1"/>
  <c r="B21" i="205"/>
  <c r="AB4" i="193"/>
  <c r="L68" i="193"/>
  <c r="L65" i="193"/>
  <c r="R65" i="192"/>
  <c r="O65" i="192"/>
  <c r="U61" i="192"/>
  <c r="F65" i="192"/>
  <c r="U25" i="192"/>
  <c r="V25" i="192" s="1"/>
  <c r="M26" i="192"/>
  <c r="V55" i="192"/>
  <c r="U65" i="192"/>
  <c r="AB4" i="192"/>
  <c r="L61" i="192"/>
  <c r="L63" i="192"/>
  <c r="L65" i="192" s="1"/>
  <c r="V54" i="192"/>
  <c r="V63" i="192" s="1"/>
  <c r="C20" i="205" s="1"/>
  <c r="L62" i="192"/>
  <c r="AF4" i="192"/>
  <c r="U61" i="191"/>
  <c r="U60" i="191"/>
  <c r="AB5" i="191"/>
  <c r="V26" i="191"/>
  <c r="U62" i="191"/>
  <c r="L63" i="191"/>
  <c r="L65" i="191" s="1"/>
  <c r="V25" i="191"/>
  <c r="L61" i="191"/>
  <c r="V54" i="191"/>
  <c r="V63" i="191" s="1"/>
  <c r="C19" i="205" s="1"/>
  <c r="AB4" i="191"/>
  <c r="L62" i="191"/>
  <c r="AF4" i="191"/>
  <c r="U65" i="191"/>
  <c r="L65" i="209"/>
  <c r="L67" i="209" s="1"/>
  <c r="L63" i="209"/>
  <c r="AB4" i="209"/>
  <c r="U63" i="209"/>
  <c r="U65" i="209"/>
  <c r="U67" i="209" s="1"/>
  <c r="AB5" i="209"/>
  <c r="U25" i="209"/>
  <c r="V56" i="209"/>
  <c r="V65" i="209" s="1"/>
  <c r="U26" i="209"/>
  <c r="AF5" i="209" s="1"/>
  <c r="M64" i="209"/>
  <c r="AB5" i="189"/>
  <c r="V54" i="189"/>
  <c r="L60" i="189"/>
  <c r="L65" i="189" s="1"/>
  <c r="AB5" i="188"/>
  <c r="U67" i="188"/>
  <c r="U69" i="188" s="1"/>
  <c r="U65" i="188"/>
  <c r="S69" i="188"/>
  <c r="L65" i="188"/>
  <c r="L67" i="188"/>
  <c r="L69" i="188" s="1"/>
  <c r="V58" i="188"/>
  <c r="V65" i="188" s="1"/>
  <c r="AB4" i="188"/>
  <c r="D69" i="188"/>
  <c r="U68" i="187"/>
  <c r="U70" i="187" s="1"/>
  <c r="AB5" i="187"/>
  <c r="U66" i="187"/>
  <c r="V59" i="187"/>
  <c r="V66" i="187" s="1"/>
  <c r="AB4" i="187"/>
  <c r="L66" i="187"/>
  <c r="F70" i="187"/>
  <c r="G70" i="187"/>
  <c r="E65" i="186"/>
  <c r="V55" i="186"/>
  <c r="AB5" i="186"/>
  <c r="U63" i="186"/>
  <c r="U65" i="186" s="1"/>
  <c r="U61" i="186"/>
  <c r="U62" i="186"/>
  <c r="V25" i="186"/>
  <c r="L62" i="186"/>
  <c r="L63" i="186"/>
  <c r="L60" i="186"/>
  <c r="L61" i="186"/>
  <c r="V54" i="186"/>
  <c r="V60" i="186" s="1"/>
  <c r="B12" i="205" s="1"/>
  <c r="V26" i="186"/>
  <c r="AF4" i="186"/>
  <c r="V25" i="207"/>
  <c r="AB4" i="207"/>
  <c r="L61" i="207"/>
  <c r="L63" i="207"/>
  <c r="L65" i="207" s="1"/>
  <c r="V54" i="207"/>
  <c r="V63" i="207" s="1"/>
  <c r="AF4" i="207"/>
  <c r="L62" i="207"/>
  <c r="V62" i="207"/>
  <c r="V54" i="184"/>
  <c r="U63" i="184"/>
  <c r="U65" i="184" s="1"/>
  <c r="U61" i="184"/>
  <c r="U62" i="184"/>
  <c r="V25" i="184"/>
  <c r="L61" i="184"/>
  <c r="L62" i="184"/>
  <c r="V55" i="184"/>
  <c r="V26" i="184"/>
  <c r="V62" i="184" s="1"/>
  <c r="L65" i="184"/>
  <c r="V61" i="184"/>
  <c r="V63" i="184"/>
  <c r="C9" i="205" s="1"/>
  <c r="V60" i="184"/>
  <c r="F71" i="183"/>
  <c r="U69" i="183"/>
  <c r="AB5" i="183"/>
  <c r="U67" i="183"/>
  <c r="AB4" i="183"/>
  <c r="V60" i="183"/>
  <c r="V69" i="183" s="1"/>
  <c r="C8" i="205" s="1"/>
  <c r="L67" i="183"/>
  <c r="L69" i="183"/>
  <c r="L71" i="183" s="1"/>
  <c r="U26" i="183"/>
  <c r="AF5" i="183" s="1"/>
  <c r="P68" i="183"/>
  <c r="V25" i="183"/>
  <c r="U71" i="183"/>
  <c r="L68" i="183"/>
  <c r="N65" i="182"/>
  <c r="V54" i="182"/>
  <c r="V60" i="182" s="1"/>
  <c r="AB5" i="182"/>
  <c r="U63" i="182"/>
  <c r="U65" i="182" s="1"/>
  <c r="U61" i="182"/>
  <c r="U62" i="182"/>
  <c r="AF5" i="182"/>
  <c r="U61" i="180"/>
  <c r="AB4" i="180"/>
  <c r="L63" i="180"/>
  <c r="L60" i="180"/>
  <c r="L65" i="180" s="1"/>
  <c r="U63" i="180"/>
  <c r="U60" i="180"/>
  <c r="U61" i="181"/>
  <c r="U64" i="181"/>
  <c r="AB5" i="181"/>
  <c r="V25" i="181"/>
  <c r="U63" i="181"/>
  <c r="V55" i="181"/>
  <c r="V64" i="181" s="1"/>
  <c r="AB4" i="181"/>
  <c r="L64" i="181"/>
  <c r="L66" i="181" s="1"/>
  <c r="L62" i="181"/>
  <c r="L26" i="181"/>
  <c r="L63" i="181" s="1"/>
  <c r="D63" i="181"/>
  <c r="V25" i="180"/>
  <c r="U62" i="180"/>
  <c r="V26" i="180"/>
  <c r="V54" i="180"/>
  <c r="V60" i="180" s="1"/>
  <c r="Y58" i="180" s="1"/>
  <c r="AF4" i="180"/>
  <c r="L62" i="180"/>
  <c r="E65" i="206"/>
  <c r="AB5" i="206"/>
  <c r="U61" i="206"/>
  <c r="U63" i="206"/>
  <c r="U65" i="206" s="1"/>
  <c r="U62" i="206"/>
  <c r="V54" i="206"/>
  <c r="V60" i="206" s="1"/>
  <c r="AB4" i="206"/>
  <c r="L60" i="206"/>
  <c r="L65" i="206" s="1"/>
  <c r="V55" i="206"/>
  <c r="AC4" i="206"/>
  <c r="L61" i="206"/>
  <c r="L25" i="206"/>
  <c r="V25" i="206" s="1"/>
  <c r="D26" i="206"/>
  <c r="V54" i="200"/>
  <c r="E65" i="201"/>
  <c r="L59" i="203"/>
  <c r="AB5" i="200"/>
  <c r="J65" i="199"/>
  <c r="R65" i="199"/>
  <c r="D65" i="199"/>
  <c r="H70" i="198"/>
  <c r="L71" i="196"/>
  <c r="L73" i="196" s="1"/>
  <c r="AB4" i="196"/>
  <c r="V62" i="196"/>
  <c r="V71" i="196" s="1"/>
  <c r="C26" i="205" s="1"/>
  <c r="V56" i="211"/>
  <c r="V65" i="211" s="1"/>
  <c r="V67" i="211" s="1"/>
  <c r="AB4" i="211"/>
  <c r="L65" i="211"/>
  <c r="L67" i="211" s="1"/>
  <c r="V25" i="195"/>
  <c r="U26" i="195"/>
  <c r="M63" i="195"/>
  <c r="U26" i="210"/>
  <c r="M62" i="210"/>
  <c r="U25" i="193"/>
  <c r="M26" i="193"/>
  <c r="U66" i="193"/>
  <c r="U25" i="211"/>
  <c r="M26" i="211"/>
  <c r="U26" i="211" s="1"/>
  <c r="AF5" i="211" s="1"/>
  <c r="M26" i="194"/>
  <c r="U25" i="194"/>
  <c r="V25" i="194" s="1"/>
  <c r="M70" i="196"/>
  <c r="U26" i="196"/>
  <c r="V25" i="210"/>
  <c r="V62" i="195"/>
  <c r="V61" i="195"/>
  <c r="L26" i="194"/>
  <c r="D64" i="194"/>
  <c r="D62" i="210"/>
  <c r="L26" i="210"/>
  <c r="L25" i="211"/>
  <c r="D26" i="211"/>
  <c r="L26" i="195"/>
  <c r="D63" i="195"/>
  <c r="B26" i="205"/>
  <c r="V60" i="193"/>
  <c r="V66" i="193" s="1"/>
  <c r="AC4" i="193"/>
  <c r="L66" i="193"/>
  <c r="D26" i="193"/>
  <c r="L25" i="193"/>
  <c r="V63" i="196"/>
  <c r="AC4" i="196"/>
  <c r="L69" i="196"/>
  <c r="V65" i="210"/>
  <c r="V63" i="194"/>
  <c r="V65" i="194"/>
  <c r="C22" i="205" s="1"/>
  <c r="D26" i="196"/>
  <c r="L25" i="196"/>
  <c r="V25" i="196" s="1"/>
  <c r="V57" i="211"/>
  <c r="AC4" i="211"/>
  <c r="L63" i="211"/>
  <c r="G62" i="203"/>
  <c r="V63" i="190"/>
  <c r="C17" i="205" s="1"/>
  <c r="AB4" i="190"/>
  <c r="L63" i="190"/>
  <c r="L65" i="190" s="1"/>
  <c r="V25" i="190"/>
  <c r="I61" i="203"/>
  <c r="I62" i="203"/>
  <c r="V65" i="190"/>
  <c r="E17" i="205" s="1"/>
  <c r="V25" i="188"/>
  <c r="V25" i="187"/>
  <c r="U26" i="187"/>
  <c r="M67" i="187"/>
  <c r="U26" i="189"/>
  <c r="M62" i="189"/>
  <c r="U26" i="188"/>
  <c r="M66" i="188"/>
  <c r="V63" i="189"/>
  <c r="C16" i="205" s="1"/>
  <c r="V60" i="189"/>
  <c r="V61" i="189"/>
  <c r="AC4" i="189"/>
  <c r="D26" i="189"/>
  <c r="L25" i="189"/>
  <c r="V25" i="189" s="1"/>
  <c r="I60" i="203"/>
  <c r="I65" i="203" s="1"/>
  <c r="L26" i="188"/>
  <c r="D66" i="188"/>
  <c r="AF4" i="190"/>
  <c r="V26" i="190"/>
  <c r="V62" i="190" s="1"/>
  <c r="L62" i="190"/>
  <c r="AC4" i="209"/>
  <c r="D26" i="209"/>
  <c r="L25" i="209"/>
  <c r="V68" i="187"/>
  <c r="C14" i="205" s="1"/>
  <c r="L26" i="187"/>
  <c r="D67" i="187"/>
  <c r="L61" i="189"/>
  <c r="G61" i="203"/>
  <c r="G63" i="203"/>
  <c r="G65" i="203" s="1"/>
  <c r="V25" i="178"/>
  <c r="V54" i="178"/>
  <c r="V60" i="178" s="1"/>
  <c r="B2" i="205" s="1"/>
  <c r="L61" i="178"/>
  <c r="AB4" i="178"/>
  <c r="L60" i="178"/>
  <c r="L65" i="178" s="1"/>
  <c r="M62" i="178"/>
  <c r="U26" i="178"/>
  <c r="D62" i="178"/>
  <c r="L26" i="178"/>
  <c r="AB5" i="202"/>
  <c r="U63" i="202"/>
  <c r="U65" i="202" s="1"/>
  <c r="U61" i="202"/>
  <c r="V55" i="202"/>
  <c r="M26" i="202"/>
  <c r="U25" i="202"/>
  <c r="V25" i="202" s="1"/>
  <c r="L63" i="202"/>
  <c r="L65" i="202" s="1"/>
  <c r="AB4" i="202"/>
  <c r="L61" i="202"/>
  <c r="V54" i="202"/>
  <c r="V63" i="202" s="1"/>
  <c r="C32" i="205" s="1"/>
  <c r="L62" i="202"/>
  <c r="AF4" i="202"/>
  <c r="V25" i="200"/>
  <c r="U62" i="200"/>
  <c r="V26" i="200"/>
  <c r="V62" i="200" s="1"/>
  <c r="L63" i="200"/>
  <c r="L65" i="200" s="1"/>
  <c r="AB4" i="200"/>
  <c r="L61" i="200"/>
  <c r="AF4" i="200"/>
  <c r="L62" i="200"/>
  <c r="V61" i="200"/>
  <c r="V63" i="200"/>
  <c r="C30" i="205" s="1"/>
  <c r="V60" i="200"/>
  <c r="U60" i="201"/>
  <c r="U65" i="201" s="1"/>
  <c r="AB5" i="201"/>
  <c r="V55" i="201"/>
  <c r="U61" i="201"/>
  <c r="M26" i="201"/>
  <c r="U25" i="201"/>
  <c r="V25" i="201" s="1"/>
  <c r="V54" i="201"/>
  <c r="V63" i="201" s="1"/>
  <c r="C31" i="205" s="1"/>
  <c r="L60" i="201"/>
  <c r="L63" i="201"/>
  <c r="AB4" i="201"/>
  <c r="J62" i="203"/>
  <c r="L62" i="201"/>
  <c r="AF4" i="201"/>
  <c r="J60" i="203"/>
  <c r="J65" i="203" s="1"/>
  <c r="M65" i="199"/>
  <c r="J61" i="203"/>
  <c r="V25" i="199"/>
  <c r="U62" i="199"/>
  <c r="U63" i="199"/>
  <c r="U61" i="199"/>
  <c r="U60" i="199"/>
  <c r="L61" i="199"/>
  <c r="V54" i="199"/>
  <c r="V63" i="199" s="1"/>
  <c r="C29" i="205" s="1"/>
  <c r="L62" i="199"/>
  <c r="L63" i="199"/>
  <c r="L65" i="199" s="1"/>
  <c r="AB4" i="199"/>
  <c r="F60" i="203"/>
  <c r="F65" i="203" s="1"/>
  <c r="F61" i="203"/>
  <c r="F62" i="203"/>
  <c r="V26" i="199"/>
  <c r="AF4" i="199"/>
  <c r="H62" i="203"/>
  <c r="E61" i="203"/>
  <c r="E60" i="203"/>
  <c r="E65" i="203" s="1"/>
  <c r="E62" i="203"/>
  <c r="H63" i="203"/>
  <c r="H60" i="203"/>
  <c r="O70" i="198"/>
  <c r="V25" i="198"/>
  <c r="U68" i="198"/>
  <c r="U70" i="198" s="1"/>
  <c r="L54" i="203"/>
  <c r="L60" i="203" s="1"/>
  <c r="B33" i="205" s="1"/>
  <c r="D60" i="203"/>
  <c r="D65" i="203" s="1"/>
  <c r="AB5" i="198"/>
  <c r="U66" i="198"/>
  <c r="U67" i="198"/>
  <c r="M67" i="198"/>
  <c r="AB4" i="198"/>
  <c r="L66" i="198"/>
  <c r="L57" i="203"/>
  <c r="D70" i="198"/>
  <c r="L68" i="198"/>
  <c r="L70" i="198" s="1"/>
  <c r="V59" i="198"/>
  <c r="V66" i="198" s="1"/>
  <c r="L67" i="198"/>
  <c r="V26" i="198"/>
  <c r="AF4" i="198"/>
  <c r="L55" i="203"/>
  <c r="AC4" i="203" s="1"/>
  <c r="D25" i="203"/>
  <c r="D61" i="203"/>
  <c r="U67" i="194" l="1"/>
  <c r="L70" i="193"/>
  <c r="V70" i="193"/>
  <c r="E21" i="205" s="1"/>
  <c r="U26" i="192"/>
  <c r="M62" i="192"/>
  <c r="V61" i="192"/>
  <c r="V60" i="192"/>
  <c r="V65" i="192" s="1"/>
  <c r="E20" i="205" s="1"/>
  <c r="V61" i="191"/>
  <c r="V62" i="191"/>
  <c r="Y62" i="191" s="1"/>
  <c r="V60" i="191"/>
  <c r="B19" i="205" s="1"/>
  <c r="V63" i="209"/>
  <c r="V62" i="209"/>
  <c r="V67" i="209" s="1"/>
  <c r="V25" i="209"/>
  <c r="U64" i="209"/>
  <c r="L26" i="209"/>
  <c r="L64" i="209" s="1"/>
  <c r="D64" i="209"/>
  <c r="V64" i="188"/>
  <c r="V67" i="188"/>
  <c r="C15" i="205" s="1"/>
  <c r="V65" i="187"/>
  <c r="V70" i="187" s="1"/>
  <c r="E14" i="205" s="1"/>
  <c r="Y58" i="186"/>
  <c r="V63" i="186"/>
  <c r="C12" i="205" s="1"/>
  <c r="L65" i="186"/>
  <c r="V61" i="186"/>
  <c r="V62" i="186"/>
  <c r="V65" i="186"/>
  <c r="E12" i="205" s="1"/>
  <c r="V61" i="207"/>
  <c r="Y62" i="207" s="1"/>
  <c r="V60" i="207"/>
  <c r="Y58" i="207" s="1"/>
  <c r="V65" i="207"/>
  <c r="B9" i="205"/>
  <c r="V65" i="184"/>
  <c r="E9" i="205" s="1"/>
  <c r="Y58" i="184"/>
  <c r="Y62" i="184"/>
  <c r="V66" i="183"/>
  <c r="V67" i="183"/>
  <c r="V26" i="183"/>
  <c r="V68" i="183" s="1"/>
  <c r="Y68" i="183" s="1"/>
  <c r="U68" i="183"/>
  <c r="V71" i="183"/>
  <c r="E8" i="205" s="1"/>
  <c r="B8" i="205"/>
  <c r="Y64" i="183"/>
  <c r="V62" i="182"/>
  <c r="V63" i="182"/>
  <c r="C7" i="205" s="1"/>
  <c r="V61" i="182"/>
  <c r="B7" i="205"/>
  <c r="Y58" i="182"/>
  <c r="U65" i="180"/>
  <c r="U66" i="181"/>
  <c r="V61" i="181"/>
  <c r="Y59" i="181" s="1"/>
  <c r="V62" i="181"/>
  <c r="AF4" i="181"/>
  <c r="V26" i="181"/>
  <c r="V63" i="181" s="1"/>
  <c r="C6" i="205"/>
  <c r="V61" i="180"/>
  <c r="V62" i="180"/>
  <c r="V63" i="180"/>
  <c r="C5" i="205" s="1"/>
  <c r="B5" i="205"/>
  <c r="V63" i="206"/>
  <c r="V65" i="206" s="1"/>
  <c r="V61" i="206"/>
  <c r="D62" i="206"/>
  <c r="L26" i="206"/>
  <c r="Y58" i="206"/>
  <c r="U65" i="199"/>
  <c r="V69" i="196"/>
  <c r="V73" i="196"/>
  <c r="E26" i="205" s="1"/>
  <c r="V63" i="211"/>
  <c r="V25" i="211"/>
  <c r="U26" i="193"/>
  <c r="M67" i="193"/>
  <c r="AF5" i="196"/>
  <c r="U70" i="196"/>
  <c r="AF5" i="210"/>
  <c r="U62" i="210"/>
  <c r="U26" i="194"/>
  <c r="M64" i="194"/>
  <c r="AF5" i="195"/>
  <c r="U63" i="195"/>
  <c r="V25" i="193"/>
  <c r="V26" i="210"/>
  <c r="V62" i="210" s="1"/>
  <c r="Y62" i="210" s="1"/>
  <c r="AF4" i="210"/>
  <c r="L62" i="210"/>
  <c r="L26" i="196"/>
  <c r="D70" i="196"/>
  <c r="AF4" i="194"/>
  <c r="L64" i="194"/>
  <c r="B22" i="205"/>
  <c r="V67" i="194"/>
  <c r="E22" i="205" s="1"/>
  <c r="Y60" i="194"/>
  <c r="V66" i="195"/>
  <c r="E23" i="205" s="1"/>
  <c r="B23" i="205"/>
  <c r="Y59" i="195"/>
  <c r="L26" i="193"/>
  <c r="D67" i="193"/>
  <c r="V26" i="195"/>
  <c r="V63" i="195" s="1"/>
  <c r="Y63" i="195" s="1"/>
  <c r="AF4" i="195"/>
  <c r="L63" i="195"/>
  <c r="D64" i="211"/>
  <c r="L26" i="211"/>
  <c r="V61" i="190"/>
  <c r="Y62" i="190" s="1"/>
  <c r="AF5" i="188"/>
  <c r="U66" i="188"/>
  <c r="AF5" i="189"/>
  <c r="U62" i="189"/>
  <c r="AF5" i="187"/>
  <c r="U67" i="187"/>
  <c r="AF4" i="187"/>
  <c r="V26" i="187"/>
  <c r="V67" i="187" s="1"/>
  <c r="Y67" i="187" s="1"/>
  <c r="L67" i="187"/>
  <c r="B15" i="205"/>
  <c r="Y62" i="188"/>
  <c r="L26" i="189"/>
  <c r="D62" i="189"/>
  <c r="Y63" i="187"/>
  <c r="V65" i="189"/>
  <c r="E16" i="205" s="1"/>
  <c r="B16" i="205"/>
  <c r="Y58" i="189"/>
  <c r="Y60" i="209"/>
  <c r="AF4" i="188"/>
  <c r="V26" i="188"/>
  <c r="V66" i="188" s="1"/>
  <c r="Y66" i="188" s="1"/>
  <c r="L66" i="188"/>
  <c r="V63" i="178"/>
  <c r="C2" i="205" s="1"/>
  <c r="V61" i="178"/>
  <c r="Y58" i="178"/>
  <c r="AF5" i="178"/>
  <c r="U62" i="178"/>
  <c r="V26" i="178"/>
  <c r="V62" i="178" s="1"/>
  <c r="L62" i="178"/>
  <c r="AF4" i="178"/>
  <c r="V61" i="202"/>
  <c r="M62" i="202"/>
  <c r="U26" i="202"/>
  <c r="V60" i="202"/>
  <c r="B32" i="205" s="1"/>
  <c r="B30" i="205"/>
  <c r="V65" i="200"/>
  <c r="E30" i="205" s="1"/>
  <c r="Y58" i="200"/>
  <c r="Y62" i="200"/>
  <c r="U26" i="201"/>
  <c r="M62" i="201"/>
  <c r="V61" i="201"/>
  <c r="V60" i="201"/>
  <c r="Y58" i="201" s="1"/>
  <c r="L65" i="201"/>
  <c r="V62" i="199"/>
  <c r="V61" i="199"/>
  <c r="V60" i="199"/>
  <c r="V65" i="199" s="1"/>
  <c r="E29" i="205" s="1"/>
  <c r="H65" i="203"/>
  <c r="L63" i="203"/>
  <c r="C33" i="205" s="1"/>
  <c r="AB4" i="203"/>
  <c r="V65" i="198"/>
  <c r="V68" i="198"/>
  <c r="C28" i="205" s="1"/>
  <c r="V67" i="198"/>
  <c r="L61" i="203"/>
  <c r="D26" i="203"/>
  <c r="L25" i="203"/>
  <c r="Y58" i="192" l="1"/>
  <c r="B20" i="205"/>
  <c r="AF5" i="192"/>
  <c r="U62" i="192"/>
  <c r="V26" i="192"/>
  <c r="V62" i="192" s="1"/>
  <c r="Y62" i="192" s="1"/>
  <c r="Y58" i="191"/>
  <c r="V65" i="191"/>
  <c r="E19" i="205" s="1"/>
  <c r="V26" i="209"/>
  <c r="V64" i="209" s="1"/>
  <c r="Y64" i="209" s="1"/>
  <c r="AF4" i="209"/>
  <c r="V69" i="188"/>
  <c r="E15" i="205" s="1"/>
  <c r="B14" i="205"/>
  <c r="Y62" i="186"/>
  <c r="V65" i="182"/>
  <c r="E7" i="205" s="1"/>
  <c r="Y62" i="182"/>
  <c r="V66" i="181"/>
  <c r="E6" i="205" s="1"/>
  <c r="B6" i="205"/>
  <c r="Y63" i="181"/>
  <c r="Y62" i="180"/>
  <c r="V65" i="180"/>
  <c r="E5" i="205" s="1"/>
  <c r="L62" i="206"/>
  <c r="AF4" i="206"/>
  <c r="V26" i="206"/>
  <c r="V62" i="206" s="1"/>
  <c r="Y62" i="206" s="1"/>
  <c r="AF5" i="194"/>
  <c r="U64" i="194"/>
  <c r="V26" i="194"/>
  <c r="V64" i="194" s="1"/>
  <c r="Y64" i="194" s="1"/>
  <c r="AF5" i="193"/>
  <c r="U67" i="193"/>
  <c r="AF4" i="196"/>
  <c r="V26" i="196"/>
  <c r="V70" i="196" s="1"/>
  <c r="Y70" i="196" s="1"/>
  <c r="L70" i="196"/>
  <c r="AF4" i="193"/>
  <c r="V26" i="193"/>
  <c r="V67" i="193" s="1"/>
  <c r="Y67" i="193" s="1"/>
  <c r="L67" i="193"/>
  <c r="AF4" i="211"/>
  <c r="V26" i="211"/>
  <c r="V64" i="211" s="1"/>
  <c r="Y64" i="211" s="1"/>
  <c r="L64" i="211"/>
  <c r="V26" i="189"/>
  <c r="V62" i="189" s="1"/>
  <c r="Y62" i="189" s="1"/>
  <c r="AF4" i="189"/>
  <c r="L62" i="189"/>
  <c r="Y62" i="178"/>
  <c r="V65" i="178"/>
  <c r="E2" i="205" s="1"/>
  <c r="AF5" i="202"/>
  <c r="U62" i="202"/>
  <c r="V26" i="202"/>
  <c r="V62" i="202" s="1"/>
  <c r="Y62" i="202" s="1"/>
  <c r="Y58" i="202"/>
  <c r="V65" i="202"/>
  <c r="E32" i="205" s="1"/>
  <c r="AF5" i="201"/>
  <c r="U62" i="201"/>
  <c r="V26" i="201"/>
  <c r="V62" i="201" s="1"/>
  <c r="Y62" i="201" s="1"/>
  <c r="V65" i="201"/>
  <c r="E31" i="205" s="1"/>
  <c r="B31" i="205"/>
  <c r="Y58" i="199"/>
  <c r="B29" i="205"/>
  <c r="Y62" i="199"/>
  <c r="L65" i="203"/>
  <c r="E33" i="205" s="1"/>
  <c r="V70" i="198"/>
  <c r="E28" i="205" s="1"/>
  <c r="Y63" i="198"/>
  <c r="B28" i="205"/>
  <c r="Y67" i="198"/>
  <c r="D62" i="203"/>
  <c r="L26" i="203"/>
  <c r="AF4" i="203" l="1"/>
  <c r="L62" i="2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somchokf</author>
    <author>Acer</author>
  </authors>
  <commentList>
    <comment ref="B32" authorId="0" shapeId="0" xr:uid="{00000000-0006-0000-1200-000001000000}">
      <text>
        <r>
          <rPr>
            <sz val="8"/>
            <rFont val="Tahoma"/>
            <family val="2"/>
          </rPr>
          <t xml:space="preserve">สำหรับกระเบื้องสีคละ Winter Gray, Autumn Brown, Summer Clay
</t>
        </r>
      </text>
    </comment>
    <comment ref="B47" authorId="0" shapeId="0" xr:uid="{00000000-0006-0000-1200-000002000000}">
      <text>
        <r>
          <rPr>
            <sz val="8"/>
            <rFont val="Tahoma"/>
            <family val="2"/>
          </rPr>
          <t xml:space="preserve">สำหรับกระเบื้องสีคละ Winter Gray, Autumn Brown, Summer Clay
</t>
        </r>
      </text>
    </comment>
    <comment ref="B57" authorId="0" shapeId="0" xr:uid="{00000000-0006-0000-1200-000003000000}">
      <text>
        <r>
          <rPr>
            <sz val="8"/>
            <rFont val="Tahoma"/>
            <family val="2"/>
          </rPr>
          <t xml:space="preserve">สำหรับกระเบื้องสีคละ Winter Gray, Autumn Brown, Summer Clay
</t>
        </r>
      </text>
    </comment>
    <comment ref="K63" authorId="1" shapeId="0" xr:uid="{00000000-0006-0000-1200-000004000000}">
      <text>
        <r>
          <rPr>
            <b/>
            <sz val="9"/>
            <rFont val="Tahoma"/>
            <family val="2"/>
          </rPr>
          <t>Acer:</t>
        </r>
        <r>
          <rPr>
            <sz val="9"/>
            <rFont val="Tahoma"/>
            <family val="2"/>
          </rPr>
          <t xml:space="preserve">
3</t>
        </r>
      </text>
    </comment>
    <comment ref="B104" authorId="1" shapeId="0" xr:uid="{00000000-0006-0000-1200-000005000000}">
      <text>
        <r>
          <rPr>
            <b/>
            <sz val="9"/>
            <rFont val="Tahoma"/>
            <family val="2"/>
          </rPr>
          <t>Acer:</t>
        </r>
        <r>
          <rPr>
            <sz val="9"/>
            <rFont val="Tahoma"/>
            <family val="2"/>
          </rPr>
          <t xml:space="preserve">
1</t>
        </r>
      </text>
    </comment>
    <comment ref="H110" authorId="1" shapeId="0" xr:uid="{00000000-0006-0000-1200-000006000000}">
      <text>
        <r>
          <rPr>
            <b/>
            <sz val="9"/>
            <rFont val="Tahoma"/>
            <family val="2"/>
          </rPr>
          <t>Acer:</t>
        </r>
        <r>
          <rPr>
            <sz val="9"/>
            <rFont val="Tahoma"/>
            <family val="2"/>
          </rPr>
          <t xml:space="preserve">
2
</t>
        </r>
      </text>
    </comment>
  </commentList>
</comments>
</file>

<file path=xl/sharedStrings.xml><?xml version="1.0" encoding="utf-8"?>
<sst xmlns="http://schemas.openxmlformats.org/spreadsheetml/2006/main" count="9100" uniqueCount="736">
  <si>
    <t>รายงานการผลิตครอบประจำวัน</t>
  </si>
  <si>
    <t>สัปดาห์ที่</t>
  </si>
  <si>
    <t>วันที่ผลิต</t>
  </si>
  <si>
    <t>MATERIAL DOCUMENT NO</t>
  </si>
  <si>
    <t>Water base</t>
  </si>
  <si>
    <t xml:space="preserve"> </t>
  </si>
  <si>
    <t>จำนวนที่ผลิต</t>
  </si>
  <si>
    <t>เถ้าลอย</t>
  </si>
  <si>
    <t>ปูนซีเมนต์</t>
  </si>
  <si>
    <t>ทราย</t>
  </si>
  <si>
    <t>น้ำมัน</t>
  </si>
  <si>
    <t xml:space="preserve">สี </t>
  </si>
  <si>
    <t>Adva</t>
  </si>
  <si>
    <t>สีพื้น</t>
  </si>
  <si>
    <t>สีเหลือบ</t>
  </si>
  <si>
    <t>Slurry</t>
  </si>
  <si>
    <t>primer</t>
  </si>
  <si>
    <t>Add 1</t>
  </si>
  <si>
    <t>Add 2</t>
  </si>
  <si>
    <t>พ่นแบบ</t>
  </si>
  <si>
    <t>Batch</t>
  </si>
  <si>
    <t>ปูนผสมตัว</t>
  </si>
  <si>
    <t>S/C</t>
  </si>
  <si>
    <t>ทรายผสมตัว</t>
  </si>
  <si>
    <t>ความชื้น Mortar</t>
  </si>
  <si>
    <t>น้ำหนัก Batch</t>
  </si>
  <si>
    <t>น้ำ</t>
  </si>
  <si>
    <t>น้ำหนักมาตรฐาน/1000 แผ่น</t>
  </si>
  <si>
    <t>น้ำมันพ่นแบบ/1000 แผ่น</t>
  </si>
  <si>
    <t>รายงานการใช้วัตถุดิบ (สรุปรายงานประจำเดือน)</t>
  </si>
  <si>
    <t>กะที่</t>
  </si>
  <si>
    <t>LOT NO.</t>
  </si>
  <si>
    <t>ลอน</t>
  </si>
  <si>
    <t>สี</t>
  </si>
  <si>
    <t>(แผ่น)</t>
  </si>
  <si>
    <t>ปริมาณการใช้วัตถุดิบ</t>
  </si>
  <si>
    <t>ผสมตัว</t>
  </si>
  <si>
    <t>ผสมสี</t>
  </si>
  <si>
    <t>X-Shield</t>
  </si>
  <si>
    <t>Nonoptimize</t>
  </si>
  <si>
    <t>Counter</t>
  </si>
  <si>
    <t>ห้องบ่ม</t>
  </si>
  <si>
    <t>แผ่นเสีย</t>
  </si>
  <si>
    <t>Fly ash</t>
  </si>
  <si>
    <t>ปูนผสมสี</t>
  </si>
  <si>
    <t>ทรายผสมสี</t>
  </si>
  <si>
    <t>GC2</t>
  </si>
  <si>
    <t>น้ำมันพ่นแบบ</t>
  </si>
  <si>
    <t>GEP</t>
  </si>
  <si>
    <t xml:space="preserve">การใช้สี </t>
  </si>
  <si>
    <t>ยอดแกะ</t>
  </si>
  <si>
    <t>แผ่นดี</t>
  </si>
  <si>
    <t>Plan</t>
  </si>
  <si>
    <t>(ตัน)</t>
  </si>
  <si>
    <t>(ลิตร)</t>
  </si>
  <si>
    <t>(แผ่น/ถัง)</t>
  </si>
  <si>
    <t>(แผ่น/KG.)</t>
  </si>
  <si>
    <t>ตัน</t>
  </si>
  <si>
    <t>ลิตร</t>
  </si>
  <si>
    <t>Optimize</t>
  </si>
  <si>
    <t>ton</t>
  </si>
  <si>
    <t>ton/1000</t>
  </si>
  <si>
    <t>ลิตร/1000</t>
  </si>
  <si>
    <t>ถัง (BC)</t>
  </si>
  <si>
    <t>แผ่น/ถัง</t>
  </si>
  <si>
    <t>ถัง (OS)</t>
  </si>
  <si>
    <t>%</t>
  </si>
  <si>
    <t>AB(E)</t>
  </si>
  <si>
    <t>คลาสสิคบลูP</t>
  </si>
  <si>
    <t>ปริมาณการใช้กะ 1</t>
  </si>
  <si>
    <t>กะ1</t>
  </si>
  <si>
    <t xml:space="preserve">  คำนวณจาก  Counter  (ต่อพันแผ่น)</t>
  </si>
  <si>
    <t>B/C</t>
  </si>
  <si>
    <t>กะ2</t>
  </si>
  <si>
    <t xml:space="preserve">  คำนวณจาก  ห้องบ่ม  (ต่อพันแผ่น)</t>
  </si>
  <si>
    <t>หมายเหตุ</t>
  </si>
  <si>
    <t xml:space="preserve">ใช้ปูน </t>
  </si>
  <si>
    <t>ทิ้งปูน</t>
  </si>
  <si>
    <t>ทิ้งสีพื้น</t>
  </si>
  <si>
    <t>ถัง</t>
  </si>
  <si>
    <t>รวมกะที่ 1</t>
  </si>
  <si>
    <t>ใช้ผ้า</t>
  </si>
  <si>
    <t>ผืน</t>
  </si>
  <si>
    <t>แผ่น/ผืน</t>
  </si>
  <si>
    <t>ตะแกรง</t>
  </si>
  <si>
    <t>O/C</t>
  </si>
  <si>
    <t>รายงานการใช้วัตถุดิบ (ส่งพี่จง)</t>
  </si>
  <si>
    <t>AB(B)</t>
  </si>
  <si>
    <t>เทาปีกนางนวลP</t>
  </si>
  <si>
    <t>ปริมาณการใช้กะ 2</t>
  </si>
  <si>
    <t>ทรายผสมตัวคำนวน</t>
  </si>
  <si>
    <t>ปูน</t>
  </si>
  <si>
    <t>fly ash</t>
  </si>
  <si>
    <t>จำนวน batch</t>
  </si>
  <si>
    <t>วันที่</t>
  </si>
  <si>
    <t>เดือน</t>
  </si>
  <si>
    <t>ปี</t>
  </si>
  <si>
    <t>ช่องสีนี้เป็นช่องที่ต้องทำการแก้ไข Update เสมอเมื่อมีการเปลี่ยนแปลง</t>
  </si>
  <si>
    <t>รวมกะที่ 2</t>
  </si>
  <si>
    <t>แผ่น</t>
  </si>
  <si>
    <t>ปริมาณการใช้กะ 3</t>
  </si>
  <si>
    <t>รายการเบิก</t>
  </si>
  <si>
    <t>kg</t>
  </si>
  <si>
    <t>257</t>
  </si>
  <si>
    <t>425</t>
  </si>
  <si>
    <t>รวมกะที่ 3</t>
  </si>
  <si>
    <t>002</t>
  </si>
  <si>
    <t>ปริมาณการใช้รวม</t>
  </si>
  <si>
    <t>รวมทุกกะ</t>
  </si>
  <si>
    <t>675</t>
  </si>
  <si>
    <t>กบ.บด</t>
  </si>
  <si>
    <t>001</t>
  </si>
  <si>
    <t>รายงานการแกะครอบ</t>
  </si>
  <si>
    <t xml:space="preserve">  รายละเอียดครอบเสีย</t>
  </si>
  <si>
    <t>แผ่นดีนำไปกองเก็บ</t>
  </si>
  <si>
    <t>โฟมรอง Water base</t>
  </si>
  <si>
    <t>จำนวนที่นำมาแกะ</t>
  </si>
  <si>
    <t>Reject</t>
  </si>
  <si>
    <t>ร้าว</t>
  </si>
  <si>
    <t>เนื้อครอบ
แหว่งใต้ครอบ</t>
  </si>
  <si>
    <t xml:space="preserve">GEP </t>
  </si>
  <si>
    <t>บิ่น, แหว่ง</t>
  </si>
  <si>
    <t>ปูด</t>
  </si>
  <si>
    <t>ยกเข้า Rack</t>
  </si>
  <si>
    <t>อื่น ๆ</t>
  </si>
  <si>
    <t>บริเวณ / แถวที่</t>
  </si>
  <si>
    <t>( แผ่นโฟม / แผ่นครอบ</t>
  </si>
  <si>
    <t>ลิกไนต์เกรย์P</t>
  </si>
  <si>
    <t>ปริมาณโฟม</t>
  </si>
  <si>
    <t>นำมาแกะ</t>
  </si>
  <si>
    <t>เทาแทนทาลั่มP</t>
  </si>
  <si>
    <t xml:space="preserve"> ผู้ทำรายงาน</t>
  </si>
  <si>
    <t xml:space="preserve"> หม.ผลิต </t>
  </si>
  <si>
    <t xml:space="preserve"> หง.ผ </t>
  </si>
  <si>
    <t xml:space="preserve">  หม.จัดบรรทุก </t>
  </si>
  <si>
    <t xml:space="preserve">    พ.จ่ายสินค้า</t>
  </si>
  <si>
    <t xml:space="preserve"> ผร.</t>
  </si>
  <si>
    <t xml:space="preserve"> สำเนาเรียน : หัวหน้างานวางแผนผลิต, พนักงานควบคุมคุณภาพ</t>
  </si>
  <si>
    <t>GN-F-PD-212  (1 พฤศจิกายน 2551)</t>
  </si>
  <si>
    <t>เทียบมาตรฐานการใช้จาก Counter</t>
  </si>
  <si>
    <t>น้ำยา</t>
  </si>
  <si>
    <t>จีซี 2</t>
  </si>
  <si>
    <t xml:space="preserve"> พ่นแบบ</t>
  </si>
  <si>
    <t>เคลือบผิว</t>
  </si>
  <si>
    <t>มาตรฐานการใช้วัตถุดิบ</t>
  </si>
  <si>
    <t>มาตรฐาน Reject</t>
  </si>
  <si>
    <t>รายงานสมรรถภาพการผลิตประจำวัน</t>
  </si>
  <si>
    <t>รายงานการผลิตกระเบื้องประจำวัน</t>
  </si>
  <si>
    <t>รายงานการแกะกระเบื้อง</t>
  </si>
  <si>
    <t xml:space="preserve">  รายละเอียดกระเบื้องเสีย</t>
  </si>
  <si>
    <t>รอยขูด</t>
  </si>
  <si>
    <t>หัว/ชาย ก/บ</t>
  </si>
  <si>
    <t>สิ่งสกปรก ติดผิว</t>
  </si>
  <si>
    <t>Collator</t>
  </si>
  <si>
    <t>GN-F-PD-112  (1 กรกฎาคม 2547)</t>
  </si>
  <si>
    <t xml:space="preserve">ความเร็วเครื่องจักร </t>
  </si>
  <si>
    <t xml:space="preserve"> วันที่ </t>
  </si>
  <si>
    <t>เวลา</t>
  </si>
  <si>
    <t>Tile Counter</t>
  </si>
  <si>
    <t>จำนวนกระเบื้อง</t>
  </si>
  <si>
    <t>กะ</t>
  </si>
  <si>
    <t>เริ่มทำงาน</t>
  </si>
  <si>
    <t>เลิกงาน</t>
  </si>
  <si>
    <t>ทำงานรวม</t>
  </si>
  <si>
    <t xml:space="preserve"> ก่อนผลิต</t>
  </si>
  <si>
    <t>หลังผลิต</t>
  </si>
  <si>
    <t>ที่รีดได้</t>
  </si>
  <si>
    <t>ในห้องบ่ม</t>
  </si>
  <si>
    <t xml:space="preserve"> คัดเปียก</t>
  </si>
  <si>
    <t xml:space="preserve"> (ก) เวลาหยุดจากแผนผลิต (นาที)</t>
  </si>
  <si>
    <t>กะ 1</t>
  </si>
  <si>
    <t>กะ 2</t>
  </si>
  <si>
    <t>กะ 3</t>
  </si>
  <si>
    <t>รวม</t>
  </si>
  <si>
    <t xml:space="preserve"> (ค) เวลาหยุดซ่อมเครื่อง  (นาที)</t>
  </si>
  <si>
    <t>การ SAVE FILE</t>
  </si>
  <si>
    <t xml:space="preserve"> ก.1 เตรียมการผลิต</t>
  </si>
  <si>
    <t xml:space="preserve"> เครื่องจักรเสียตั้งแต่ 10 นาทีขึ้นไป</t>
  </si>
  <si>
    <t>ให้ SAVE FILE เป็น Format ดังนี้ครับ</t>
  </si>
  <si>
    <t xml:space="preserve"> ก.2 หยุดเปลี่ยนสี</t>
  </si>
  <si>
    <t xml:space="preserve"> (ดังรายละเอียดข้างล่าง)</t>
  </si>
  <si>
    <t>เช่น โรงงานสระบุรี 2 ข้อมูลวันที่ 1 กุมภาพันธ์ 2547</t>
  </si>
  <si>
    <t xml:space="preserve"> ก.3 หยุดเปลี่ยนลอน</t>
  </si>
  <si>
    <t>ให้ SAVE เป็น</t>
  </si>
  <si>
    <t xml:space="preserve"> ก.4 ทำความสะอาดหลังผลิต</t>
  </si>
  <si>
    <t>sb2_010247.xls</t>
  </si>
  <si>
    <t>รวมเวลาหยุด   (ก)</t>
  </si>
  <si>
    <t>รวมเวลาหยุด   (ค)</t>
  </si>
  <si>
    <t>โรงงานอื่นๆ : lp , sb1 , np1 , np2 , cb , kk , ns</t>
  </si>
  <si>
    <t xml:space="preserve"> (ข) เวลาหยุดระหว่างผลิต  (นาที)</t>
  </si>
  <si>
    <t>(ง) เวลาหยุดจากปัจจัยภายนอก (นาที)</t>
  </si>
  <si>
    <t>** สำคัญมากครับ เพราะจะใช้ในการดึงข้อมูลลงโปรแกรม</t>
  </si>
  <si>
    <t xml:space="preserve"> ข.1 ปรับตั้งเครื่องจักร</t>
  </si>
  <si>
    <t xml:space="preserve"> ง.1 ไม่มีแผนผลิต</t>
  </si>
  <si>
    <t xml:space="preserve"> ข.2 ผู้รับเหมาไม่มา/ทำไม่ทัน</t>
  </si>
  <si>
    <t xml:space="preserve"> ง.2 ทดลองผลิต</t>
  </si>
  <si>
    <t>*** ก่อนการส่ง file ให้กับ คุณสามารถ ช่วยพิจารณาความถูกต้อง</t>
  </si>
  <si>
    <t xml:space="preserve"> ข.3 fork Lift เสีย/วิ่งไม่ทัน</t>
  </si>
  <si>
    <t xml:space="preserve"> ง.3 ที่กองเต็ม</t>
  </si>
  <si>
    <t>ของข้อมูลก่อนนะครับ เพราะถ้าส่งมาให้แล้วจะถือว่าข้อมูลนั้นถูกต้อง</t>
  </si>
  <si>
    <t xml:space="preserve"> ข.4 วัตถุดิบหมด</t>
  </si>
  <si>
    <t xml:space="preserve"> ง.4 ไฟฟ้าดับ/น้ำประปาไม่ไหล</t>
  </si>
  <si>
    <t>สามารถนำไปใช้ประมวลผลให้ ผฝ.ผ.ต่อไปครับ ***</t>
  </si>
  <si>
    <t xml:space="preserve"> ข.5 เครื่องจักรหยุด  &lt;10 นาที</t>
  </si>
  <si>
    <t xml:space="preserve"> ง.5 กระเบื้องไม่แห้งรอแกะ</t>
  </si>
  <si>
    <t>ข.6 ทำความสะอาดหนามคุ้ยปูน</t>
  </si>
  <si>
    <t xml:space="preserve"> ง.6 อื่นๆ</t>
  </si>
  <si>
    <t>ข.7 อื่นๆ</t>
  </si>
  <si>
    <t>รวมเวลาหยุด   (ข)</t>
  </si>
  <si>
    <t>รวมเวลาหยุด   (ง)</t>
  </si>
  <si>
    <t xml:space="preserve"> ช่วงเวลาหยุด</t>
  </si>
  <si>
    <t>นาทีที่หยุด</t>
  </si>
  <si>
    <t>สาเหตุการหยุดเครื่องจักรเกิน 10 นาที</t>
  </si>
  <si>
    <t>*ประเภท</t>
  </si>
  <si>
    <t>รหัสอุปกรณ์หลัก</t>
  </si>
  <si>
    <t xml:space="preserve">การแก้ไข </t>
  </si>
  <si>
    <t>กะที่ 1</t>
  </si>
  <si>
    <t>กะที่ 2</t>
  </si>
  <si>
    <t>กะที่ 3</t>
  </si>
  <si>
    <t xml:space="preserve"> ลำดับ</t>
  </si>
  <si>
    <t xml:space="preserve">     ผลสรุปการผลิต</t>
  </si>
  <si>
    <t xml:space="preserve">             การคำนวณ</t>
  </si>
  <si>
    <t>(1)</t>
  </si>
  <si>
    <t xml:space="preserve"> เวลาที่ทำการผลิต</t>
  </si>
  <si>
    <t xml:space="preserve"> เวลาทำงานรวม - (ก) - (ง)</t>
  </si>
  <si>
    <t>(2)</t>
  </si>
  <si>
    <t xml:space="preserve"> เวลาที่เสียในการคัดกระเบื้องเปียก</t>
  </si>
  <si>
    <t xml:space="preserve"> จำนวนคัดเปียก / ความเร็วเครื่อง</t>
  </si>
  <si>
    <t>(3)</t>
  </si>
  <si>
    <t xml:space="preserve"> เวลาที่ใช้ผลิตและได้ผลผลิต</t>
  </si>
  <si>
    <t xml:space="preserve"> จำนวนในห้องบ่ม / ความเร็วเครื่อง</t>
  </si>
  <si>
    <t>(4)</t>
  </si>
  <si>
    <t xml:space="preserve"> % Plan Stop</t>
  </si>
  <si>
    <t xml:space="preserve"> (ก) / เวลาทำงานรวม x 100</t>
  </si>
  <si>
    <t>(5)</t>
  </si>
  <si>
    <t xml:space="preserve"> % Plant Idle</t>
  </si>
  <si>
    <t xml:space="preserve"> (ง) / เวลาทำงานรวม x 100</t>
  </si>
  <si>
    <t>รวมกันได้ 100%</t>
  </si>
  <si>
    <t>(6)</t>
  </si>
  <si>
    <t xml:space="preserve"> % Availability Rate (AR)</t>
  </si>
  <si>
    <t xml:space="preserve"> (1) / เวลาทำงานรวม x 100</t>
  </si>
  <si>
    <t>(7)</t>
  </si>
  <si>
    <t xml:space="preserve"> % In-process Loss</t>
  </si>
  <si>
    <t xml:space="preserve"> (2) / (1) x 100</t>
  </si>
  <si>
    <t>(8)</t>
  </si>
  <si>
    <t xml:space="preserve"> % Production Loss</t>
  </si>
  <si>
    <t xml:space="preserve"> (ข) / (1) x 100</t>
  </si>
  <si>
    <t>(9)</t>
  </si>
  <si>
    <t xml:space="preserve"> % Breakdown Loss</t>
  </si>
  <si>
    <t xml:space="preserve"> (ค) / (1) x 100</t>
  </si>
  <si>
    <t>(10)</t>
  </si>
  <si>
    <t xml:space="preserve"> % Performance Rate (PR)</t>
  </si>
  <si>
    <t xml:space="preserve"> (3) / (1) x 100</t>
  </si>
  <si>
    <t>(11)</t>
  </si>
  <si>
    <t xml:space="preserve"> % Quality Rate (QR)</t>
  </si>
  <si>
    <t xml:space="preserve">จำนวนกระเบื้องที่แกะดี / กระเบื้องที่แกะทั้งหมด x 100  </t>
  </si>
  <si>
    <t>(12)</t>
  </si>
  <si>
    <t xml:space="preserve"> %Overall Equipment Efficiency (OEE)</t>
  </si>
  <si>
    <t xml:space="preserve"> [ (6) x (10) x (11) ] / 10000</t>
  </si>
  <si>
    <t xml:space="preserve">หม.ผลิต </t>
  </si>
  <si>
    <t>หง.ผ</t>
  </si>
  <si>
    <t xml:space="preserve">  ผร.</t>
  </si>
  <si>
    <t xml:space="preserve">หมายเหตุ  :  * M = ประเภทการเสียเครื่องกล      </t>
  </si>
  <si>
    <t>E = ประเภทการเสียไฟฟ้า</t>
  </si>
  <si>
    <t>สำเนาเรียน : หัวหน้างานวางแผนผลิต</t>
  </si>
  <si>
    <t>GN-F-PD-113  (1 กรกฎาคม 2547)</t>
  </si>
  <si>
    <t>AR</t>
  </si>
  <si>
    <t>PR</t>
  </si>
  <si>
    <t>QR</t>
  </si>
  <si>
    <t>OEE</t>
  </si>
  <si>
    <t xml:space="preserve">โรงงานครอบพิเศษสระบุรี2        </t>
  </si>
  <si>
    <t>Specail  Ridge</t>
  </si>
  <si>
    <t>สัปดาห์ที่.</t>
  </si>
  <si>
    <t>0/68</t>
  </si>
  <si>
    <t>ครอบสันโค้ง</t>
  </si>
  <si>
    <t>ความเร็วเครื่องจักร</t>
  </si>
  <si>
    <t>กะ1+2</t>
  </si>
  <si>
    <t>เวลารวม</t>
  </si>
  <si>
    <t>เวลาผลิตรวม</t>
  </si>
  <si>
    <t>คัดเปียก</t>
  </si>
  <si>
    <t>ผลผลิต</t>
  </si>
  <si>
    <t>ก</t>
  </si>
  <si>
    <t>ข</t>
  </si>
  <si>
    <t>ค</t>
  </si>
  <si>
    <t>ง</t>
  </si>
  <si>
    <t>เครื่อง
ผลิต</t>
  </si>
  <si>
    <t xml:space="preserve"> No. โมล</t>
  </si>
  <si>
    <t>เวลาทำงาน</t>
  </si>
  <si>
    <t>เริ่ม</t>
  </si>
  <si>
    <t>เลิก</t>
  </si>
  <si>
    <t>รวม(นาที)</t>
  </si>
  <si>
    <t>F7</t>
  </si>
  <si>
    <t>F8</t>
  </si>
  <si>
    <t>F9</t>
  </si>
  <si>
    <t>F10</t>
  </si>
  <si>
    <t>F11</t>
  </si>
  <si>
    <t>F12</t>
  </si>
  <si>
    <t>F13</t>
  </si>
  <si>
    <t>F14</t>
  </si>
  <si>
    <t xml:space="preserve"> (ก) เวลาหยุดจากแผนผลิต</t>
  </si>
  <si>
    <t>F#7</t>
  </si>
  <si>
    <t>F#8</t>
  </si>
  <si>
    <t>F#9</t>
  </si>
  <si>
    <t>F#10</t>
  </si>
  <si>
    <t>F#11</t>
  </si>
  <si>
    <t>F#12</t>
  </si>
  <si>
    <t>F#13</t>
  </si>
  <si>
    <t>F#14</t>
  </si>
  <si>
    <t xml:space="preserve"> ก.1 เตรียมการผลิต </t>
  </si>
  <si>
    <t xml:space="preserve"> ก.3 หยุดเปลี่ยนโมล</t>
  </si>
  <si>
    <t xml:space="preserve"> ก.4 หยุดเปลี่ยนผ้าตะแกรง</t>
  </si>
  <si>
    <t xml:space="preserve"> ก.5 ทำความสะอาดหลังผลิต</t>
  </si>
  <si>
    <t>รวมเวลาหยุด  (ก)</t>
  </si>
  <si>
    <t xml:space="preserve"> (ข) เวลาหยุดระหว่างผลิต</t>
  </si>
  <si>
    <t xml:space="preserve"> ข.2 เครื่องจักรหยุด &lt; 10 นาที</t>
  </si>
  <si>
    <t>Diff Time</t>
  </si>
  <si>
    <t>รวมเวลาหยุด (ข)</t>
  </si>
  <si>
    <t xml:space="preserve"> (ค) เวลาหยุดซ่อมเครื่อง (นาที)</t>
  </si>
  <si>
    <t xml:space="preserve"> ค.1 เครื่องจักรเสียตั้งแต่ 10 นาที ขึ้นไป</t>
  </si>
  <si>
    <t xml:space="preserve"> ค.2 ผู้รับเหมาทำไม่ทัน </t>
  </si>
  <si>
    <t xml:space="preserve"> ค.3 รถ Fork lift เสีย / วิ่งไม่ทัน</t>
  </si>
  <si>
    <t xml:space="preserve"> ค.4 วัตถุดิบหมด</t>
  </si>
  <si>
    <t xml:space="preserve"> ค.5 รอแบบ</t>
  </si>
  <si>
    <t xml:space="preserve"> ค.6 อื่น ๆ </t>
  </si>
  <si>
    <t>รวมเวลาหยุด (ค)</t>
  </si>
  <si>
    <t xml:space="preserve"> (ง) เวลาหยุดจากปัจจัยภายนอก (นาที)</t>
  </si>
  <si>
    <t xml:space="preserve"> ง.4 ไม่มีแบบ</t>
  </si>
  <si>
    <t xml:space="preserve"> ง.5 ไฟฟ้าดับ / น้ำประปาไม่ไหล</t>
  </si>
  <si>
    <t xml:space="preserve"> ง.6 ครอบไม่แห้งรอแกะ</t>
  </si>
  <si>
    <t xml:space="preserve"> ง.7 อื่นๆ..........................</t>
  </si>
  <si>
    <t>รวมเวลาหยุด  (ง)</t>
  </si>
  <si>
    <t>ช่วงเวลาที่หยุด</t>
  </si>
  <si>
    <t>สาเหตุ</t>
  </si>
  <si>
    <t>เครื่อง</t>
  </si>
  <si>
    <t>ประเภท</t>
  </si>
  <si>
    <t>รหัสเครื่อง</t>
  </si>
  <si>
    <t>การแก้ไข</t>
  </si>
  <si>
    <t>ลำดับ</t>
  </si>
  <si>
    <t>ผลสรุปการผลิต</t>
  </si>
  <si>
    <t xml:space="preserve"> เวลาที่คัดครอบเปียก</t>
  </si>
  <si>
    <t xml:space="preserve"> เวลาที่ได้ผลผลิต</t>
  </si>
  <si>
    <t xml:space="preserve"> %  Plan   Stop (ก)</t>
  </si>
  <si>
    <t xml:space="preserve"> %  Break down Loss (ค)</t>
  </si>
  <si>
    <t xml:space="preserve"> %  Plant   Idle (ง)</t>
  </si>
  <si>
    <t xml:space="preserve"> %  Availability  Rate (AR)</t>
  </si>
  <si>
    <t xml:space="preserve"> %  In process  Loss </t>
  </si>
  <si>
    <t xml:space="preserve"> %  production Loss (ข)</t>
  </si>
  <si>
    <t xml:space="preserve"> %  Performance Rate (PR)</t>
  </si>
  <si>
    <t xml:space="preserve"> % Overall Equipment Effi (OEE)</t>
  </si>
  <si>
    <t xml:space="preserve">หมายเหตุ : </t>
  </si>
  <si>
    <t>*M = ประเภทการเสียเครื่องกล</t>
  </si>
  <si>
    <t xml:space="preserve">      สำเนาเรียน : หัวหน้างานวางแผนผลิต</t>
  </si>
  <si>
    <t>total</t>
  </si>
  <si>
    <t>เวลาในการผลิต</t>
  </si>
  <si>
    <t>การคำนวณ</t>
  </si>
  <si>
    <t xml:space="preserve"> เวลาทำงานรวม - (ก) - (ค) - (ง)</t>
  </si>
  <si>
    <t xml:space="preserve"> %  Plan   Stop</t>
  </si>
  <si>
    <t xml:space="preserve"> (ก) / (เวลาทำงานรวม) x 100</t>
  </si>
  <si>
    <t xml:space="preserve"> %  Break down Loss</t>
  </si>
  <si>
    <t xml:space="preserve"> (ค) / (เวลาทำงานรวม) x 100</t>
  </si>
  <si>
    <t xml:space="preserve"> %  Plant   Idle</t>
  </si>
  <si>
    <t xml:space="preserve"> %  In process  Loss</t>
  </si>
  <si>
    <t xml:space="preserve"> %  production Loss</t>
  </si>
  <si>
    <t xml:space="preserve"> (3) / (1) x100</t>
  </si>
  <si>
    <t>จำนวนครอบดีที่แกะได้ / ยอดแกะครอบทั้งหมด x 100</t>
  </si>
  <si>
    <t>[ (9) x (10) x (11) ] / 10000</t>
  </si>
  <si>
    <t>รวมเวลาทำงาน 2 กะ</t>
  </si>
  <si>
    <t>รวม2กะ</t>
  </si>
  <si>
    <t>กะ1+กะ2</t>
  </si>
  <si>
    <t>Plant</t>
  </si>
  <si>
    <t>Date</t>
  </si>
  <si>
    <t>Shift</t>
  </si>
  <si>
    <t>Lot</t>
  </si>
  <si>
    <t>Profile</t>
  </si>
  <si>
    <t>Colour</t>
  </si>
  <si>
    <t>Production</t>
  </si>
  <si>
    <t>Bcement</t>
  </si>
  <si>
    <t>Flyash</t>
  </si>
  <si>
    <t>Bsand</t>
  </si>
  <si>
    <t>Scement</t>
  </si>
  <si>
    <t>Ssand</t>
  </si>
  <si>
    <t>MouldOil</t>
  </si>
  <si>
    <t>Bl</t>
  </si>
  <si>
    <t>SLURRY</t>
  </si>
  <si>
    <t>A</t>
  </si>
  <si>
    <t>B</t>
  </si>
  <si>
    <t>C</t>
  </si>
  <si>
    <t>D</t>
  </si>
  <si>
    <t>E</t>
  </si>
  <si>
    <t>F</t>
  </si>
  <si>
    <t>H</t>
  </si>
  <si>
    <t>I</t>
  </si>
  <si>
    <t xml:space="preserve">Date </t>
  </si>
  <si>
    <t>StartTime</t>
  </si>
  <si>
    <t>StopTime</t>
  </si>
  <si>
    <t>workingTime</t>
  </si>
  <si>
    <t>Speed</t>
  </si>
  <si>
    <t>WetReject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</si>
  <si>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</si>
  <si>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</si>
  <si>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</si>
  <si>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</si>
  <si>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</si>
  <si>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</si>
  <si>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</si>
  <si>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</si>
  <si>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</si>
  <si>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</si>
  <si>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</si>
  <si>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</si>
  <si>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</si>
  <si>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D1</t>
  </si>
  <si>
    <t>D2</t>
  </si>
  <si>
    <t>D3</t>
  </si>
  <si>
    <t>D4</t>
  </si>
  <si>
    <t>D5</t>
  </si>
  <si>
    <t>D6</t>
  </si>
  <si>
    <t>cause</t>
  </si>
  <si>
    <t>แผ่นแกะ</t>
  </si>
  <si>
    <t>สรุปการผลิตครอบสันโค้งประจำวัน</t>
  </si>
  <si>
    <t>การผลิต</t>
  </si>
  <si>
    <t>แผนผลิต</t>
  </si>
  <si>
    <t>Wet Reject</t>
  </si>
  <si>
    <t>Cement</t>
  </si>
  <si>
    <t>BL</t>
  </si>
  <si>
    <t>การใช้สี</t>
  </si>
  <si>
    <t>ทิ้งสี</t>
  </si>
  <si>
    <t>vs  Plan</t>
  </si>
  <si>
    <t xml:space="preserve"> (กก./พันแผ่น)</t>
  </si>
  <si>
    <t>Liner</t>
  </si>
  <si>
    <t>ลิตร/พันแผ่น</t>
  </si>
  <si>
    <t>STD.</t>
  </si>
  <si>
    <t>DRY REJECT</t>
  </si>
  <si>
    <t>% แยกสาเหตุ Reject</t>
  </si>
  <si>
    <t>% Reject</t>
  </si>
  <si>
    <t>ปูนติดผ้า</t>
  </si>
  <si>
    <t>บิ่น แหว่ง</t>
  </si>
  <si>
    <t>ข้างไม่เรียบ</t>
  </si>
  <si>
    <t>อื่นๆ</t>
  </si>
  <si>
    <t>ประสิทธิภาพเครื่องจักร</t>
  </si>
  <si>
    <t>หัวข้อควบคุม</t>
  </si>
  <si>
    <t>ประสิทธิภาพเครื่องจักรกะ 1</t>
  </si>
  <si>
    <t>รวม กะ1</t>
  </si>
  <si>
    <t>ประสิทธิภาพเครื่องจักรกะ 2</t>
  </si>
  <si>
    <t>รวม กะ2</t>
  </si>
  <si>
    <t>รวม 2 กะ</t>
  </si>
  <si>
    <t>R 1</t>
  </si>
  <si>
    <t>R 2</t>
  </si>
  <si>
    <t>R 3</t>
  </si>
  <si>
    <t>R 4</t>
  </si>
  <si>
    <t>R 5</t>
  </si>
  <si>
    <t xml:space="preserve">ก.1 เตรียมการผลิต </t>
  </si>
  <si>
    <t>ข.2 เครื่องจักรหยุด &lt; 10 นาที</t>
  </si>
  <si>
    <t>ค.1 เครื่องจักรเสียตั้งแต่ 10 นาที</t>
  </si>
  <si>
    <t xml:space="preserve"> %   (AR)</t>
  </si>
  <si>
    <t xml:space="preserve"> %  (PR)</t>
  </si>
  <si>
    <t xml:space="preserve"> % (QR)</t>
  </si>
  <si>
    <t xml:space="preserve"> %  (OEE)</t>
  </si>
  <si>
    <t>break down</t>
  </si>
  <si>
    <t>เวลาที่หยุด</t>
  </si>
  <si>
    <t>นาที</t>
  </si>
  <si>
    <t>Counter Over</t>
  </si>
  <si>
    <t>Curing Over</t>
  </si>
  <si>
    <t>Sum Shift 1</t>
  </si>
  <si>
    <t>Produce</t>
  </si>
  <si>
    <t>Product_Date</t>
  </si>
  <si>
    <t>Product_Shift</t>
  </si>
  <si>
    <t>Product_Week</t>
  </si>
  <si>
    <t>Product_Factory</t>
  </si>
  <si>
    <t>Product_Lot</t>
  </si>
  <si>
    <t>Color</t>
  </si>
  <si>
    <t>SumOfPlan</t>
  </si>
  <si>
    <t>SumOfCounter</t>
  </si>
  <si>
    <t>SumOfCuring</t>
  </si>
  <si>
    <t>FlyashUse</t>
  </si>
  <si>
    <t>Body_CementUse</t>
  </si>
  <si>
    <t>Color_CementUse</t>
  </si>
  <si>
    <t>Body_SandUse</t>
  </si>
  <si>
    <t>Color_SandUse</t>
  </si>
  <si>
    <t>SumOfMouldOil</t>
  </si>
  <si>
    <t>SumOfBL</t>
  </si>
  <si>
    <t>GC2Use</t>
  </si>
  <si>
    <t>SumOfBaseColor</t>
  </si>
  <si>
    <t>SumOfOver1</t>
  </si>
  <si>
    <t>SumOfOver2</t>
  </si>
  <si>
    <t>SumOfColorReject</t>
  </si>
  <si>
    <t>SumOfBatchUse</t>
  </si>
  <si>
    <t>SumOfBatchReject</t>
  </si>
  <si>
    <t>AvgOfSC_Ratio</t>
  </si>
  <si>
    <t>AvgOfBC_Cement</t>
  </si>
  <si>
    <t>AvgOfOS1_Cement</t>
  </si>
  <si>
    <t>AvgOfOS2_Cement</t>
  </si>
  <si>
    <t>AvgOfBC_Sand</t>
  </si>
  <si>
    <t>AvgOfOS1_Sand</t>
  </si>
  <si>
    <t>AvgOfOS2_Sand</t>
  </si>
  <si>
    <t>FirstOfRemark</t>
  </si>
  <si>
    <t>SumOfColorOS_Reject</t>
  </si>
  <si>
    <t>AvgOfMoisture</t>
  </si>
  <si>
    <t>AvgOfSpeed</t>
  </si>
  <si>
    <t>SumOfCloth</t>
  </si>
  <si>
    <t>SumOfScreen</t>
  </si>
  <si>
    <t>SumOfManDay</t>
  </si>
  <si>
    <t>1</t>
  </si>
  <si>
    <t>17/38</t>
  </si>
  <si>
    <t>โรงงานนครปฐม ครอบชนผนัง</t>
  </si>
  <si>
    <t>56010008</t>
  </si>
  <si>
    <t>Round</t>
  </si>
  <si>
    <t>ประกายกนก</t>
  </si>
  <si>
    <t>56010009</t>
  </si>
  <si>
    <t>เทาปีกนางนวล</t>
  </si>
  <si>
    <t>Sum Shift 2</t>
  </si>
  <si>
    <t>Sum Shift 3</t>
  </si>
  <si>
    <t>TotalShift</t>
  </si>
  <si>
    <t>Shift1</t>
  </si>
  <si>
    <t>Depallet</t>
  </si>
  <si>
    <t>Depallet_Date</t>
  </si>
  <si>
    <t>Depallet_Shift</t>
  </si>
  <si>
    <t>Depallet_Factory</t>
  </si>
  <si>
    <t>Depallet_Lot</t>
  </si>
  <si>
    <t>Depallet_Tile</t>
  </si>
  <si>
    <t>Depallet_Good</t>
  </si>
  <si>
    <t>R1</t>
  </si>
  <si>
    <t>R2</t>
  </si>
  <si>
    <t>R3</t>
  </si>
  <si>
    <t>R4</t>
  </si>
  <si>
    <t>R5</t>
  </si>
  <si>
    <t>R6</t>
  </si>
  <si>
    <t>R7</t>
  </si>
  <si>
    <t>R8</t>
  </si>
  <si>
    <t>Remark</t>
  </si>
  <si>
    <t>โรงงานนครปฐม ครอบโค้ง</t>
  </si>
  <si>
    <t>56010005</t>
  </si>
  <si>
    <t>56010006</t>
  </si>
  <si>
    <t>ประกายทอง</t>
  </si>
  <si>
    <t>56010007</t>
  </si>
  <si>
    <t>เงินไททาเนียม</t>
  </si>
  <si>
    <t>Shift2</t>
  </si>
  <si>
    <t>Shift3</t>
  </si>
  <si>
    <t>Performance</t>
  </si>
  <si>
    <t>Performance_Date</t>
  </si>
  <si>
    <t>Performance_Factory</t>
  </si>
  <si>
    <t>Performance_Shift</t>
  </si>
  <si>
    <t>ShiftStart</t>
  </si>
  <si>
    <t>ShiftEnd</t>
  </si>
  <si>
    <t>PlanStop1</t>
  </si>
  <si>
    <t>PlanStop2</t>
  </si>
  <si>
    <t>PlanStop3</t>
  </si>
  <si>
    <t>PlanStop4</t>
  </si>
  <si>
    <t>InProcess1</t>
  </si>
  <si>
    <t>InProcess2</t>
  </si>
  <si>
    <t>InProcess3</t>
  </si>
  <si>
    <t>InProcess4</t>
  </si>
  <si>
    <t>InProcess5</t>
  </si>
  <si>
    <t>InProcess6</t>
  </si>
  <si>
    <t>InProcess7</t>
  </si>
  <si>
    <t>InProcess8</t>
  </si>
  <si>
    <t>Breakdown</t>
  </si>
  <si>
    <t>Idle1</t>
  </si>
  <si>
    <t>Idle2</t>
  </si>
  <si>
    <t>Idle3</t>
  </si>
  <si>
    <t>Idle4</t>
  </si>
  <si>
    <t>Idle5</t>
  </si>
  <si>
    <t>Idle6</t>
  </si>
  <si>
    <t>Machine</t>
  </si>
  <si>
    <t>F6</t>
  </si>
  <si>
    <t>Stop</t>
  </si>
  <si>
    <t>Stop_Date</t>
  </si>
  <si>
    <t>Stop_Factory</t>
  </si>
  <si>
    <t>StopStart</t>
  </si>
  <si>
    <t>StopEnd</t>
  </si>
  <si>
    <t>StopMinute</t>
  </si>
  <si>
    <t>StopCause</t>
  </si>
  <si>
    <t>StopType</t>
  </si>
  <si>
    <t>MachineCode</t>
  </si>
  <si>
    <t>PCAction</t>
  </si>
  <si>
    <t>Stop_Machine</t>
  </si>
  <si>
    <t>First Date</t>
  </si>
  <si>
    <t>Date/Week</t>
  </si>
  <si>
    <t>Factory</t>
  </si>
  <si>
    <t>Product_Perform1</t>
  </si>
  <si>
    <t>FirstOfMold_No</t>
  </si>
  <si>
    <t>FirstOfProfile</t>
  </si>
  <si>
    <t>Mold No.</t>
  </si>
  <si>
    <t>Round Ridge END</t>
  </si>
  <si>
    <t>R29/29</t>
  </si>
  <si>
    <t>R26/26</t>
  </si>
  <si>
    <t>R05/01</t>
  </si>
  <si>
    <t>R05/02</t>
  </si>
  <si>
    <t>R05/03</t>
  </si>
  <si>
    <t>R05/04</t>
  </si>
  <si>
    <t>R05/05</t>
  </si>
  <si>
    <t>P</t>
  </si>
  <si>
    <t>บกค</t>
  </si>
  <si>
    <t>3</t>
  </si>
  <si>
    <t>0</t>
  </si>
  <si>
    <t>5</t>
  </si>
  <si>
    <t>ครอบพิเศษ</t>
  </si>
  <si>
    <t>ครอบข้าง</t>
  </si>
  <si>
    <t>ปูนซิเมนต์ผสมตัว</t>
  </si>
  <si>
    <t>ปูนซิเมนต์ผสมสี</t>
  </si>
  <si>
    <t>Fly Ash</t>
  </si>
  <si>
    <t>เศษกระเบื้องบด</t>
  </si>
  <si>
    <t>หินฝุ่น</t>
  </si>
  <si>
    <t>0/69</t>
  </si>
  <si>
    <t>-</t>
  </si>
  <si>
    <t>Prestige</t>
  </si>
  <si>
    <t>v</t>
  </si>
  <si>
    <t>22.30</t>
  </si>
  <si>
    <t>00.30</t>
  </si>
  <si>
    <t>ฝาแผ่นรองเพรสT/S หลุด</t>
  </si>
  <si>
    <t>ถอดT/Sออกใส่แผ่นใหม่</t>
  </si>
  <si>
    <t>09.35</t>
  </si>
  <si>
    <t>09.49</t>
  </si>
  <si>
    <t>สายลมข้อต่หลุด</t>
  </si>
  <si>
    <t>15.50</t>
  </si>
  <si>
    <t>16.00</t>
  </si>
  <si>
    <t>ตัวแหย่ปูนรอยเชื่อมแตก</t>
  </si>
  <si>
    <t>ครอบสัน / 01</t>
  </si>
  <si>
    <t>ครอบตะเข้ / 09</t>
  </si>
  <si>
    <t>ปิดปลายซิมเลท</t>
  </si>
  <si>
    <t>สายพานก่อนเข้า X-Shield ขาด</t>
  </si>
  <si>
    <t>ครอบสัน / 05</t>
  </si>
  <si>
    <t xml:space="preserve">ปิดปลายตะเข้ / </t>
  </si>
  <si>
    <t>ครอบตะเข้ / 01</t>
  </si>
  <si>
    <t>ข้างซิมเลท/02</t>
  </si>
  <si>
    <t>สายพาน</t>
  </si>
  <si>
    <t>ตัดต่อ</t>
  </si>
  <si>
    <t>ไฟตู้โรบอทดับ ขั้วสาย sesor ช็อต / เปลี่ยนใหม่</t>
  </si>
  <si>
    <t>โรบอทไม่จับงาน / บูทเครื่อง หา โฮมใหม่</t>
  </si>
  <si>
    <t>00/08/2569</t>
  </si>
  <si>
    <t>20.21</t>
  </si>
  <si>
    <t>21.51</t>
  </si>
  <si>
    <t>22.41</t>
  </si>
  <si>
    <t>23.00</t>
  </si>
  <si>
    <t xml:space="preserve">ครอบตะเข้ / </t>
  </si>
  <si>
    <t>15.15</t>
  </si>
  <si>
    <t>เปลี่ยนโมลล่าง</t>
  </si>
  <si>
    <t xml:space="preserve">ปิดปลายซิมเลท / </t>
  </si>
  <si>
    <t>08.30</t>
  </si>
  <si>
    <t>ครอบเพลสไม่แน่น เทเบิลเด้ง จากแผ่น lower mold ขยับได้ / เชื่อม</t>
  </si>
  <si>
    <t>09.15</t>
  </si>
  <si>
    <t>ครอบบิ่นสันเขื่อนรางลิ้น / ปรับระนาบชุดรับแบบ</t>
  </si>
  <si>
    <t>แก้อาการร้าวผิวท้าย / ปรับตั้งชุดรับแบบ</t>
  </si>
  <si>
    <t>pressure step 2 ไม่ขึ้น ครอบเพลสไม่แห้ง / เปลี่ยน ชุด valve contorl</t>
  </si>
  <si>
    <t>ปิดปลายซิมเลท / ปิดตะเข้สัน</t>
  </si>
  <si>
    <t>21.30</t>
  </si>
  <si>
    <t>Ram จังหวะลงไม่มีแรง</t>
  </si>
  <si>
    <t>ครอบตะเข้ / 03</t>
  </si>
  <si>
    <t xml:space="preserve">ครอบตะเข้ /08 </t>
  </si>
  <si>
    <t>ครอบตะเข้ / 06</t>
  </si>
  <si>
    <t>ครอบตะเข้ / 02</t>
  </si>
  <si>
    <t>เปิดปั้มไม่ติด สายไฟประตู safety ด้านข้างเสีย / ช่างไฟเข้าแก้ไข</t>
  </si>
  <si>
    <t>แก้ไขครอบร้าวผิวจากยางอุดรูตะปูโมลลางยุบ / เปลียนยางใหม่</t>
  </si>
  <si>
    <t xml:space="preserve"> ซีลหน้าแปลนยูเนี่ยน Refeilvalve ขาดน้ำมัน HDY รั่ว / เปลี่ยนซ๊ลเติมน้ำมัน</t>
  </si>
  <si>
    <t>ครอบเพลสเป็นครีบ / ปรับตั้งโมลล่าง แก้ไขรูสกรูยึดโมล</t>
  </si>
  <si>
    <t xml:space="preserve">ครอบเพลสเป็นครีบ / ปรับตั้งโมลล่าง </t>
  </si>
  <si>
    <t>08.57</t>
  </si>
  <si>
    <t>10.10</t>
  </si>
  <si>
    <t>13.40</t>
  </si>
  <si>
    <t>14.15</t>
  </si>
  <si>
    <t>19.00</t>
  </si>
  <si>
    <t>ชุดรับแบบหัก</t>
  </si>
  <si>
    <t>เสริฟไม่ตรง ชุดรับแบบไม่ตรง</t>
  </si>
  <si>
    <t>เสาฐานชุดรับแบบหัก</t>
  </si>
  <si>
    <t>21.20</t>
  </si>
  <si>
    <t>03.15</t>
  </si>
  <si>
    <t>04.15</t>
  </si>
  <si>
    <t>Read Switch ไม่ติด</t>
  </si>
  <si>
    <t>ตู้สี</t>
  </si>
  <si>
    <t>05.15</t>
  </si>
  <si>
    <t>ลิ่มเพลาปั๊มสีสึก</t>
  </si>
  <si>
    <t>07.00</t>
  </si>
  <si>
    <t>ชุดเสริฟไม่ตรง</t>
  </si>
  <si>
    <t>ขาชุดรับแบบหัก</t>
  </si>
  <si>
    <t>Prox เสีย</t>
  </si>
  <si>
    <t>ปั้มเปิดไม่ติด / เปลี่ยนสวิท Nc เดินได้ 30 นาที</t>
  </si>
  <si>
    <t>13.30</t>
  </si>
  <si>
    <t>ช่างไฟเข้าตรวจเช็คสายไฟขาด</t>
  </si>
  <si>
    <t>แขน Receiver 2 ไม่ทำงาน</t>
  </si>
  <si>
    <t>22.45</t>
  </si>
  <si>
    <t xml:space="preserve">ครอบสัน / </t>
  </si>
  <si>
    <t>สายพานก่อนเข้า X-shield ขาด2 รอบ</t>
  </si>
  <si>
    <t>สายพาน V หลังเครื่องสเปรย์สีขาด</t>
  </si>
  <si>
    <t>สายพานลำเรียงหน้าเคื่องเพลส 10-11 ยืดรับน้ำหนักไม่ไหว / ปรับตึง</t>
  </si>
  <si>
    <t>แขนเหวี่ยงโดน Prox</t>
  </si>
  <si>
    <t>สาย Prox กรอบโมลขาด / ตัดต่อพันเกลียว</t>
  </si>
  <si>
    <t>แม่เหล็กประตู safety เสียเปิดปั้มไม่ติด / เปลี่ยนใหม่</t>
  </si>
  <si>
    <t>21.00</t>
  </si>
  <si>
    <t>Lee swish stopper ชุดดักงานขาด / เปลี่ยนใหม่</t>
  </si>
  <si>
    <t>หยุดเครื่องผลิต เนื่องจากมีการแก้ไข Leed ชุดดักงานเครื่อง8</t>
  </si>
  <si>
    <t>แก้ไขอาการร้าวผิวสันกลางครอบ / ถอดชุดซ่อม</t>
  </si>
  <si>
    <t>22.55</t>
  </si>
  <si>
    <t>สายพานขาด</t>
  </si>
  <si>
    <t>22.50</t>
  </si>
  <si>
    <t>23.25</t>
  </si>
  <si>
    <t xml:space="preserve">ข้างซิมเลท/ </t>
  </si>
  <si>
    <t xml:space="preserve">ครอบสัน /05 </t>
  </si>
  <si>
    <t>ปิดตะเข้/01</t>
  </si>
  <si>
    <t>13.15</t>
  </si>
  <si>
    <t>เปลี่ยน Sonsor ใหม่</t>
  </si>
  <si>
    <t>Sensor ชุด Pop-Down  เสีย</t>
  </si>
  <si>
    <t>กรอบโมลขัดตัว / หยุดล้างทำความสะอาด</t>
  </si>
  <si>
    <t>ครอบไม่ปลด / หยุดเจาะรูลม</t>
  </si>
  <si>
    <t xml:space="preserve">น้ำมันพ่นโมลไม่พ่น / </t>
  </si>
  <si>
    <t>08.00</t>
  </si>
  <si>
    <t>T/B วิ่งสะดุด</t>
  </si>
  <si>
    <t>ถอดซ่อม</t>
  </si>
  <si>
    <t>13.10</t>
  </si>
  <si>
    <t xml:space="preserve">ปรับตั้งโมล/ T/S </t>
  </si>
  <si>
    <t>โมล/ T/S  ไม่ตรง</t>
  </si>
  <si>
    <t>Ram ยกไม่ขื้น</t>
  </si>
  <si>
    <t>เปลี่ยนวาล์วใหม่</t>
  </si>
  <si>
    <t>แผ่นรับ Product หัก</t>
  </si>
  <si>
    <t>เชื่อมใหม่</t>
  </si>
  <si>
    <t>วางงานลอย</t>
  </si>
  <si>
    <t>เชื่อมแขน Receiver ใหม่</t>
  </si>
  <si>
    <t>แขน Receiver กดแบบงอ</t>
  </si>
  <si>
    <t>15.00</t>
  </si>
  <si>
    <t>20.10</t>
  </si>
  <si>
    <t>21.50</t>
  </si>
  <si>
    <t>ทำเครื่อง</t>
  </si>
  <si>
    <t>ครอบร้างยางรูตะปู / เปลี่ยนยางใหม่</t>
  </si>
  <si>
    <t xml:space="preserve">ชุด Pop drow ไม่วางงาน / ปรับระยะ sensor </t>
  </si>
  <si>
    <t>แก้ไขเข็มยางบวม / เปลี่ยนยางใหม่</t>
  </si>
  <si>
    <t>น้ำมันพ่นโมลไม่พ่น / ถอดล้างชุดคอร์ยน้ำมัน</t>
  </si>
  <si>
    <t>ครอบตะเข้ / 08</t>
  </si>
  <si>
    <t>13.47</t>
  </si>
  <si>
    <t>14.17</t>
  </si>
  <si>
    <t>ตัวปรับ Fitting หลุด</t>
  </si>
  <si>
    <t>ปรับตั้งแขน Receiver</t>
  </si>
  <si>
    <t>แก้ชิมโมลใหม่</t>
  </si>
  <si>
    <t>14.08</t>
  </si>
  <si>
    <t>ชุดรับแบบชน เสริฟไม่ตรง</t>
  </si>
  <si>
    <t>14.00</t>
  </si>
  <si>
    <t>สายหรีดขาด</t>
  </si>
  <si>
    <t>สาย HYD. แตก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</si>
</sst>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-* #,##0.00_-;\-* #,##0.00_-;_-* &quot;-&quot;??_-;_-@_-"/>
    <numFmt numFmtId="165" formatCode="h:mm;@"/>
    <numFmt numFmtId="166" formatCode="0.0"/>
    <numFmt numFmtId="167" formatCode="[$-107041E]d\ mmm\ yy;@"/>
    <numFmt numFmtId="168" formatCode="0.000"/>
    <numFmt numFmtId="169" formatCode="_-* #,##0_-;\-* #,##0_-;_-* &quot;-&quot;??_-;_-@_-"/>
    <numFmt numFmtId="170" formatCode="0.0%"/>
    <numFmt numFmtId="171" formatCode="0.0000"/>
    <numFmt numFmtId="172" formatCode="General_)"/>
    <numFmt numFmtId="173" formatCode="\O\O0"/>
    <numFmt numFmtId="174" formatCode="00"/>
    <numFmt numFmtId="175" formatCode="ddmmyy"/>
    <numFmt numFmtId="176" formatCode="#,##0.00000_);\(#,##0.00000\)"/>
    <numFmt numFmtId="177" formatCode="0_)"/>
    <numFmt numFmtId="178" formatCode="0.00_)"/>
    <numFmt numFmtId="179" formatCode="#,##0.000;\-#,##0.000"/>
  </numFmts>
  <fonts count="89">
    <font>
      <sz val="16"/>
      <name val="CordiaUPC"/>
      <charset val="134"/>
    </font>
    <font>
      <b/>
      <sz val="16"/>
      <name val="CordiaUPC"/>
      <family val="2"/>
    </font>
    <font>
      <b/>
      <sz val="14"/>
      <name val="CordiaUPC"/>
      <family val="2"/>
    </font>
    <font>
      <b/>
      <sz val="18"/>
      <name val="Wingdings 2"/>
      <family val="1"/>
      <charset val="2"/>
    </font>
    <font>
      <sz val="10"/>
      <name val="MS Sans Serif"/>
      <charset val="134"/>
    </font>
    <font>
      <sz val="10"/>
      <color theme="0"/>
      <name val="MS Sans Serif"/>
      <charset val="134"/>
    </font>
    <font>
      <b/>
      <sz val="10"/>
      <color theme="0"/>
      <name val="MS Sans Serif"/>
      <charset val="134"/>
    </font>
    <font>
      <sz val="16"/>
      <color theme="0"/>
      <name val="CordiaUPC"/>
      <family val="2"/>
    </font>
    <font>
      <sz val="10"/>
      <color theme="1"/>
      <name val="MS Sans Serif"/>
      <charset val="134"/>
    </font>
    <font>
      <sz val="16"/>
      <color theme="1"/>
      <name val="CordiaUPC"/>
      <family val="2"/>
    </font>
    <font>
      <b/>
      <sz val="9"/>
      <name val="MS Sans Serif"/>
      <charset val="134"/>
    </font>
    <font>
      <b/>
      <sz val="9"/>
      <color theme="0"/>
      <name val="MS Sans Serif"/>
      <charset val="134"/>
    </font>
    <font>
      <b/>
      <sz val="20"/>
      <name val="CordiaUPC"/>
      <family val="2"/>
    </font>
    <font>
      <sz val="16"/>
      <color indexed="10"/>
      <name val="CordiaUPC"/>
      <family val="2"/>
    </font>
    <font>
      <b/>
      <u/>
      <sz val="16"/>
      <name val="CordiaUPC"/>
      <family val="2"/>
    </font>
    <font>
      <b/>
      <sz val="12"/>
      <name val="CordiaUPC"/>
      <family val="2"/>
    </font>
    <font>
      <sz val="12"/>
      <name val="CordiaUPC"/>
      <family val="2"/>
    </font>
    <font>
      <b/>
      <sz val="16"/>
      <color indexed="10"/>
      <name val="CordiaUPC"/>
      <family val="2"/>
    </font>
    <font>
      <sz val="14"/>
      <name val="CordiaUPC"/>
      <family val="2"/>
    </font>
    <font>
      <sz val="16"/>
      <name val="AngsanaUPC"/>
      <family val="1"/>
    </font>
    <font>
      <sz val="12"/>
      <name val="Tahoma"/>
      <family val="2"/>
    </font>
    <font>
      <sz val="14"/>
      <name val="Tahoma"/>
      <family val="2"/>
    </font>
    <font>
      <b/>
      <u/>
      <sz val="12"/>
      <name val="Tahoma"/>
      <family val="2"/>
    </font>
    <font>
      <sz val="14"/>
      <name val="Cordia New"/>
      <family val="2"/>
    </font>
    <font>
      <sz val="18"/>
      <name val="CordiaUPC"/>
      <family val="2"/>
    </font>
    <font>
      <sz val="14"/>
      <color indexed="10"/>
      <name val="CordiaUPC"/>
      <family val="2"/>
    </font>
    <font>
      <sz val="16"/>
      <name val="Cordia New"/>
      <family val="2"/>
    </font>
    <font>
      <b/>
      <sz val="18"/>
      <name val="CordiaUPC"/>
      <family val="2"/>
    </font>
    <font>
      <b/>
      <sz val="18"/>
      <color indexed="10"/>
      <name val="CordiaUPC"/>
      <family val="2"/>
    </font>
    <font>
      <b/>
      <u/>
      <sz val="18"/>
      <name val="CordiaUPC"/>
      <family val="2"/>
    </font>
    <font>
      <sz val="18"/>
      <color indexed="10"/>
      <name val="CordiaUPC"/>
      <family val="2"/>
    </font>
    <font>
      <b/>
      <sz val="20"/>
      <color indexed="10"/>
      <name val="CordiaUPC"/>
      <family val="2"/>
    </font>
    <font>
      <u/>
      <sz val="14"/>
      <name val="CordiaUPC"/>
      <family val="2"/>
    </font>
    <font>
      <sz val="14"/>
      <color rgb="FF0000FF"/>
      <name val="CordiaUPC"/>
      <family val="2"/>
    </font>
    <font>
      <sz val="16"/>
      <color rgb="FF0000FF"/>
      <name val="CordiaUPC"/>
      <family val="2"/>
    </font>
    <font>
      <sz val="16"/>
      <name val="CordiaUPC"/>
      <family val="2"/>
    </font>
    <font>
      <sz val="16"/>
      <color indexed="8"/>
      <name val="Cordia New"/>
      <family val="2"/>
    </font>
    <font>
      <b/>
      <sz val="16"/>
      <name val="Cordia New"/>
      <family val="2"/>
    </font>
    <font>
      <b/>
      <sz val="16"/>
      <color indexed="8"/>
      <name val="Cordia New"/>
      <family val="2"/>
    </font>
    <font>
      <sz val="18"/>
      <color indexed="8"/>
      <name val="Cordia New"/>
      <family val="2"/>
    </font>
    <font>
      <sz val="18"/>
      <name val="Cordia New"/>
      <family val="2"/>
    </font>
    <font>
      <i/>
      <sz val="14"/>
      <color indexed="8"/>
      <name val="Cordia New"/>
      <family val="2"/>
    </font>
    <font>
      <sz val="18"/>
      <name val="AngsanaUPC"/>
      <family val="1"/>
    </font>
    <font>
      <sz val="14"/>
      <color indexed="8"/>
      <name val="Cordia New"/>
      <family val="2"/>
    </font>
    <font>
      <u/>
      <sz val="16"/>
      <name val="Cordia New"/>
      <family val="2"/>
    </font>
    <font>
      <i/>
      <sz val="18"/>
      <color indexed="8"/>
      <name val="Cordia New"/>
      <family val="2"/>
    </font>
    <font>
      <i/>
      <sz val="16"/>
      <color indexed="8"/>
      <name val="Cordia New"/>
      <family val="2"/>
    </font>
    <font>
      <b/>
      <i/>
      <sz val="14"/>
      <color indexed="8"/>
      <name val="Cordia New"/>
      <family val="2"/>
    </font>
    <font>
      <i/>
      <sz val="12"/>
      <color indexed="8"/>
      <name val="Cordia New"/>
      <family val="2"/>
    </font>
    <font>
      <b/>
      <i/>
      <sz val="16"/>
      <color indexed="8"/>
      <name val="Cordia New"/>
      <family val="2"/>
    </font>
    <font>
      <b/>
      <u/>
      <sz val="16"/>
      <name val="Cordia New"/>
      <family val="2"/>
    </font>
    <font>
      <b/>
      <sz val="16"/>
      <color indexed="10"/>
      <name val="Cordia New"/>
      <family val="2"/>
    </font>
    <font>
      <b/>
      <sz val="14"/>
      <name val="AngsanaUPC"/>
      <family val="1"/>
    </font>
    <font>
      <sz val="17"/>
      <name val="AngsanaUPC"/>
      <family val="1"/>
    </font>
    <font>
      <sz val="14"/>
      <color indexed="8"/>
      <name val="AngsanaUPC"/>
      <family val="1"/>
    </font>
    <font>
      <sz val="14"/>
      <name val="AngsanaUPC"/>
      <family val="1"/>
    </font>
    <font>
      <b/>
      <sz val="20"/>
      <name val="AngsanaUPC"/>
      <family val="1"/>
    </font>
    <font>
      <b/>
      <sz val="19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  <font>
      <sz val="18"/>
      <color indexed="8"/>
      <name val="AngsanaUPC"/>
      <family val="1"/>
    </font>
    <font>
      <b/>
      <sz val="17"/>
      <name val="AngsanaUPC"/>
      <family val="1"/>
    </font>
    <font>
      <b/>
      <sz val="13"/>
      <name val="AngsanaUPC"/>
      <family val="1"/>
    </font>
    <font>
      <sz val="16"/>
      <color indexed="8"/>
      <name val="AngsanaUPC"/>
      <family val="1"/>
    </font>
    <font>
      <b/>
      <u/>
      <sz val="19"/>
      <name val="AngsanaUPC"/>
      <family val="1"/>
    </font>
    <font>
      <sz val="19"/>
      <name val="AngsanaUPC"/>
      <family val="1"/>
    </font>
    <font>
      <b/>
      <sz val="11"/>
      <name val="AngsanaUPC"/>
      <family val="1"/>
    </font>
    <font>
      <b/>
      <sz val="18"/>
      <color indexed="8"/>
      <name val="AngsanaUPC"/>
      <family val="1"/>
    </font>
    <font>
      <sz val="19"/>
      <color indexed="8"/>
      <name val="AngsanaUPC"/>
      <family val="1"/>
    </font>
    <font>
      <b/>
      <sz val="19"/>
      <color indexed="8"/>
      <name val="AngsanaUPC"/>
      <family val="1"/>
    </font>
    <font>
      <sz val="20"/>
      <name val="AngsanaUPC"/>
      <family val="1"/>
    </font>
    <font>
      <sz val="14"/>
      <color indexed="39"/>
      <name val="AngsanaUPC"/>
      <family val="1"/>
    </font>
    <font>
      <b/>
      <u/>
      <sz val="18"/>
      <name val="AngsanaUPC"/>
      <family val="1"/>
    </font>
    <font>
      <sz val="18"/>
      <color indexed="10"/>
      <name val="AngsanaUPC"/>
      <family val="1"/>
    </font>
    <font>
      <sz val="16"/>
      <color indexed="10"/>
      <name val="AngsanaUPC"/>
      <family val="1"/>
    </font>
    <font>
      <sz val="16"/>
      <color indexed="39"/>
      <name val="AngsanaUPC"/>
      <family val="1"/>
    </font>
    <font>
      <sz val="14"/>
      <color indexed="10"/>
      <name val="AngsanaUPC"/>
      <family val="1"/>
    </font>
    <font>
      <sz val="14"/>
      <name val="BrowalliaUPC"/>
      <family val="2"/>
    </font>
    <font>
      <u/>
      <sz val="14"/>
      <color indexed="12"/>
      <name val="AngsanaUPC"/>
      <family val="1"/>
    </font>
    <font>
      <sz val="10"/>
      <name val="Arial"/>
      <family val="2"/>
    </font>
    <font>
      <sz val="12"/>
      <name val="Tms Rmn"/>
      <charset val="134"/>
    </font>
    <font>
      <b/>
      <sz val="9"/>
      <name val="Tahoma"/>
      <family val="2"/>
    </font>
    <font>
      <sz val="8"/>
      <name val="Tahoma"/>
      <family val="2"/>
    </font>
    <font>
      <sz val="9"/>
      <name val="Tahoma"/>
      <family val="2"/>
    </font>
    <font>
      <b/>
      <sz val="18"/>
      <color theme="0" tint="-0.34998626667073579"/>
      <name val="CordiaUPC"/>
      <family val="2"/>
    </font>
    <font>
      <sz val="18"/>
      <color theme="0" tint="-0.34998626667073579"/>
      <name val="CordiaUPC"/>
      <family val="2"/>
    </font>
    <font>
      <sz val="16"/>
      <color theme="0" tint="-0.34998626667073579"/>
      <name val="CordiaUPC"/>
      <family val="2"/>
    </font>
    <font>
      <b/>
      <sz val="16"/>
      <color theme="0" tint="-0.34998626667073579"/>
      <name val="CordiaUPC"/>
      <family val="2"/>
    </font>
    <font>
      <sz val="11"/>
      <name val="CordiaUPC"/>
      <family val="2"/>
    </font>
  </fonts>
  <fills count="2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lightGray"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3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indexed="8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indexed="8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indexed="8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dashed">
        <color indexed="8"/>
      </bottom>
      <diagonal/>
    </border>
    <border>
      <left/>
      <right/>
      <top style="medium">
        <color auto="1"/>
      </top>
      <bottom style="dashed">
        <color indexed="8"/>
      </bottom>
      <diagonal/>
    </border>
    <border>
      <left style="thin">
        <color indexed="8"/>
      </left>
      <right/>
      <top style="dashed">
        <color indexed="8"/>
      </top>
      <bottom style="dashed">
        <color indexed="8"/>
      </bottom>
      <diagonal/>
    </border>
    <border>
      <left/>
      <right/>
      <top style="dashed">
        <color indexed="8"/>
      </top>
      <bottom style="dashed">
        <color indexed="8"/>
      </bottom>
      <diagonal/>
    </border>
    <border>
      <left style="medium">
        <color auto="1"/>
      </left>
      <right style="thin">
        <color indexed="8"/>
      </right>
      <top style="dashed">
        <color auto="1"/>
      </top>
      <bottom style="medium">
        <color auto="1"/>
      </bottom>
      <diagonal/>
    </border>
    <border>
      <left style="thin">
        <color indexed="8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dashed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thin">
        <color indexed="8"/>
      </left>
      <right style="thin">
        <color indexed="8"/>
      </right>
      <top style="dashed">
        <color auto="1"/>
      </top>
      <bottom style="dashed">
        <color auto="1"/>
      </bottom>
      <diagonal/>
    </border>
    <border>
      <left style="thin">
        <color indexed="8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8"/>
      </left>
      <right style="thin">
        <color indexed="8"/>
      </right>
      <top style="dashed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indexed="8"/>
      </left>
      <right style="medium">
        <color indexed="8"/>
      </right>
      <top style="dashed">
        <color auto="1"/>
      </top>
      <bottom style="dashed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auto="1"/>
      </right>
      <top style="medium">
        <color indexed="8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auto="1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auto="1"/>
      </left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8">
    <xf numFmtId="0" fontId="0" fillId="0" borderId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9" fillId="0" borderId="0"/>
    <xf numFmtId="0" fontId="35" fillId="0" borderId="0"/>
    <xf numFmtId="0" fontId="55" fillId="0" borderId="0"/>
    <xf numFmtId="0" fontId="55" fillId="0" borderId="0"/>
    <xf numFmtId="0" fontId="55" fillId="0" borderId="0"/>
    <xf numFmtId="37" fontId="80" fillId="0" borderId="0"/>
    <xf numFmtId="0" fontId="55" fillId="0" borderId="0"/>
    <xf numFmtId="0" fontId="55" fillId="0" borderId="0"/>
    <xf numFmtId="0" fontId="23" fillId="0" borderId="0"/>
    <xf numFmtId="0" fontId="4" fillId="0" borderId="0"/>
    <xf numFmtId="0" fontId="23" fillId="0" borderId="0"/>
    <xf numFmtId="0" fontId="79" fillId="0" borderId="0"/>
    <xf numFmtId="9" fontId="35" fillId="0" borderId="0" applyFont="0" applyFill="0" applyBorder="0" applyAlignment="0" applyProtection="0"/>
    <xf numFmtId="9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55" fillId="0" borderId="0"/>
    <xf numFmtId="0" fontId="55" fillId="0" borderId="0"/>
    <xf numFmtId="0" fontId="55" fillId="0" borderId="0"/>
    <xf numFmtId="0" fontId="23" fillId="0" borderId="0"/>
  </cellStyleXfs>
  <cellXfs count="1496">
    <xf numFmtId="0" fontId="0" fillId="0" borderId="0" xfId="0"/>
    <xf numFmtId="0" fontId="1" fillId="0" borderId="0" xfId="16" applyFont="1"/>
    <xf numFmtId="0" fontId="2" fillId="0" borderId="0" xfId="16" applyFont="1"/>
    <xf numFmtId="0" fontId="2" fillId="0" borderId="0" xfId="0" applyFont="1" applyAlignment="1">
      <alignment horizontal="center"/>
    </xf>
    <xf numFmtId="0" fontId="2" fillId="0" borderId="0" xfId="16" applyFont="1" applyAlignment="1">
      <alignment horizontal="center"/>
    </xf>
    <xf numFmtId="1" fontId="2" fillId="0" borderId="0" xfId="16" applyNumberFormat="1" applyFont="1" applyAlignment="1">
      <alignment horizontal="center"/>
    </xf>
    <xf numFmtId="49" fontId="1" fillId="0" borderId="0" xfId="16" applyNumberFormat="1" applyFont="1"/>
    <xf numFmtId="49" fontId="1" fillId="0" borderId="0" xfId="0" applyNumberFormat="1" applyFont="1"/>
    <xf numFmtId="0" fontId="2" fillId="0" borderId="0" xfId="0" applyFont="1" applyAlignment="1">
      <alignment vertical="top"/>
    </xf>
    <xf numFmtId="49" fontId="2" fillId="0" borderId="0" xfId="16" applyNumberFormat="1" applyFont="1"/>
    <xf numFmtId="1" fontId="2" fillId="0" borderId="0" xfId="16" applyNumberFormat="1" applyFont="1" applyAlignment="1">
      <alignment horizontal="left"/>
    </xf>
    <xf numFmtId="49" fontId="2" fillId="0" borderId="0" xfId="16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16" applyFont="1" applyAlignment="1">
      <alignment vertical="top"/>
    </xf>
    <xf numFmtId="49" fontId="1" fillId="0" borderId="0" xfId="16" applyNumberFormat="1" applyFont="1" applyAlignment="1">
      <alignment vertical="center"/>
    </xf>
    <xf numFmtId="49" fontId="2" fillId="0" borderId="0" xfId="16" applyNumberFormat="1" applyFont="1" applyAlignment="1">
      <alignment horizontal="center" vertical="center"/>
    </xf>
    <xf numFmtId="0" fontId="4" fillId="0" borderId="0" xfId="14" applyAlignment="1">
      <alignment wrapText="1"/>
    </xf>
    <xf numFmtId="0" fontId="0" fillId="0" borderId="0" xfId="0" applyAlignment="1">
      <alignment wrapText="1"/>
    </xf>
    <xf numFmtId="0" fontId="4" fillId="0" borderId="0" xfId="14"/>
    <xf numFmtId="0" fontId="4" fillId="0" borderId="0" xfId="14" applyAlignment="1">
      <alignment horizontal="center"/>
    </xf>
    <xf numFmtId="0" fontId="5" fillId="2" borderId="1" xfId="14" applyFont="1" applyFill="1" applyBorder="1"/>
    <xf numFmtId="0" fontId="5" fillId="2" borderId="1" xfId="14" applyFont="1" applyFill="1" applyBorder="1" applyAlignment="1">
      <alignment horizontal="center"/>
    </xf>
    <xf numFmtId="0" fontId="6" fillId="2" borderId="1" xfId="14" applyFont="1" applyFill="1" applyBorder="1" applyAlignment="1">
      <alignment horizontal="centerContinuous"/>
    </xf>
    <xf numFmtId="0" fontId="5" fillId="2" borderId="1" xfId="14" applyFont="1" applyFill="1" applyBorder="1" applyAlignment="1">
      <alignment horizontal="centerContinuous"/>
    </xf>
    <xf numFmtId="0" fontId="4" fillId="3" borderId="1" xfId="14" applyFill="1" applyBorder="1" applyAlignment="1">
      <alignment wrapText="1"/>
    </xf>
    <xf numFmtId="0" fontId="4" fillId="4" borderId="1" xfId="14" applyFill="1" applyBorder="1" applyAlignment="1">
      <alignment horizontal="center" vertical="justify" wrapText="1"/>
    </xf>
    <xf numFmtId="0" fontId="5" fillId="2" borderId="1" xfId="14" applyFont="1" applyFill="1" applyBorder="1" applyAlignment="1">
      <alignment horizontal="center" vertical="center" textRotation="255"/>
    </xf>
    <xf numFmtId="14" fontId="5" fillId="2" borderId="1" xfId="14" applyNumberFormat="1" applyFont="1" applyFill="1" applyBorder="1" applyAlignment="1">
      <alignment horizontal="center" vertical="justify"/>
    </xf>
    <xf numFmtId="0" fontId="5" fillId="2" borderId="1" xfId="14" applyFont="1" applyFill="1" applyBorder="1" applyAlignment="1">
      <alignment horizontal="center" vertical="justify"/>
    </xf>
    <xf numFmtId="14" fontId="5" fillId="2" borderId="1" xfId="14" applyNumberFormat="1" applyFont="1" applyFill="1" applyBorder="1" applyAlignment="1">
      <alignment horizontal="center"/>
    </xf>
    <xf numFmtId="0" fontId="4" fillId="3" borderId="1" xfId="14" applyFill="1" applyBorder="1"/>
    <xf numFmtId="0" fontId="4" fillId="4" borderId="1" xfId="14" applyFill="1" applyBorder="1" applyAlignment="1">
      <alignment horizontal="center" vertical="justify"/>
    </xf>
    <xf numFmtId="0" fontId="4" fillId="4" borderId="1" xfId="14" applyFill="1" applyBorder="1" applyAlignment="1">
      <alignment horizontal="center" wrapText="1"/>
    </xf>
    <xf numFmtId="14" fontId="4" fillId="4" borderId="1" xfId="14" applyNumberFormat="1" applyFill="1" applyBorder="1" applyAlignment="1">
      <alignment horizontal="center" wrapText="1"/>
    </xf>
    <xf numFmtId="0" fontId="7" fillId="2" borderId="1" xfId="0" applyFont="1" applyFill="1" applyBorder="1" applyAlignment="1">
      <alignment vertical="center" textRotation="255"/>
    </xf>
    <xf numFmtId="0" fontId="4" fillId="6" borderId="1" xfId="14" applyFill="1" applyBorder="1" applyAlignment="1">
      <alignment vertical="center" textRotation="255" wrapText="1"/>
    </xf>
    <xf numFmtId="0" fontId="5" fillId="2" borderId="1" xfId="14" applyFont="1" applyFill="1" applyBorder="1" applyAlignment="1">
      <alignment vertical="center" textRotation="255"/>
    </xf>
    <xf numFmtId="14" fontId="8" fillId="0" borderId="6" xfId="14" applyNumberFormat="1" applyFont="1" applyBorder="1" applyAlignment="1">
      <alignment horizontal="center"/>
    </xf>
    <xf numFmtId="0" fontId="8" fillId="0" borderId="6" xfId="14" applyFont="1" applyBorder="1" applyAlignment="1">
      <alignment horizontal="center"/>
    </xf>
    <xf numFmtId="0" fontId="8" fillId="0" borderId="7" xfId="14" applyFont="1" applyBorder="1" applyAlignment="1">
      <alignment horizontal="center"/>
    </xf>
    <xf numFmtId="0" fontId="5" fillId="5" borderId="1" xfId="14" applyFont="1" applyFill="1" applyBorder="1" applyAlignment="1">
      <alignment horizontal="center" vertical="justify"/>
    </xf>
    <xf numFmtId="0" fontId="5" fillId="5" borderId="1" xfId="14" applyFont="1" applyFill="1" applyBorder="1" applyAlignment="1">
      <alignment horizontal="center"/>
    </xf>
    <xf numFmtId="0" fontId="5" fillId="5" borderId="1" xfId="14" applyFont="1" applyFill="1" applyBorder="1" applyAlignment="1">
      <alignment horizontal="center" wrapText="1"/>
    </xf>
    <xf numFmtId="0" fontId="5" fillId="5" borderId="1" xfId="14" applyFont="1" applyFill="1" applyBorder="1" applyAlignment="1">
      <alignment wrapText="1"/>
    </xf>
    <xf numFmtId="0" fontId="5" fillId="5" borderId="1" xfId="14" applyFont="1" applyFill="1" applyBorder="1"/>
    <xf numFmtId="0" fontId="5" fillId="2" borderId="9" xfId="14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justify"/>
    </xf>
    <xf numFmtId="0" fontId="7" fillId="2" borderId="1" xfId="0" applyFont="1" applyFill="1" applyBorder="1"/>
    <xf numFmtId="0" fontId="7" fillId="5" borderId="1" xfId="0" applyFont="1" applyFill="1" applyBorder="1" applyAlignment="1">
      <alignment horizontal="center" vertical="justify"/>
    </xf>
    <xf numFmtId="14" fontId="5" fillId="5" borderId="1" xfId="14" applyNumberFormat="1" applyFont="1" applyFill="1" applyBorder="1" applyAlignment="1">
      <alignment horizontal="center"/>
    </xf>
    <xf numFmtId="0" fontId="4" fillId="0" borderId="1" xfId="14" applyBorder="1"/>
    <xf numFmtId="0" fontId="4" fillId="0" borderId="1" xfId="14" applyBorder="1" applyAlignment="1">
      <alignment wrapText="1"/>
    </xf>
    <xf numFmtId="0" fontId="4" fillId="6" borderId="1" xfId="14" applyFill="1" applyBorder="1" applyAlignment="1">
      <alignment horizontal="center" wrapText="1"/>
    </xf>
    <xf numFmtId="14" fontId="8" fillId="0" borderId="11" xfId="14" applyNumberFormat="1" applyFont="1" applyBorder="1" applyAlignment="1">
      <alignment horizontal="center"/>
    </xf>
    <xf numFmtId="165" fontId="8" fillId="0" borderId="6" xfId="14" applyNumberFormat="1" applyFont="1" applyBorder="1" applyAlignment="1">
      <alignment horizontal="center"/>
    </xf>
    <xf numFmtId="0" fontId="8" fillId="0" borderId="12" xfId="14" applyFont="1" applyBorder="1" applyAlignment="1">
      <alignment horizontal="center"/>
    </xf>
    <xf numFmtId="165" fontId="8" fillId="0" borderId="12" xfId="14" applyNumberFormat="1" applyFont="1" applyBorder="1" applyAlignment="1">
      <alignment horizontal="center"/>
    </xf>
    <xf numFmtId="165" fontId="5" fillId="2" borderId="1" xfId="14" applyNumberFormat="1" applyFont="1" applyFill="1" applyBorder="1" applyAlignment="1">
      <alignment horizontal="center"/>
    </xf>
    <xf numFmtId="14" fontId="7" fillId="2" borderId="1" xfId="0" applyNumberFormat="1" applyFont="1" applyFill="1" applyBorder="1"/>
    <xf numFmtId="1" fontId="5" fillId="2" borderId="1" xfId="14" applyNumberFormat="1" applyFont="1" applyFill="1" applyBorder="1" applyAlignment="1">
      <alignment horizontal="center"/>
    </xf>
    <xf numFmtId="14" fontId="4" fillId="7" borderId="1" xfId="14" applyNumberFormat="1" applyFill="1" applyBorder="1" applyAlignment="1">
      <alignment horizontal="center"/>
    </xf>
    <xf numFmtId="2" fontId="5" fillId="2" borderId="1" xfId="14" applyNumberFormat="1" applyFont="1" applyFill="1" applyBorder="1" applyAlignment="1">
      <alignment horizontal="center"/>
    </xf>
    <xf numFmtId="14" fontId="0" fillId="0" borderId="13" xfId="0" applyNumberFormat="1" applyBorder="1"/>
    <xf numFmtId="0" fontId="0" fillId="0" borderId="16" xfId="0" applyBorder="1"/>
    <xf numFmtId="14" fontId="0" fillId="0" borderId="11" xfId="0" applyNumberFormat="1" applyBorder="1"/>
    <xf numFmtId="0" fontId="4" fillId="3" borderId="18" xfId="14" applyFill="1" applyBorder="1" applyAlignment="1">
      <alignment wrapText="1"/>
    </xf>
    <xf numFmtId="0" fontId="4" fillId="4" borderId="0" xfId="14" applyFill="1" applyAlignment="1">
      <alignment horizontal="center" wrapText="1"/>
    </xf>
    <xf numFmtId="14" fontId="7" fillId="2" borderId="0" xfId="0" applyNumberFormat="1" applyFont="1" applyFill="1"/>
    <xf numFmtId="0" fontId="7" fillId="2" borderId="0" xfId="0" applyFont="1" applyFill="1"/>
    <xf numFmtId="0" fontId="5" fillId="5" borderId="0" xfId="14" applyFont="1" applyFill="1"/>
    <xf numFmtId="0" fontId="5" fillId="5" borderId="0" xfId="14" applyFont="1" applyFill="1" applyAlignment="1">
      <alignment horizontal="center"/>
    </xf>
    <xf numFmtId="0" fontId="4" fillId="8" borderId="1" xfId="14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0" borderId="20" xfId="0" applyBorder="1"/>
    <xf numFmtId="166" fontId="0" fillId="0" borderId="20" xfId="0" applyNumberFormat="1" applyBorder="1"/>
    <xf numFmtId="0" fontId="4" fillId="0" borderId="21" xfId="14" applyBorder="1" applyAlignment="1">
      <alignment horizontal="center"/>
    </xf>
    <xf numFmtId="0" fontId="7" fillId="5" borderId="1" xfId="0" applyFont="1" applyFill="1" applyBorder="1"/>
    <xf numFmtId="0" fontId="4" fillId="8" borderId="0" xfId="14" applyFill="1" applyAlignment="1">
      <alignment horizontal="center" wrapText="1"/>
    </xf>
    <xf numFmtId="0" fontId="7" fillId="5" borderId="0" xfId="0" applyFont="1" applyFill="1" applyAlignment="1">
      <alignment wrapText="1"/>
    </xf>
    <xf numFmtId="166" fontId="7" fillId="2" borderId="0" xfId="0" applyNumberFormat="1" applyFont="1" applyFill="1"/>
    <xf numFmtId="0" fontId="5" fillId="2" borderId="0" xfId="14" applyFont="1" applyFill="1" applyAlignment="1">
      <alignment horizontal="center"/>
    </xf>
    <xf numFmtId="0" fontId="9" fillId="0" borderId="0" xfId="0" applyFont="1"/>
    <xf numFmtId="0" fontId="7" fillId="5" borderId="0" xfId="0" applyFont="1" applyFill="1"/>
    <xf numFmtId="0" fontId="11" fillId="2" borderId="0" xfId="14" applyFont="1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2" fillId="0" borderId="0" xfId="0" applyFont="1"/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0" fillId="0" borderId="22" xfId="0" applyBorder="1" applyAlignment="1">
      <alignment horizontal="center"/>
    </xf>
    <xf numFmtId="0" fontId="0" fillId="3" borderId="22" xfId="0" applyFill="1" applyBorder="1"/>
    <xf numFmtId="0" fontId="0" fillId="3" borderId="22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37" fontId="0" fillId="0" borderId="24" xfId="0" applyNumberFormat="1" applyBorder="1" applyAlignment="1">
      <alignment horizontal="center"/>
    </xf>
    <xf numFmtId="1" fontId="0" fillId="3" borderId="2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0" xfId="0" applyNumberFormat="1"/>
    <xf numFmtId="0" fontId="14" fillId="0" borderId="0" xfId="0" applyFont="1"/>
    <xf numFmtId="0" fontId="1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3" xfId="0" applyBorder="1"/>
    <xf numFmtId="0" fontId="18" fillId="0" borderId="28" xfId="25" applyFont="1" applyBorder="1" applyProtection="1">
      <protection locked="0"/>
    </xf>
    <xf numFmtId="0" fontId="18" fillId="0" borderId="29" xfId="25" applyFont="1" applyBorder="1" applyProtection="1">
      <protection locked="0"/>
    </xf>
    <xf numFmtId="0" fontId="18" fillId="0" borderId="25" xfId="25" applyFont="1" applyBorder="1" applyProtection="1">
      <protection locked="0"/>
    </xf>
    <xf numFmtId="37" fontId="19" fillId="3" borderId="22" xfId="10" applyFont="1" applyFill="1" applyBorder="1" applyAlignment="1">
      <alignment horizontal="center" vertical="center"/>
    </xf>
    <xf numFmtId="37" fontId="19" fillId="3" borderId="24" xfId="1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0" fillId="0" borderId="0" xfId="12" applyFont="1" applyAlignment="1">
      <alignment horizontal="center"/>
    </xf>
    <xf numFmtId="0" fontId="21" fillId="0" borderId="0" xfId="12" applyFont="1"/>
    <xf numFmtId="1" fontId="20" fillId="0" borderId="0" xfId="12" applyNumberFormat="1" applyFont="1" applyAlignment="1">
      <alignment horizontal="center"/>
    </xf>
    <xf numFmtId="14" fontId="21" fillId="0" borderId="0" xfId="12" applyNumberFormat="1" applyFont="1"/>
    <xf numFmtId="20" fontId="21" fillId="0" borderId="0" xfId="12" applyNumberFormat="1" applyFont="1"/>
    <xf numFmtId="3" fontId="21" fillId="0" borderId="0" xfId="12" applyNumberFormat="1" applyFont="1"/>
    <xf numFmtId="1" fontId="21" fillId="0" borderId="0" xfId="12" applyNumberFormat="1" applyFont="1"/>
    <xf numFmtId="0" fontId="22" fillId="0" borderId="0" xfId="12" applyFont="1" applyAlignment="1">
      <alignment horizontal="center"/>
    </xf>
    <xf numFmtId="2" fontId="21" fillId="0" borderId="0" xfId="12" applyNumberFormat="1" applyFont="1"/>
    <xf numFmtId="0" fontId="23" fillId="0" borderId="0" xfId="13"/>
    <xf numFmtId="14" fontId="23" fillId="0" borderId="0" xfId="13" applyNumberFormat="1"/>
    <xf numFmtId="0" fontId="23" fillId="0" borderId="0" xfId="13" applyAlignment="1">
      <alignment horizontal="center"/>
    </xf>
    <xf numFmtId="37" fontId="23" fillId="0" borderId="0" xfId="27" applyNumberFormat="1"/>
    <xf numFmtId="14" fontId="23" fillId="0" borderId="0" xfId="27" applyNumberFormat="1"/>
    <xf numFmtId="0" fontId="23" fillId="0" borderId="0" xfId="27"/>
    <xf numFmtId="37" fontId="23" fillId="0" borderId="0" xfId="13" applyNumberFormat="1"/>
    <xf numFmtId="2" fontId="23" fillId="0" borderId="0" xfId="27" applyNumberFormat="1"/>
    <xf numFmtId="0" fontId="12" fillId="0" borderId="0" xfId="26" applyFont="1" applyProtection="1">
      <protection locked="0"/>
    </xf>
    <xf numFmtId="0" fontId="1" fillId="0" borderId="0" xfId="26" applyFont="1" applyProtection="1">
      <protection locked="0"/>
    </xf>
    <xf numFmtId="0" fontId="18" fillId="0" borderId="0" xfId="21" applyFont="1" applyProtection="1">
      <protection locked="0"/>
    </xf>
    <xf numFmtId="0" fontId="18" fillId="0" borderId="0" xfId="26" applyFont="1" applyProtection="1">
      <protection locked="0"/>
    </xf>
    <xf numFmtId="0" fontId="0" fillId="0" borderId="0" xfId="26" applyFont="1" applyProtection="1">
      <protection locked="0"/>
    </xf>
    <xf numFmtId="0" fontId="24" fillId="0" borderId="0" xfId="26" applyFont="1" applyProtection="1">
      <protection locked="0"/>
    </xf>
    <xf numFmtId="0" fontId="25" fillId="0" borderId="0" xfId="26" applyFont="1" applyProtection="1">
      <protection locked="0"/>
    </xf>
    <xf numFmtId="0" fontId="14" fillId="0" borderId="0" xfId="26" applyFont="1" applyProtection="1">
      <protection locked="0"/>
    </xf>
    <xf numFmtId="0" fontId="0" fillId="12" borderId="36" xfId="26" applyFont="1" applyFill="1" applyBorder="1" applyAlignment="1" applyProtection="1">
      <alignment horizontal="centerContinuous" vertical="center"/>
      <protection locked="0"/>
    </xf>
    <xf numFmtId="0" fontId="0" fillId="12" borderId="29" xfId="26" applyFont="1" applyFill="1" applyBorder="1" applyAlignment="1" applyProtection="1">
      <alignment horizontal="centerContinuous" vertical="center"/>
      <protection locked="0"/>
    </xf>
    <xf numFmtId="0" fontId="0" fillId="12" borderId="45" xfId="26" applyFont="1" applyFill="1" applyBorder="1" applyAlignment="1" applyProtection="1">
      <alignment horizontal="center" vertical="center"/>
      <protection locked="0"/>
    </xf>
    <xf numFmtId="2" fontId="0" fillId="0" borderId="46" xfId="26" applyNumberFormat="1" applyFont="1" applyBorder="1" applyAlignment="1" applyProtection="1">
      <alignment horizontal="center" vertical="center"/>
      <protection locked="0"/>
    </xf>
    <xf numFmtId="166" fontId="0" fillId="0" borderId="47" xfId="26" applyNumberFormat="1" applyFont="1" applyBorder="1" applyAlignment="1" applyProtection="1">
      <alignment horizontal="center" vertical="center"/>
      <protection locked="0"/>
    </xf>
    <xf numFmtId="20" fontId="0" fillId="0" borderId="45" xfId="26" applyNumberFormat="1" applyFont="1" applyBorder="1" applyAlignment="1" applyProtection="1">
      <alignment horizontal="center" vertical="center"/>
      <protection locked="0"/>
    </xf>
    <xf numFmtId="0" fontId="1" fillId="0" borderId="24" xfId="26" applyFont="1" applyBorder="1" applyAlignment="1" applyProtection="1">
      <alignment horizontal="center" vertical="center"/>
      <protection locked="0"/>
    </xf>
    <xf numFmtId="166" fontId="0" fillId="0" borderId="35" xfId="26" applyNumberFormat="1" applyFont="1" applyBorder="1" applyAlignment="1" applyProtection="1">
      <alignment horizontal="center" vertical="center"/>
      <protection locked="0"/>
    </xf>
    <xf numFmtId="20" fontId="0" fillId="0" borderId="49" xfId="26" applyNumberFormat="1" applyFont="1" applyBorder="1" applyAlignment="1" applyProtection="1">
      <alignment horizontal="center" vertical="center"/>
      <protection locked="0"/>
    </xf>
    <xf numFmtId="0" fontId="1" fillId="0" borderId="22" xfId="26" applyFont="1" applyBorder="1" applyAlignment="1" applyProtection="1">
      <alignment horizontal="center" vertical="center"/>
      <protection locked="0"/>
    </xf>
    <xf numFmtId="166" fontId="17" fillId="12" borderId="51" xfId="26" applyNumberFormat="1" applyFont="1" applyFill="1" applyBorder="1" applyAlignment="1" applyProtection="1">
      <alignment horizontal="center" vertical="center"/>
      <protection locked="0"/>
    </xf>
    <xf numFmtId="165" fontId="17" fillId="12" borderId="52" xfId="26" applyNumberFormat="1" applyFont="1" applyFill="1" applyBorder="1" applyAlignment="1" applyProtection="1">
      <alignment horizontal="center" vertical="center"/>
      <protection locked="0"/>
    </xf>
    <xf numFmtId="165" fontId="17" fillId="12" borderId="53" xfId="26" applyNumberFormat="1" applyFont="1" applyFill="1" applyBorder="1" applyAlignment="1" applyProtection="1">
      <alignment horizontal="center" vertical="center"/>
      <protection locked="0"/>
    </xf>
    <xf numFmtId="1" fontId="17" fillId="12" borderId="53" xfId="26" applyNumberFormat="1" applyFont="1" applyFill="1" applyBorder="1" applyAlignment="1" applyProtection="1">
      <alignment horizontal="center" vertical="center"/>
      <protection locked="0"/>
    </xf>
    <xf numFmtId="0" fontId="0" fillId="12" borderId="30" xfId="26" applyFont="1" applyFill="1" applyBorder="1" applyAlignment="1" applyProtection="1">
      <alignment vertical="center"/>
      <protection locked="0"/>
    </xf>
    <xf numFmtId="0" fontId="0" fillId="12" borderId="31" xfId="26" applyFont="1" applyFill="1" applyBorder="1" applyAlignment="1" applyProtection="1">
      <alignment vertical="center"/>
      <protection locked="0"/>
    </xf>
    <xf numFmtId="0" fontId="1" fillId="12" borderId="56" xfId="26" applyFont="1" applyFill="1" applyBorder="1" applyAlignment="1" applyProtection="1">
      <alignment horizontal="center" vertical="center"/>
      <protection locked="0"/>
    </xf>
    <xf numFmtId="0" fontId="0" fillId="12" borderId="57" xfId="26" applyFont="1" applyFill="1" applyBorder="1" applyAlignment="1" applyProtection="1">
      <alignment vertical="center"/>
      <protection locked="0"/>
    </xf>
    <xf numFmtId="0" fontId="0" fillId="12" borderId="58" xfId="26" applyFont="1" applyFill="1" applyBorder="1" applyAlignment="1" applyProtection="1">
      <alignment vertical="center"/>
      <protection locked="0"/>
    </xf>
    <xf numFmtId="0" fontId="0" fillId="0" borderId="59" xfId="26" applyFont="1" applyBorder="1" applyAlignment="1" applyProtection="1">
      <alignment horizontal="center" vertical="center"/>
      <protection locked="0"/>
    </xf>
    <xf numFmtId="0" fontId="0" fillId="0" borderId="24" xfId="26" applyFont="1" applyBorder="1" applyAlignment="1" applyProtection="1">
      <alignment horizontal="center" vertical="center"/>
      <protection locked="0"/>
    </xf>
    <xf numFmtId="0" fontId="0" fillId="12" borderId="61" xfId="26" applyFont="1" applyFill="1" applyBorder="1" applyAlignment="1" applyProtection="1">
      <alignment vertical="center"/>
      <protection locked="0"/>
    </xf>
    <xf numFmtId="0" fontId="0" fillId="12" borderId="19" xfId="26" applyFont="1" applyFill="1" applyBorder="1" applyAlignment="1" applyProtection="1">
      <alignment vertical="center"/>
      <protection locked="0"/>
    </xf>
    <xf numFmtId="0" fontId="0" fillId="12" borderId="30" xfId="26" applyFont="1" applyFill="1" applyBorder="1" applyAlignment="1" applyProtection="1">
      <alignment horizontal="centerContinuous" vertical="center"/>
      <protection locked="0"/>
    </xf>
    <xf numFmtId="0" fontId="0" fillId="12" borderId="31" xfId="26" applyFont="1" applyFill="1" applyBorder="1" applyAlignment="1" applyProtection="1">
      <alignment horizontal="centerContinuous" vertical="center"/>
      <protection locked="0"/>
    </xf>
    <xf numFmtId="0" fontId="17" fillId="13" borderId="53" xfId="26" applyFont="1" applyFill="1" applyBorder="1" applyAlignment="1" applyProtection="1">
      <alignment horizontal="center" vertical="center"/>
      <protection locked="0"/>
    </xf>
    <xf numFmtId="0" fontId="1" fillId="12" borderId="53" xfId="26" applyFont="1" applyFill="1" applyBorder="1" applyAlignment="1" applyProtection="1">
      <alignment horizontal="center" vertical="center"/>
      <protection locked="0"/>
    </xf>
    <xf numFmtId="0" fontId="0" fillId="12" borderId="36" xfId="26" applyFont="1" applyFill="1" applyBorder="1" applyAlignment="1" applyProtection="1">
      <alignment vertical="center"/>
      <protection locked="0"/>
    </xf>
    <xf numFmtId="0" fontId="0" fillId="12" borderId="29" xfId="26" applyFont="1" applyFill="1" applyBorder="1" applyAlignment="1" applyProtection="1">
      <alignment vertical="center"/>
      <protection locked="0"/>
    </xf>
    <xf numFmtId="0" fontId="0" fillId="0" borderId="56" xfId="26" applyFont="1" applyBorder="1" applyAlignment="1" applyProtection="1">
      <alignment horizontal="center" vertical="center"/>
      <protection locked="0"/>
    </xf>
    <xf numFmtId="0" fontId="0" fillId="12" borderId="0" xfId="26" applyFont="1" applyFill="1" applyAlignment="1" applyProtection="1">
      <alignment vertical="center"/>
      <protection locked="0"/>
    </xf>
    <xf numFmtId="2" fontId="0" fillId="0" borderId="62" xfId="26" applyNumberFormat="1" applyFont="1" applyBorder="1" applyAlignment="1" applyProtection="1">
      <alignment horizontal="center" vertical="center"/>
      <protection locked="0"/>
    </xf>
    <xf numFmtId="166" fontId="13" fillId="14" borderId="38" xfId="26" applyNumberFormat="1" applyFont="1" applyFill="1" applyBorder="1" applyAlignment="1" applyProtection="1">
      <alignment horizontal="center" vertical="center"/>
      <protection locked="0"/>
    </xf>
    <xf numFmtId="0" fontId="0" fillId="12" borderId="63" xfId="26" applyFont="1" applyFill="1" applyBorder="1" applyAlignment="1" applyProtection="1">
      <alignment vertical="center"/>
      <protection locked="0"/>
    </xf>
    <xf numFmtId="0" fontId="0" fillId="12" borderId="27" xfId="26" applyFont="1" applyFill="1" applyBorder="1" applyAlignment="1" applyProtection="1">
      <alignment vertical="center"/>
      <protection locked="0"/>
    </xf>
    <xf numFmtId="166" fontId="13" fillId="13" borderId="52" xfId="26" applyNumberFormat="1" applyFont="1" applyFill="1" applyBorder="1" applyAlignment="1" applyProtection="1">
      <alignment horizontal="center" vertical="center"/>
      <protection locked="0"/>
    </xf>
    <xf numFmtId="166" fontId="13" fillId="13" borderId="53" xfId="26" applyNumberFormat="1" applyFont="1" applyFill="1" applyBorder="1" applyAlignment="1" applyProtection="1">
      <alignment horizontal="center" vertical="center"/>
      <protection locked="0"/>
    </xf>
    <xf numFmtId="0" fontId="13" fillId="13" borderId="53" xfId="26" applyFont="1" applyFill="1" applyBorder="1" applyAlignment="1" applyProtection="1">
      <alignment horizontal="center" vertical="center"/>
      <protection locked="0"/>
    </xf>
    <xf numFmtId="0" fontId="0" fillId="12" borderId="57" xfId="26" applyFont="1" applyFill="1" applyBorder="1" applyAlignment="1" applyProtection="1">
      <alignment horizontal="centerContinuous" vertical="center"/>
      <protection locked="0"/>
    </xf>
    <xf numFmtId="0" fontId="0" fillId="12" borderId="65" xfId="26" applyFont="1" applyFill="1" applyBorder="1" applyAlignment="1" applyProtection="1">
      <alignment horizontal="centerContinuous" vertical="center"/>
      <protection locked="0"/>
    </xf>
    <xf numFmtId="0" fontId="0" fillId="12" borderId="65" xfId="26" applyFont="1" applyFill="1" applyBorder="1" applyAlignment="1" applyProtection="1">
      <alignment horizontal="center" vertical="center"/>
      <protection locked="0"/>
    </xf>
    <xf numFmtId="0" fontId="0" fillId="12" borderId="66" xfId="26" applyFont="1" applyFill="1" applyBorder="1" applyAlignment="1" applyProtection="1">
      <alignment horizontal="centerContinuous" vertical="center"/>
      <protection locked="0"/>
    </xf>
    <xf numFmtId="0" fontId="0" fillId="12" borderId="58" xfId="26" applyFont="1" applyFill="1" applyBorder="1" applyAlignment="1" applyProtection="1">
      <alignment horizontal="centerContinuous" vertical="center"/>
      <protection locked="0"/>
    </xf>
    <xf numFmtId="0" fontId="0" fillId="12" borderId="52" xfId="26" applyFont="1" applyFill="1" applyBorder="1" applyAlignment="1" applyProtection="1">
      <alignment horizontal="center" vertical="center"/>
      <protection locked="0"/>
    </xf>
    <xf numFmtId="0" fontId="0" fillId="12" borderId="54" xfId="26" applyFont="1" applyFill="1" applyBorder="1" applyAlignment="1" applyProtection="1">
      <alignment horizontal="centerContinuous" vertical="center"/>
      <protection locked="0"/>
    </xf>
    <xf numFmtId="0" fontId="0" fillId="12" borderId="69" xfId="26" applyFont="1" applyFill="1" applyBorder="1" applyAlignment="1" applyProtection="1">
      <alignment horizontal="center" vertical="center"/>
      <protection locked="0"/>
    </xf>
    <xf numFmtId="0" fontId="0" fillId="12" borderId="66" xfId="26" applyFont="1" applyFill="1" applyBorder="1" applyAlignment="1" applyProtection="1">
      <alignment vertical="center"/>
      <protection locked="0"/>
    </xf>
    <xf numFmtId="166" fontId="13" fillId="12" borderId="59" xfId="26" applyNumberFormat="1" applyFont="1" applyFill="1" applyBorder="1" applyAlignment="1" applyProtection="1">
      <alignment horizontal="center" vertical="center"/>
      <protection locked="0"/>
    </xf>
    <xf numFmtId="2" fontId="13" fillId="12" borderId="59" xfId="26" applyNumberFormat="1" applyFont="1" applyFill="1" applyBorder="1" applyAlignment="1" applyProtection="1">
      <alignment horizontal="center" vertical="center"/>
      <protection locked="0"/>
    </xf>
    <xf numFmtId="0" fontId="1" fillId="12" borderId="31" xfId="26" applyFont="1" applyFill="1" applyBorder="1" applyAlignment="1" applyProtection="1">
      <alignment vertical="center"/>
      <protection locked="0"/>
    </xf>
    <xf numFmtId="2" fontId="17" fillId="12" borderId="53" xfId="26" applyNumberFormat="1" applyFont="1" applyFill="1" applyBorder="1" applyAlignment="1" applyProtection="1">
      <alignment horizontal="center" vertical="center"/>
      <protection locked="0"/>
    </xf>
    <xf numFmtId="0" fontId="14" fillId="0" borderId="0" xfId="26" applyFont="1" applyAlignment="1" applyProtection="1">
      <alignment horizontal="left"/>
      <protection locked="0"/>
    </xf>
    <xf numFmtId="0" fontId="1" fillId="0" borderId="0" xfId="26" applyFont="1" applyAlignment="1" applyProtection="1">
      <alignment horizontal="left"/>
      <protection locked="0"/>
    </xf>
    <xf numFmtId="0" fontId="24" fillId="12" borderId="36" xfId="26" applyFont="1" applyFill="1" applyBorder="1" applyAlignment="1" applyProtection="1">
      <alignment horizontal="centerContinuous" vertical="center"/>
      <protection locked="0"/>
    </xf>
    <xf numFmtId="0" fontId="24" fillId="12" borderId="29" xfId="26" applyFont="1" applyFill="1" applyBorder="1" applyAlignment="1" applyProtection="1">
      <alignment horizontal="centerContinuous" vertical="center"/>
      <protection locked="0"/>
    </xf>
    <xf numFmtId="0" fontId="27" fillId="0" borderId="25" xfId="26" applyFont="1" applyBorder="1" applyAlignment="1" applyProtection="1">
      <alignment horizontal="center" vertical="center"/>
      <protection locked="0"/>
    </xf>
    <xf numFmtId="20" fontId="0" fillId="0" borderId="22" xfId="26" applyNumberFormat="1" applyFont="1" applyBorder="1" applyAlignment="1" applyProtection="1">
      <alignment horizontal="center" vertical="center"/>
      <protection locked="0"/>
    </xf>
    <xf numFmtId="0" fontId="27" fillId="0" borderId="23" xfId="26" applyFont="1" applyBorder="1" applyAlignment="1" applyProtection="1">
      <alignment horizontal="center" vertical="center"/>
      <protection locked="0"/>
    </xf>
    <xf numFmtId="165" fontId="28" fillId="12" borderId="52" xfId="26" applyNumberFormat="1" applyFont="1" applyFill="1" applyBorder="1" applyAlignment="1" applyProtection="1">
      <alignment horizontal="center" vertical="center"/>
      <protection locked="0"/>
    </xf>
    <xf numFmtId="165" fontId="28" fillId="12" borderId="53" xfId="26" applyNumberFormat="1" applyFont="1" applyFill="1" applyBorder="1" applyAlignment="1" applyProtection="1">
      <alignment horizontal="center" vertical="center"/>
      <protection locked="0"/>
    </xf>
    <xf numFmtId="0" fontId="28" fillId="12" borderId="53" xfId="26" applyFont="1" applyFill="1" applyBorder="1" applyAlignment="1" applyProtection="1">
      <alignment horizontal="center" vertical="center"/>
      <protection locked="0"/>
    </xf>
    <xf numFmtId="0" fontId="27" fillId="12" borderId="72" xfId="26" applyFont="1" applyFill="1" applyBorder="1" applyAlignment="1" applyProtection="1">
      <alignment horizontal="center" vertical="center"/>
      <protection locked="0"/>
    </xf>
    <xf numFmtId="1" fontId="17" fillId="12" borderId="73" xfId="26" applyNumberFormat="1" applyFont="1" applyFill="1" applyBorder="1" applyAlignment="1" applyProtection="1">
      <alignment horizontal="center" vertical="center"/>
      <protection locked="0"/>
    </xf>
    <xf numFmtId="0" fontId="0" fillId="0" borderId="69" xfId="26" applyFont="1" applyBorder="1" applyAlignment="1" applyProtection="1">
      <alignment horizontal="center" vertical="center"/>
      <protection locked="0"/>
    </xf>
    <xf numFmtId="0" fontId="0" fillId="0" borderId="45" xfId="26" applyFont="1" applyBorder="1" applyAlignment="1" applyProtection="1">
      <alignment horizontal="center" vertical="center"/>
      <protection locked="0"/>
    </xf>
    <xf numFmtId="0" fontId="0" fillId="0" borderId="25" xfId="26" applyFont="1" applyBorder="1" applyAlignment="1" applyProtection="1">
      <alignment horizontal="center" vertical="center"/>
      <protection locked="0"/>
    </xf>
    <xf numFmtId="0" fontId="17" fillId="13" borderId="39" xfId="26" applyFont="1" applyFill="1" applyBorder="1" applyAlignment="1" applyProtection="1">
      <alignment horizontal="center" vertical="center"/>
      <protection locked="0"/>
    </xf>
    <xf numFmtId="0" fontId="1" fillId="12" borderId="72" xfId="26" applyFont="1" applyFill="1" applyBorder="1" applyAlignment="1" applyProtection="1">
      <alignment horizontal="center" vertical="center"/>
      <protection locked="0"/>
    </xf>
    <xf numFmtId="1" fontId="17" fillId="12" borderId="71" xfId="26" applyNumberFormat="1" applyFont="1" applyFill="1" applyBorder="1" applyAlignment="1" applyProtection="1">
      <alignment horizontal="center" vertical="center"/>
      <protection locked="0"/>
    </xf>
    <xf numFmtId="1" fontId="17" fillId="12" borderId="39" xfId="26" applyNumberFormat="1" applyFont="1" applyFill="1" applyBorder="1" applyAlignment="1" applyProtection="1">
      <alignment horizontal="center" vertical="center"/>
      <protection locked="0"/>
    </xf>
    <xf numFmtId="1" fontId="17" fillId="14" borderId="72" xfId="26" applyNumberFormat="1" applyFont="1" applyFill="1" applyBorder="1" applyAlignment="1" applyProtection="1">
      <alignment horizontal="center" vertical="center"/>
      <protection locked="0"/>
    </xf>
    <xf numFmtId="166" fontId="13" fillId="14" borderId="52" xfId="26" applyNumberFormat="1" applyFont="1" applyFill="1" applyBorder="1" applyAlignment="1" applyProtection="1">
      <alignment horizontal="center" vertical="center"/>
      <protection locked="0"/>
    </xf>
    <xf numFmtId="0" fontId="0" fillId="0" borderId="22" xfId="26" applyFont="1" applyBorder="1" applyAlignment="1" applyProtection="1">
      <alignment horizontal="center" vertical="center"/>
      <protection locked="0"/>
    </xf>
    <xf numFmtId="1" fontId="17" fillId="13" borderId="72" xfId="26" applyNumberFormat="1" applyFont="1" applyFill="1" applyBorder="1" applyAlignment="1" applyProtection="1">
      <alignment horizontal="center" vertical="center"/>
      <protection locked="0"/>
    </xf>
    <xf numFmtId="0" fontId="0" fillId="12" borderId="59" xfId="26" applyFont="1" applyFill="1" applyBorder="1" applyAlignment="1" applyProtection="1">
      <alignment horizontal="center" vertical="center"/>
      <protection locked="0"/>
    </xf>
    <xf numFmtId="0" fontId="0" fillId="12" borderId="59" xfId="26" applyFont="1" applyFill="1" applyBorder="1" applyAlignment="1" applyProtection="1">
      <alignment vertical="center"/>
      <protection locked="0"/>
    </xf>
    <xf numFmtId="0" fontId="0" fillId="0" borderId="19" xfId="26" applyFont="1" applyBorder="1" applyAlignment="1" applyProtection="1">
      <alignment vertical="center"/>
      <protection locked="0"/>
    </xf>
    <xf numFmtId="2" fontId="17" fillId="12" borderId="73" xfId="26" applyNumberFormat="1" applyFont="1" applyFill="1" applyBorder="1" applyAlignment="1" applyProtection="1">
      <alignment horizontal="center" vertical="center"/>
      <protection locked="0"/>
    </xf>
    <xf numFmtId="2" fontId="17" fillId="12" borderId="72" xfId="26" applyNumberFormat="1" applyFont="1" applyFill="1" applyBorder="1" applyAlignment="1" applyProtection="1">
      <alignment horizontal="center" vertical="center"/>
      <protection locked="0"/>
    </xf>
    <xf numFmtId="2" fontId="13" fillId="12" borderId="53" xfId="26" applyNumberFormat="1" applyFont="1" applyFill="1" applyBorder="1" applyAlignment="1" applyProtection="1">
      <alignment horizontal="center" vertical="center"/>
      <protection locked="0"/>
    </xf>
    <xf numFmtId="0" fontId="27" fillId="0" borderId="0" xfId="26" applyFont="1" applyProtection="1">
      <protection locked="0"/>
    </xf>
    <xf numFmtId="15" fontId="29" fillId="0" borderId="0" xfId="26" applyNumberFormat="1" applyFont="1" applyAlignment="1" applyProtection="1">
      <alignment horizontal="center"/>
      <protection locked="0"/>
    </xf>
    <xf numFmtId="0" fontId="27" fillId="0" borderId="0" xfId="26" applyFont="1" applyAlignment="1" applyProtection="1">
      <alignment horizontal="left"/>
      <protection locked="0"/>
    </xf>
    <xf numFmtId="0" fontId="27" fillId="0" borderId="0" xfId="26" applyFont="1" applyAlignment="1" applyProtection="1">
      <alignment horizontal="center" vertical="center" wrapText="1"/>
      <protection locked="0"/>
    </xf>
    <xf numFmtId="0" fontId="30" fillId="12" borderId="46" xfId="26" applyFont="1" applyFill="1" applyBorder="1" applyAlignment="1" applyProtection="1">
      <alignment horizontal="center" vertical="center"/>
      <protection locked="0"/>
    </xf>
    <xf numFmtId="0" fontId="30" fillId="0" borderId="0" xfId="26" applyFont="1" applyAlignment="1" applyProtection="1">
      <alignment horizontal="center" vertical="center"/>
      <protection locked="0"/>
    </xf>
    <xf numFmtId="1" fontId="0" fillId="0" borderId="0" xfId="0" applyNumberFormat="1"/>
    <xf numFmtId="0" fontId="30" fillId="12" borderId="78" xfId="26" applyFont="1" applyFill="1" applyBorder="1" applyAlignment="1" applyProtection="1">
      <alignment horizontal="center" vertical="center"/>
      <protection locked="0"/>
    </xf>
    <xf numFmtId="1" fontId="28" fillId="12" borderId="72" xfId="26" applyNumberFormat="1" applyFont="1" applyFill="1" applyBorder="1" applyAlignment="1" applyProtection="1">
      <alignment horizontal="center" vertical="center"/>
      <protection locked="0"/>
    </xf>
    <xf numFmtId="1" fontId="28" fillId="0" borderId="0" xfId="26" applyNumberFormat="1" applyFont="1" applyAlignment="1" applyProtection="1">
      <alignment horizontal="center" vertical="center"/>
      <protection locked="0"/>
    </xf>
    <xf numFmtId="0" fontId="27" fillId="12" borderId="53" xfId="26" applyFont="1" applyFill="1" applyBorder="1" applyAlignment="1" applyProtection="1">
      <alignment horizontal="center" vertical="center"/>
      <protection locked="0"/>
    </xf>
    <xf numFmtId="0" fontId="27" fillId="12" borderId="0" xfId="26" applyFont="1" applyFill="1" applyAlignment="1" applyProtection="1">
      <alignment horizontal="center" vertical="center"/>
      <protection locked="0"/>
    </xf>
    <xf numFmtId="0" fontId="17" fillId="0" borderId="59" xfId="26" applyFont="1" applyBorder="1" applyAlignment="1" applyProtection="1">
      <alignment horizontal="center" vertical="center"/>
      <protection locked="0"/>
    </xf>
    <xf numFmtId="1" fontId="28" fillId="12" borderId="0" xfId="26" applyNumberFormat="1" applyFont="1" applyFill="1" applyAlignment="1" applyProtection="1">
      <alignment horizontal="center" vertical="center"/>
      <protection locked="0"/>
    </xf>
    <xf numFmtId="0" fontId="28" fillId="12" borderId="0" xfId="26" applyFont="1" applyFill="1" applyAlignment="1" applyProtection="1">
      <alignment horizontal="center" vertical="center"/>
      <protection locked="0"/>
    </xf>
    <xf numFmtId="0" fontId="0" fillId="0" borderId="79" xfId="26" applyFont="1" applyBorder="1" applyAlignment="1" applyProtection="1">
      <alignment horizontal="center" vertical="center"/>
      <protection locked="0"/>
    </xf>
    <xf numFmtId="0" fontId="17" fillId="12" borderId="39" xfId="26" applyFont="1" applyFill="1" applyBorder="1" applyAlignment="1" applyProtection="1">
      <alignment horizontal="center" vertical="center"/>
      <protection locked="0"/>
    </xf>
    <xf numFmtId="0" fontId="28" fillId="13" borderId="0" xfId="26" applyFont="1" applyFill="1" applyAlignment="1" applyProtection="1">
      <alignment horizontal="center" vertical="center"/>
      <protection locked="0"/>
    </xf>
    <xf numFmtId="0" fontId="17" fillId="12" borderId="24" xfId="26" applyFont="1" applyFill="1" applyBorder="1" applyAlignment="1" applyProtection="1">
      <alignment horizontal="center" vertical="center"/>
      <protection locked="0"/>
    </xf>
    <xf numFmtId="166" fontId="17" fillId="12" borderId="79" xfId="26" applyNumberFormat="1" applyFont="1" applyFill="1" applyBorder="1" applyAlignment="1" applyProtection="1">
      <alignment horizontal="center" vertical="center"/>
      <protection locked="0"/>
    </xf>
    <xf numFmtId="166" fontId="17" fillId="14" borderId="53" xfId="26" applyNumberFormat="1" applyFont="1" applyFill="1" applyBorder="1" applyAlignment="1" applyProtection="1">
      <alignment horizontal="center" vertical="center"/>
      <protection locked="0"/>
    </xf>
    <xf numFmtId="1" fontId="28" fillId="14" borderId="0" xfId="26" applyNumberFormat="1" applyFont="1" applyFill="1" applyAlignment="1" applyProtection="1">
      <alignment horizontal="center" vertical="center"/>
      <protection locked="0"/>
    </xf>
    <xf numFmtId="0" fontId="17" fillId="12" borderId="59" xfId="26" applyFont="1" applyFill="1" applyBorder="1" applyAlignment="1" applyProtection="1">
      <alignment horizontal="center" vertical="center"/>
      <protection locked="0"/>
    </xf>
    <xf numFmtId="0" fontId="17" fillId="12" borderId="73" xfId="26" applyFont="1" applyFill="1" applyBorder="1" applyAlignment="1" applyProtection="1">
      <alignment horizontal="center" vertical="center"/>
      <protection locked="0"/>
    </xf>
    <xf numFmtId="1" fontId="17" fillId="12" borderId="46" xfId="26" applyNumberFormat="1" applyFont="1" applyFill="1" applyBorder="1" applyAlignment="1" applyProtection="1">
      <alignment horizontal="center" vertical="center"/>
      <protection locked="0"/>
    </xf>
    <xf numFmtId="0" fontId="17" fillId="12" borderId="22" xfId="26" applyFont="1" applyFill="1" applyBorder="1" applyAlignment="1" applyProtection="1">
      <alignment horizontal="center" vertical="center"/>
      <protection locked="0"/>
    </xf>
    <xf numFmtId="166" fontId="17" fillId="13" borderId="53" xfId="26" applyNumberFormat="1" applyFont="1" applyFill="1" applyBorder="1" applyAlignment="1" applyProtection="1">
      <alignment horizontal="center" vertical="center"/>
      <protection locked="0"/>
    </xf>
    <xf numFmtId="1" fontId="28" fillId="13" borderId="0" xfId="26" applyNumberFormat="1" applyFont="1" applyFill="1" applyAlignment="1" applyProtection="1">
      <alignment horizontal="center" vertical="center"/>
      <protection locked="0"/>
    </xf>
    <xf numFmtId="0" fontId="0" fillId="12" borderId="80" xfId="26" applyFont="1" applyFill="1" applyBorder="1" applyAlignment="1" applyProtection="1">
      <alignment horizontal="centerContinuous" vertical="center"/>
      <protection locked="0"/>
    </xf>
    <xf numFmtId="0" fontId="24" fillId="12" borderId="0" xfId="26" applyFont="1" applyFill="1" applyAlignment="1" applyProtection="1">
      <alignment horizontal="centerContinuous" vertical="center"/>
      <protection locked="0"/>
    </xf>
    <xf numFmtId="0" fontId="24" fillId="0" borderId="0" xfId="26" applyFont="1" applyAlignment="1" applyProtection="1">
      <alignment vertical="center"/>
      <protection locked="0"/>
    </xf>
    <xf numFmtId="2" fontId="17" fillId="12" borderId="59" xfId="26" applyNumberFormat="1" applyFont="1" applyFill="1" applyBorder="1" applyAlignment="1" applyProtection="1">
      <alignment horizontal="center" vertical="center"/>
      <protection locked="0"/>
    </xf>
    <xf numFmtId="2" fontId="28" fillId="12" borderId="0" xfId="26" applyNumberFormat="1" applyFont="1" applyFill="1" applyAlignment="1" applyProtection="1">
      <alignment horizontal="center" vertical="center"/>
      <protection locked="0"/>
    </xf>
    <xf numFmtId="0" fontId="31" fillId="0" borderId="0" xfId="26" applyFont="1" applyProtection="1">
      <protection locked="0"/>
    </xf>
    <xf numFmtId="0" fontId="17" fillId="0" borderId="0" xfId="26" applyFont="1" applyProtection="1">
      <protection locked="0"/>
    </xf>
    <xf numFmtId="0" fontId="25" fillId="0" borderId="0" xfId="26" applyFont="1" applyAlignment="1" applyProtection="1">
      <alignment horizontal="center"/>
      <protection locked="0"/>
    </xf>
    <xf numFmtId="1" fontId="25" fillId="0" borderId="0" xfId="26" applyNumberFormat="1" applyFont="1" applyAlignment="1" applyProtection="1">
      <alignment horizontal="center"/>
      <protection locked="0"/>
    </xf>
    <xf numFmtId="0" fontId="25" fillId="11" borderId="0" xfId="26" applyFont="1" applyFill="1" applyProtection="1">
      <protection locked="0"/>
    </xf>
    <xf numFmtId="2" fontId="2" fillId="0" borderId="0" xfId="26" applyNumberFormat="1" applyFont="1" applyProtection="1">
      <protection locked="0"/>
    </xf>
    <xf numFmtId="0" fontId="18" fillId="0" borderId="0" xfId="26" applyFont="1"/>
    <xf numFmtId="0" fontId="0" fillId="0" borderId="0" xfId="26" applyFont="1"/>
    <xf numFmtId="0" fontId="18" fillId="0" borderId="0" xfId="23" applyFont="1" applyProtection="1">
      <protection locked="0"/>
    </xf>
    <xf numFmtId="0" fontId="0" fillId="0" borderId="0" xfId="23" applyFont="1" applyProtection="1">
      <protection locked="0"/>
    </xf>
    <xf numFmtId="0" fontId="1" fillId="0" borderId="0" xfId="23" applyFont="1" applyProtection="1">
      <protection locked="0"/>
    </xf>
    <xf numFmtId="170" fontId="0" fillId="0" borderId="0" xfId="2" applyNumberFormat="1" applyFont="1"/>
    <xf numFmtId="1" fontId="0" fillId="0" borderId="0" xfId="26" applyNumberFormat="1" applyFont="1"/>
    <xf numFmtId="0" fontId="18" fillId="0" borderId="30" xfId="26" applyFont="1" applyBorder="1" applyAlignment="1" applyProtection="1">
      <alignment horizontal="centerContinuous"/>
      <protection locked="0"/>
    </xf>
    <xf numFmtId="0" fontId="18" fillId="0" borderId="50" xfId="26" applyFont="1" applyBorder="1" applyAlignment="1" applyProtection="1">
      <alignment horizontal="centerContinuous"/>
      <protection locked="0"/>
    </xf>
    <xf numFmtId="0" fontId="18" fillId="0" borderId="31" xfId="26" applyFont="1" applyBorder="1" applyAlignment="1" applyProtection="1">
      <alignment horizontal="centerContinuous"/>
      <protection locked="0"/>
    </xf>
    <xf numFmtId="0" fontId="0" fillId="0" borderId="50" xfId="26" applyFont="1" applyBorder="1" applyAlignment="1" applyProtection="1">
      <alignment horizontal="centerContinuous"/>
      <protection locked="0"/>
    </xf>
    <xf numFmtId="0" fontId="0" fillId="0" borderId="31" xfId="26" applyFont="1" applyBorder="1" applyProtection="1">
      <protection locked="0"/>
    </xf>
    <xf numFmtId="0" fontId="18" fillId="0" borderId="45" xfId="26" applyFont="1" applyBorder="1" applyAlignment="1" applyProtection="1">
      <alignment horizontal="center"/>
      <protection locked="0"/>
    </xf>
    <xf numFmtId="0" fontId="18" fillId="0" borderId="46" xfId="26" applyFont="1" applyBorder="1" applyProtection="1">
      <protection locked="0"/>
    </xf>
    <xf numFmtId="0" fontId="18" fillId="0" borderId="57" xfId="26" applyFont="1" applyBorder="1" applyProtection="1">
      <protection locked="0"/>
    </xf>
    <xf numFmtId="0" fontId="0" fillId="0" borderId="80" xfId="26" applyFont="1" applyBorder="1" applyProtection="1">
      <protection locked="0"/>
    </xf>
    <xf numFmtId="0" fontId="0" fillId="0" borderId="29" xfId="26" applyFont="1" applyBorder="1" applyProtection="1">
      <protection locked="0"/>
    </xf>
    <xf numFmtId="0" fontId="18" fillId="0" borderId="19" xfId="26" applyFont="1" applyBorder="1" applyProtection="1">
      <protection locked="0"/>
    </xf>
    <xf numFmtId="0" fontId="0" fillId="0" borderId="77" xfId="26" applyFont="1" applyBorder="1" applyProtection="1">
      <protection locked="0"/>
    </xf>
    <xf numFmtId="0" fontId="0" fillId="0" borderId="0" xfId="21" applyFont="1" applyProtection="1">
      <protection locked="0"/>
    </xf>
    <xf numFmtId="0" fontId="1" fillId="0" borderId="0" xfId="21" applyFont="1" applyProtection="1">
      <protection locked="0"/>
    </xf>
    <xf numFmtId="2" fontId="1" fillId="0" borderId="0" xfId="23" applyNumberFormat="1" applyFont="1" applyProtection="1">
      <protection locked="0"/>
    </xf>
    <xf numFmtId="10" fontId="0" fillId="0" borderId="0" xfId="2" applyNumberFormat="1" applyFont="1"/>
    <xf numFmtId="0" fontId="0" fillId="0" borderId="50" xfId="26" applyFont="1" applyBorder="1" applyProtection="1">
      <protection locked="0"/>
    </xf>
    <xf numFmtId="0" fontId="0" fillId="0" borderId="82" xfId="26" applyFont="1" applyBorder="1" applyProtection="1">
      <protection locked="0"/>
    </xf>
    <xf numFmtId="0" fontId="24" fillId="0" borderId="0" xfId="26" applyFont="1"/>
    <xf numFmtId="0" fontId="24" fillId="0" borderId="0" xfId="21" applyFont="1" applyProtection="1">
      <protection locked="0"/>
    </xf>
    <xf numFmtId="0" fontId="25" fillId="0" borderId="0" xfId="21" applyFont="1" applyProtection="1">
      <protection locked="0"/>
    </xf>
    <xf numFmtId="0" fontId="26" fillId="0" borderId="0" xfId="24" applyFont="1" applyAlignment="1">
      <alignment horizontal="center" vertical="center"/>
    </xf>
    <xf numFmtId="0" fontId="23" fillId="0" borderId="0" xfId="24" applyFont="1" applyAlignment="1">
      <alignment vertical="center"/>
    </xf>
    <xf numFmtId="0" fontId="26" fillId="0" borderId="0" xfId="24" applyFont="1" applyAlignment="1">
      <alignment vertical="center"/>
    </xf>
    <xf numFmtId="0" fontId="36" fillId="0" borderId="0" xfId="24" applyFont="1" applyAlignment="1">
      <alignment vertical="center"/>
    </xf>
    <xf numFmtId="1" fontId="36" fillId="0" borderId="0" xfId="24" applyNumberFormat="1" applyFont="1" applyAlignment="1">
      <alignment vertical="center"/>
    </xf>
    <xf numFmtId="0" fontId="37" fillId="0" borderId="83" xfId="24" applyFont="1" applyBorder="1" applyAlignment="1">
      <alignment horizontal="centerContinuous" vertical="center"/>
    </xf>
    <xf numFmtId="0" fontId="37" fillId="0" borderId="84" xfId="24" applyFont="1" applyBorder="1" applyAlignment="1">
      <alignment horizontal="centerContinuous" vertical="center"/>
    </xf>
    <xf numFmtId="0" fontId="26" fillId="0" borderId="18" xfId="24" applyFont="1" applyBorder="1" applyAlignment="1">
      <alignment horizontal="left" vertical="center"/>
    </xf>
    <xf numFmtId="0" fontId="26" fillId="0" borderId="85" xfId="24" applyFont="1" applyBorder="1" applyAlignment="1">
      <alignment horizontal="centerContinuous" vertical="center"/>
    </xf>
    <xf numFmtId="0" fontId="26" fillId="0" borderId="86" xfId="24" applyFont="1" applyBorder="1" applyAlignment="1">
      <alignment horizontal="centerContinuous" vertical="center"/>
    </xf>
    <xf numFmtId="0" fontId="26" fillId="0" borderId="87" xfId="24" applyFont="1" applyBorder="1" applyAlignment="1">
      <alignment horizontal="center" vertical="center"/>
    </xf>
    <xf numFmtId="0" fontId="36" fillId="0" borderId="26" xfId="24" applyFont="1" applyBorder="1" applyAlignment="1">
      <alignment horizontal="left" vertical="center"/>
    </xf>
    <xf numFmtId="0" fontId="36" fillId="0" borderId="27" xfId="24" applyFont="1" applyBorder="1" applyAlignment="1">
      <alignment horizontal="centerContinuous" vertical="center"/>
    </xf>
    <xf numFmtId="0" fontId="26" fillId="0" borderId="18" xfId="24" applyFont="1" applyBorder="1" applyAlignment="1">
      <alignment horizontal="center" vertical="center"/>
    </xf>
    <xf numFmtId="0" fontId="26" fillId="0" borderId="88" xfId="24" applyFont="1" applyBorder="1" applyAlignment="1">
      <alignment horizontal="center" vertical="center"/>
    </xf>
    <xf numFmtId="20" fontId="39" fillId="16" borderId="89" xfId="24" applyNumberFormat="1" applyFont="1" applyFill="1" applyBorder="1" applyAlignment="1" applyProtection="1">
      <alignment horizontal="center" vertical="center"/>
      <protection locked="0"/>
    </xf>
    <xf numFmtId="1" fontId="40" fillId="3" borderId="90" xfId="24" applyNumberFormat="1" applyFont="1" applyFill="1" applyBorder="1" applyAlignment="1">
      <alignment horizontal="center" vertical="center"/>
    </xf>
    <xf numFmtId="0" fontId="26" fillId="0" borderId="48" xfId="24" applyFont="1" applyBorder="1" applyAlignment="1">
      <alignment horizontal="center" vertical="center"/>
    </xf>
    <xf numFmtId="20" fontId="39" fillId="16" borderId="91" xfId="24" applyNumberFormat="1" applyFont="1" applyFill="1" applyBorder="1" applyAlignment="1" applyProtection="1">
      <alignment horizontal="center" vertical="center"/>
      <protection locked="0"/>
    </xf>
    <xf numFmtId="20" fontId="39" fillId="16" borderId="92" xfId="24" applyNumberFormat="1" applyFont="1" applyFill="1" applyBorder="1" applyAlignment="1" applyProtection="1">
      <alignment horizontal="center" vertical="center"/>
      <protection locked="0"/>
    </xf>
    <xf numFmtId="1" fontId="40" fillId="3" borderId="93" xfId="24" applyNumberFormat="1" applyFont="1" applyFill="1" applyBorder="1" applyAlignment="1">
      <alignment horizontal="center" vertical="center"/>
    </xf>
    <xf numFmtId="0" fontId="26" fillId="0" borderId="94" xfId="24" applyFont="1" applyBorder="1" applyAlignment="1">
      <alignment horizontal="left" vertical="center"/>
    </xf>
    <xf numFmtId="0" fontId="26" fillId="0" borderId="86" xfId="24" applyFont="1" applyBorder="1" applyAlignment="1">
      <alignment vertical="center"/>
    </xf>
    <xf numFmtId="0" fontId="36" fillId="0" borderId="95" xfId="24" applyFont="1" applyBorder="1" applyAlignment="1">
      <alignment horizontal="center" vertical="center"/>
    </xf>
    <xf numFmtId="0" fontId="36" fillId="0" borderId="96" xfId="24" applyFont="1" applyBorder="1" applyAlignment="1">
      <alignment horizontal="center" vertical="center"/>
    </xf>
    <xf numFmtId="171" fontId="26" fillId="0" borderId="86" xfId="24" applyNumberFormat="1" applyFont="1" applyBorder="1" applyAlignment="1">
      <alignment vertical="center"/>
    </xf>
    <xf numFmtId="0" fontId="39" fillId="16" borderId="97" xfId="24" applyFont="1" applyFill="1" applyBorder="1" applyAlignment="1" applyProtection="1">
      <alignment horizontal="center" vertical="center"/>
      <protection locked="0"/>
    </xf>
    <xf numFmtId="0" fontId="39" fillId="3" borderId="97" xfId="24" applyFont="1" applyFill="1" applyBorder="1" applyAlignment="1">
      <alignment horizontal="center" vertical="center"/>
    </xf>
    <xf numFmtId="0" fontId="39" fillId="16" borderId="98" xfId="24" applyFont="1" applyFill="1" applyBorder="1" applyAlignment="1" applyProtection="1">
      <alignment horizontal="center" vertical="center"/>
      <protection locked="0"/>
    </xf>
    <xf numFmtId="0" fontId="26" fillId="0" borderId="94" xfId="24" applyFont="1" applyBorder="1" applyAlignment="1">
      <alignment horizontal="centerContinuous" vertical="center"/>
    </xf>
    <xf numFmtId="0" fontId="39" fillId="3" borderId="99" xfId="24" applyFont="1" applyFill="1" applyBorder="1" applyAlignment="1">
      <alignment horizontal="center" vertical="center"/>
    </xf>
    <xf numFmtId="0" fontId="36" fillId="0" borderId="97" xfId="24" applyFont="1" applyBorder="1" applyAlignment="1">
      <alignment horizontal="center" vertical="center"/>
    </xf>
    <xf numFmtId="37" fontId="39" fillId="3" borderId="97" xfId="24" applyNumberFormat="1" applyFont="1" applyFill="1" applyBorder="1" applyAlignment="1">
      <alignment horizontal="center" vertical="center"/>
    </xf>
    <xf numFmtId="166" fontId="39" fillId="16" borderId="97" xfId="24" applyNumberFormat="1" applyFont="1" applyFill="1" applyBorder="1" applyAlignment="1" applyProtection="1">
      <alignment horizontal="center" vertical="center"/>
      <protection locked="0"/>
    </xf>
    <xf numFmtId="0" fontId="26" fillId="0" borderId="0" xfId="24" applyFont="1" applyAlignment="1">
      <alignment horizontal="centerContinuous" vertical="center"/>
    </xf>
    <xf numFmtId="166" fontId="39" fillId="3" borderId="97" xfId="24" applyNumberFormat="1" applyFont="1" applyFill="1" applyBorder="1" applyAlignment="1">
      <alignment horizontal="center" vertical="center"/>
    </xf>
    <xf numFmtId="3" fontId="39" fillId="3" borderId="97" xfId="24" applyNumberFormat="1" applyFont="1" applyFill="1" applyBorder="1" applyAlignment="1">
      <alignment horizontal="center" vertical="center"/>
    </xf>
    <xf numFmtId="0" fontId="26" fillId="0" borderId="86" xfId="24" applyFont="1" applyBorder="1" applyAlignment="1">
      <alignment horizontal="center" vertical="center"/>
    </xf>
    <xf numFmtId="20" fontId="41" fillId="16" borderId="48" xfId="11" applyNumberFormat="1" applyFont="1" applyFill="1" applyBorder="1" applyAlignment="1" applyProtection="1">
      <alignment horizontal="centerContinuous" vertical="center"/>
      <protection locked="0"/>
    </xf>
    <xf numFmtId="1" fontId="42" fillId="3" borderId="98" xfId="11" applyNumberFormat="1" applyFont="1" applyFill="1" applyBorder="1" applyAlignment="1">
      <alignment horizontal="center" vertical="center"/>
    </xf>
    <xf numFmtId="1" fontId="42" fillId="3" borderId="97" xfId="11" applyNumberFormat="1" applyFont="1" applyFill="1" applyBorder="1" applyAlignment="1">
      <alignment horizontal="center" vertical="center"/>
    </xf>
    <xf numFmtId="1" fontId="42" fillId="3" borderId="89" xfId="11" applyNumberFormat="1" applyFont="1" applyFill="1" applyBorder="1" applyAlignment="1">
      <alignment horizontal="center" vertical="center"/>
    </xf>
    <xf numFmtId="20" fontId="41" fillId="16" borderId="60" xfId="11" applyNumberFormat="1" applyFont="1" applyFill="1" applyBorder="1" applyAlignment="1" applyProtection="1">
      <alignment horizontal="centerContinuous" vertical="center"/>
      <protection locked="0"/>
    </xf>
    <xf numFmtId="1" fontId="42" fillId="3" borderId="102" xfId="11" applyNumberFormat="1" applyFont="1" applyFill="1" applyBorder="1" applyAlignment="1">
      <alignment horizontal="center" vertical="center"/>
    </xf>
    <xf numFmtId="0" fontId="41" fillId="16" borderId="99" xfId="11" applyFont="1" applyFill="1" applyBorder="1" applyAlignment="1" applyProtection="1">
      <alignment horizontal="left" vertical="center"/>
      <protection locked="0"/>
    </xf>
    <xf numFmtId="20" fontId="41" fillId="16" borderId="36" xfId="11" applyNumberFormat="1" applyFont="1" applyFill="1" applyBorder="1" applyAlignment="1" applyProtection="1">
      <alignment horizontal="centerContinuous" vertical="center"/>
      <protection locked="0"/>
    </xf>
    <xf numFmtId="20" fontId="41" fillId="16" borderId="24" xfId="11" applyNumberFormat="1" applyFont="1" applyFill="1" applyBorder="1" applyAlignment="1" applyProtection="1">
      <alignment horizontal="centerContinuous" vertical="center"/>
      <protection locked="0"/>
    </xf>
    <xf numFmtId="1" fontId="42" fillId="3" borderId="85" xfId="11" applyNumberFormat="1" applyFont="1" applyFill="1" applyBorder="1" applyAlignment="1">
      <alignment horizontal="center" vertical="center"/>
    </xf>
    <xf numFmtId="0" fontId="41" fillId="16" borderId="28" xfId="11" applyFont="1" applyFill="1" applyBorder="1" applyAlignment="1" applyProtection="1">
      <alignment horizontal="left" vertical="center"/>
      <protection locked="0"/>
    </xf>
    <xf numFmtId="0" fontId="41" fillId="16" borderId="29" xfId="11" applyFont="1" applyFill="1" applyBorder="1" applyAlignment="1" applyProtection="1">
      <alignment horizontal="centerContinuous" vertical="center"/>
      <protection locked="0"/>
    </xf>
    <xf numFmtId="0" fontId="26" fillId="16" borderId="29" xfId="24" applyFont="1" applyFill="1" applyBorder="1" applyAlignment="1">
      <alignment vertical="center"/>
    </xf>
    <xf numFmtId="20" fontId="41" fillId="16" borderId="64" xfId="11" applyNumberFormat="1" applyFont="1" applyFill="1" applyBorder="1" applyAlignment="1" applyProtection="1">
      <alignment horizontal="centerContinuous" vertical="center"/>
      <protection locked="0"/>
    </xf>
    <xf numFmtId="20" fontId="41" fillId="16" borderId="42" xfId="11" applyNumberFormat="1" applyFont="1" applyFill="1" applyBorder="1" applyAlignment="1" applyProtection="1">
      <alignment horizontal="centerContinuous" vertical="center"/>
      <protection locked="0"/>
    </xf>
    <xf numFmtId="1" fontId="42" fillId="3" borderId="103" xfId="11" applyNumberFormat="1" applyFont="1" applyFill="1" applyBorder="1" applyAlignment="1">
      <alignment horizontal="center" vertical="center"/>
    </xf>
    <xf numFmtId="0" fontId="41" fillId="16" borderId="104" xfId="11" applyFont="1" applyFill="1" applyBorder="1" applyAlignment="1" applyProtection="1">
      <alignment horizontal="left" vertical="center"/>
      <protection locked="0"/>
    </xf>
    <xf numFmtId="0" fontId="41" fillId="16" borderId="43" xfId="11" applyFont="1" applyFill="1" applyBorder="1" applyAlignment="1" applyProtection="1">
      <alignment horizontal="centerContinuous" vertical="center"/>
      <protection locked="0"/>
    </xf>
    <xf numFmtId="0" fontId="26" fillId="16" borderId="67" xfId="24" applyFont="1" applyFill="1" applyBorder="1" applyAlignment="1">
      <alignment vertical="center"/>
    </xf>
    <xf numFmtId="0" fontId="26" fillId="0" borderId="30" xfId="24" applyFont="1" applyBorder="1" applyAlignment="1">
      <alignment horizontal="center" vertical="center"/>
    </xf>
    <xf numFmtId="0" fontId="26" fillId="0" borderId="105" xfId="24" applyFont="1" applyBorder="1" applyAlignment="1">
      <alignment vertical="center"/>
    </xf>
    <xf numFmtId="0" fontId="26" fillId="0" borderId="31" xfId="24" applyFont="1" applyBorder="1" applyAlignment="1">
      <alignment horizontal="left" vertical="center"/>
    </xf>
    <xf numFmtId="0" fontId="26" fillId="0" borderId="31" xfId="24" applyFont="1" applyBorder="1" applyAlignment="1">
      <alignment vertical="center"/>
    </xf>
    <xf numFmtId="0" fontId="36" fillId="0" borderId="31" xfId="24" applyFont="1" applyBorder="1" applyAlignment="1">
      <alignment vertical="center"/>
    </xf>
    <xf numFmtId="0" fontId="36" fillId="0" borderId="106" xfId="24" applyFont="1" applyBorder="1" applyAlignment="1">
      <alignment vertical="center"/>
    </xf>
    <xf numFmtId="0" fontId="36" fillId="0" borderId="19" xfId="24" applyFont="1" applyBorder="1" applyAlignment="1">
      <alignment vertical="center"/>
    </xf>
    <xf numFmtId="0" fontId="23" fillId="0" borderId="108" xfId="24" applyFont="1" applyBorder="1" applyAlignment="1">
      <alignment horizontal="left" vertical="center"/>
    </xf>
    <xf numFmtId="0" fontId="23" fillId="0" borderId="109" xfId="24" applyFont="1" applyBorder="1" applyAlignment="1">
      <alignment vertical="center"/>
    </xf>
    <xf numFmtId="0" fontId="43" fillId="0" borderId="109" xfId="24" applyFont="1" applyBorder="1" applyAlignment="1">
      <alignment vertical="center"/>
    </xf>
    <xf numFmtId="0" fontId="43" fillId="0" borderId="108" xfId="24" applyFont="1" applyBorder="1" applyAlignment="1">
      <alignment horizontal="left" vertical="center"/>
    </xf>
    <xf numFmtId="0" fontId="43" fillId="0" borderId="109" xfId="24" applyFont="1" applyBorder="1" applyAlignment="1">
      <alignment horizontal="left" vertical="center"/>
    </xf>
    <xf numFmtId="0" fontId="23" fillId="0" borderId="110" xfId="24" applyFont="1" applyBorder="1" applyAlignment="1">
      <alignment horizontal="center" vertical="center"/>
    </xf>
    <xf numFmtId="0" fontId="23" fillId="0" borderId="111" xfId="24" applyFont="1" applyBorder="1" applyAlignment="1">
      <alignment horizontal="left" vertical="center"/>
    </xf>
    <xf numFmtId="0" fontId="23" fillId="0" borderId="112" xfId="24" applyFont="1" applyBorder="1" applyAlignment="1">
      <alignment vertical="center"/>
    </xf>
    <xf numFmtId="0" fontId="43" fillId="0" borderId="112" xfId="24" applyFont="1" applyBorder="1" applyAlignment="1">
      <alignment vertical="center"/>
    </xf>
    <xf numFmtId="0" fontId="43" fillId="0" borderId="111" xfId="24" applyFont="1" applyBorder="1" applyAlignment="1">
      <alignment horizontal="left" vertical="center"/>
    </xf>
    <xf numFmtId="0" fontId="43" fillId="0" borderId="112" xfId="24" applyFont="1" applyBorder="1" applyAlignment="1">
      <alignment horizontal="left" vertical="center"/>
    </xf>
    <xf numFmtId="0" fontId="23" fillId="0" borderId="113" xfId="24" applyFont="1" applyBorder="1" applyAlignment="1">
      <alignment horizontal="center" vertical="center"/>
    </xf>
    <xf numFmtId="0" fontId="23" fillId="0" borderId="114" xfId="24" applyFont="1" applyBorder="1" applyAlignment="1">
      <alignment horizontal="left" vertical="center"/>
    </xf>
    <xf numFmtId="0" fontId="23" fillId="0" borderId="115" xfId="24" applyFont="1" applyBorder="1" applyAlignment="1">
      <alignment vertical="center"/>
    </xf>
    <xf numFmtId="0" fontId="43" fillId="0" borderId="115" xfId="24" applyFont="1" applyBorder="1" applyAlignment="1">
      <alignment vertical="center"/>
    </xf>
    <xf numFmtId="0" fontId="43" fillId="0" borderId="114" xfId="24" applyFont="1" applyBorder="1" applyAlignment="1">
      <alignment horizontal="left" vertical="center"/>
    </xf>
    <xf numFmtId="0" fontId="43" fillId="0" borderId="115" xfId="24" applyFont="1" applyBorder="1" applyAlignment="1">
      <alignment horizontal="left" vertical="center"/>
    </xf>
    <xf numFmtId="0" fontId="23" fillId="10" borderId="107" xfId="24" applyFont="1" applyFill="1" applyBorder="1" applyAlignment="1">
      <alignment horizontal="center" vertical="center"/>
    </xf>
    <xf numFmtId="0" fontId="23" fillId="10" borderId="108" xfId="24" applyFont="1" applyFill="1" applyBorder="1" applyAlignment="1">
      <alignment horizontal="left" vertical="center"/>
    </xf>
    <xf numFmtId="0" fontId="23" fillId="10" borderId="109" xfId="24" applyFont="1" applyFill="1" applyBorder="1" applyAlignment="1">
      <alignment vertical="center"/>
    </xf>
    <xf numFmtId="0" fontId="43" fillId="10" borderId="109" xfId="24" applyFont="1" applyFill="1" applyBorder="1" applyAlignment="1">
      <alignment vertical="center"/>
    </xf>
    <xf numFmtId="0" fontId="43" fillId="10" borderId="116" xfId="24" applyFont="1" applyFill="1" applyBorder="1" applyAlignment="1">
      <alignment horizontal="left" vertical="center"/>
    </xf>
    <xf numFmtId="0" fontId="43" fillId="10" borderId="117" xfId="24" applyFont="1" applyFill="1" applyBorder="1" applyAlignment="1">
      <alignment horizontal="left" vertical="center"/>
    </xf>
    <xf numFmtId="0" fontId="23" fillId="10" borderId="110" xfId="24" applyFont="1" applyFill="1" applyBorder="1" applyAlignment="1">
      <alignment horizontal="center" vertical="center"/>
    </xf>
    <xf numFmtId="0" fontId="23" fillId="10" borderId="111" xfId="24" applyFont="1" applyFill="1" applyBorder="1" applyAlignment="1">
      <alignment horizontal="left" vertical="center"/>
    </xf>
    <xf numFmtId="0" fontId="23" fillId="10" borderId="112" xfId="24" applyFont="1" applyFill="1" applyBorder="1" applyAlignment="1">
      <alignment vertical="center"/>
    </xf>
    <xf numFmtId="0" fontId="43" fillId="10" borderId="112" xfId="24" applyFont="1" applyFill="1" applyBorder="1" applyAlignment="1">
      <alignment vertical="center"/>
    </xf>
    <xf numFmtId="0" fontId="43" fillId="10" borderId="118" xfId="24" applyFont="1" applyFill="1" applyBorder="1" applyAlignment="1">
      <alignment horizontal="left" vertical="center"/>
    </xf>
    <xf numFmtId="0" fontId="43" fillId="10" borderId="119" xfId="24" applyFont="1" applyFill="1" applyBorder="1" applyAlignment="1">
      <alignment horizontal="left" vertical="center"/>
    </xf>
    <xf numFmtId="49" fontId="23" fillId="10" borderId="120" xfId="24" applyNumberFormat="1" applyFont="1" applyFill="1" applyBorder="1" applyAlignment="1">
      <alignment horizontal="center" vertical="center"/>
    </xf>
    <xf numFmtId="0" fontId="23" fillId="10" borderId="114" xfId="24" applyFont="1" applyFill="1" applyBorder="1" applyAlignment="1">
      <alignment horizontal="left" vertical="center"/>
    </xf>
    <xf numFmtId="0" fontId="23" fillId="10" borderId="115" xfId="24" applyFont="1" applyFill="1" applyBorder="1" applyAlignment="1">
      <alignment vertical="center"/>
    </xf>
    <xf numFmtId="0" fontId="43" fillId="10" borderId="115" xfId="24" applyFont="1" applyFill="1" applyBorder="1" applyAlignment="1">
      <alignment vertical="center"/>
    </xf>
    <xf numFmtId="0" fontId="43" fillId="10" borderId="121" xfId="24" applyFont="1" applyFill="1" applyBorder="1" applyAlignment="1">
      <alignment horizontal="left" vertical="center"/>
    </xf>
    <xf numFmtId="0" fontId="43" fillId="10" borderId="122" xfId="24" applyFont="1" applyFill="1" applyBorder="1" applyAlignment="1">
      <alignment horizontal="left" vertical="center"/>
    </xf>
    <xf numFmtId="49" fontId="23" fillId="4" borderId="107" xfId="24" applyNumberFormat="1" applyFont="1" applyFill="1" applyBorder="1" applyAlignment="1">
      <alignment horizontal="center" vertical="center"/>
    </xf>
    <xf numFmtId="0" fontId="23" fillId="4" borderId="108" xfId="24" applyFont="1" applyFill="1" applyBorder="1" applyAlignment="1">
      <alignment horizontal="left" vertical="center"/>
    </xf>
    <xf numFmtId="0" fontId="23" fillId="4" borderId="109" xfId="24" applyFont="1" applyFill="1" applyBorder="1" applyAlignment="1">
      <alignment vertical="center"/>
    </xf>
    <xf numFmtId="0" fontId="43" fillId="4" borderId="109" xfId="24" applyFont="1" applyFill="1" applyBorder="1" applyAlignment="1">
      <alignment vertical="center"/>
    </xf>
    <xf numFmtId="0" fontId="43" fillId="4" borderId="108" xfId="24" applyFont="1" applyFill="1" applyBorder="1" applyAlignment="1">
      <alignment horizontal="left" vertical="center"/>
    </xf>
    <xf numFmtId="0" fontId="43" fillId="4" borderId="109" xfId="24" applyFont="1" applyFill="1" applyBorder="1" applyAlignment="1">
      <alignment horizontal="left" vertical="center"/>
    </xf>
    <xf numFmtId="49" fontId="23" fillId="4" borderId="110" xfId="24" applyNumberFormat="1" applyFont="1" applyFill="1" applyBorder="1" applyAlignment="1">
      <alignment horizontal="center" vertical="center"/>
    </xf>
    <xf numFmtId="0" fontId="23" fillId="4" borderId="111" xfId="24" applyFont="1" applyFill="1" applyBorder="1" applyAlignment="1">
      <alignment horizontal="left" vertical="center"/>
    </xf>
    <xf numFmtId="0" fontId="23" fillId="4" borderId="112" xfId="24" applyFont="1" applyFill="1" applyBorder="1" applyAlignment="1">
      <alignment vertical="center"/>
    </xf>
    <xf numFmtId="0" fontId="43" fillId="4" borderId="112" xfId="24" applyFont="1" applyFill="1" applyBorder="1" applyAlignment="1">
      <alignment vertical="center"/>
    </xf>
    <xf numFmtId="0" fontId="43" fillId="4" borderId="111" xfId="24" applyFont="1" applyFill="1" applyBorder="1" applyAlignment="1">
      <alignment horizontal="left" vertical="center"/>
    </xf>
    <xf numFmtId="0" fontId="43" fillId="4" borderId="112" xfId="24" applyFont="1" applyFill="1" applyBorder="1" applyAlignment="1">
      <alignment horizontal="left" vertical="center"/>
    </xf>
    <xf numFmtId="49" fontId="23" fillId="4" borderId="113" xfId="24" applyNumberFormat="1" applyFont="1" applyFill="1" applyBorder="1" applyAlignment="1">
      <alignment horizontal="center" vertical="center"/>
    </xf>
    <xf numFmtId="0" fontId="23" fillId="4" borderId="114" xfId="24" applyFont="1" applyFill="1" applyBorder="1" applyAlignment="1">
      <alignment horizontal="left" vertical="center"/>
    </xf>
    <xf numFmtId="0" fontId="23" fillId="4" borderId="115" xfId="24" applyFont="1" applyFill="1" applyBorder="1" applyAlignment="1">
      <alignment vertical="center"/>
    </xf>
    <xf numFmtId="0" fontId="43" fillId="4" borderId="115" xfId="24" applyFont="1" applyFill="1" applyBorder="1" applyAlignment="1">
      <alignment vertical="center"/>
    </xf>
    <xf numFmtId="0" fontId="43" fillId="4" borderId="114" xfId="24" applyFont="1" applyFill="1" applyBorder="1" applyAlignment="1">
      <alignment horizontal="left" vertical="center"/>
    </xf>
    <xf numFmtId="0" fontId="43" fillId="4" borderId="115" xfId="24" applyFont="1" applyFill="1" applyBorder="1" applyAlignment="1">
      <alignment horizontal="left" vertical="center"/>
    </xf>
    <xf numFmtId="49" fontId="23" fillId="17" borderId="30" xfId="24" applyNumberFormat="1" applyFont="1" applyFill="1" applyBorder="1" applyAlignment="1">
      <alignment horizontal="center" vertical="center"/>
    </xf>
    <xf numFmtId="0" fontId="23" fillId="17" borderId="105" xfId="24" applyFont="1" applyFill="1" applyBorder="1" applyAlignment="1">
      <alignment horizontal="left" vertical="center"/>
    </xf>
    <xf numFmtId="0" fontId="23" fillId="17" borderId="31" xfId="24" applyFont="1" applyFill="1" applyBorder="1" applyAlignment="1">
      <alignment vertical="center"/>
    </xf>
    <xf numFmtId="0" fontId="43" fillId="17" borderId="31" xfId="24" applyFont="1" applyFill="1" applyBorder="1" applyAlignment="1">
      <alignment vertical="center"/>
    </xf>
    <xf numFmtId="0" fontId="43" fillId="17" borderId="105" xfId="24" applyFont="1" applyFill="1" applyBorder="1" applyAlignment="1">
      <alignment horizontal="left" vertical="center"/>
    </xf>
    <xf numFmtId="0" fontId="43" fillId="17" borderId="31" xfId="24" applyFont="1" applyFill="1" applyBorder="1" applyAlignment="1">
      <alignment horizontal="left" vertical="center"/>
    </xf>
    <xf numFmtId="49" fontId="37" fillId="0" borderId="30" xfId="24" applyNumberFormat="1" applyFont="1" applyBorder="1" applyAlignment="1">
      <alignment horizontal="center" vertical="center"/>
    </xf>
    <xf numFmtId="0" fontId="38" fillId="0" borderId="105" xfId="24" applyFont="1" applyBorder="1" applyAlignment="1">
      <alignment horizontal="left" vertical="center"/>
    </xf>
    <xf numFmtId="0" fontId="38" fillId="0" borderId="31" xfId="24" applyFont="1" applyBorder="1" applyAlignment="1">
      <alignment horizontal="left" vertical="center"/>
    </xf>
    <xf numFmtId="0" fontId="26" fillId="0" borderId="61" xfId="24" applyFont="1" applyBorder="1" applyAlignment="1">
      <alignment horizontal="centerContinuous" vertical="center"/>
    </xf>
    <xf numFmtId="0" fontId="26" fillId="0" borderId="19" xfId="24" applyFont="1" applyBorder="1" applyAlignment="1">
      <alignment horizontal="centerContinuous" vertical="center"/>
    </xf>
    <xf numFmtId="0" fontId="26" fillId="0" borderId="19" xfId="24" applyFont="1" applyBorder="1" applyAlignment="1">
      <alignment vertical="center"/>
    </xf>
    <xf numFmtId="0" fontId="36" fillId="0" borderId="77" xfId="24" applyFont="1" applyBorder="1" applyAlignment="1">
      <alignment horizontal="centerContinuous" vertical="center"/>
    </xf>
    <xf numFmtId="0" fontId="36" fillId="0" borderId="61" xfId="24" applyFont="1" applyBorder="1" applyAlignment="1">
      <alignment horizontal="centerContinuous" vertical="center"/>
    </xf>
    <xf numFmtId="0" fontId="36" fillId="0" borderId="19" xfId="24" applyFont="1" applyBorder="1" applyAlignment="1">
      <alignment horizontal="centerContinuous" vertical="center"/>
    </xf>
    <xf numFmtId="0" fontId="44" fillId="0" borderId="0" xfId="24" applyFont="1" applyAlignment="1">
      <alignment vertical="center"/>
    </xf>
    <xf numFmtId="0" fontId="36" fillId="0" borderId="0" xfId="24" applyFont="1" applyAlignment="1">
      <alignment horizontal="center" vertical="center"/>
    </xf>
    <xf numFmtId="0" fontId="36" fillId="10" borderId="84" xfId="24" applyFont="1" applyFill="1" applyBorder="1" applyAlignment="1" applyProtection="1">
      <alignment horizontal="center" vertical="center"/>
      <protection locked="0"/>
    </xf>
    <xf numFmtId="0" fontId="38" fillId="0" borderId="125" xfId="24" applyFont="1" applyBorder="1" applyAlignment="1">
      <alignment horizontal="left" vertical="center"/>
    </xf>
    <xf numFmtId="0" fontId="26" fillId="0" borderId="23" xfId="24" applyFont="1" applyBorder="1" applyAlignment="1">
      <alignment vertical="center"/>
    </xf>
    <xf numFmtId="0" fontId="36" fillId="0" borderId="86" xfId="24" applyFont="1" applyBorder="1" applyAlignment="1">
      <alignment horizontal="centerContinuous" vertical="center"/>
    </xf>
    <xf numFmtId="0" fontId="36" fillId="0" borderId="0" xfId="24" applyFont="1" applyAlignment="1">
      <alignment horizontal="centerContinuous" vertical="center"/>
    </xf>
    <xf numFmtId="1" fontId="36" fillId="0" borderId="76" xfId="24" applyNumberFormat="1" applyFont="1" applyBorder="1" applyAlignment="1">
      <alignment horizontal="centerContinuous" vertical="center"/>
    </xf>
    <xf numFmtId="0" fontId="26" fillId="0" borderId="126" xfId="24" applyFont="1" applyBorder="1" applyAlignment="1">
      <alignment horizontal="center" vertical="center"/>
    </xf>
    <xf numFmtId="0" fontId="26" fillId="0" borderId="97" xfId="24" applyFont="1" applyBorder="1" applyAlignment="1">
      <alignment horizontal="center" vertical="center"/>
    </xf>
    <xf numFmtId="3" fontId="40" fillId="3" borderId="126" xfId="19" applyNumberFormat="1" applyFont="1" applyFill="1" applyBorder="1" applyAlignment="1" applyProtection="1">
      <alignment horizontal="center" vertical="center"/>
    </xf>
    <xf numFmtId="3" fontId="39" fillId="16" borderId="97" xfId="19" applyNumberFormat="1" applyFont="1" applyFill="1" applyBorder="1" applyAlignment="1" applyProtection="1">
      <alignment horizontal="center" vertical="center"/>
      <protection locked="0"/>
    </xf>
    <xf numFmtId="1" fontId="26" fillId="3" borderId="0" xfId="24" applyNumberFormat="1" applyFont="1" applyFill="1" applyAlignment="1">
      <alignment horizontal="center" vertical="center"/>
    </xf>
    <xf numFmtId="3" fontId="39" fillId="16" borderId="89" xfId="19" applyNumberFormat="1" applyFont="1" applyFill="1" applyBorder="1" applyAlignment="1" applyProtection="1">
      <alignment horizontal="center" vertical="center"/>
      <protection locked="0"/>
    </xf>
    <xf numFmtId="0" fontId="26" fillId="0" borderId="86" xfId="24" applyFont="1" applyBorder="1" applyAlignment="1">
      <alignment horizontal="left" vertical="center"/>
    </xf>
    <xf numFmtId="0" fontId="36" fillId="0" borderId="85" xfId="24" applyFont="1" applyBorder="1" applyAlignment="1">
      <alignment horizontal="center" vertical="center"/>
    </xf>
    <xf numFmtId="1" fontId="36" fillId="0" borderId="129" xfId="24" applyNumberFormat="1" applyFont="1" applyBorder="1" applyAlignment="1">
      <alignment horizontal="center" vertical="center"/>
    </xf>
    <xf numFmtId="1" fontId="39" fillId="16" borderId="97" xfId="24" applyNumberFormat="1" applyFont="1" applyFill="1" applyBorder="1" applyAlignment="1" applyProtection="1">
      <alignment horizontal="center" vertical="center"/>
      <protection locked="0"/>
    </xf>
    <xf numFmtId="0" fontId="39" fillId="16" borderId="85" xfId="24" applyFont="1" applyFill="1" applyBorder="1" applyAlignment="1" applyProtection="1">
      <alignment horizontal="center" vertical="center"/>
      <protection locked="0"/>
    </xf>
    <xf numFmtId="1" fontId="39" fillId="3" borderId="129" xfId="24" applyNumberFormat="1" applyFont="1" applyFill="1" applyBorder="1" applyAlignment="1">
      <alignment vertical="center"/>
    </xf>
    <xf numFmtId="1" fontId="39" fillId="3" borderId="85" xfId="24" applyNumberFormat="1" applyFont="1" applyFill="1" applyBorder="1" applyAlignment="1">
      <alignment vertical="center"/>
    </xf>
    <xf numFmtId="37" fontId="39" fillId="3" borderId="130" xfId="24" applyNumberFormat="1" applyFont="1" applyFill="1" applyBorder="1" applyAlignment="1">
      <alignment horizontal="center" vertical="center"/>
    </xf>
    <xf numFmtId="0" fontId="26" fillId="0" borderId="131" xfId="24" applyFont="1" applyBorder="1" applyAlignment="1">
      <alignment vertical="center"/>
    </xf>
    <xf numFmtId="0" fontId="26" fillId="0" borderId="99" xfId="24" applyFont="1" applyBorder="1" applyAlignment="1">
      <alignment vertical="center"/>
    </xf>
    <xf numFmtId="0" fontId="45" fillId="16" borderId="97" xfId="24" applyFont="1" applyFill="1" applyBorder="1" applyAlignment="1" applyProtection="1">
      <alignment horizontal="center" vertical="center"/>
      <protection locked="0"/>
    </xf>
    <xf numFmtId="0" fontId="45" fillId="16" borderId="85" xfId="24" applyFont="1" applyFill="1" applyBorder="1" applyAlignment="1" applyProtection="1">
      <alignment horizontal="center" vertical="center"/>
      <protection locked="0"/>
    </xf>
    <xf numFmtId="0" fontId="45" fillId="16" borderId="98" xfId="24" applyFont="1" applyFill="1" applyBorder="1" applyAlignment="1" applyProtection="1">
      <alignment horizontal="center" vertical="center"/>
      <protection locked="0"/>
    </xf>
    <xf numFmtId="0" fontId="26" fillId="0" borderId="132" xfId="24" applyFont="1" applyBorder="1" applyAlignment="1">
      <alignment vertical="center"/>
    </xf>
    <xf numFmtId="0" fontId="26" fillId="0" borderId="85" xfId="24" applyFont="1" applyBorder="1" applyAlignment="1">
      <alignment horizontal="center" vertical="center"/>
    </xf>
    <xf numFmtId="0" fontId="41" fillId="16" borderId="25" xfId="11" applyFont="1" applyFill="1" applyBorder="1" applyAlignment="1" applyProtection="1">
      <alignment horizontal="center" vertical="center"/>
      <protection locked="0"/>
    </xf>
    <xf numFmtId="0" fontId="41" fillId="16" borderId="29" xfId="11" applyFont="1" applyFill="1" applyBorder="1" applyAlignment="1" applyProtection="1">
      <alignment horizontal="left" vertical="center"/>
      <protection locked="0"/>
    </xf>
    <xf numFmtId="1" fontId="41" fillId="16" borderId="29" xfId="11" applyNumberFormat="1" applyFont="1" applyFill="1" applyBorder="1" applyAlignment="1" applyProtection="1">
      <alignment horizontal="left" vertical="center"/>
      <protection locked="0"/>
    </xf>
    <xf numFmtId="0" fontId="46" fillId="16" borderId="29" xfId="24" applyFont="1" applyFill="1" applyBorder="1" applyAlignment="1" applyProtection="1">
      <alignment horizontal="left" vertical="center"/>
      <protection locked="0"/>
    </xf>
    <xf numFmtId="1" fontId="46" fillId="16" borderId="82" xfId="24" applyNumberFormat="1" applyFont="1" applyFill="1" applyBorder="1" applyAlignment="1" applyProtection="1">
      <alignment horizontal="left" vertical="center"/>
      <protection locked="0"/>
    </xf>
    <xf numFmtId="0" fontId="41" fillId="16" borderId="42" xfId="11" applyFont="1" applyFill="1" applyBorder="1" applyAlignment="1" applyProtection="1">
      <alignment horizontal="centerContinuous" vertical="center"/>
      <protection locked="0"/>
    </xf>
    <xf numFmtId="0" fontId="41" fillId="16" borderId="67" xfId="11" applyFont="1" applyFill="1" applyBorder="1" applyAlignment="1" applyProtection="1">
      <alignment horizontal="center" vertical="center"/>
      <protection locked="0"/>
    </xf>
    <xf numFmtId="0" fontId="41" fillId="16" borderId="43" xfId="11" applyFont="1" applyFill="1" applyBorder="1" applyAlignment="1" applyProtection="1">
      <alignment horizontal="left" vertical="center"/>
      <protection locked="0"/>
    </xf>
    <xf numFmtId="1" fontId="41" fillId="16" borderId="43" xfId="11" applyNumberFormat="1" applyFont="1" applyFill="1" applyBorder="1" applyAlignment="1" applyProtection="1">
      <alignment horizontal="left" vertical="center"/>
      <protection locked="0"/>
    </xf>
    <xf numFmtId="0" fontId="46" fillId="16" borderId="43" xfId="24" applyFont="1" applyFill="1" applyBorder="1" applyAlignment="1" applyProtection="1">
      <alignment horizontal="left" vertical="center"/>
      <protection locked="0"/>
    </xf>
    <xf numFmtId="1" fontId="46" fillId="16" borderId="81" xfId="24" applyNumberFormat="1" applyFont="1" applyFill="1" applyBorder="1" applyAlignment="1" applyProtection="1">
      <alignment horizontal="left" vertical="center"/>
      <protection locked="0"/>
    </xf>
    <xf numFmtId="0" fontId="26" fillId="0" borderId="19" xfId="24" applyFont="1" applyBorder="1" applyAlignment="1">
      <alignment horizontal="left" vertical="center"/>
    </xf>
    <xf numFmtId="0" fontId="36" fillId="0" borderId="134" xfId="24" applyFont="1" applyBorder="1" applyAlignment="1">
      <alignment horizontal="center" vertical="center"/>
    </xf>
    <xf numFmtId="1" fontId="36" fillId="0" borderId="135" xfId="24" applyNumberFormat="1" applyFont="1" applyBorder="1" applyAlignment="1">
      <alignment horizontal="center" vertical="center"/>
    </xf>
    <xf numFmtId="1" fontId="41" fillId="3" borderId="136" xfId="24" applyNumberFormat="1" applyFont="1" applyFill="1" applyBorder="1" applyAlignment="1">
      <alignment vertical="center"/>
    </xf>
    <xf numFmtId="0" fontId="41" fillId="3" borderId="136" xfId="24" applyFont="1" applyFill="1" applyBorder="1" applyAlignment="1">
      <alignment horizontal="right" vertical="center"/>
    </xf>
    <xf numFmtId="1" fontId="41" fillId="3" borderId="108" xfId="24" applyNumberFormat="1" applyFont="1" applyFill="1" applyBorder="1" applyAlignment="1">
      <alignment horizontal="right" vertical="center"/>
    </xf>
    <xf numFmtId="1" fontId="41" fillId="3" borderId="137" xfId="24" applyNumberFormat="1" applyFont="1" applyFill="1" applyBorder="1" applyAlignment="1">
      <alignment vertical="center"/>
    </xf>
    <xf numFmtId="2" fontId="41" fillId="3" borderId="138" xfId="24" applyNumberFormat="1" applyFont="1" applyFill="1" applyBorder="1" applyAlignment="1">
      <alignment vertical="center"/>
    </xf>
    <xf numFmtId="2" fontId="41" fillId="3" borderId="138" xfId="24" applyNumberFormat="1" applyFont="1" applyFill="1" applyBorder="1" applyAlignment="1">
      <alignment horizontal="right" vertical="center"/>
    </xf>
    <xf numFmtId="2" fontId="41" fillId="3" borderId="111" xfId="24" applyNumberFormat="1" applyFont="1" applyFill="1" applyBorder="1" applyAlignment="1">
      <alignment horizontal="right" vertical="center"/>
    </xf>
    <xf numFmtId="2" fontId="41" fillId="3" borderId="139" xfId="24" applyNumberFormat="1" applyFont="1" applyFill="1" applyBorder="1" applyAlignment="1">
      <alignment vertical="center"/>
    </xf>
    <xf numFmtId="0" fontId="23" fillId="0" borderId="115" xfId="24" applyFont="1" applyBorder="1" applyAlignment="1">
      <alignment horizontal="left" vertical="center"/>
    </xf>
    <xf numFmtId="166" fontId="41" fillId="3" borderId="140" xfId="24" applyNumberFormat="1" applyFont="1" applyFill="1" applyBorder="1" applyAlignment="1">
      <alignment vertical="center"/>
    </xf>
    <xf numFmtId="2" fontId="41" fillId="3" borderId="140" xfId="24" applyNumberFormat="1" applyFont="1" applyFill="1" applyBorder="1" applyAlignment="1">
      <alignment horizontal="right" vertical="center"/>
    </xf>
    <xf numFmtId="2" fontId="41" fillId="3" borderId="114" xfId="24" applyNumberFormat="1" applyFont="1" applyFill="1" applyBorder="1" applyAlignment="1">
      <alignment horizontal="right" vertical="center"/>
    </xf>
    <xf numFmtId="2" fontId="41" fillId="3" borderId="141" xfId="24" applyNumberFormat="1" applyFont="1" applyFill="1" applyBorder="1" applyAlignment="1">
      <alignment vertical="center"/>
    </xf>
    <xf numFmtId="0" fontId="23" fillId="10" borderId="109" xfId="24" applyFont="1" applyFill="1" applyBorder="1" applyAlignment="1">
      <alignment horizontal="center" vertical="center"/>
    </xf>
    <xf numFmtId="2" fontId="41" fillId="10" borderId="136" xfId="24" applyNumberFormat="1" applyFont="1" applyFill="1" applyBorder="1" applyAlignment="1">
      <alignment vertical="center"/>
    </xf>
    <xf numFmtId="1" fontId="41" fillId="10" borderId="136" xfId="24" applyNumberFormat="1" applyFont="1" applyFill="1" applyBorder="1" applyAlignment="1">
      <alignment horizontal="right" vertical="center"/>
    </xf>
    <xf numFmtId="2" fontId="41" fillId="10" borderId="136" xfId="24" applyNumberFormat="1" applyFont="1" applyFill="1" applyBorder="1" applyAlignment="1">
      <alignment horizontal="right" vertical="center"/>
    </xf>
    <xf numFmtId="2" fontId="41" fillId="10" borderId="137" xfId="24" applyNumberFormat="1" applyFont="1" applyFill="1" applyBorder="1" applyAlignment="1">
      <alignment vertical="center"/>
    </xf>
    <xf numFmtId="2" fontId="23" fillId="0" borderId="0" xfId="11" applyNumberFormat="1" applyFont="1"/>
    <xf numFmtId="0" fontId="23" fillId="10" borderId="112" xfId="24" applyFont="1" applyFill="1" applyBorder="1" applyAlignment="1">
      <alignment horizontal="left" vertical="center"/>
    </xf>
    <xf numFmtId="2" fontId="41" fillId="10" borderId="138" xfId="24" applyNumberFormat="1" applyFont="1" applyFill="1" applyBorder="1" applyAlignment="1">
      <alignment vertical="center"/>
    </xf>
    <xf numFmtId="2" fontId="41" fillId="10" borderId="138" xfId="24" applyNumberFormat="1" applyFont="1" applyFill="1" applyBorder="1" applyAlignment="1">
      <alignment horizontal="right" vertical="center"/>
    </xf>
    <xf numFmtId="2" fontId="41" fillId="10" borderId="111" xfId="24" applyNumberFormat="1" applyFont="1" applyFill="1" applyBorder="1" applyAlignment="1">
      <alignment horizontal="right" vertical="center"/>
    </xf>
    <xf numFmtId="2" fontId="41" fillId="10" borderId="139" xfId="24" applyNumberFormat="1" applyFont="1" applyFill="1" applyBorder="1" applyAlignment="1">
      <alignment vertical="center"/>
    </xf>
    <xf numFmtId="0" fontId="23" fillId="0" borderId="0" xfId="11" applyFont="1"/>
    <xf numFmtId="0" fontId="23" fillId="10" borderId="115" xfId="24" applyFont="1" applyFill="1" applyBorder="1" applyAlignment="1">
      <alignment horizontal="left" vertical="center"/>
    </xf>
    <xf numFmtId="2" fontId="41" fillId="10" borderId="140" xfId="24" applyNumberFormat="1" applyFont="1" applyFill="1" applyBorder="1" applyAlignment="1">
      <alignment vertical="center"/>
    </xf>
    <xf numFmtId="2" fontId="41" fillId="10" borderId="140" xfId="24" applyNumberFormat="1" applyFont="1" applyFill="1" applyBorder="1" applyAlignment="1">
      <alignment horizontal="right" vertical="center"/>
    </xf>
    <xf numFmtId="2" fontId="41" fillId="10" borderId="114" xfId="24" applyNumberFormat="1" applyFont="1" applyFill="1" applyBorder="1" applyAlignment="1">
      <alignment horizontal="right" vertical="center"/>
    </xf>
    <xf numFmtId="2" fontId="47" fillId="10" borderId="141" xfId="24" applyNumberFormat="1" applyFont="1" applyFill="1" applyBorder="1" applyAlignment="1">
      <alignment vertical="center"/>
    </xf>
    <xf numFmtId="0" fontId="23" fillId="4" borderId="109" xfId="24" applyFont="1" applyFill="1" applyBorder="1" applyAlignment="1">
      <alignment horizontal="left" vertical="center"/>
    </xf>
    <xf numFmtId="2" fontId="41" fillId="4" borderId="136" xfId="24" applyNumberFormat="1" applyFont="1" applyFill="1" applyBorder="1" applyAlignment="1">
      <alignment vertical="center"/>
    </xf>
    <xf numFmtId="2" fontId="41" fillId="4" borderId="136" xfId="24" applyNumberFormat="1" applyFont="1" applyFill="1" applyBorder="1" applyAlignment="1">
      <alignment horizontal="right" vertical="center"/>
    </xf>
    <xf numFmtId="2" fontId="41" fillId="4" borderId="108" xfId="24" applyNumberFormat="1" applyFont="1" applyFill="1" applyBorder="1" applyAlignment="1">
      <alignment horizontal="right" vertical="center"/>
    </xf>
    <xf numFmtId="2" fontId="41" fillId="4" borderId="137" xfId="24" applyNumberFormat="1" applyFont="1" applyFill="1" applyBorder="1" applyAlignment="1">
      <alignment vertical="center"/>
    </xf>
    <xf numFmtId="0" fontId="23" fillId="4" borderId="112" xfId="24" applyFont="1" applyFill="1" applyBorder="1" applyAlignment="1">
      <alignment horizontal="left" vertical="center"/>
    </xf>
    <xf numFmtId="2" fontId="41" fillId="4" borderId="138" xfId="24" applyNumberFormat="1" applyFont="1" applyFill="1" applyBorder="1" applyAlignment="1">
      <alignment vertical="center"/>
    </xf>
    <xf numFmtId="2" fontId="41" fillId="4" borderId="138" xfId="24" applyNumberFormat="1" applyFont="1" applyFill="1" applyBorder="1" applyAlignment="1">
      <alignment horizontal="right" vertical="center"/>
    </xf>
    <xf numFmtId="2" fontId="41" fillId="4" borderId="111" xfId="24" applyNumberFormat="1" applyFont="1" applyFill="1" applyBorder="1" applyAlignment="1">
      <alignment horizontal="right" vertical="center"/>
    </xf>
    <xf numFmtId="2" fontId="48" fillId="4" borderId="142" xfId="24" applyNumberFormat="1" applyFont="1" applyFill="1" applyBorder="1" applyAlignment="1">
      <alignment vertical="center"/>
    </xf>
    <xf numFmtId="2" fontId="41" fillId="4" borderId="139" xfId="24" applyNumberFormat="1" applyFont="1" applyFill="1" applyBorder="1" applyAlignment="1">
      <alignment vertical="center"/>
    </xf>
    <xf numFmtId="0" fontId="23" fillId="4" borderId="115" xfId="24" applyFont="1" applyFill="1" applyBorder="1" applyAlignment="1">
      <alignment horizontal="left" vertical="center"/>
    </xf>
    <xf numFmtId="2" fontId="41" fillId="4" borderId="140" xfId="24" applyNumberFormat="1" applyFont="1" applyFill="1" applyBorder="1" applyAlignment="1">
      <alignment vertical="center"/>
    </xf>
    <xf numFmtId="2" fontId="41" fillId="4" borderId="140" xfId="24" applyNumberFormat="1" applyFont="1" applyFill="1" applyBorder="1" applyAlignment="1">
      <alignment horizontal="right" vertical="center"/>
    </xf>
    <xf numFmtId="2" fontId="41" fillId="4" borderId="114" xfId="24" applyNumberFormat="1" applyFont="1" applyFill="1" applyBorder="1" applyAlignment="1">
      <alignment horizontal="right" vertical="center"/>
    </xf>
    <xf numFmtId="2" fontId="47" fillId="4" borderId="141" xfId="24" applyNumberFormat="1" applyFont="1" applyFill="1" applyBorder="1" applyAlignment="1">
      <alignment vertical="center"/>
    </xf>
    <xf numFmtId="0" fontId="43" fillId="17" borderId="123" xfId="24" applyFont="1" applyFill="1" applyBorder="1" applyAlignment="1">
      <alignment horizontal="left" vertical="center"/>
    </xf>
    <xf numFmtId="2" fontId="41" fillId="17" borderId="143" xfId="24" applyNumberFormat="1" applyFont="1" applyFill="1" applyBorder="1" applyAlignment="1">
      <alignment vertical="center"/>
    </xf>
    <xf numFmtId="2" fontId="47" fillId="17" borderId="143" xfId="24" applyNumberFormat="1" applyFont="1" applyFill="1" applyBorder="1" applyAlignment="1">
      <alignment vertical="center"/>
    </xf>
    <xf numFmtId="0" fontId="37" fillId="0" borderId="31" xfId="24" applyFont="1" applyBorder="1" applyAlignment="1">
      <alignment horizontal="left" vertical="center"/>
    </xf>
    <xf numFmtId="2" fontId="49" fillId="9" borderId="144" xfId="2" applyNumberFormat="1" applyFont="1" applyFill="1" applyBorder="1" applyAlignment="1" applyProtection="1">
      <alignment vertical="center"/>
    </xf>
    <xf numFmtId="2" fontId="49" fillId="9" borderId="143" xfId="24" applyNumberFormat="1" applyFont="1" applyFill="1" applyBorder="1" applyAlignment="1">
      <alignment vertical="center"/>
    </xf>
    <xf numFmtId="2" fontId="49" fillId="9" borderId="105" xfId="24" applyNumberFormat="1" applyFont="1" applyFill="1" applyBorder="1" applyAlignment="1">
      <alignment vertical="center"/>
    </xf>
    <xf numFmtId="2" fontId="49" fillId="9" borderId="145" xfId="24" applyNumberFormat="1" applyFont="1" applyFill="1" applyBorder="1" applyAlignment="1">
      <alignment vertical="center"/>
    </xf>
    <xf numFmtId="0" fontId="36" fillId="0" borderId="19" xfId="24" applyFont="1" applyBorder="1" applyAlignment="1">
      <alignment horizontal="center" vertical="center"/>
    </xf>
    <xf numFmtId="0" fontId="26" fillId="0" borderId="77" xfId="24" applyFont="1" applyBorder="1" applyAlignment="1">
      <alignment vertical="center"/>
    </xf>
    <xf numFmtId="1" fontId="36" fillId="0" borderId="77" xfId="24" applyNumberFormat="1" applyFont="1" applyBorder="1" applyAlignment="1">
      <alignment vertical="center"/>
    </xf>
    <xf numFmtId="0" fontId="50" fillId="9" borderId="26" xfId="11" applyFont="1" applyFill="1" applyBorder="1"/>
    <xf numFmtId="0" fontId="26" fillId="9" borderId="27" xfId="11" applyFont="1" applyFill="1" applyBorder="1"/>
    <xf numFmtId="0" fontId="26" fillId="9" borderId="23" xfId="11" applyFont="1" applyFill="1" applyBorder="1"/>
    <xf numFmtId="0" fontId="26" fillId="9" borderId="37" xfId="11" applyFont="1" applyFill="1" applyBorder="1"/>
    <xf numFmtId="0" fontId="26" fillId="9" borderId="0" xfId="11" applyFont="1" applyFill="1"/>
    <xf numFmtId="0" fontId="26" fillId="9" borderId="70" xfId="11" applyFont="1" applyFill="1" applyBorder="1"/>
    <xf numFmtId="0" fontId="51" fillId="9" borderId="28" xfId="11" applyFont="1" applyFill="1" applyBorder="1"/>
    <xf numFmtId="0" fontId="26" fillId="9" borderId="29" xfId="11" applyFont="1" applyFill="1" applyBorder="1"/>
    <xf numFmtId="0" fontId="26" fillId="9" borderId="25" xfId="11" applyFont="1" applyFill="1" applyBorder="1"/>
    <xf numFmtId="0" fontId="26" fillId="0" borderId="0" xfId="11" applyFont="1"/>
    <xf numFmtId="0" fontId="51" fillId="10" borderId="147" xfId="11" applyFont="1" applyFill="1" applyBorder="1"/>
    <xf numFmtId="0" fontId="51" fillId="10" borderId="148" xfId="11" applyFont="1" applyFill="1" applyBorder="1"/>
    <xf numFmtId="0" fontId="51" fillId="10" borderId="75" xfId="11" applyFont="1" applyFill="1" applyBorder="1"/>
    <xf numFmtId="0" fontId="51" fillId="10" borderId="18" xfId="11" applyFont="1" applyFill="1" applyBorder="1"/>
    <xf numFmtId="0" fontId="51" fillId="10" borderId="0" xfId="11" applyFont="1" applyFill="1"/>
    <xf numFmtId="0" fontId="51" fillId="10" borderId="76" xfId="11" applyFont="1" applyFill="1" applyBorder="1"/>
    <xf numFmtId="0" fontId="51" fillId="10" borderId="61" xfId="11" applyFont="1" applyFill="1" applyBorder="1"/>
    <xf numFmtId="0" fontId="51" fillId="10" borderId="19" xfId="11" applyFont="1" applyFill="1" applyBorder="1"/>
    <xf numFmtId="0" fontId="51" fillId="10" borderId="77" xfId="11" applyFont="1" applyFill="1" applyBorder="1"/>
    <xf numFmtId="2" fontId="23" fillId="0" borderId="0" xfId="24" applyNumberFormat="1" applyFont="1" applyAlignment="1">
      <alignment vertical="center"/>
    </xf>
    <xf numFmtId="10" fontId="23" fillId="0" borderId="0" xfId="24" applyNumberFormat="1" applyFont="1" applyAlignment="1">
      <alignment vertical="center"/>
    </xf>
    <xf numFmtId="37" fontId="52" fillId="0" borderId="0" xfId="10" applyFont="1" applyAlignment="1">
      <alignment vertical="center"/>
    </xf>
    <xf numFmtId="37" fontId="53" fillId="0" borderId="0" xfId="10" applyFont="1" applyAlignment="1">
      <alignment vertical="center"/>
    </xf>
    <xf numFmtId="37" fontId="19" fillId="0" borderId="0" xfId="10" applyFont="1" applyAlignment="1">
      <alignment horizontal="center" vertical="center"/>
    </xf>
    <xf numFmtId="37" fontId="54" fillId="0" borderId="0" xfId="10" applyFont="1" applyAlignment="1">
      <alignment vertical="center"/>
    </xf>
    <xf numFmtId="37" fontId="55" fillId="0" borderId="0" xfId="10" applyFont="1" applyAlignment="1">
      <alignment vertical="center"/>
    </xf>
    <xf numFmtId="37" fontId="55" fillId="0" borderId="0" xfId="10" applyFont="1" applyAlignment="1">
      <alignment horizontal="center" vertical="center"/>
    </xf>
    <xf numFmtId="0" fontId="0" fillId="0" borderId="0" xfId="0" applyAlignment="1">
      <alignment vertical="center"/>
    </xf>
    <xf numFmtId="37" fontId="52" fillId="0" borderId="0" xfId="10" applyFont="1" applyAlignment="1">
      <alignment horizontal="center" vertical="center"/>
    </xf>
    <xf numFmtId="37" fontId="57" fillId="0" borderId="0" xfId="10" applyFont="1" applyAlignment="1">
      <alignment horizontal="centerContinuous" vertical="center"/>
    </xf>
    <xf numFmtId="37" fontId="59" fillId="0" borderId="147" xfId="10" applyFont="1" applyBorder="1" applyAlignment="1">
      <alignment horizontal="center" vertical="center"/>
    </xf>
    <xf numFmtId="37" fontId="59" fillId="0" borderId="149" xfId="10" applyFont="1" applyBorder="1" applyAlignment="1">
      <alignment horizontal="center" vertical="center"/>
    </xf>
    <xf numFmtId="0" fontId="19" fillId="0" borderId="153" xfId="0" applyFont="1" applyBorder="1" applyAlignment="1">
      <alignment vertical="center"/>
    </xf>
    <xf numFmtId="37" fontId="59" fillId="0" borderId="154" xfId="10" applyFont="1" applyBorder="1" applyAlignment="1">
      <alignment horizontal="center" vertical="center"/>
    </xf>
    <xf numFmtId="37" fontId="59" fillId="0" borderId="155" xfId="10" applyFont="1" applyBorder="1" applyAlignment="1">
      <alignment horizontal="center" vertical="center"/>
    </xf>
    <xf numFmtId="37" fontId="59" fillId="0" borderId="37" xfId="10" applyFont="1" applyBorder="1" applyAlignment="1">
      <alignment horizontal="centerContinuous" vertical="center"/>
    </xf>
    <xf numFmtId="37" fontId="59" fillId="0" borderId="61" xfId="10" applyFont="1" applyBorder="1" applyAlignment="1">
      <alignment horizontal="center" vertical="center"/>
    </xf>
    <xf numFmtId="37" fontId="59" fillId="0" borderId="106" xfId="10" applyFont="1" applyBorder="1" applyAlignment="1">
      <alignment horizontal="center" vertical="center"/>
    </xf>
    <xf numFmtId="37" fontId="59" fillId="0" borderId="134" xfId="10" applyFont="1" applyBorder="1" applyAlignment="1">
      <alignment horizontal="center" vertical="center"/>
    </xf>
    <xf numFmtId="37" fontId="59" fillId="0" borderId="157" xfId="10" applyFont="1" applyBorder="1" applyAlignment="1">
      <alignment horizontal="center" vertical="center"/>
    </xf>
    <xf numFmtId="0" fontId="19" fillId="0" borderId="44" xfId="0" applyFont="1" applyBorder="1" applyAlignment="1">
      <alignment vertical="center"/>
    </xf>
    <xf numFmtId="37" fontId="19" fillId="0" borderId="158" xfId="10" applyFont="1" applyBorder="1" applyAlignment="1">
      <alignment vertical="center"/>
    </xf>
    <xf numFmtId="172" fontId="60" fillId="16" borderId="125" xfId="10" applyNumberFormat="1" applyFont="1" applyFill="1" applyBorder="1" applyAlignment="1" applyProtection="1">
      <alignment horizontal="center"/>
      <protection locked="0"/>
    </xf>
    <xf numFmtId="37" fontId="60" fillId="3" borderId="125" xfId="10" applyFont="1" applyFill="1" applyBorder="1" applyAlignment="1">
      <alignment horizontal="center"/>
    </xf>
    <xf numFmtId="37" fontId="60" fillId="16" borderId="159" xfId="10" applyFont="1" applyFill="1" applyBorder="1" applyAlignment="1" applyProtection="1">
      <alignment horizontal="center"/>
      <protection locked="0"/>
    </xf>
    <xf numFmtId="37" fontId="19" fillId="0" borderId="66" xfId="10" applyFont="1" applyBorder="1" applyAlignment="1">
      <alignment horizontal="centerContinuous" vertical="center"/>
    </xf>
    <xf numFmtId="37" fontId="19" fillId="0" borderId="154" xfId="10" applyFont="1" applyBorder="1" applyAlignment="1">
      <alignment horizontal="center" vertical="center"/>
    </xf>
    <xf numFmtId="172" fontId="60" fillId="16" borderId="98" xfId="10" applyNumberFormat="1" applyFont="1" applyFill="1" applyBorder="1" applyAlignment="1" applyProtection="1">
      <alignment horizontal="center"/>
      <protection locked="0"/>
    </xf>
    <xf numFmtId="37" fontId="60" fillId="3" borderId="85" xfId="10" applyFont="1" applyFill="1" applyBorder="1" applyAlignment="1">
      <alignment horizontal="center"/>
    </xf>
    <xf numFmtId="37" fontId="60" fillId="16" borderId="85" xfId="10" applyFont="1" applyFill="1" applyBorder="1" applyAlignment="1" applyProtection="1">
      <alignment horizontal="center"/>
      <protection locked="0"/>
    </xf>
    <xf numFmtId="37" fontId="60" fillId="16" borderId="95" xfId="10" applyFont="1" applyFill="1" applyBorder="1" applyAlignment="1" applyProtection="1">
      <alignment horizontal="center"/>
      <protection locked="0"/>
    </xf>
    <xf numFmtId="37" fontId="60" fillId="16" borderId="160" xfId="10" applyFont="1" applyFill="1" applyBorder="1" applyAlignment="1" applyProtection="1">
      <alignment horizontal="center"/>
      <protection locked="0"/>
    </xf>
    <xf numFmtId="172" fontId="60" fillId="16" borderId="85" xfId="10" applyNumberFormat="1" applyFont="1" applyFill="1" applyBorder="1" applyAlignment="1" applyProtection="1">
      <alignment horizontal="center"/>
      <protection locked="0"/>
    </xf>
    <xf numFmtId="37" fontId="19" fillId="9" borderId="164" xfId="10" applyFont="1" applyFill="1" applyBorder="1" applyAlignment="1">
      <alignment horizontal="centerContinuous" vertical="center"/>
    </xf>
    <xf numFmtId="37" fontId="19" fillId="9" borderId="103" xfId="10" applyFont="1" applyFill="1" applyBorder="1" applyAlignment="1">
      <alignment horizontal="center" vertical="center"/>
    </xf>
    <xf numFmtId="37" fontId="19" fillId="0" borderId="68" xfId="10" applyFont="1" applyBorder="1" applyAlignment="1">
      <alignment horizontal="centerContinuous" vertical="center"/>
    </xf>
    <xf numFmtId="37" fontId="19" fillId="0" borderId="147" xfId="10" applyFont="1" applyBorder="1" applyAlignment="1">
      <alignment horizontal="center" vertical="center"/>
    </xf>
    <xf numFmtId="37" fontId="60" fillId="3" borderId="165" xfId="10" applyFont="1" applyFill="1" applyBorder="1" applyAlignment="1">
      <alignment horizontal="center"/>
    </xf>
    <xf numFmtId="37" fontId="60" fillId="16" borderId="166" xfId="10" applyFont="1" applyFill="1" applyBorder="1" applyAlignment="1" applyProtection="1">
      <alignment horizontal="center"/>
      <protection locked="0"/>
    </xf>
    <xf numFmtId="37" fontId="19" fillId="0" borderId="18" xfId="10" applyFont="1" applyBorder="1" applyAlignment="1">
      <alignment horizontal="center" vertical="center"/>
    </xf>
    <xf numFmtId="37" fontId="59" fillId="0" borderId="18" xfId="10" applyFont="1" applyBorder="1" applyAlignment="1">
      <alignment horizontal="center" vertical="center"/>
    </xf>
    <xf numFmtId="37" fontId="19" fillId="0" borderId="147" xfId="10" applyFont="1" applyBorder="1" applyAlignment="1">
      <alignment horizontal="centerContinuous" vertical="center"/>
    </xf>
    <xf numFmtId="0" fontId="19" fillId="0" borderId="148" xfId="0" applyFont="1" applyBorder="1" applyAlignment="1">
      <alignment horizontal="centerContinuous" vertical="center"/>
    </xf>
    <xf numFmtId="0" fontId="19" fillId="0" borderId="167" xfId="0" applyFont="1" applyBorder="1" applyAlignment="1">
      <alignment horizontal="centerContinuous" vertical="center"/>
    </xf>
    <xf numFmtId="0" fontId="19" fillId="9" borderId="148" xfId="0" applyFont="1" applyFill="1" applyBorder="1" applyAlignment="1">
      <alignment horizontal="centerContinuous" vertical="center"/>
    </xf>
    <xf numFmtId="0" fontId="19" fillId="9" borderId="153" xfId="0" applyFont="1" applyFill="1" applyBorder="1" applyAlignment="1">
      <alignment vertical="center"/>
    </xf>
    <xf numFmtId="0" fontId="19" fillId="9" borderId="168" xfId="0" applyFont="1" applyFill="1" applyBorder="1" applyAlignment="1">
      <alignment vertical="center"/>
    </xf>
    <xf numFmtId="37" fontId="19" fillId="9" borderId="0" xfId="10" applyFont="1" applyFill="1" applyAlignment="1">
      <alignment horizontal="centerContinuous" vertical="center"/>
    </xf>
    <xf numFmtId="37" fontId="19" fillId="9" borderId="37" xfId="10" applyFont="1" applyFill="1" applyBorder="1" applyAlignment="1">
      <alignment horizontal="center" vertical="center"/>
    </xf>
    <xf numFmtId="37" fontId="19" fillId="9" borderId="79" xfId="10" applyFont="1" applyFill="1" applyBorder="1" applyAlignment="1">
      <alignment horizontal="center" vertical="center"/>
    </xf>
    <xf numFmtId="37" fontId="19" fillId="0" borderId="61" xfId="10" applyFont="1" applyBorder="1" applyAlignment="1">
      <alignment horizontal="centerContinuous" vertical="center"/>
    </xf>
    <xf numFmtId="172" fontId="19" fillId="0" borderId="19" xfId="10" applyNumberFormat="1" applyFont="1" applyBorder="1" applyAlignment="1">
      <alignment horizontal="centerContinuous" vertical="center"/>
    </xf>
    <xf numFmtId="37" fontId="19" fillId="0" borderId="19" xfId="10" applyFont="1" applyBorder="1" applyAlignment="1">
      <alignment horizontal="centerContinuous" vertical="center"/>
    </xf>
    <xf numFmtId="37" fontId="19" fillId="0" borderId="62" xfId="10" applyFont="1" applyBorder="1" applyAlignment="1">
      <alignment horizontal="centerContinuous" vertical="center"/>
    </xf>
    <xf numFmtId="37" fontId="19" fillId="9" borderId="19" xfId="10" applyFont="1" applyFill="1" applyBorder="1" applyAlignment="1">
      <alignment horizontal="centerContinuous" vertical="center"/>
    </xf>
    <xf numFmtId="37" fontId="19" fillId="9" borderId="44" xfId="10" applyFont="1" applyFill="1" applyBorder="1" applyAlignment="1">
      <alignment horizontal="center" vertical="center"/>
    </xf>
    <xf numFmtId="37" fontId="19" fillId="9" borderId="56" xfId="10" applyFont="1" applyFill="1" applyBorder="1" applyAlignment="1">
      <alignment horizontal="center" vertical="center"/>
    </xf>
    <xf numFmtId="37" fontId="19" fillId="0" borderId="0" xfId="10" applyFont="1" applyAlignment="1">
      <alignment horizontal="centerContinuous" vertical="center"/>
    </xf>
    <xf numFmtId="172" fontId="19" fillId="0" borderId="0" xfId="10" applyNumberFormat="1" applyFont="1" applyAlignment="1">
      <alignment horizontal="centerContinuous" vertical="center"/>
    </xf>
    <xf numFmtId="172" fontId="58" fillId="0" borderId="30" xfId="10" applyNumberFormat="1" applyFont="1" applyBorder="1" applyAlignment="1">
      <alignment horizontal="left" vertical="center"/>
    </xf>
    <xf numFmtId="172" fontId="61" fillId="0" borderId="31" xfId="10" applyNumberFormat="1" applyFont="1" applyBorder="1" applyAlignment="1">
      <alignment horizontal="center" vertical="center"/>
    </xf>
    <xf numFmtId="37" fontId="53" fillId="0" borderId="31" xfId="10" applyFont="1" applyBorder="1" applyAlignment="1">
      <alignment horizontal="center" vertical="center"/>
    </xf>
    <xf numFmtId="0" fontId="0" fillId="0" borderId="50" xfId="0" applyBorder="1" applyAlignment="1">
      <alignment vertical="center"/>
    </xf>
    <xf numFmtId="37" fontId="59" fillId="0" borderId="30" xfId="10" applyFont="1" applyBorder="1" applyAlignment="1">
      <alignment horizontal="center" vertical="center"/>
    </xf>
    <xf numFmtId="172" fontId="59" fillId="0" borderId="105" xfId="10" applyNumberFormat="1" applyFont="1" applyBorder="1" applyAlignment="1">
      <alignment horizontal="center" vertical="center"/>
    </xf>
    <xf numFmtId="37" fontId="59" fillId="0" borderId="105" xfId="10" applyFont="1" applyBorder="1" applyAlignment="1">
      <alignment horizontal="center" vertical="center"/>
    </xf>
    <xf numFmtId="37" fontId="62" fillId="0" borderId="143" xfId="10" applyFont="1" applyBorder="1" applyAlignment="1">
      <alignment horizontal="center" vertical="center" wrapText="1"/>
    </xf>
    <xf numFmtId="37" fontId="59" fillId="0" borderId="123" xfId="10" applyFont="1" applyBorder="1" applyAlignment="1">
      <alignment horizontal="center" vertical="center"/>
    </xf>
    <xf numFmtId="37" fontId="59" fillId="0" borderId="50" xfId="10" applyFont="1" applyBorder="1" applyAlignment="1">
      <alignment horizontal="center" vertical="center"/>
    </xf>
    <xf numFmtId="37" fontId="59" fillId="0" borderId="0" xfId="10" applyFont="1" applyAlignment="1">
      <alignment horizontal="center" vertical="center"/>
    </xf>
    <xf numFmtId="37" fontId="19" fillId="0" borderId="18" xfId="10" applyFont="1" applyBorder="1" applyAlignment="1">
      <alignment vertical="center"/>
    </xf>
    <xf numFmtId="37" fontId="63" fillId="9" borderId="95" xfId="10" applyFont="1" applyFill="1" applyBorder="1" applyAlignment="1" applyProtection="1">
      <alignment horizontal="center" vertical="center"/>
      <protection locked="0"/>
    </xf>
    <xf numFmtId="10" fontId="19" fillId="9" borderId="169" xfId="10" applyNumberFormat="1" applyFont="1" applyFill="1" applyBorder="1" applyAlignment="1">
      <alignment horizontal="center" vertical="center"/>
    </xf>
    <xf numFmtId="10" fontId="19" fillId="0" borderId="0" xfId="10" applyNumberFormat="1" applyFont="1" applyAlignment="1">
      <alignment horizontal="center" vertical="center"/>
    </xf>
    <xf numFmtId="37" fontId="19" fillId="0" borderId="94" xfId="10" applyFont="1" applyBorder="1" applyAlignment="1">
      <alignment vertical="center"/>
    </xf>
    <xf numFmtId="37" fontId="19" fillId="9" borderId="95" xfId="10" applyFont="1" applyFill="1" applyBorder="1" applyAlignment="1">
      <alignment horizontal="center" vertical="center"/>
    </xf>
    <xf numFmtId="172" fontId="60" fillId="16" borderId="173" xfId="10" applyNumberFormat="1" applyFont="1" applyFill="1" applyBorder="1" applyAlignment="1" applyProtection="1">
      <alignment horizontal="center"/>
      <protection locked="0"/>
    </xf>
    <xf numFmtId="172" fontId="60" fillId="16" borderId="87" xfId="10" applyNumberFormat="1" applyFont="1" applyFill="1" applyBorder="1" applyAlignment="1" applyProtection="1">
      <alignment horizontal="center"/>
      <protection locked="0"/>
    </xf>
    <xf numFmtId="37" fontId="19" fillId="0" borderId="174" xfId="10" applyFont="1" applyBorder="1" applyAlignment="1">
      <alignment horizontal="centerContinuous" vertical="center"/>
    </xf>
    <xf numFmtId="172" fontId="19" fillId="0" borderId="86" xfId="10" applyNumberFormat="1" applyFont="1" applyBorder="1" applyAlignment="1">
      <alignment horizontal="centerContinuous" vertical="center"/>
    </xf>
    <xf numFmtId="37" fontId="19" fillId="0" borderId="86" xfId="10" applyFont="1" applyBorder="1" applyAlignment="1">
      <alignment horizontal="centerContinuous" vertical="center"/>
    </xf>
    <xf numFmtId="37" fontId="63" fillId="0" borderId="19" xfId="10" applyFont="1" applyBorder="1" applyAlignment="1">
      <alignment horizontal="centerContinuous" vertical="center"/>
    </xf>
    <xf numFmtId="37" fontId="63" fillId="9" borderId="106" xfId="10" applyFont="1" applyFill="1" applyBorder="1" applyAlignment="1">
      <alignment horizontal="center" vertical="center"/>
    </xf>
    <xf numFmtId="10" fontId="63" fillId="9" borderId="135" xfId="10" applyNumberFormat="1" applyFont="1" applyFill="1" applyBorder="1" applyAlignment="1">
      <alignment horizontal="center" vertical="center"/>
    </xf>
    <xf numFmtId="10" fontId="63" fillId="0" borderId="0" xfId="10" applyNumberFormat="1" applyFont="1" applyAlignment="1">
      <alignment horizontal="center" vertical="center"/>
    </xf>
    <xf numFmtId="37" fontId="59" fillId="0" borderId="30" xfId="10" applyFont="1" applyBorder="1" applyAlignment="1">
      <alignment horizontal="left" vertical="center"/>
    </xf>
    <xf numFmtId="37" fontId="59" fillId="0" borderId="31" xfId="10" applyFont="1" applyBorder="1" applyAlignment="1">
      <alignment horizontal="centerContinuous" vertical="center"/>
    </xf>
    <xf numFmtId="0" fontId="19" fillId="0" borderId="50" xfId="0" applyFont="1" applyBorder="1" applyAlignment="1">
      <alignment vertical="center"/>
    </xf>
    <xf numFmtId="37" fontId="59" fillId="0" borderId="31" xfId="10" applyFont="1" applyBorder="1" applyAlignment="1">
      <alignment horizontal="center" vertical="center"/>
    </xf>
    <xf numFmtId="37" fontId="19" fillId="0" borderId="0" xfId="10" applyFont="1" applyAlignment="1">
      <alignment vertical="center"/>
    </xf>
    <xf numFmtId="37" fontId="52" fillId="0" borderId="147" xfId="10" applyFont="1" applyBorder="1" applyAlignment="1">
      <alignment horizontal="center"/>
    </xf>
    <xf numFmtId="37" fontId="52" fillId="0" borderId="147" xfId="10" applyFont="1" applyBorder="1" applyAlignment="1">
      <alignment horizontal="centerContinuous"/>
    </xf>
    <xf numFmtId="37" fontId="52" fillId="0" borderId="61" xfId="10" applyFont="1" applyBorder="1" applyAlignment="1">
      <alignment horizontal="center"/>
    </xf>
    <xf numFmtId="37" fontId="55" fillId="0" borderId="64" xfId="10" applyFont="1" applyBorder="1" applyAlignment="1">
      <alignment horizontal="centerContinuous"/>
    </xf>
    <xf numFmtId="0" fontId="55" fillId="3" borderId="52" xfId="15" applyFont="1" applyFill="1" applyBorder="1" applyAlignment="1">
      <alignment horizontal="centerContinuous"/>
    </xf>
    <xf numFmtId="37" fontId="55" fillId="0" borderId="19" xfId="10" applyFont="1" applyBorder="1" applyAlignment="1">
      <alignment horizontal="centerContinuous" vertical="center"/>
    </xf>
    <xf numFmtId="37" fontId="42" fillId="0" borderId="19" xfId="10" applyFont="1" applyBorder="1" applyAlignment="1">
      <alignment horizontal="left" vertical="center"/>
    </xf>
    <xf numFmtId="37" fontId="57" fillId="0" borderId="19" xfId="10" applyFont="1" applyBorder="1" applyAlignment="1">
      <alignment horizontal="centerContinuous" vertical="center"/>
    </xf>
    <xf numFmtId="0" fontId="58" fillId="11" borderId="0" xfId="15" applyFont="1" applyFill="1"/>
    <xf numFmtId="14" fontId="64" fillId="16" borderId="0" xfId="15" applyNumberFormat="1" applyFont="1" applyFill="1" applyAlignment="1" applyProtection="1">
      <alignment horizontal="centerContinuous"/>
      <protection locked="0"/>
    </xf>
    <xf numFmtId="14" fontId="65" fillId="16" borderId="0" xfId="15" applyNumberFormat="1" applyFont="1" applyFill="1" applyAlignment="1" applyProtection="1">
      <alignment horizontal="centerContinuous"/>
      <protection locked="0"/>
    </xf>
    <xf numFmtId="37" fontId="59" fillId="0" borderId="148" xfId="10" applyFont="1" applyBorder="1" applyAlignment="1">
      <alignment horizontal="centerContinuous" vertical="center"/>
    </xf>
    <xf numFmtId="37" fontId="59" fillId="0" borderId="167" xfId="10" applyFont="1" applyBorder="1" applyAlignment="1">
      <alignment horizontal="centerContinuous" vertical="center"/>
    </xf>
    <xf numFmtId="37" fontId="59" fillId="0" borderId="168" xfId="10" applyFont="1" applyBorder="1" applyAlignment="1">
      <alignment horizontal="center" vertical="center"/>
    </xf>
    <xf numFmtId="37" fontId="59" fillId="0" borderId="0" xfId="10" applyFont="1" applyAlignment="1">
      <alignment horizontal="centerContinuous" vertical="center"/>
    </xf>
    <xf numFmtId="37" fontId="59" fillId="0" borderId="70" xfId="10" applyFont="1" applyBorder="1" applyAlignment="1">
      <alignment horizontal="centerContinuous" vertical="center"/>
    </xf>
    <xf numFmtId="37" fontId="59" fillId="0" borderId="79" xfId="10" applyFont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9" fillId="0" borderId="62" xfId="0" applyFont="1" applyBorder="1" applyAlignment="1">
      <alignment vertical="center"/>
    </xf>
    <xf numFmtId="37" fontId="59" fillId="0" borderId="24" xfId="10" applyFont="1" applyBorder="1" applyAlignment="1">
      <alignment horizontal="center" vertical="center"/>
    </xf>
    <xf numFmtId="37" fontId="19" fillId="0" borderId="58" xfId="10" applyFont="1" applyBorder="1" applyAlignment="1">
      <alignment horizontal="centerContinuous" vertical="center"/>
    </xf>
    <xf numFmtId="37" fontId="19" fillId="0" borderId="65" xfId="10" applyFont="1" applyBorder="1" applyAlignment="1">
      <alignment horizontal="centerContinuous" vertical="center"/>
    </xf>
    <xf numFmtId="168" fontId="60" fillId="16" borderId="159" xfId="10" applyNumberFormat="1" applyFont="1" applyFill="1" applyBorder="1" applyAlignment="1" applyProtection="1">
      <alignment horizontal="center"/>
      <protection locked="0"/>
    </xf>
    <xf numFmtId="2" fontId="60" fillId="16" borderId="159" xfId="10" applyNumberFormat="1" applyFont="1" applyFill="1" applyBorder="1" applyAlignment="1" applyProtection="1">
      <alignment horizontal="center"/>
      <protection locked="0"/>
    </xf>
    <xf numFmtId="168" fontId="63" fillId="9" borderId="95" xfId="10" applyNumberFormat="1" applyFont="1" applyFill="1" applyBorder="1" applyAlignment="1">
      <alignment horizontal="center" vertical="center"/>
    </xf>
    <xf numFmtId="168" fontId="63" fillId="9" borderId="85" xfId="10" applyNumberFormat="1" applyFont="1" applyFill="1" applyBorder="1" applyAlignment="1">
      <alignment horizontal="center" vertical="center"/>
    </xf>
    <xf numFmtId="37" fontId="19" fillId="0" borderId="43" xfId="10" applyFont="1" applyBorder="1" applyAlignment="1">
      <alignment horizontal="centerContinuous" vertical="center"/>
    </xf>
    <xf numFmtId="37" fontId="19" fillId="0" borderId="67" xfId="10" applyFont="1" applyBorder="1" applyAlignment="1">
      <alignment horizontal="centerContinuous" vertical="center"/>
    </xf>
    <xf numFmtId="168" fontId="63" fillId="9" borderId="159" xfId="10" applyNumberFormat="1" applyFont="1" applyFill="1" applyBorder="1" applyAlignment="1">
      <alignment horizontal="center" vertical="center"/>
    </xf>
    <xf numFmtId="168" fontId="63" fillId="9" borderId="90" xfId="0" applyNumberFormat="1" applyFont="1" applyFill="1" applyBorder="1" applyAlignment="1">
      <alignment horizontal="center" vertical="center"/>
    </xf>
    <xf numFmtId="168" fontId="63" fillId="9" borderId="134" xfId="10" applyNumberFormat="1" applyFont="1" applyFill="1" applyBorder="1" applyAlignment="1">
      <alignment horizontal="center" vertical="center"/>
    </xf>
    <xf numFmtId="168" fontId="63" fillId="9" borderId="175" xfId="0" applyNumberFormat="1" applyFont="1" applyFill="1" applyBorder="1" applyAlignment="1">
      <alignment horizontal="center" vertical="center"/>
    </xf>
    <xf numFmtId="168" fontId="63" fillId="0" borderId="0" xfId="10" applyNumberFormat="1" applyFont="1" applyAlignment="1">
      <alignment horizontal="center" vertical="center"/>
    </xf>
    <xf numFmtId="168" fontId="63" fillId="0" borderId="0" xfId="0" applyNumberFormat="1" applyFont="1" applyAlignment="1">
      <alignment horizontal="center" vertical="center"/>
    </xf>
    <xf numFmtId="37" fontId="53" fillId="0" borderId="31" xfId="10" applyFont="1" applyBorder="1" applyAlignment="1">
      <alignment vertical="center"/>
    </xf>
    <xf numFmtId="0" fontId="0" fillId="0" borderId="31" xfId="0" applyBorder="1" applyAlignment="1">
      <alignment horizontal="centerContinuous" vertical="center"/>
    </xf>
    <xf numFmtId="37" fontId="59" fillId="0" borderId="52" xfId="10" applyFont="1" applyBorder="1" applyAlignment="1">
      <alignment horizontal="center" vertical="center"/>
    </xf>
    <xf numFmtId="37" fontId="59" fillId="0" borderId="176" xfId="10" applyFont="1" applyBorder="1" applyAlignment="1">
      <alignment horizontal="center" vertical="center"/>
    </xf>
    <xf numFmtId="1" fontId="55" fillId="9" borderId="177" xfId="10" applyNumberFormat="1" applyFont="1" applyFill="1" applyBorder="1" applyAlignment="1">
      <alignment horizontal="center" vertical="center"/>
    </xf>
    <xf numFmtId="37" fontId="54" fillId="16" borderId="166" xfId="10" applyFont="1" applyFill="1" applyBorder="1" applyAlignment="1" applyProtection="1">
      <alignment horizontal="center" vertical="center"/>
      <protection locked="0"/>
    </xf>
    <xf numFmtId="37" fontId="54" fillId="16" borderId="160" xfId="10" applyFont="1" applyFill="1" applyBorder="1" applyAlignment="1" applyProtection="1">
      <alignment horizontal="center" vertical="center"/>
      <protection locked="0"/>
    </xf>
    <xf numFmtId="37" fontId="55" fillId="9" borderId="91" xfId="10" applyFont="1" applyFill="1" applyBorder="1" applyAlignment="1">
      <alignment horizontal="center" vertical="center"/>
    </xf>
    <xf numFmtId="37" fontId="55" fillId="9" borderId="178" xfId="10" applyFont="1" applyFill="1" applyBorder="1" applyAlignment="1">
      <alignment horizontal="center" vertical="center"/>
    </xf>
    <xf numFmtId="37" fontId="55" fillId="9" borderId="177" xfId="10" applyFont="1" applyFill="1" applyBorder="1" applyAlignment="1">
      <alignment horizontal="center" vertical="center"/>
    </xf>
    <xf numFmtId="37" fontId="55" fillId="9" borderId="95" xfId="10" applyFont="1" applyFill="1" applyBorder="1" applyAlignment="1">
      <alignment horizontal="center" vertical="center"/>
    </xf>
    <xf numFmtId="37" fontId="54" fillId="9" borderId="38" xfId="10" applyFont="1" applyFill="1" applyBorder="1" applyAlignment="1">
      <alignment horizontal="center" vertical="center"/>
    </xf>
    <xf numFmtId="37" fontId="54" fillId="9" borderId="19" xfId="10" applyFont="1" applyFill="1" applyBorder="1" applyAlignment="1">
      <alignment horizontal="center" vertical="center"/>
    </xf>
    <xf numFmtId="37" fontId="54" fillId="9" borderId="106" xfId="10" applyFont="1" applyFill="1" applyBorder="1" applyAlignment="1">
      <alignment horizontal="center" vertical="center"/>
    </xf>
    <xf numFmtId="37" fontId="59" fillId="0" borderId="30" xfId="10" applyFont="1" applyBorder="1" applyAlignment="1">
      <alignment vertical="center"/>
    </xf>
    <xf numFmtId="37" fontId="59" fillId="0" borderId="50" xfId="10" applyFont="1" applyBorder="1" applyAlignment="1">
      <alignment horizontal="centerContinuous" vertical="center"/>
    </xf>
    <xf numFmtId="37" fontId="52" fillId="0" borderId="148" xfId="10" applyFont="1" applyBorder="1" applyAlignment="1">
      <alignment horizontal="center"/>
    </xf>
    <xf numFmtId="37" fontId="52" fillId="0" borderId="167" xfId="10" applyFont="1" applyBorder="1" applyAlignment="1">
      <alignment horizontal="center"/>
    </xf>
    <xf numFmtId="37" fontId="52" fillId="0" borderId="179" xfId="10" applyFont="1" applyBorder="1" applyAlignment="1">
      <alignment horizontal="center"/>
    </xf>
    <xf numFmtId="37" fontId="52" fillId="0" borderId="148" xfId="10" applyFont="1" applyBorder="1" applyAlignment="1">
      <alignment horizontal="centerContinuous"/>
    </xf>
    <xf numFmtId="37" fontId="52" fillId="0" borderId="167" xfId="10" applyFont="1" applyBorder="1" applyAlignment="1">
      <alignment horizontal="centerContinuous"/>
    </xf>
    <xf numFmtId="37" fontId="52" fillId="0" borderId="19" xfId="10" applyFont="1" applyBorder="1" applyAlignment="1">
      <alignment horizontal="center"/>
    </xf>
    <xf numFmtId="37" fontId="52" fillId="0" borderId="62" xfId="10" applyFont="1" applyBorder="1" applyAlignment="1">
      <alignment horizontal="center"/>
    </xf>
    <xf numFmtId="37" fontId="52" fillId="0" borderId="157" xfId="10" applyFont="1" applyBorder="1" applyAlignment="1">
      <alignment horizontal="center"/>
    </xf>
    <xf numFmtId="37" fontId="55" fillId="0" borderId="43" xfId="10" applyFont="1" applyBorder="1" applyAlignment="1">
      <alignment horizontal="centerContinuous"/>
    </xf>
    <xf numFmtId="37" fontId="55" fillId="0" borderId="67" xfId="10" applyFont="1" applyBorder="1" applyAlignment="1">
      <alignment horizontal="centerContinuous"/>
    </xf>
    <xf numFmtId="168" fontId="54" fillId="3" borderId="134" xfId="10" applyNumberFormat="1" applyFont="1" applyFill="1" applyBorder="1" applyAlignment="1">
      <alignment horizontal="center"/>
    </xf>
    <xf numFmtId="168" fontId="54" fillId="16" borderId="134" xfId="10" applyNumberFormat="1" applyFont="1" applyFill="1" applyBorder="1" applyAlignment="1" applyProtection="1">
      <alignment horizontal="center"/>
      <protection locked="0"/>
    </xf>
    <xf numFmtId="168" fontId="54" fillId="16" borderId="42" xfId="15" applyNumberFormat="1" applyFont="1" applyFill="1" applyBorder="1" applyAlignment="1" applyProtection="1">
      <alignment horizontal="center"/>
      <protection locked="0"/>
    </xf>
    <xf numFmtId="0" fontId="55" fillId="3" borderId="31" xfId="15" applyFont="1" applyFill="1" applyBorder="1" applyAlignment="1">
      <alignment horizontal="centerContinuous"/>
    </xf>
    <xf numFmtId="0" fontId="55" fillId="3" borderId="50" xfId="15" applyFont="1" applyFill="1" applyBorder="1" applyAlignment="1">
      <alignment horizontal="centerContinuous"/>
    </xf>
    <xf numFmtId="170" fontId="55" fillId="16" borderId="51" xfId="15" applyNumberFormat="1" applyFont="1" applyFill="1" applyBorder="1" applyAlignment="1" applyProtection="1">
      <alignment horizontal="center"/>
      <protection locked="0"/>
    </xf>
    <xf numFmtId="37" fontId="52" fillId="3" borderId="30" xfId="10" applyFont="1" applyFill="1" applyBorder="1" applyAlignment="1">
      <alignment vertical="center"/>
    </xf>
    <xf numFmtId="37" fontId="52" fillId="3" borderId="31" xfId="10" applyFont="1" applyFill="1" applyBorder="1" applyAlignment="1">
      <alignment vertical="center"/>
    </xf>
    <xf numFmtId="10" fontId="52" fillId="3" borderId="50" xfId="10" applyNumberFormat="1" applyFont="1" applyFill="1" applyBorder="1" applyAlignment="1">
      <alignment vertical="center"/>
    </xf>
    <xf numFmtId="37" fontId="58" fillId="0" borderId="0" xfId="10" applyFont="1" applyAlignment="1">
      <alignment horizontal="left"/>
    </xf>
    <xf numFmtId="0" fontId="55" fillId="0" borderId="0" xfId="15" applyFont="1"/>
    <xf numFmtId="49" fontId="67" fillId="11" borderId="0" xfId="15" applyNumberFormat="1" applyFont="1" applyFill="1" applyAlignment="1">
      <alignment horizontal="center"/>
    </xf>
    <xf numFmtId="37" fontId="58" fillId="11" borderId="0" xfId="10" applyFont="1" applyFill="1" applyAlignment="1">
      <alignment horizontal="left"/>
    </xf>
    <xf numFmtId="173" fontId="68" fillId="16" borderId="0" xfId="15" applyNumberFormat="1" applyFont="1" applyFill="1" applyAlignment="1" applyProtection="1">
      <alignment horizontal="centerContinuous"/>
      <protection locked="0"/>
    </xf>
    <xf numFmtId="174" fontId="69" fillId="16" borderId="0" xfId="15" applyNumberFormat="1" applyFont="1" applyFill="1" applyAlignment="1" applyProtection="1">
      <alignment horizontal="centerContinuous"/>
      <protection locked="0"/>
    </xf>
    <xf numFmtId="37" fontId="59" fillId="0" borderId="34" xfId="10" applyFont="1" applyBorder="1" applyAlignment="1">
      <alignment horizontal="center" vertical="center"/>
    </xf>
    <xf numFmtId="37" fontId="59" fillId="0" borderId="78" xfId="10" applyFont="1" applyBorder="1" applyAlignment="1">
      <alignment horizontal="center" vertical="center"/>
    </xf>
    <xf numFmtId="37" fontId="59" fillId="0" borderId="46" xfId="10" applyFont="1" applyBorder="1" applyAlignment="1">
      <alignment horizontal="center" vertical="center"/>
    </xf>
    <xf numFmtId="1" fontId="60" fillId="16" borderId="159" xfId="10" applyNumberFormat="1" applyFont="1" applyFill="1" applyBorder="1" applyAlignment="1" applyProtection="1">
      <alignment horizontal="center"/>
      <protection locked="0"/>
    </xf>
    <xf numFmtId="166" fontId="60" fillId="16" borderId="159" xfId="10" applyNumberFormat="1" applyFont="1" applyFill="1" applyBorder="1" applyAlignment="1" applyProtection="1">
      <alignment horizontal="center"/>
      <protection locked="0"/>
    </xf>
    <xf numFmtId="1" fontId="60" fillId="16" borderId="125" xfId="10" applyNumberFormat="1" applyFont="1" applyFill="1" applyBorder="1" applyAlignment="1" applyProtection="1">
      <alignment horizontal="center"/>
      <protection locked="0"/>
    </xf>
    <xf numFmtId="1" fontId="60" fillId="16" borderId="180" xfId="10" applyNumberFormat="1" applyFont="1" applyFill="1" applyBorder="1" applyAlignment="1" applyProtection="1">
      <alignment horizontal="center"/>
      <protection locked="0"/>
    </xf>
    <xf numFmtId="2" fontId="63" fillId="9" borderId="160" xfId="10" applyNumberFormat="1" applyFont="1" applyFill="1" applyBorder="1" applyAlignment="1">
      <alignment horizontal="center" vertical="center"/>
    </xf>
    <xf numFmtId="2" fontId="63" fillId="9" borderId="95" xfId="10" applyNumberFormat="1" applyFont="1" applyFill="1" applyBorder="1" applyAlignment="1">
      <alignment horizontal="center" vertical="center"/>
    </xf>
    <xf numFmtId="1" fontId="63" fillId="9" borderId="95" xfId="10" applyNumberFormat="1" applyFont="1" applyFill="1" applyBorder="1" applyAlignment="1">
      <alignment horizontal="center" vertical="center"/>
    </xf>
    <xf numFmtId="1" fontId="60" fillId="3" borderId="95" xfId="10" applyNumberFormat="1" applyFont="1" applyFill="1" applyBorder="1" applyAlignment="1" applyProtection="1">
      <alignment horizontal="center"/>
      <protection locked="0"/>
    </xf>
    <xf numFmtId="37" fontId="55" fillId="0" borderId="0" xfId="10" applyFont="1" applyAlignment="1">
      <alignment horizontal="center"/>
    </xf>
    <xf numFmtId="37" fontId="55" fillId="0" borderId="0" xfId="10" applyFont="1"/>
    <xf numFmtId="1" fontId="63" fillId="9" borderId="129" xfId="10" applyNumberFormat="1" applyFont="1" applyFill="1" applyBorder="1" applyAlignment="1">
      <alignment horizontal="center" vertical="center"/>
    </xf>
    <xf numFmtId="2" fontId="63" fillId="9" borderId="159" xfId="10" applyNumberFormat="1" applyFont="1" applyFill="1" applyBorder="1" applyAlignment="1">
      <alignment horizontal="center" vertical="center"/>
    </xf>
    <xf numFmtId="1" fontId="63" fillId="9" borderId="159" xfId="10" applyNumberFormat="1" applyFont="1" applyFill="1" applyBorder="1" applyAlignment="1">
      <alignment horizontal="center" vertical="center"/>
    </xf>
    <xf numFmtId="1" fontId="63" fillId="9" borderId="181" xfId="10" applyNumberFormat="1" applyFont="1" applyFill="1" applyBorder="1" applyAlignment="1">
      <alignment horizontal="center" vertical="center"/>
    </xf>
    <xf numFmtId="2" fontId="63" fillId="9" borderId="134" xfId="10" applyNumberFormat="1" applyFont="1" applyFill="1" applyBorder="1" applyAlignment="1">
      <alignment horizontal="center" vertical="center"/>
    </xf>
    <xf numFmtId="1" fontId="63" fillId="9" borderId="103" xfId="10" applyNumberFormat="1" applyFont="1" applyFill="1" applyBorder="1" applyAlignment="1">
      <alignment horizontal="center" vertical="center"/>
    </xf>
    <xf numFmtId="1" fontId="63" fillId="9" borderId="135" xfId="10" applyNumberFormat="1" applyFont="1" applyFill="1" applyBorder="1" applyAlignment="1">
      <alignment horizontal="center" vertical="center"/>
    </xf>
    <xf numFmtId="1" fontId="63" fillId="0" borderId="0" xfId="10" applyNumberFormat="1" applyFont="1" applyAlignment="1">
      <alignment horizontal="center" vertical="center"/>
    </xf>
    <xf numFmtId="37" fontId="59" fillId="0" borderId="182" xfId="10" applyFont="1" applyBorder="1" applyAlignment="1">
      <alignment horizontal="centerContinuous" vertical="center"/>
    </xf>
    <xf numFmtId="37" fontId="59" fillId="0" borderId="77" xfId="10" applyFont="1" applyBorder="1" applyAlignment="1">
      <alignment horizontal="center" vertical="center"/>
    </xf>
    <xf numFmtId="37" fontId="59" fillId="0" borderId="36" xfId="10" applyFont="1" applyBorder="1" applyAlignment="1">
      <alignment horizontal="center" vertical="center"/>
    </xf>
    <xf numFmtId="37" fontId="59" fillId="0" borderId="29" xfId="10" applyFont="1" applyBorder="1" applyAlignment="1">
      <alignment horizontal="center" vertical="center"/>
    </xf>
    <xf numFmtId="0" fontId="19" fillId="0" borderId="82" xfId="0" applyFont="1" applyBorder="1" applyAlignment="1">
      <alignment vertical="center"/>
    </xf>
    <xf numFmtId="37" fontId="71" fillId="16" borderId="57" xfId="10" applyFont="1" applyFill="1" applyBorder="1" applyAlignment="1" applyProtection="1">
      <alignment horizontal="left" vertical="center"/>
      <protection locked="0"/>
    </xf>
    <xf numFmtId="37" fontId="71" fillId="16" borderId="80" xfId="10" applyFont="1" applyFill="1" applyBorder="1" applyAlignment="1">
      <alignment horizontal="left" vertical="center"/>
    </xf>
    <xf numFmtId="37" fontId="71" fillId="16" borderId="60" xfId="10" applyFont="1" applyFill="1" applyBorder="1" applyAlignment="1">
      <alignment horizontal="left" vertical="center"/>
    </xf>
    <xf numFmtId="37" fontId="54" fillId="16" borderId="183" xfId="10" applyFont="1" applyFill="1" applyBorder="1" applyAlignment="1">
      <alignment horizontal="center" vertical="center"/>
    </xf>
    <xf numFmtId="37" fontId="71" fillId="16" borderId="60" xfId="10" applyFont="1" applyFill="1" applyBorder="1" applyAlignment="1" applyProtection="1">
      <alignment horizontal="left" vertical="center"/>
      <protection locked="0"/>
    </xf>
    <xf numFmtId="37" fontId="54" fillId="9" borderId="184" xfId="10" applyFont="1" applyFill="1" applyBorder="1" applyAlignment="1">
      <alignment horizontal="center" vertical="center"/>
    </xf>
    <xf numFmtId="37" fontId="54" fillId="9" borderId="183" xfId="10" applyFont="1" applyFill="1" applyBorder="1" applyAlignment="1">
      <alignment horizontal="center" vertical="center"/>
    </xf>
    <xf numFmtId="37" fontId="54" fillId="9" borderId="185" xfId="10" applyFont="1" applyFill="1" applyBorder="1" applyAlignment="1">
      <alignment horizontal="center" vertical="center"/>
    </xf>
    <xf numFmtId="37" fontId="54" fillId="16" borderId="64" xfId="10" applyFont="1" applyFill="1" applyBorder="1" applyAlignment="1" applyProtection="1">
      <alignment horizontal="left" vertical="center"/>
      <protection locked="0"/>
    </xf>
    <xf numFmtId="37" fontId="54" fillId="16" borderId="81" xfId="10" applyFont="1" applyFill="1" applyBorder="1" applyAlignment="1">
      <alignment horizontal="left" vertical="center"/>
    </xf>
    <xf numFmtId="37" fontId="54" fillId="16" borderId="64" xfId="10" applyFont="1" applyFill="1" applyBorder="1" applyAlignment="1">
      <alignment horizontal="left" vertical="center"/>
    </xf>
    <xf numFmtId="37" fontId="54" fillId="16" borderId="43" xfId="10" applyFont="1" applyFill="1" applyBorder="1" applyAlignment="1">
      <alignment horizontal="left" vertical="center"/>
    </xf>
    <xf numFmtId="0" fontId="0" fillId="16" borderId="81" xfId="0" applyFill="1" applyBorder="1" applyAlignment="1">
      <alignment vertical="center"/>
    </xf>
    <xf numFmtId="37" fontId="52" fillId="0" borderId="75" xfId="10" applyFont="1" applyBorder="1" applyAlignment="1">
      <alignment horizontal="center"/>
    </xf>
    <xf numFmtId="37" fontId="52" fillId="0" borderId="77" xfId="10" applyFont="1" applyBorder="1" applyAlignment="1">
      <alignment horizontal="center"/>
    </xf>
    <xf numFmtId="168" fontId="54" fillId="16" borderId="135" xfId="10" applyNumberFormat="1" applyFont="1" applyFill="1" applyBorder="1" applyAlignment="1" applyProtection="1">
      <alignment horizontal="center"/>
      <protection locked="0"/>
    </xf>
    <xf numFmtId="176" fontId="55" fillId="0" borderId="0" xfId="10" applyNumberFormat="1" applyFont="1" applyAlignment="1">
      <alignment horizontal="center"/>
    </xf>
    <xf numFmtId="0" fontId="55" fillId="0" borderId="0" xfId="15" applyFont="1" applyAlignment="1">
      <alignment horizontal="center"/>
    </xf>
    <xf numFmtId="9" fontId="55" fillId="0" borderId="0" xfId="15" applyNumberFormat="1" applyFont="1" applyAlignment="1">
      <alignment horizontal="center"/>
    </xf>
    <xf numFmtId="0" fontId="55" fillId="0" borderId="0" xfId="15" applyFont="1" applyAlignment="1">
      <alignment horizontal="centerContinuous"/>
    </xf>
    <xf numFmtId="177" fontId="55" fillId="0" borderId="0" xfId="15" applyNumberFormat="1" applyFont="1" applyAlignment="1">
      <alignment horizontal="center"/>
    </xf>
    <xf numFmtId="178" fontId="55" fillId="0" borderId="0" xfId="10" applyNumberFormat="1" applyFont="1"/>
    <xf numFmtId="0" fontId="70" fillId="0" borderId="0" xfId="15" applyFont="1"/>
    <xf numFmtId="37" fontId="52" fillId="0" borderId="0" xfId="10" applyFont="1" applyAlignment="1">
      <alignment horizontal="centerContinuous"/>
    </xf>
    <xf numFmtId="37" fontId="52" fillId="0" borderId="148" xfId="10" applyFont="1" applyBorder="1" applyAlignment="1">
      <alignment horizontal="center" vertical="center"/>
    </xf>
    <xf numFmtId="37" fontId="55" fillId="0" borderId="148" xfId="10" applyFont="1" applyBorder="1" applyAlignment="1">
      <alignment horizontal="center" vertical="center"/>
    </xf>
    <xf numFmtId="0" fontId="57" fillId="0" borderId="75" xfId="10" applyNumberFormat="1" applyFont="1" applyBorder="1" applyAlignment="1">
      <alignment horizontal="centerContinuous" vertical="center"/>
    </xf>
    <xf numFmtId="0" fontId="55" fillId="0" borderId="0" xfId="10" applyNumberFormat="1" applyFont="1" applyAlignment="1">
      <alignment horizontal="centerContinuous" vertical="center"/>
    </xf>
    <xf numFmtId="0" fontId="19" fillId="0" borderId="148" xfId="0" applyFont="1" applyBorder="1" applyAlignment="1">
      <alignment vertical="center"/>
    </xf>
    <xf numFmtId="172" fontId="60" fillId="16" borderId="45" xfId="10" applyNumberFormat="1" applyFont="1" applyFill="1" applyBorder="1" applyAlignment="1" applyProtection="1">
      <alignment horizontal="center"/>
      <protection locked="0"/>
    </xf>
    <xf numFmtId="37" fontId="63" fillId="16" borderId="24" xfId="10" applyFont="1" applyFill="1" applyBorder="1" applyAlignment="1" applyProtection="1">
      <alignment horizontal="center"/>
      <protection locked="0"/>
    </xf>
    <xf numFmtId="37" fontId="60" fillId="16" borderId="24" xfId="10" applyFont="1" applyFill="1" applyBorder="1" applyAlignment="1" applyProtection="1">
      <alignment horizontal="center"/>
      <protection locked="0"/>
    </xf>
    <xf numFmtId="37" fontId="60" fillId="16" borderId="46" xfId="10" applyFont="1" applyFill="1" applyBorder="1" applyAlignment="1" applyProtection="1">
      <alignment horizontal="center"/>
      <protection locked="0"/>
    </xf>
    <xf numFmtId="37" fontId="19" fillId="0" borderId="27" xfId="10" applyFont="1" applyBorder="1" applyAlignment="1">
      <alignment horizontal="centerContinuous" vertical="center"/>
    </xf>
    <xf numFmtId="37" fontId="19" fillId="9" borderId="186" xfId="10" applyFont="1" applyFill="1" applyBorder="1" applyAlignment="1">
      <alignment horizontal="centerContinuous" vertical="center"/>
    </xf>
    <xf numFmtId="37" fontId="19" fillId="9" borderId="39" xfId="10" applyFont="1" applyFill="1" applyBorder="1" applyAlignment="1">
      <alignment horizontal="centerContinuous" vertical="center"/>
    </xf>
    <xf numFmtId="37" fontId="63" fillId="16" borderId="85" xfId="10" applyFont="1" applyFill="1" applyBorder="1" applyAlignment="1" applyProtection="1">
      <alignment horizontal="center"/>
      <protection locked="0"/>
    </xf>
    <xf numFmtId="37" fontId="19" fillId="0" borderId="29" xfId="10" applyFont="1" applyBorder="1" applyAlignment="1">
      <alignment horizontal="centerContinuous" vertical="center"/>
    </xf>
    <xf numFmtId="172" fontId="60" fillId="16" borderId="41" xfId="10" applyNumberFormat="1" applyFont="1" applyFill="1" applyBorder="1" applyAlignment="1" applyProtection="1">
      <alignment horizontal="center"/>
      <protection locked="0"/>
    </xf>
    <xf numFmtId="37" fontId="54" fillId="3" borderId="42" xfId="10" applyFont="1" applyFill="1" applyBorder="1" applyAlignment="1">
      <alignment horizontal="center"/>
    </xf>
    <xf numFmtId="37" fontId="63" fillId="16" borderId="42" xfId="10" applyFont="1" applyFill="1" applyBorder="1" applyAlignment="1" applyProtection="1">
      <alignment horizontal="center"/>
      <protection locked="0"/>
    </xf>
    <xf numFmtId="37" fontId="60" fillId="16" borderId="42" xfId="10" applyFont="1" applyFill="1" applyBorder="1" applyAlignment="1" applyProtection="1">
      <alignment horizontal="center"/>
      <protection locked="0"/>
    </xf>
    <xf numFmtId="37" fontId="60" fillId="16" borderId="74" xfId="10" applyFont="1" applyFill="1" applyBorder="1" applyAlignment="1" applyProtection="1">
      <alignment horizontal="center"/>
      <protection locked="0"/>
    </xf>
    <xf numFmtId="37" fontId="19" fillId="9" borderId="44" xfId="10" applyFont="1" applyFill="1" applyBorder="1" applyAlignment="1">
      <alignment horizontal="centerContinuous" vertical="center"/>
    </xf>
    <xf numFmtId="37" fontId="54" fillId="3" borderId="125" xfId="10" applyFont="1" applyFill="1" applyBorder="1" applyAlignment="1">
      <alignment horizontal="center"/>
    </xf>
    <xf numFmtId="37" fontId="19" fillId="0" borderId="28" xfId="10" applyFont="1" applyBorder="1" applyAlignment="1">
      <alignment horizontal="centerContinuous" vertical="center"/>
    </xf>
    <xf numFmtId="37" fontId="54" fillId="3" borderId="85" xfId="10" applyFont="1" applyFill="1" applyBorder="1" applyAlignment="1">
      <alignment horizontal="center"/>
    </xf>
    <xf numFmtId="37" fontId="60" fillId="16" borderId="59" xfId="10" applyFont="1" applyFill="1" applyBorder="1" applyAlignment="1" applyProtection="1">
      <alignment horizontal="center"/>
      <protection locked="0"/>
    </xf>
    <xf numFmtId="37" fontId="63" fillId="18" borderId="160" xfId="10" applyFont="1" applyFill="1" applyBorder="1" applyAlignment="1" applyProtection="1">
      <alignment horizontal="center" vertical="center"/>
      <protection locked="0"/>
    </xf>
    <xf numFmtId="37" fontId="63" fillId="18" borderId="95" xfId="10" applyFont="1" applyFill="1" applyBorder="1" applyAlignment="1" applyProtection="1">
      <alignment horizontal="center" vertical="center"/>
      <protection locked="0"/>
    </xf>
    <xf numFmtId="172" fontId="63" fillId="16" borderId="85" xfId="10" applyNumberFormat="1" applyFont="1" applyFill="1" applyBorder="1" applyAlignment="1" applyProtection="1">
      <alignment horizontal="center"/>
      <protection locked="0"/>
    </xf>
    <xf numFmtId="172" fontId="63" fillId="16" borderId="178" xfId="10" applyNumberFormat="1" applyFont="1" applyFill="1" applyBorder="1" applyAlignment="1" applyProtection="1">
      <alignment horizontal="center"/>
      <protection locked="0"/>
    </xf>
    <xf numFmtId="0" fontId="55" fillId="0" borderId="19" xfId="10" applyNumberFormat="1" applyFont="1" applyBorder="1" applyAlignment="1">
      <alignment horizontal="centerContinuous" vertical="center"/>
    </xf>
    <xf numFmtId="168" fontId="73" fillId="16" borderId="159" xfId="10" applyNumberFormat="1" applyFont="1" applyFill="1" applyBorder="1" applyAlignment="1" applyProtection="1">
      <alignment horizontal="center"/>
      <protection locked="0"/>
    </xf>
    <xf numFmtId="168" fontId="60" fillId="0" borderId="159" xfId="10" applyNumberFormat="1" applyFont="1" applyBorder="1" applyAlignment="1" applyProtection="1">
      <alignment horizontal="center"/>
      <protection locked="0"/>
    </xf>
    <xf numFmtId="37" fontId="19" fillId="0" borderId="23" xfId="10" applyFont="1" applyBorder="1" applyAlignment="1">
      <alignment horizontal="centerContinuous" vertical="center"/>
    </xf>
    <xf numFmtId="168" fontId="63" fillId="9" borderId="0" xfId="10" applyNumberFormat="1" applyFont="1" applyFill="1" applyAlignment="1">
      <alignment horizontal="center" vertical="center"/>
    </xf>
    <xf numFmtId="37" fontId="74" fillId="0" borderId="0" xfId="10" applyFont="1" applyAlignment="1">
      <alignment horizontal="center" vertical="center"/>
    </xf>
    <xf numFmtId="37" fontId="19" fillId="0" borderId="25" xfId="10" applyFont="1" applyBorder="1" applyAlignment="1">
      <alignment horizontal="centerContinuous" vertical="center"/>
    </xf>
    <xf numFmtId="37" fontId="52" fillId="0" borderId="105" xfId="10" applyFont="1" applyBorder="1" applyAlignment="1">
      <alignment horizontal="center" vertical="center"/>
    </xf>
    <xf numFmtId="37" fontId="52" fillId="0" borderId="176" xfId="10" applyFont="1" applyBorder="1" applyAlignment="1">
      <alignment horizontal="center" vertical="center" wrapText="1"/>
    </xf>
    <xf numFmtId="1" fontId="19" fillId="9" borderId="177" xfId="10" applyNumberFormat="1" applyFont="1" applyFill="1" applyBorder="1" applyAlignment="1">
      <alignment horizontal="center" vertical="center"/>
    </xf>
    <xf numFmtId="37" fontId="63" fillId="16" borderId="187" xfId="10" applyFont="1" applyFill="1" applyBorder="1" applyAlignment="1" applyProtection="1">
      <alignment horizontal="center" vertical="center"/>
      <protection locked="0"/>
    </xf>
    <xf numFmtId="37" fontId="63" fillId="16" borderId="124" xfId="10" applyFont="1" applyFill="1" applyBorder="1" applyAlignment="1" applyProtection="1">
      <alignment horizontal="center" vertical="center"/>
      <protection locked="0"/>
    </xf>
    <xf numFmtId="37" fontId="63" fillId="16" borderId="188" xfId="10" applyFont="1" applyFill="1" applyBorder="1" applyAlignment="1" applyProtection="1">
      <alignment horizontal="center" vertical="center"/>
      <protection locked="0"/>
    </xf>
    <xf numFmtId="37" fontId="63" fillId="16" borderId="189" xfId="10" applyFont="1" applyFill="1" applyBorder="1" applyAlignment="1" applyProtection="1">
      <alignment horizontal="center" vertical="center"/>
      <protection locked="0"/>
    </xf>
    <xf numFmtId="37" fontId="63" fillId="16" borderId="160" xfId="10" applyFont="1" applyFill="1" applyBorder="1" applyAlignment="1" applyProtection="1">
      <alignment horizontal="center" vertical="center"/>
      <protection locked="0"/>
    </xf>
    <xf numFmtId="37" fontId="19" fillId="9" borderId="91" xfId="10" applyFont="1" applyFill="1" applyBorder="1" applyAlignment="1">
      <alignment horizontal="center" vertical="center"/>
    </xf>
    <xf numFmtId="37" fontId="19" fillId="9" borderId="178" xfId="10" applyFont="1" applyFill="1" applyBorder="1" applyAlignment="1">
      <alignment horizontal="center" vertical="center"/>
    </xf>
    <xf numFmtId="37" fontId="19" fillId="9" borderId="177" xfId="10" applyFont="1" applyFill="1" applyBorder="1" applyAlignment="1">
      <alignment horizontal="center" vertical="center"/>
    </xf>
    <xf numFmtId="37" fontId="63" fillId="9" borderId="38" xfId="10" applyFont="1" applyFill="1" applyBorder="1" applyAlignment="1">
      <alignment horizontal="center" vertical="center"/>
    </xf>
    <xf numFmtId="37" fontId="63" fillId="9" borderId="19" xfId="10" applyFont="1" applyFill="1" applyBorder="1" applyAlignment="1">
      <alignment horizontal="center" vertical="center"/>
    </xf>
    <xf numFmtId="37" fontId="59" fillId="19" borderId="0" xfId="10" applyFont="1" applyFill="1" applyAlignment="1">
      <alignment horizontal="center" vertical="center"/>
    </xf>
    <xf numFmtId="37" fontId="59" fillId="19" borderId="35" xfId="10" applyFont="1" applyFill="1" applyBorder="1" applyAlignment="1">
      <alignment horizontal="center" vertical="center"/>
    </xf>
    <xf numFmtId="37" fontId="59" fillId="19" borderId="19" xfId="10" applyFont="1" applyFill="1" applyBorder="1" applyAlignment="1">
      <alignment horizontal="center" vertical="center"/>
    </xf>
    <xf numFmtId="37" fontId="59" fillId="19" borderId="40" xfId="10" applyFont="1" applyFill="1" applyBorder="1" applyAlignment="1">
      <alignment horizontal="center" vertical="center"/>
    </xf>
    <xf numFmtId="1" fontId="73" fillId="16" borderId="159" xfId="10" applyNumberFormat="1" applyFont="1" applyFill="1" applyBorder="1" applyAlignment="1" applyProtection="1">
      <alignment horizontal="center"/>
      <protection locked="0"/>
    </xf>
    <xf numFmtId="166" fontId="73" fillId="16" borderId="159" xfId="10" applyNumberFormat="1" applyFont="1" applyFill="1" applyBorder="1" applyAlignment="1" applyProtection="1">
      <alignment horizontal="center"/>
      <protection locked="0"/>
    </xf>
    <xf numFmtId="2" fontId="60" fillId="0" borderId="159" xfId="10" applyNumberFormat="1" applyFont="1" applyBorder="1" applyAlignment="1" applyProtection="1">
      <alignment horizontal="center"/>
      <protection locked="0"/>
    </xf>
    <xf numFmtId="166" fontId="73" fillId="16" borderId="125" xfId="10" applyNumberFormat="1" applyFont="1" applyFill="1" applyBorder="1" applyAlignment="1" applyProtection="1">
      <alignment horizontal="center"/>
      <protection locked="0"/>
    </xf>
    <xf numFmtId="0" fontId="0" fillId="17" borderId="80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168" fontId="63" fillId="9" borderId="160" xfId="10" applyNumberFormat="1" applyFont="1" applyFill="1" applyBorder="1" applyAlignment="1">
      <alignment horizontal="center" vertical="center"/>
    </xf>
    <xf numFmtId="1" fontId="74" fillId="17" borderId="160" xfId="10" applyNumberFormat="1" applyFont="1" applyFill="1" applyBorder="1" applyAlignment="1">
      <alignment horizontal="center" vertical="center"/>
    </xf>
    <xf numFmtId="1" fontId="63" fillId="9" borderId="190" xfId="10" applyNumberFormat="1" applyFont="1" applyFill="1" applyBorder="1" applyAlignment="1">
      <alignment horizontal="center" vertical="center"/>
    </xf>
    <xf numFmtId="1" fontId="13" fillId="17" borderId="40" xfId="0" applyNumberFormat="1" applyFont="1" applyFill="1" applyBorder="1" applyAlignment="1">
      <alignment horizontal="center" vertical="center"/>
    </xf>
    <xf numFmtId="1" fontId="63" fillId="9" borderId="0" xfId="10" applyNumberFormat="1" applyFont="1" applyFill="1" applyAlignment="1">
      <alignment horizontal="center" vertical="center"/>
    </xf>
    <xf numFmtId="1" fontId="74" fillId="17" borderId="0" xfId="10" applyNumberFormat="1" applyFont="1" applyFill="1" applyAlignment="1">
      <alignment horizontal="center" vertical="center"/>
    </xf>
    <xf numFmtId="1" fontId="13" fillId="17" borderId="0" xfId="0" applyNumberFormat="1" applyFont="1" applyFill="1" applyAlignment="1">
      <alignment horizontal="center" vertical="center"/>
    </xf>
    <xf numFmtId="168" fontId="63" fillId="0" borderId="82" xfId="10" applyNumberFormat="1" applyFont="1" applyBorder="1" applyAlignment="1" applyProtection="1">
      <alignment horizontal="center"/>
      <protection locked="0"/>
    </xf>
    <xf numFmtId="37" fontId="59" fillId="19" borderId="30" xfId="10" applyFont="1" applyFill="1" applyBorder="1" applyAlignment="1">
      <alignment horizontal="center" vertical="center"/>
    </xf>
    <xf numFmtId="0" fontId="73" fillId="16" borderId="159" xfId="10" applyNumberFormat="1" applyFont="1" applyFill="1" applyBorder="1" applyAlignment="1" applyProtection="1">
      <alignment horizontal="center"/>
      <protection locked="0"/>
    </xf>
    <xf numFmtId="0" fontId="0" fillId="17" borderId="5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9" fontId="55" fillId="0" borderId="0" xfId="10" applyNumberFormat="1" applyFont="1" applyAlignment="1">
      <alignment horizontal="center" vertical="center"/>
    </xf>
    <xf numFmtId="166" fontId="63" fillId="9" borderId="159" xfId="10" applyNumberFormat="1" applyFont="1" applyFill="1" applyBorder="1" applyAlignment="1">
      <alignment horizontal="center" vertical="center"/>
    </xf>
    <xf numFmtId="166" fontId="63" fillId="9" borderId="165" xfId="10" applyNumberFormat="1" applyFont="1" applyFill="1" applyBorder="1" applyAlignment="1">
      <alignment horizontal="center" vertical="center"/>
    </xf>
    <xf numFmtId="166" fontId="63" fillId="9" borderId="191" xfId="10" applyNumberFormat="1" applyFont="1" applyFill="1" applyBorder="1" applyAlignment="1">
      <alignment horizontal="center" vertical="center"/>
    </xf>
    <xf numFmtId="166" fontId="63" fillId="9" borderId="173" xfId="10" applyNumberFormat="1" applyFont="1" applyFill="1" applyBorder="1" applyAlignment="1">
      <alignment horizontal="center" vertical="center"/>
    </xf>
    <xf numFmtId="166" fontId="63" fillId="9" borderId="95" xfId="10" applyNumberFormat="1" applyFont="1" applyFill="1" applyBorder="1" applyAlignment="1">
      <alignment horizontal="center" vertical="center"/>
    </xf>
    <xf numFmtId="0" fontId="0" fillId="10" borderId="30" xfId="0" applyFill="1" applyBorder="1" applyAlignment="1">
      <alignment vertical="center"/>
    </xf>
    <xf numFmtId="0" fontId="0" fillId="10" borderId="31" xfId="0" applyFill="1" applyBorder="1" applyAlignment="1">
      <alignment vertical="center"/>
    </xf>
    <xf numFmtId="37" fontId="52" fillId="0" borderId="182" xfId="10" applyFont="1" applyBorder="1" applyAlignment="1">
      <alignment horizontal="centerContinuous" vertical="center"/>
    </xf>
    <xf numFmtId="37" fontId="63" fillId="16" borderId="80" xfId="10" applyFont="1" applyFill="1" applyBorder="1" applyAlignment="1">
      <alignment horizontal="center" vertical="center"/>
    </xf>
    <xf numFmtId="37" fontId="71" fillId="0" borderId="63" xfId="10" applyFont="1" applyBorder="1" applyAlignment="1">
      <alignment horizontal="left" vertical="center"/>
    </xf>
    <xf numFmtId="37" fontId="71" fillId="0" borderId="27" xfId="10" applyFont="1" applyBorder="1" applyAlignment="1">
      <alignment horizontal="left" vertical="center"/>
    </xf>
    <xf numFmtId="0" fontId="0" fillId="0" borderId="192" xfId="0" applyBorder="1" applyAlignment="1">
      <alignment vertical="center"/>
    </xf>
    <xf numFmtId="37" fontId="55" fillId="17" borderId="57" xfId="10" applyFont="1" applyFill="1" applyBorder="1" applyAlignment="1">
      <alignment horizontal="left" vertical="center"/>
    </xf>
    <xf numFmtId="37" fontId="19" fillId="17" borderId="59" xfId="10" applyFont="1" applyFill="1" applyBorder="1" applyAlignment="1">
      <alignment horizontal="center" vertical="center"/>
    </xf>
    <xf numFmtId="37" fontId="63" fillId="16" borderId="82" xfId="10" applyFont="1" applyFill="1" applyBorder="1" applyAlignment="1">
      <alignment horizontal="center" vertical="center"/>
    </xf>
    <xf numFmtId="37" fontId="71" fillId="0" borderId="18" xfId="10" applyFont="1" applyBorder="1" applyAlignment="1">
      <alignment horizontal="left" vertical="center"/>
    </xf>
    <xf numFmtId="37" fontId="71" fillId="0" borderId="0" xfId="10" applyFont="1" applyAlignment="1">
      <alignment horizontal="left" vertical="center"/>
    </xf>
    <xf numFmtId="0" fontId="0" fillId="0" borderId="76" xfId="0" applyBorder="1" applyAlignment="1">
      <alignment vertical="center"/>
    </xf>
    <xf numFmtId="37" fontId="55" fillId="17" borderId="36" xfId="10" applyFont="1" applyFill="1" applyBorder="1" applyAlignment="1">
      <alignment horizontal="left" vertical="center"/>
    </xf>
    <xf numFmtId="37" fontId="55" fillId="17" borderId="61" xfId="10" applyFont="1" applyFill="1" applyBorder="1" applyAlignment="1">
      <alignment horizontal="left" vertical="center"/>
    </xf>
    <xf numFmtId="37" fontId="55" fillId="17" borderId="42" xfId="10" applyFont="1" applyFill="1" applyBorder="1" applyAlignment="1">
      <alignment horizontal="center" vertical="center"/>
    </xf>
    <xf numFmtId="37" fontId="63" fillId="16" borderId="183" xfId="10" applyFont="1" applyFill="1" applyBorder="1" applyAlignment="1">
      <alignment horizontal="center" vertical="center"/>
    </xf>
    <xf numFmtId="37" fontId="63" fillId="9" borderId="184" xfId="10" applyFont="1" applyFill="1" applyBorder="1" applyAlignment="1">
      <alignment horizontal="center" vertical="center"/>
    </xf>
    <xf numFmtId="37" fontId="63" fillId="9" borderId="183" xfId="10" applyFont="1" applyFill="1" applyBorder="1" applyAlignment="1">
      <alignment horizontal="center" vertical="center"/>
    </xf>
    <xf numFmtId="37" fontId="63" fillId="9" borderId="185" xfId="10" applyFont="1" applyFill="1" applyBorder="1" applyAlignment="1">
      <alignment horizontal="center" vertical="center"/>
    </xf>
    <xf numFmtId="37" fontId="54" fillId="0" borderId="61" xfId="10" applyFont="1" applyBorder="1" applyAlignment="1">
      <alignment horizontal="left" vertical="center"/>
    </xf>
    <xf numFmtId="37" fontId="54" fillId="0" borderId="19" xfId="10" applyFont="1" applyBorder="1" applyAlignment="1">
      <alignment horizontal="left" vertical="center"/>
    </xf>
    <xf numFmtId="0" fontId="0" fillId="0" borderId="77" xfId="0" applyBorder="1" applyAlignment="1">
      <alignment vertical="center"/>
    </xf>
    <xf numFmtId="37" fontId="59" fillId="19" borderId="76" xfId="10" applyFont="1" applyFill="1" applyBorder="1" applyAlignment="1">
      <alignment horizontal="center" vertical="center"/>
    </xf>
    <xf numFmtId="0" fontId="0" fillId="19" borderId="76" xfId="0" applyFill="1" applyBorder="1" applyAlignment="1">
      <alignment vertical="center"/>
    </xf>
    <xf numFmtId="0" fontId="0" fillId="17" borderId="76" xfId="0" applyFill="1" applyBorder="1" applyAlignment="1">
      <alignment horizontal="center" vertical="center"/>
    </xf>
    <xf numFmtId="168" fontId="74" fillId="17" borderId="160" xfId="10" applyNumberFormat="1" applyFont="1" applyFill="1" applyBorder="1" applyAlignment="1">
      <alignment horizontal="center" vertical="center"/>
    </xf>
    <xf numFmtId="1" fontId="13" fillId="17" borderId="77" xfId="0" applyNumberFormat="1" applyFont="1" applyFill="1" applyBorder="1" applyAlignment="1">
      <alignment horizontal="center" vertical="center"/>
    </xf>
    <xf numFmtId="168" fontId="13" fillId="17" borderId="40" xfId="0" applyNumberFormat="1" applyFont="1" applyFill="1" applyBorder="1" applyAlignment="1">
      <alignment horizontal="center" vertical="center"/>
    </xf>
    <xf numFmtId="1" fontId="13" fillId="22" borderId="77" xfId="0" applyNumberFormat="1" applyFont="1" applyFill="1" applyBorder="1" applyAlignment="1">
      <alignment horizontal="center" vertical="center"/>
    </xf>
    <xf numFmtId="168" fontId="74" fillId="17" borderId="0" xfId="10" applyNumberFormat="1" applyFont="1" applyFill="1" applyAlignment="1">
      <alignment horizontal="center" vertical="center"/>
    </xf>
    <xf numFmtId="168" fontId="13" fillId="17" borderId="0" xfId="0" applyNumberFormat="1" applyFont="1" applyFill="1" applyAlignment="1">
      <alignment horizontal="center" vertical="center"/>
    </xf>
    <xf numFmtId="1" fontId="13" fillId="22" borderId="0" xfId="0" applyNumberFormat="1" applyFont="1" applyFill="1" applyAlignment="1">
      <alignment horizontal="center" vertical="center"/>
    </xf>
    <xf numFmtId="37" fontId="59" fillId="19" borderId="51" xfId="10" applyFont="1" applyFill="1" applyBorder="1" applyAlignment="1">
      <alignment horizontal="center" vertical="center"/>
    </xf>
    <xf numFmtId="0" fontId="0" fillId="17" borderId="40" xfId="0" applyFill="1" applyBorder="1" applyAlignment="1">
      <alignment horizontal="center" vertical="center"/>
    </xf>
    <xf numFmtId="0" fontId="0" fillId="17" borderId="77" xfId="0" applyFill="1" applyBorder="1" applyAlignment="1">
      <alignment horizontal="center" vertical="center"/>
    </xf>
    <xf numFmtId="0" fontId="0" fillId="10" borderId="50" xfId="0" applyFill="1" applyBorder="1" applyAlignment="1">
      <alignment vertical="center"/>
    </xf>
    <xf numFmtId="0" fontId="55" fillId="3" borderId="0" xfId="15" applyFont="1" applyFill="1" applyAlignment="1">
      <alignment horizontal="center"/>
    </xf>
    <xf numFmtId="0" fontId="55" fillId="16" borderId="0" xfId="15" applyFont="1" applyFill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24" xfId="0" applyFont="1" applyBorder="1" applyAlignment="1">
      <alignment horizontal="center"/>
    </xf>
    <xf numFmtId="37" fontId="55" fillId="0" borderId="0" xfId="10" applyFont="1" applyAlignment="1">
      <alignment horizontal="right" vertical="center"/>
    </xf>
    <xf numFmtId="179" fontId="76" fillId="0" borderId="0" xfId="10" applyNumberFormat="1" applyFont="1" applyAlignment="1">
      <alignment vertical="center"/>
    </xf>
    <xf numFmtId="0" fontId="77" fillId="0" borderId="22" xfId="0" applyFont="1" applyBorder="1" applyAlignment="1">
      <alignment horizontal="center"/>
    </xf>
    <xf numFmtId="37" fontId="56" fillId="0" borderId="147" xfId="10" quotePrefix="1" applyFont="1" applyBorder="1" applyAlignment="1">
      <alignment horizontal="left" vertical="center"/>
    </xf>
    <xf numFmtId="0" fontId="72" fillId="0" borderId="148" xfId="10" quotePrefix="1" applyNumberFormat="1" applyFont="1" applyBorder="1" applyAlignment="1">
      <alignment horizontal="centerContinuous" vertical="center"/>
    </xf>
    <xf numFmtId="0" fontId="29" fillId="0" borderId="0" xfId="0" quotePrefix="1" applyFont="1" applyAlignment="1">
      <alignment vertical="center"/>
    </xf>
    <xf numFmtId="37" fontId="58" fillId="0" borderId="30" xfId="10" quotePrefix="1" applyFont="1" applyBorder="1" applyAlignment="1">
      <alignment horizontal="left" vertical="center"/>
    </xf>
    <xf numFmtId="37" fontId="52" fillId="0" borderId="148" xfId="10" quotePrefix="1" applyFont="1" applyBorder="1" applyAlignment="1">
      <alignment horizontal="fill"/>
    </xf>
    <xf numFmtId="37" fontId="56" fillId="0" borderId="0" xfId="10" quotePrefix="1" applyFont="1" applyAlignment="1">
      <alignment horizontal="left" vertical="center"/>
    </xf>
    <xf numFmtId="37" fontId="58" fillId="0" borderId="19" xfId="10" quotePrefix="1" applyFont="1" applyBorder="1" applyAlignment="1">
      <alignment horizontal="left" vertical="center"/>
    </xf>
    <xf numFmtId="37" fontId="66" fillId="0" borderId="105" xfId="10" quotePrefix="1" applyFont="1" applyBorder="1" applyAlignment="1">
      <alignment horizontal="center" vertical="center"/>
    </xf>
    <xf numFmtId="37" fontId="59" fillId="0" borderId="105" xfId="10" quotePrefix="1" applyFont="1" applyBorder="1" applyAlignment="1">
      <alignment horizontal="center" vertical="center"/>
    </xf>
    <xf numFmtId="0" fontId="37" fillId="0" borderId="125" xfId="24" quotePrefix="1" applyFont="1" applyBorder="1" applyAlignment="1">
      <alignment horizontal="center" vertical="center" shrinkToFit="1"/>
    </xf>
    <xf numFmtId="0" fontId="26" fillId="0" borderId="86" xfId="24" quotePrefix="1" applyFont="1" applyBorder="1" applyAlignment="1">
      <alignment horizontal="centerContinuous" vertical="center"/>
    </xf>
    <xf numFmtId="0" fontId="26" fillId="0" borderId="18" xfId="24" quotePrefix="1" applyFont="1" applyBorder="1" applyAlignment="1">
      <alignment horizontal="centerContinuous" vertical="center"/>
    </xf>
    <xf numFmtId="0" fontId="23" fillId="0" borderId="107" xfId="24" quotePrefix="1" applyFont="1" applyBorder="1" applyAlignment="1">
      <alignment horizontal="center" vertical="center"/>
    </xf>
    <xf numFmtId="0" fontId="26" fillId="0" borderId="146" xfId="24" quotePrefix="1" applyFont="1" applyBorder="1" applyAlignment="1">
      <alignment horizontal="left" vertical="center"/>
    </xf>
    <xf numFmtId="37" fontId="23" fillId="0" borderId="0" xfId="27" quotePrefix="1" applyNumberFormat="1"/>
    <xf numFmtId="37" fontId="21" fillId="0" borderId="0" xfId="12" quotePrefix="1" applyNumberFormat="1" applyFont="1"/>
    <xf numFmtId="0" fontId="4" fillId="4" borderId="1" xfId="14" quotePrefix="1" applyFill="1" applyBorder="1" applyAlignment="1">
      <alignment horizontal="center" vertical="justify" wrapText="1"/>
    </xf>
    <xf numFmtId="0" fontId="5" fillId="2" borderId="1" xfId="14" quotePrefix="1" applyFont="1" applyFill="1" applyBorder="1" applyAlignment="1">
      <alignment horizontal="center" vertical="justify"/>
    </xf>
    <xf numFmtId="0" fontId="4" fillId="4" borderId="1" xfId="14" quotePrefix="1" applyFill="1" applyBorder="1" applyAlignment="1">
      <alignment horizontal="center" vertical="justify"/>
    </xf>
    <xf numFmtId="0" fontId="4" fillId="4" borderId="1" xfId="14" quotePrefix="1" applyFill="1" applyBorder="1" applyAlignment="1">
      <alignment horizontal="center" wrapText="1"/>
    </xf>
    <xf numFmtId="0" fontId="5" fillId="2" borderId="1" xfId="14" quotePrefix="1" applyFont="1" applyFill="1" applyBorder="1" applyAlignment="1">
      <alignment horizontal="center"/>
    </xf>
    <xf numFmtId="0" fontId="4" fillId="4" borderId="2" xfId="14" quotePrefix="1" applyFill="1" applyBorder="1" applyAlignment="1">
      <alignment horizontal="center" wrapText="1"/>
    </xf>
    <xf numFmtId="0" fontId="4" fillId="4" borderId="2" xfId="14" quotePrefix="1" applyFill="1" applyBorder="1" applyAlignment="1">
      <alignment horizontal="center" vertical="justify" wrapText="1"/>
    </xf>
    <xf numFmtId="0" fontId="8" fillId="0" borderId="6" xfId="14" quotePrefix="1" applyFont="1" applyBorder="1" applyAlignment="1">
      <alignment horizontal="center"/>
    </xf>
    <xf numFmtId="0" fontId="8" fillId="0" borderId="7" xfId="14" quotePrefix="1" applyFont="1" applyBorder="1" applyAlignment="1">
      <alignment horizontal="center"/>
    </xf>
    <xf numFmtId="0" fontId="4" fillId="4" borderId="3" xfId="14" quotePrefix="1" applyFill="1" applyBorder="1" applyAlignment="1">
      <alignment horizontal="center" wrapText="1"/>
    </xf>
    <xf numFmtId="0" fontId="4" fillId="4" borderId="3" xfId="14" quotePrefix="1" applyFill="1" applyBorder="1" applyAlignment="1">
      <alignment horizontal="center" vertical="justify" wrapText="1"/>
    </xf>
    <xf numFmtId="0" fontId="4" fillId="3" borderId="1" xfId="14" quotePrefix="1" applyFill="1" applyBorder="1" applyAlignment="1">
      <alignment horizontal="center"/>
    </xf>
    <xf numFmtId="0" fontId="0" fillId="0" borderId="14" xfId="0" quotePrefix="1" applyBorder="1"/>
    <xf numFmtId="0" fontId="0" fillId="0" borderId="15" xfId="0" quotePrefix="1" applyBorder="1"/>
    <xf numFmtId="0" fontId="7" fillId="2" borderId="1" xfId="0" quotePrefix="1" applyFont="1" applyFill="1" applyBorder="1"/>
    <xf numFmtId="0" fontId="0" fillId="0" borderId="6" xfId="0" quotePrefix="1" applyBorder="1"/>
    <xf numFmtId="0" fontId="0" fillId="0" borderId="17" xfId="0" quotePrefix="1" applyBorder="1"/>
    <xf numFmtId="0" fontId="4" fillId="4" borderId="0" xfId="14" quotePrefix="1" applyFill="1" applyAlignment="1">
      <alignment horizontal="center" wrapText="1"/>
    </xf>
    <xf numFmtId="0" fontId="7" fillId="2" borderId="0" xfId="0" quotePrefix="1" applyFont="1" applyFill="1"/>
    <xf numFmtId="1" fontId="30" fillId="0" borderId="0" xfId="26" applyNumberFormat="1" applyFont="1" applyAlignment="1" applyProtection="1">
      <alignment horizontal="center" vertical="center"/>
      <protection locked="0"/>
    </xf>
    <xf numFmtId="2" fontId="35" fillId="0" borderId="46" xfId="26" applyNumberFormat="1" applyFont="1" applyBorder="1" applyAlignment="1" applyProtection="1">
      <alignment horizontal="center" vertical="center"/>
      <protection locked="0"/>
    </xf>
    <xf numFmtId="1" fontId="27" fillId="0" borderId="0" xfId="26" applyNumberFormat="1" applyFont="1" applyAlignment="1" applyProtection="1">
      <alignment horizontal="center" vertical="center" wrapText="1"/>
      <protection locked="0"/>
    </xf>
    <xf numFmtId="1" fontId="35" fillId="0" borderId="0" xfId="26" applyNumberFormat="1" applyFont="1"/>
    <xf numFmtId="0" fontId="35" fillId="0" borderId="59" xfId="26" applyFont="1" applyBorder="1" applyAlignment="1" applyProtection="1">
      <alignment horizontal="center" vertical="center"/>
      <protection locked="0"/>
    </xf>
    <xf numFmtId="166" fontId="0" fillId="0" borderId="82" xfId="26" applyNumberFormat="1" applyFont="1" applyBorder="1" applyAlignment="1" applyProtection="1">
      <alignment horizontal="center" vertical="center"/>
      <protection locked="0"/>
    </xf>
    <xf numFmtId="166" fontId="0" fillId="0" borderId="76" xfId="26" applyNumberFormat="1" applyFont="1" applyBorder="1" applyAlignment="1" applyProtection="1">
      <alignment horizontal="center" vertical="center"/>
      <protection locked="0"/>
    </xf>
    <xf numFmtId="10" fontId="19" fillId="9" borderId="194" xfId="10" applyNumberFormat="1" applyFont="1" applyFill="1" applyBorder="1" applyAlignment="1">
      <alignment horizontal="center" vertical="center"/>
    </xf>
    <xf numFmtId="0" fontId="27" fillId="12" borderId="54" xfId="26" applyFont="1" applyFill="1" applyBorder="1" applyAlignment="1" applyProtection="1">
      <alignment horizontal="center" vertical="center"/>
      <protection locked="0"/>
    </xf>
    <xf numFmtId="1" fontId="17" fillId="12" borderId="66" xfId="26" applyNumberFormat="1" applyFont="1" applyFill="1" applyBorder="1" applyAlignment="1" applyProtection="1">
      <alignment horizontal="center" vertical="center"/>
      <protection locked="0"/>
    </xf>
    <xf numFmtId="0" fontId="17" fillId="13" borderId="44" xfId="26" applyFont="1" applyFill="1" applyBorder="1" applyAlignment="1" applyProtection="1">
      <alignment horizontal="center" vertical="center"/>
      <protection locked="0"/>
    </xf>
    <xf numFmtId="0" fontId="1" fillId="12" borderId="54" xfId="26" applyFont="1" applyFill="1" applyBorder="1" applyAlignment="1" applyProtection="1">
      <alignment horizontal="center" vertical="center"/>
      <protection locked="0"/>
    </xf>
    <xf numFmtId="1" fontId="17" fillId="12" borderId="26" xfId="26" applyNumberFormat="1" applyFont="1" applyFill="1" applyBorder="1" applyAlignment="1" applyProtection="1">
      <alignment horizontal="center" vertical="center"/>
      <protection locked="0"/>
    </xf>
    <xf numFmtId="1" fontId="17" fillId="12" borderId="44" xfId="26" applyNumberFormat="1" applyFont="1" applyFill="1" applyBorder="1" applyAlignment="1" applyProtection="1">
      <alignment horizontal="center" vertical="center"/>
      <protection locked="0"/>
    </xf>
    <xf numFmtId="1" fontId="17" fillId="14" borderId="54" xfId="26" applyNumberFormat="1" applyFont="1" applyFill="1" applyBorder="1" applyAlignment="1" applyProtection="1">
      <alignment horizontal="center" vertical="center"/>
      <protection locked="0"/>
    </xf>
    <xf numFmtId="1" fontId="17" fillId="13" borderId="54" xfId="26" applyNumberFormat="1" applyFont="1" applyFill="1" applyBorder="1" applyAlignment="1" applyProtection="1">
      <alignment horizontal="center" vertical="center"/>
      <protection locked="0"/>
    </xf>
    <xf numFmtId="0" fontId="0" fillId="12" borderId="24" xfId="26" applyFont="1" applyFill="1" applyBorder="1" applyAlignment="1" applyProtection="1">
      <alignment vertical="center"/>
      <protection locked="0"/>
    </xf>
    <xf numFmtId="0" fontId="84" fillId="23" borderId="193" xfId="26" applyFont="1" applyFill="1" applyBorder="1" applyAlignment="1" applyProtection="1">
      <alignment vertical="center"/>
      <protection locked="0"/>
    </xf>
    <xf numFmtId="2" fontId="17" fillId="12" borderId="66" xfId="26" applyNumberFormat="1" applyFont="1" applyFill="1" applyBorder="1" applyAlignment="1" applyProtection="1">
      <alignment horizontal="center" vertical="center"/>
      <protection locked="0"/>
    </xf>
    <xf numFmtId="2" fontId="17" fillId="12" borderId="54" xfId="26" applyNumberFormat="1" applyFont="1" applyFill="1" applyBorder="1" applyAlignment="1" applyProtection="1">
      <alignment horizontal="center" vertical="center"/>
      <protection locked="0"/>
    </xf>
    <xf numFmtId="49" fontId="0" fillId="0" borderId="22" xfId="26" applyNumberFormat="1" applyFont="1" applyBorder="1" applyAlignment="1" applyProtection="1">
      <alignment vertical="center"/>
      <protection locked="0"/>
    </xf>
    <xf numFmtId="0" fontId="0" fillId="0" borderId="0" xfId="26" applyFont="1" applyAlignment="1" applyProtection="1">
      <alignment vertical="center"/>
      <protection locked="0"/>
    </xf>
    <xf numFmtId="49" fontId="0" fillId="0" borderId="27" xfId="26" applyNumberFormat="1" applyFont="1" applyBorder="1" applyAlignment="1" applyProtection="1">
      <alignment vertical="center"/>
      <protection locked="0"/>
    </xf>
    <xf numFmtId="0" fontId="0" fillId="0" borderId="27" xfId="26" applyFont="1" applyBorder="1" applyAlignment="1" applyProtection="1">
      <alignment vertical="center"/>
      <protection locked="0"/>
    </xf>
    <xf numFmtId="0" fontId="0" fillId="12" borderId="82" xfId="26" applyFont="1" applyFill="1" applyBorder="1" applyAlignment="1" applyProtection="1">
      <alignment horizontal="centerContinuous" vertical="center"/>
      <protection locked="0"/>
    </xf>
    <xf numFmtId="0" fontId="0" fillId="0" borderId="192" xfId="26" applyFont="1" applyBorder="1" applyAlignment="1" applyProtection="1">
      <alignment vertical="center"/>
      <protection locked="0"/>
    </xf>
    <xf numFmtId="0" fontId="86" fillId="24" borderId="0" xfId="26" applyFont="1" applyFill="1" applyAlignment="1">
      <alignment horizontal="center"/>
    </xf>
    <xf numFmtId="0" fontId="86" fillId="24" borderId="0" xfId="26" applyFont="1" applyFill="1"/>
    <xf numFmtId="0" fontId="0" fillId="24" borderId="0" xfId="26" applyFont="1" applyFill="1"/>
    <xf numFmtId="37" fontId="86" fillId="24" borderId="0" xfId="26" applyNumberFormat="1" applyFont="1" applyFill="1" applyAlignment="1">
      <alignment horizontal="center"/>
    </xf>
    <xf numFmtId="1" fontId="86" fillId="24" borderId="0" xfId="26" applyNumberFormat="1" applyFont="1" applyFill="1" applyAlignment="1">
      <alignment horizontal="center"/>
    </xf>
    <xf numFmtId="10" fontId="86" fillId="24" borderId="0" xfId="2" applyNumberFormat="1" applyFont="1" applyFill="1" applyBorder="1"/>
    <xf numFmtId="0" fontId="35" fillId="0" borderId="0" xfId="0" applyFont="1"/>
    <xf numFmtId="2" fontId="0" fillId="0" borderId="0" xfId="0" applyNumberFormat="1"/>
    <xf numFmtId="166" fontId="0" fillId="0" borderId="0" xfId="26" applyNumberFormat="1" applyFont="1"/>
    <xf numFmtId="0" fontId="88" fillId="0" borderId="0" xfId="0" applyFont="1"/>
    <xf numFmtId="164" fontId="88" fillId="0" borderId="0" xfId="1" applyFont="1"/>
    <xf numFmtId="0" fontId="70" fillId="3" borderId="193" xfId="15" applyFont="1" applyFill="1" applyBorder="1" applyAlignment="1">
      <alignment horizontal="center"/>
    </xf>
    <xf numFmtId="18" fontId="42" fillId="3" borderId="193" xfId="15" applyNumberFormat="1" applyFont="1" applyFill="1" applyBorder="1" applyAlignment="1">
      <alignment horizontal="center"/>
    </xf>
    <xf numFmtId="175" fontId="70" fillId="3" borderId="193" xfId="15" applyNumberFormat="1" applyFont="1" applyFill="1" applyBorder="1" applyAlignment="1">
      <alignment horizontal="center"/>
    </xf>
    <xf numFmtId="0" fontId="55" fillId="3" borderId="193" xfId="15" applyFont="1" applyFill="1" applyBorder="1" applyAlignment="1">
      <alignment horizontal="center"/>
    </xf>
    <xf numFmtId="0" fontId="55" fillId="3" borderId="193" xfId="15" applyFont="1" applyFill="1" applyBorder="1" applyAlignment="1">
      <alignment horizontal="centerContinuous"/>
    </xf>
    <xf numFmtId="0" fontId="54" fillId="3" borderId="198" xfId="15" applyFont="1" applyFill="1" applyBorder="1" applyAlignment="1">
      <alignment horizontal="center"/>
    </xf>
    <xf numFmtId="0" fontId="55" fillId="16" borderId="198" xfId="15" applyFont="1" applyFill="1" applyBorder="1" applyAlignment="1" applyProtection="1">
      <alignment horizontal="center"/>
      <protection locked="0"/>
    </xf>
    <xf numFmtId="0" fontId="77" fillId="0" borderId="199" xfId="0" applyFont="1" applyBorder="1" applyAlignment="1">
      <alignment horizontal="center"/>
    </xf>
    <xf numFmtId="0" fontId="77" fillId="0" borderId="198" xfId="0" applyFont="1" applyBorder="1" applyAlignment="1">
      <alignment horizontal="center"/>
    </xf>
    <xf numFmtId="37" fontId="59" fillId="0" borderId="201" xfId="10" applyFont="1" applyBorder="1" applyAlignment="1">
      <alignment horizontal="center" vertical="center"/>
    </xf>
    <xf numFmtId="0" fontId="77" fillId="0" borderId="200" xfId="0" applyFont="1" applyBorder="1" applyAlignment="1">
      <alignment horizontal="center"/>
    </xf>
    <xf numFmtId="37" fontId="54" fillId="3" borderId="202" xfId="10" applyFont="1" applyFill="1" applyBorder="1" applyAlignment="1">
      <alignment horizontal="center"/>
    </xf>
    <xf numFmtId="37" fontId="76" fillId="0" borderId="198" xfId="10" applyFont="1" applyBorder="1" applyAlignment="1">
      <alignment horizontal="center" vertical="center"/>
    </xf>
    <xf numFmtId="39" fontId="76" fillId="0" borderId="198" xfId="10" applyNumberFormat="1" applyFont="1" applyBorder="1" applyAlignment="1">
      <alignment horizontal="center" vertical="center"/>
    </xf>
    <xf numFmtId="179" fontId="76" fillId="0" borderId="198" xfId="10" applyNumberFormat="1" applyFont="1" applyBorder="1" applyAlignment="1">
      <alignment horizontal="center" vertical="center"/>
    </xf>
    <xf numFmtId="172" fontId="60" fillId="16" borderId="203" xfId="10" applyNumberFormat="1" applyFont="1" applyFill="1" applyBorder="1" applyAlignment="1" applyProtection="1">
      <alignment horizontal="center"/>
      <protection locked="0"/>
    </xf>
    <xf numFmtId="37" fontId="54" fillId="3" borderId="198" xfId="10" applyFont="1" applyFill="1" applyBorder="1" applyAlignment="1">
      <alignment horizontal="center"/>
    </xf>
    <xf numFmtId="37" fontId="60" fillId="16" borderId="198" xfId="10" applyFont="1" applyFill="1" applyBorder="1" applyAlignment="1" applyProtection="1">
      <alignment horizontal="center"/>
      <protection locked="0"/>
    </xf>
    <xf numFmtId="37" fontId="60" fillId="16" borderId="204" xfId="10" applyFont="1" applyFill="1" applyBorder="1" applyAlignment="1" applyProtection="1">
      <alignment horizontal="center"/>
      <protection locked="0"/>
    </xf>
    <xf numFmtId="37" fontId="19" fillId="0" borderId="205" xfId="10" applyFont="1" applyBorder="1" applyAlignment="1">
      <alignment horizontal="centerContinuous" vertical="center"/>
    </xf>
    <xf numFmtId="37" fontId="19" fillId="0" borderId="200" xfId="10" applyFont="1" applyBorder="1" applyAlignment="1">
      <alignment horizontal="centerContinuous" vertical="center"/>
    </xf>
    <xf numFmtId="168" fontId="63" fillId="9" borderId="198" xfId="10" applyNumberFormat="1" applyFont="1" applyFill="1" applyBorder="1" applyAlignment="1">
      <alignment horizontal="center" vertical="center"/>
    </xf>
    <xf numFmtId="1" fontId="63" fillId="9" borderId="206" xfId="10" applyNumberFormat="1" applyFont="1" applyFill="1" applyBorder="1" applyAlignment="1">
      <alignment horizontal="center" vertical="center"/>
    </xf>
    <xf numFmtId="1" fontId="13" fillId="17" borderId="207" xfId="0" applyNumberFormat="1" applyFont="1" applyFill="1" applyBorder="1" applyAlignment="1">
      <alignment horizontal="center" vertical="center"/>
    </xf>
    <xf numFmtId="1" fontId="13" fillId="17" borderId="208" xfId="0" applyNumberFormat="1" applyFont="1" applyFill="1" applyBorder="1" applyAlignment="1">
      <alignment horizontal="center" vertical="center"/>
    </xf>
    <xf numFmtId="168" fontId="13" fillId="17" borderId="207" xfId="0" applyNumberFormat="1" applyFont="1" applyFill="1" applyBorder="1" applyAlignment="1">
      <alignment horizontal="center" vertical="center"/>
    </xf>
    <xf numFmtId="168" fontId="13" fillId="17" borderId="208" xfId="0" applyNumberFormat="1" applyFont="1" applyFill="1" applyBorder="1" applyAlignment="1">
      <alignment horizontal="center" vertical="center"/>
    </xf>
    <xf numFmtId="1" fontId="13" fillId="22" borderId="208" xfId="0" applyNumberFormat="1" applyFont="1" applyFill="1" applyBorder="1" applyAlignment="1">
      <alignment horizontal="center" vertical="center"/>
    </xf>
    <xf numFmtId="37" fontId="63" fillId="16" borderId="198" xfId="10" applyFont="1" applyFill="1" applyBorder="1" applyAlignment="1" applyProtection="1">
      <alignment horizontal="center"/>
      <protection locked="0"/>
    </xf>
    <xf numFmtId="1" fontId="74" fillId="17" borderId="209" xfId="10" applyNumberFormat="1" applyFont="1" applyFill="1" applyBorder="1" applyAlignment="1">
      <alignment horizontal="center" vertical="center"/>
    </xf>
    <xf numFmtId="168" fontId="74" fillId="17" borderId="209" xfId="10" applyNumberFormat="1" applyFont="1" applyFill="1" applyBorder="1" applyAlignment="1">
      <alignment horizontal="center" vertical="center"/>
    </xf>
    <xf numFmtId="168" fontId="63" fillId="0" borderId="210" xfId="10" applyNumberFormat="1" applyFont="1" applyBorder="1" applyAlignment="1" applyProtection="1">
      <alignment horizontal="left"/>
      <protection locked="0"/>
    </xf>
    <xf numFmtId="1" fontId="74" fillId="0" borderId="211" xfId="10" applyNumberFormat="1" applyFont="1" applyBorder="1" applyAlignment="1" applyProtection="1">
      <alignment horizontal="center"/>
      <protection locked="0"/>
    </xf>
    <xf numFmtId="168" fontId="63" fillId="0" borderId="211" xfId="10" applyNumberFormat="1" applyFont="1" applyBorder="1" applyAlignment="1" applyProtection="1">
      <alignment horizontal="center"/>
      <protection locked="0"/>
    </xf>
    <xf numFmtId="168" fontId="63" fillId="0" borderId="211" xfId="15" applyNumberFormat="1" applyFont="1" applyBorder="1" applyAlignment="1">
      <alignment horizontal="center"/>
    </xf>
    <xf numFmtId="1" fontId="63" fillId="0" borderId="211" xfId="15" applyNumberFormat="1" applyFont="1" applyBorder="1" applyAlignment="1">
      <alignment horizontal="center"/>
    </xf>
    <xf numFmtId="1" fontId="63" fillId="0" borderId="211" xfId="10" applyNumberFormat="1" applyFont="1" applyBorder="1" applyAlignment="1" applyProtection="1">
      <alignment horizontal="center"/>
      <protection locked="0"/>
    </xf>
    <xf numFmtId="168" fontId="63" fillId="0" borderId="212" xfId="10" applyNumberFormat="1" applyFont="1" applyBorder="1" applyAlignment="1" applyProtection="1">
      <alignment horizontal="center"/>
      <protection locked="0"/>
    </xf>
    <xf numFmtId="0" fontId="55" fillId="16" borderId="198" xfId="15" applyFont="1" applyFill="1" applyBorder="1" applyAlignment="1">
      <alignment horizontal="center"/>
    </xf>
    <xf numFmtId="0" fontId="0" fillId="20" borderId="198" xfId="0" applyFill="1" applyBorder="1" applyAlignment="1">
      <alignment horizontal="center" vertical="center"/>
    </xf>
    <xf numFmtId="37" fontId="19" fillId="0" borderId="199" xfId="10" applyFont="1" applyBorder="1" applyAlignment="1">
      <alignment horizontal="centerContinuous" vertical="center"/>
    </xf>
    <xf numFmtId="0" fontId="0" fillId="21" borderId="198" xfId="0" applyFill="1" applyBorder="1" applyAlignment="1">
      <alignment horizontal="center" vertical="center"/>
    </xf>
    <xf numFmtId="1" fontId="0" fillId="20" borderId="198" xfId="0" applyNumberFormat="1" applyFill="1" applyBorder="1" applyAlignment="1">
      <alignment horizontal="center" vertical="center"/>
    </xf>
    <xf numFmtId="49" fontId="0" fillId="20" borderId="198" xfId="0" applyNumberFormat="1" applyFill="1" applyBorder="1" applyAlignment="1">
      <alignment horizontal="center" vertical="center"/>
    </xf>
    <xf numFmtId="20" fontId="42" fillId="3" borderId="198" xfId="15" applyNumberFormat="1" applyFont="1" applyFill="1" applyBorder="1" applyAlignment="1">
      <alignment horizontal="center"/>
    </xf>
    <xf numFmtId="168" fontId="63" fillId="0" borderId="205" xfId="10" applyNumberFormat="1" applyFont="1" applyBorder="1" applyAlignment="1" applyProtection="1">
      <alignment horizontal="left"/>
      <protection locked="0"/>
    </xf>
    <xf numFmtId="1" fontId="63" fillId="0" borderId="205" xfId="10" applyNumberFormat="1" applyFont="1" applyBorder="1" applyAlignment="1" applyProtection="1">
      <alignment horizontal="center"/>
      <protection locked="0"/>
    </xf>
    <xf numFmtId="168" fontId="63" fillId="0" borderId="205" xfId="10" applyNumberFormat="1" applyFont="1" applyBorder="1" applyAlignment="1" applyProtection="1">
      <alignment horizontal="center"/>
      <protection locked="0"/>
    </xf>
    <xf numFmtId="168" fontId="63" fillId="0" borderId="205" xfId="15" applyNumberFormat="1" applyFont="1" applyBorder="1" applyAlignment="1">
      <alignment horizontal="center"/>
    </xf>
    <xf numFmtId="1" fontId="63" fillId="0" borderId="205" xfId="15" applyNumberFormat="1" applyFont="1" applyBorder="1" applyAlignment="1">
      <alignment horizontal="center"/>
    </xf>
    <xf numFmtId="168" fontId="63" fillId="0" borderId="208" xfId="10" applyNumberFormat="1" applyFont="1" applyBorder="1" applyAlignment="1" applyProtection="1">
      <alignment horizontal="center"/>
      <protection locked="0"/>
    </xf>
    <xf numFmtId="0" fontId="0" fillId="17" borderId="198" xfId="0" applyFill="1" applyBorder="1" applyAlignment="1">
      <alignment horizontal="center" vertical="center"/>
    </xf>
    <xf numFmtId="37" fontId="71" fillId="16" borderId="208" xfId="10" applyFont="1" applyFill="1" applyBorder="1" applyAlignment="1">
      <alignment horizontal="left" vertical="center"/>
    </xf>
    <xf numFmtId="37" fontId="71" fillId="16" borderId="208" xfId="10" applyFont="1" applyFill="1" applyBorder="1" applyAlignment="1" applyProtection="1">
      <alignment vertical="center"/>
      <protection locked="0"/>
    </xf>
    <xf numFmtId="37" fontId="19" fillId="0" borderId="214" xfId="10" applyFont="1" applyBorder="1" applyAlignment="1">
      <alignment horizontal="centerContinuous" vertical="center"/>
    </xf>
    <xf numFmtId="0" fontId="70" fillId="3" borderId="198" xfId="15" applyFont="1" applyFill="1" applyBorder="1" applyAlignment="1">
      <alignment horizontal="center"/>
    </xf>
    <xf numFmtId="18" fontId="42" fillId="3" borderId="198" xfId="15" applyNumberFormat="1" applyFont="1" applyFill="1" applyBorder="1" applyAlignment="1">
      <alignment horizontal="center"/>
    </xf>
    <xf numFmtId="175" fontId="70" fillId="3" borderId="198" xfId="15" applyNumberFormat="1" applyFont="1" applyFill="1" applyBorder="1" applyAlignment="1">
      <alignment horizontal="center"/>
    </xf>
    <xf numFmtId="0" fontId="55" fillId="3" borderId="198" xfId="15" applyFont="1" applyFill="1" applyBorder="1" applyAlignment="1">
      <alignment horizontal="center"/>
    </xf>
    <xf numFmtId="0" fontId="55" fillId="3" borderId="198" xfId="15" applyFont="1" applyFill="1" applyBorder="1" applyAlignment="1">
      <alignment horizontal="centerContinuous"/>
    </xf>
    <xf numFmtId="37" fontId="71" fillId="16" borderId="205" xfId="10" applyFont="1" applyFill="1" applyBorder="1" applyAlignment="1">
      <alignment horizontal="left" vertical="center"/>
    </xf>
    <xf numFmtId="0" fontId="0" fillId="16" borderId="208" xfId="0" applyFill="1" applyBorder="1" applyAlignment="1">
      <alignment vertical="center"/>
    </xf>
    <xf numFmtId="0" fontId="36" fillId="0" borderId="199" xfId="24" applyFont="1" applyBorder="1" applyAlignment="1">
      <alignment horizontal="centerContinuous" vertical="center"/>
    </xf>
    <xf numFmtId="0" fontId="36" fillId="0" borderId="205" xfId="24" applyFont="1" applyBorder="1" applyAlignment="1">
      <alignment horizontal="centerContinuous" vertical="center"/>
    </xf>
    <xf numFmtId="3" fontId="39" fillId="16" borderId="198" xfId="19" applyNumberFormat="1" applyFont="1" applyFill="1" applyBorder="1" applyAlignment="1" applyProtection="1">
      <alignment horizontal="center" vertical="center"/>
      <protection locked="0"/>
    </xf>
    <xf numFmtId="0" fontId="39" fillId="16" borderId="199" xfId="24" applyFont="1" applyFill="1" applyBorder="1" applyAlignment="1" applyProtection="1">
      <alignment horizontal="center" vertical="center"/>
      <protection locked="0"/>
    </xf>
    <xf numFmtId="20" fontId="41" fillId="16" borderId="205" xfId="11" applyNumberFormat="1" applyFont="1" applyFill="1" applyBorder="1" applyAlignment="1" applyProtection="1">
      <alignment horizontal="centerContinuous" vertical="center"/>
      <protection locked="0"/>
    </xf>
    <xf numFmtId="0" fontId="41" fillId="16" borderId="199" xfId="11" applyFont="1" applyFill="1" applyBorder="1" applyAlignment="1" applyProtection="1">
      <alignment horizontal="left" vertical="center"/>
      <protection locked="0"/>
    </xf>
    <xf numFmtId="0" fontId="41" fillId="16" borderId="205" xfId="11" applyFont="1" applyFill="1" applyBorder="1" applyAlignment="1" applyProtection="1">
      <alignment horizontal="centerContinuous" vertical="center"/>
      <protection locked="0"/>
    </xf>
    <xf numFmtId="0" fontId="36" fillId="16" borderId="200" xfId="24" applyFont="1" applyFill="1" applyBorder="1" applyAlignment="1">
      <alignment vertical="center"/>
    </xf>
    <xf numFmtId="0" fontId="41" fillId="16" borderId="198" xfId="11" applyFont="1" applyFill="1" applyBorder="1" applyAlignment="1" applyProtection="1">
      <alignment horizontal="centerContinuous" vertical="center"/>
      <protection locked="0"/>
    </xf>
    <xf numFmtId="0" fontId="41" fillId="16" borderId="205" xfId="11" applyFont="1" applyFill="1" applyBorder="1" applyAlignment="1" applyProtection="1">
      <alignment horizontal="center" vertical="center"/>
      <protection locked="0"/>
    </xf>
    <xf numFmtId="1" fontId="41" fillId="16" borderId="205" xfId="11" applyNumberFormat="1" applyFont="1" applyFill="1" applyBorder="1" applyAlignment="1" applyProtection="1">
      <alignment horizontal="left" vertical="center"/>
      <protection locked="0"/>
    </xf>
    <xf numFmtId="0" fontId="46" fillId="16" borderId="205" xfId="24" applyFont="1" applyFill="1" applyBorder="1" applyAlignment="1" applyProtection="1">
      <alignment horizontal="left" vertical="center"/>
      <protection locked="0"/>
    </xf>
    <xf numFmtId="1" fontId="46" fillId="16" borderId="208" xfId="24" applyNumberFormat="1" applyFont="1" applyFill="1" applyBorder="1" applyAlignment="1" applyProtection="1">
      <alignment horizontal="left" vertical="center"/>
      <protection locked="0"/>
    </xf>
    <xf numFmtId="20" fontId="41" fillId="16" borderId="198" xfId="11" applyNumberFormat="1" applyFont="1" applyFill="1" applyBorder="1" applyAlignment="1" applyProtection="1">
      <alignment horizontal="centerContinuous" vertical="center"/>
      <protection locked="0"/>
    </xf>
    <xf numFmtId="0" fontId="26" fillId="16" borderId="200" xfId="24" applyFont="1" applyFill="1" applyBorder="1" applyAlignment="1">
      <alignment vertical="center"/>
    </xf>
    <xf numFmtId="0" fontId="41" fillId="16" borderId="200" xfId="11" applyFont="1" applyFill="1" applyBorder="1" applyAlignment="1" applyProtection="1">
      <alignment horizontal="center" vertical="center"/>
      <protection locked="0"/>
    </xf>
    <xf numFmtId="0" fontId="41" fillId="16" borderId="205" xfId="11" applyFont="1" applyFill="1" applyBorder="1" applyAlignment="1" applyProtection="1">
      <alignment horizontal="left" vertical="center"/>
      <protection locked="0"/>
    </xf>
    <xf numFmtId="37" fontId="26" fillId="0" borderId="199" xfId="10" applyFont="1" applyBorder="1" applyAlignment="1">
      <alignment horizontal="centerContinuous" vertical="center"/>
    </xf>
    <xf numFmtId="37" fontId="23" fillId="0" borderId="205" xfId="10" applyFont="1" applyBorder="1" applyAlignment="1">
      <alignment horizontal="centerContinuous" vertical="center"/>
    </xf>
    <xf numFmtId="0" fontId="23" fillId="0" borderId="200" xfId="24" applyFont="1" applyBorder="1" applyAlignment="1">
      <alignment horizontal="centerContinuous" vertical="center"/>
    </xf>
    <xf numFmtId="0" fontId="85" fillId="23" borderId="215" xfId="26" applyFont="1" applyFill="1" applyBorder="1" applyAlignment="1" applyProtection="1">
      <alignment horizontal="center" vertical="center"/>
      <protection locked="0"/>
    </xf>
    <xf numFmtId="0" fontId="85" fillId="23" borderId="215" xfId="26" applyFont="1" applyFill="1" applyBorder="1" applyAlignment="1" applyProtection="1">
      <alignment vertical="center"/>
      <protection locked="0"/>
    </xf>
    <xf numFmtId="0" fontId="25" fillId="3" borderId="215" xfId="26" applyFont="1" applyFill="1" applyBorder="1" applyAlignment="1" applyProtection="1">
      <alignment horizontal="center"/>
      <protection locked="0"/>
    </xf>
    <xf numFmtId="0" fontId="0" fillId="12" borderId="216" xfId="26" applyFont="1" applyFill="1" applyBorder="1" applyAlignment="1" applyProtection="1">
      <alignment horizontal="center" vertical="center"/>
      <protection locked="0"/>
    </xf>
    <xf numFmtId="0" fontId="0" fillId="12" borderId="217" xfId="26" applyFont="1" applyFill="1" applyBorder="1" applyAlignment="1" applyProtection="1">
      <alignment horizontal="center" vertical="center"/>
      <protection locked="0"/>
    </xf>
    <xf numFmtId="0" fontId="0" fillId="12" borderId="218" xfId="26" applyFont="1" applyFill="1" applyBorder="1" applyAlignment="1" applyProtection="1">
      <alignment horizontal="centerContinuous" vertical="center"/>
      <protection locked="0"/>
    </xf>
    <xf numFmtId="0" fontId="86" fillId="23" borderId="215" xfId="26" applyFont="1" applyFill="1" applyBorder="1" applyAlignment="1" applyProtection="1">
      <alignment horizontal="center" vertical="center"/>
      <protection locked="0"/>
    </xf>
    <xf numFmtId="20" fontId="86" fillId="23" borderId="215" xfId="26" applyNumberFormat="1" applyFont="1" applyFill="1" applyBorder="1" applyAlignment="1" applyProtection="1">
      <alignment horizontal="center" vertical="center"/>
      <protection locked="0"/>
    </xf>
    <xf numFmtId="0" fontId="84" fillId="23" borderId="215" xfId="26" applyFont="1" applyFill="1" applyBorder="1" applyAlignment="1" applyProtection="1">
      <alignment horizontal="center" vertical="center"/>
      <protection locked="0"/>
    </xf>
    <xf numFmtId="169" fontId="85" fillId="23" borderId="215" xfId="26" applyNumberFormat="1" applyFont="1" applyFill="1" applyBorder="1" applyAlignment="1" applyProtection="1">
      <alignment vertical="center"/>
      <protection locked="0"/>
    </xf>
    <xf numFmtId="0" fontId="18" fillId="0" borderId="215" xfId="26" applyFont="1" applyBorder="1" applyAlignment="1" applyProtection="1">
      <alignment horizontal="center" vertical="center"/>
      <protection locked="0"/>
    </xf>
    <xf numFmtId="2" fontId="35" fillId="0" borderId="215" xfId="26" applyNumberFormat="1" applyFont="1" applyBorder="1" applyAlignment="1" applyProtection="1">
      <alignment horizontal="center" vertical="center"/>
      <protection locked="0"/>
    </xf>
    <xf numFmtId="165" fontId="84" fillId="23" borderId="215" xfId="26" applyNumberFormat="1" applyFont="1" applyFill="1" applyBorder="1" applyAlignment="1" applyProtection="1">
      <alignment horizontal="center" vertical="center"/>
      <protection locked="0"/>
    </xf>
    <xf numFmtId="1" fontId="84" fillId="23" borderId="215" xfId="26" applyNumberFormat="1" applyFont="1" applyFill="1" applyBorder="1" applyAlignment="1" applyProtection="1">
      <alignment vertical="center"/>
      <protection locked="0"/>
    </xf>
    <xf numFmtId="1" fontId="84" fillId="23" borderId="215" xfId="26" applyNumberFormat="1" applyFont="1" applyFill="1" applyBorder="1" applyAlignment="1" applyProtection="1">
      <alignment horizontal="center" vertical="center"/>
      <protection locked="0"/>
    </xf>
    <xf numFmtId="0" fontId="87" fillId="23" borderId="215" xfId="26" applyFont="1" applyFill="1" applyBorder="1" applyAlignment="1" applyProtection="1">
      <alignment horizontal="center" vertical="center"/>
      <protection locked="0"/>
    </xf>
    <xf numFmtId="1" fontId="87" fillId="23" borderId="215" xfId="26" applyNumberFormat="1" applyFont="1" applyFill="1" applyBorder="1" applyAlignment="1" applyProtection="1">
      <alignment horizontal="center" vertical="center"/>
      <protection locked="0"/>
    </xf>
    <xf numFmtId="0" fontId="35" fillId="12" borderId="219" xfId="26" applyFont="1" applyFill="1" applyBorder="1" applyAlignment="1" applyProtection="1">
      <alignment vertical="center"/>
      <protection locked="0"/>
    </xf>
    <xf numFmtId="0" fontId="0" fillId="12" borderId="205" xfId="26" applyFont="1" applyFill="1" applyBorder="1" applyAlignment="1" applyProtection="1">
      <alignment vertical="center"/>
      <protection locked="0"/>
    </xf>
    <xf numFmtId="1" fontId="17" fillId="12" borderId="199" xfId="26" applyNumberFormat="1" applyFont="1" applyFill="1" applyBorder="1" applyAlignment="1" applyProtection="1">
      <alignment horizontal="center" vertical="center"/>
      <protection locked="0"/>
    </xf>
    <xf numFmtId="0" fontId="0" fillId="12" borderId="219" xfId="26" applyFont="1" applyFill="1" applyBorder="1" applyAlignment="1" applyProtection="1">
      <alignment vertical="center"/>
      <protection locked="0"/>
    </xf>
    <xf numFmtId="1" fontId="17" fillId="12" borderId="220" xfId="26" applyNumberFormat="1" applyFont="1" applyFill="1" applyBorder="1" applyAlignment="1" applyProtection="1">
      <alignment horizontal="center" vertical="center"/>
      <protection locked="0"/>
    </xf>
    <xf numFmtId="1" fontId="86" fillId="23" borderId="215" xfId="26" applyNumberFormat="1" applyFont="1" applyFill="1" applyBorder="1" applyAlignment="1" applyProtection="1">
      <alignment horizontal="center" vertical="center"/>
      <protection locked="0"/>
    </xf>
    <xf numFmtId="166" fontId="87" fillId="23" borderId="215" xfId="26" applyNumberFormat="1" applyFont="1" applyFill="1" applyBorder="1" applyAlignment="1" applyProtection="1">
      <alignment horizontal="center" vertical="center"/>
      <protection locked="0"/>
    </xf>
    <xf numFmtId="0" fontId="0" fillId="12" borderId="219" xfId="26" applyFont="1" applyFill="1" applyBorder="1" applyAlignment="1" applyProtection="1">
      <alignment horizontal="center" vertical="center"/>
      <protection locked="0"/>
    </xf>
    <xf numFmtId="2" fontId="86" fillId="23" borderId="215" xfId="26" applyNumberFormat="1" applyFont="1" applyFill="1" applyBorder="1" applyAlignment="1" applyProtection="1">
      <alignment horizontal="center" vertical="center"/>
      <protection locked="0"/>
    </xf>
    <xf numFmtId="166" fontId="86" fillId="23" borderId="215" xfId="26" applyNumberFormat="1" applyFont="1" applyFill="1" applyBorder="1" applyAlignment="1" applyProtection="1">
      <alignment horizontal="center" vertical="center"/>
      <protection locked="0"/>
    </xf>
    <xf numFmtId="0" fontId="0" fillId="12" borderId="221" xfId="26" applyFont="1" applyFill="1" applyBorder="1" applyAlignment="1" applyProtection="1">
      <alignment vertical="center"/>
      <protection locked="0"/>
    </xf>
    <xf numFmtId="0" fontId="0" fillId="12" borderId="218" xfId="26" applyFont="1" applyFill="1" applyBorder="1" applyAlignment="1" applyProtection="1">
      <alignment vertical="center"/>
      <protection locked="0"/>
    </xf>
    <xf numFmtId="0" fontId="17" fillId="12" borderId="199" xfId="26" applyFont="1" applyFill="1" applyBorder="1" applyAlignment="1" applyProtection="1">
      <alignment horizontal="center" vertical="center"/>
      <protection locked="0"/>
    </xf>
    <xf numFmtId="49" fontId="35" fillId="0" borderId="222" xfId="26" applyNumberFormat="1" applyFont="1" applyBorder="1" applyAlignment="1" applyProtection="1">
      <alignment horizontal="center" vertical="center"/>
      <protection locked="0"/>
    </xf>
    <xf numFmtId="0" fontId="35" fillId="0" borderId="215" xfId="26" applyFont="1" applyBorder="1" applyAlignment="1" applyProtection="1">
      <alignment horizontal="center" vertical="center"/>
      <protection locked="0"/>
    </xf>
    <xf numFmtId="0" fontId="0" fillId="0" borderId="215" xfId="26" applyFont="1" applyBorder="1" applyAlignment="1" applyProtection="1">
      <alignment horizontal="left" vertical="center"/>
      <protection locked="0"/>
    </xf>
    <xf numFmtId="0" fontId="35" fillId="0" borderId="215" xfId="26" applyFont="1" applyBorder="1" applyAlignment="1" applyProtection="1">
      <alignment horizontal="left" vertical="center"/>
      <protection locked="0"/>
    </xf>
    <xf numFmtId="49" fontId="0" fillId="0" borderId="215" xfId="26" applyNumberFormat="1" applyFont="1" applyBorder="1" applyAlignment="1" applyProtection="1">
      <alignment vertical="center"/>
      <protection locked="0"/>
    </xf>
    <xf numFmtId="0" fontId="0" fillId="0" borderId="205" xfId="26" applyFont="1" applyBorder="1" applyAlignment="1" applyProtection="1">
      <alignment vertical="center"/>
      <protection locked="0"/>
    </xf>
    <xf numFmtId="0" fontId="0" fillId="0" borderId="208" xfId="26" applyFont="1" applyBorder="1" applyAlignment="1" applyProtection="1">
      <alignment vertical="center"/>
      <protection locked="0"/>
    </xf>
    <xf numFmtId="0" fontId="0" fillId="0" borderId="215" xfId="26" applyFont="1" applyBorder="1" applyProtection="1">
      <protection locked="0"/>
    </xf>
    <xf numFmtId="49" fontId="35" fillId="0" borderId="215" xfId="26" applyNumberFormat="1" applyFont="1" applyBorder="1" applyAlignment="1" applyProtection="1">
      <alignment horizontal="center" vertical="center"/>
      <protection locked="0"/>
    </xf>
    <xf numFmtId="0" fontId="35" fillId="0" borderId="215" xfId="26" applyFont="1" applyBorder="1" applyAlignment="1" applyProtection="1">
      <alignment horizontal="left" vertical="center"/>
      <protection locked="0"/>
    </xf>
    <xf numFmtId="0" fontId="0" fillId="0" borderId="215" xfId="26" applyFont="1" applyBorder="1" applyAlignment="1" applyProtection="1">
      <alignment horizontal="left" vertical="center"/>
      <protection locked="0"/>
    </xf>
    <xf numFmtId="0" fontId="0" fillId="0" borderId="215" xfId="26" applyFont="1" applyBorder="1" applyAlignment="1">
      <alignment horizontal="center" vertical="center"/>
    </xf>
    <xf numFmtId="0" fontId="0" fillId="0" borderId="215" xfId="26" applyFont="1" applyBorder="1" applyAlignment="1" applyProtection="1">
      <alignment horizontal="center" vertical="center"/>
      <protection locked="0"/>
    </xf>
    <xf numFmtId="0" fontId="35" fillId="0" borderId="215" xfId="26" applyFont="1" applyBorder="1" applyAlignment="1">
      <alignment horizontal="center" vertical="center"/>
    </xf>
    <xf numFmtId="49" fontId="0" fillId="0" borderId="215" xfId="26" applyNumberFormat="1" applyFont="1" applyBorder="1" applyAlignment="1" applyProtection="1">
      <alignment horizontal="center" vertical="center"/>
      <protection locked="0"/>
    </xf>
    <xf numFmtId="0" fontId="35" fillId="0" borderId="205" xfId="26" applyFont="1" applyBorder="1" applyAlignment="1" applyProtection="1">
      <alignment vertical="center"/>
      <protection locked="0"/>
    </xf>
    <xf numFmtId="49" fontId="0" fillId="0" borderId="205" xfId="26" applyNumberFormat="1" applyFont="1" applyBorder="1" applyAlignment="1" applyProtection="1">
      <alignment vertical="center"/>
      <protection locked="0"/>
    </xf>
    <xf numFmtId="49" fontId="0" fillId="0" borderId="222" xfId="26" applyNumberFormat="1" applyFont="1" applyBorder="1" applyAlignment="1" applyProtection="1">
      <alignment horizontal="center" vertical="center"/>
      <protection locked="0"/>
    </xf>
    <xf numFmtId="49" fontId="35" fillId="0" borderId="200" xfId="26" applyNumberFormat="1" applyFont="1" applyBorder="1" applyAlignment="1" applyProtection="1">
      <alignment horizontal="center" vertical="center"/>
      <protection locked="0"/>
    </xf>
    <xf numFmtId="0" fontId="35" fillId="0" borderId="199" xfId="26" applyFont="1" applyBorder="1" applyAlignment="1" applyProtection="1">
      <alignment vertical="center"/>
      <protection locked="0"/>
    </xf>
    <xf numFmtId="49" fontId="0" fillId="0" borderId="200" xfId="26" applyNumberFormat="1" applyFont="1" applyBorder="1" applyAlignment="1" applyProtection="1">
      <alignment horizontal="center" vertical="center"/>
      <protection locked="0"/>
    </xf>
    <xf numFmtId="0" fontId="0" fillId="0" borderId="199" xfId="26" applyFont="1" applyBorder="1" applyAlignment="1" applyProtection="1">
      <alignment vertical="center"/>
      <protection locked="0"/>
    </xf>
    <xf numFmtId="49" fontId="0" fillId="0" borderId="216" xfId="26" applyNumberFormat="1" applyFont="1" applyBorder="1" applyAlignment="1" applyProtection="1">
      <alignment horizontal="center" vertical="center"/>
      <protection locked="0"/>
    </xf>
    <xf numFmtId="49" fontId="0" fillId="0" borderId="223" xfId="26" applyNumberFormat="1" applyFont="1" applyBorder="1" applyAlignment="1" applyProtection="1">
      <alignment horizontal="center" vertical="center"/>
      <protection locked="0"/>
    </xf>
    <xf numFmtId="0" fontId="0" fillId="0" borderId="220" xfId="26" applyFont="1" applyBorder="1" applyAlignment="1" applyProtection="1">
      <alignment vertical="center"/>
      <protection locked="0"/>
    </xf>
    <xf numFmtId="0" fontId="0" fillId="0" borderId="218" xfId="26" applyFont="1" applyBorder="1" applyAlignment="1" applyProtection="1">
      <alignment vertical="center"/>
      <protection locked="0"/>
    </xf>
    <xf numFmtId="0" fontId="0" fillId="0" borderId="217" xfId="26" applyFont="1" applyBorder="1" applyAlignment="1">
      <alignment horizontal="center" vertical="center"/>
    </xf>
    <xf numFmtId="0" fontId="0" fillId="12" borderId="222" xfId="26" applyFont="1" applyFill="1" applyBorder="1" applyAlignment="1" applyProtection="1">
      <alignment horizontal="center" vertical="center"/>
      <protection locked="0"/>
    </xf>
    <xf numFmtId="0" fontId="0" fillId="12" borderId="199" xfId="26" applyFont="1" applyFill="1" applyBorder="1" applyAlignment="1" applyProtection="1">
      <alignment vertical="center"/>
      <protection locked="0"/>
    </xf>
    <xf numFmtId="1" fontId="13" fillId="12" borderId="215" xfId="26" applyNumberFormat="1" applyFont="1" applyFill="1" applyBorder="1" applyAlignment="1" applyProtection="1">
      <alignment horizontal="center" vertical="center"/>
      <protection locked="0"/>
    </xf>
    <xf numFmtId="0" fontId="0" fillId="12" borderId="220" xfId="26" applyFont="1" applyFill="1" applyBorder="1" applyAlignment="1" applyProtection="1">
      <alignment vertical="center"/>
      <protection locked="0"/>
    </xf>
    <xf numFmtId="2" fontId="87" fillId="23" borderId="215" xfId="26" applyNumberFormat="1" applyFont="1" applyFill="1" applyBorder="1" applyAlignment="1" applyProtection="1">
      <alignment horizontal="center" vertical="center"/>
      <protection locked="0"/>
    </xf>
    <xf numFmtId="2" fontId="13" fillId="12" borderId="215" xfId="26" applyNumberFormat="1" applyFont="1" applyFill="1" applyBorder="1" applyAlignment="1" applyProtection="1">
      <alignment horizontal="center" vertical="center"/>
      <protection locked="0"/>
    </xf>
    <xf numFmtId="2" fontId="17" fillId="12" borderId="199" xfId="26" applyNumberFormat="1" applyFont="1" applyFill="1" applyBorder="1" applyAlignment="1" applyProtection="1">
      <alignment horizontal="center" vertical="center"/>
      <protection locked="0"/>
    </xf>
    <xf numFmtId="0" fontId="1" fillId="12" borderId="220" xfId="26" applyFont="1" applyFill="1" applyBorder="1" applyAlignment="1" applyProtection="1">
      <alignment vertical="center"/>
      <protection locked="0"/>
    </xf>
    <xf numFmtId="2" fontId="17" fillId="12" borderId="217" xfId="26" applyNumberFormat="1" applyFont="1" applyFill="1" applyBorder="1" applyAlignment="1" applyProtection="1">
      <alignment horizontal="center" vertical="center"/>
      <protection locked="0"/>
    </xf>
    <xf numFmtId="2" fontId="17" fillId="12" borderId="220" xfId="26" applyNumberFormat="1" applyFont="1" applyFill="1" applyBorder="1" applyAlignment="1" applyProtection="1">
      <alignment horizontal="center" vertical="center"/>
      <protection locked="0"/>
    </xf>
    <xf numFmtId="2" fontId="13" fillId="12" borderId="217" xfId="26" applyNumberFormat="1" applyFont="1" applyFill="1" applyBorder="1" applyAlignment="1" applyProtection="1">
      <alignment horizontal="center" vertical="center"/>
      <protection locked="0"/>
    </xf>
    <xf numFmtId="0" fontId="13" fillId="15" borderId="215" xfId="26" applyFont="1" applyFill="1" applyBorder="1" applyAlignment="1">
      <alignment horizontal="center"/>
    </xf>
    <xf numFmtId="0" fontId="33" fillId="6" borderId="215" xfId="26" applyFont="1" applyFill="1" applyBorder="1" applyAlignment="1">
      <alignment horizontal="center"/>
    </xf>
    <xf numFmtId="0" fontId="13" fillId="3" borderId="215" xfId="26" applyFont="1" applyFill="1" applyBorder="1" applyAlignment="1">
      <alignment horizontal="center"/>
    </xf>
    <xf numFmtId="37" fontId="34" fillId="3" borderId="215" xfId="26" applyNumberFormat="1" applyFont="1" applyFill="1" applyBorder="1" applyAlignment="1">
      <alignment horizontal="center"/>
    </xf>
    <xf numFmtId="0" fontId="18" fillId="0" borderId="222" xfId="26" applyFont="1" applyBorder="1" applyAlignment="1" applyProtection="1">
      <alignment horizontal="center"/>
      <protection locked="0"/>
    </xf>
    <xf numFmtId="0" fontId="18" fillId="0" borderId="224" xfId="26" applyFont="1" applyBorder="1" applyProtection="1">
      <protection locked="0"/>
    </xf>
    <xf numFmtId="0" fontId="18" fillId="0" borderId="219" xfId="26" applyFont="1" applyBorder="1" applyProtection="1">
      <protection locked="0"/>
    </xf>
    <xf numFmtId="0" fontId="0" fillId="0" borderId="208" xfId="26" applyFont="1" applyBorder="1" applyProtection="1">
      <protection locked="0"/>
    </xf>
    <xf numFmtId="0" fontId="0" fillId="0" borderId="205" xfId="26" applyFont="1" applyBorder="1" applyProtection="1">
      <protection locked="0"/>
    </xf>
    <xf numFmtId="0" fontId="18" fillId="0" borderId="208" xfId="26" applyFont="1" applyBorder="1" applyProtection="1">
      <protection locked="0"/>
    </xf>
    <xf numFmtId="0" fontId="18" fillId="0" borderId="216" xfId="26" applyFont="1" applyBorder="1" applyAlignment="1" applyProtection="1">
      <alignment horizontal="center"/>
      <protection locked="0"/>
    </xf>
    <xf numFmtId="0" fontId="18" fillId="0" borderId="225" xfId="26" applyFont="1" applyBorder="1" applyProtection="1">
      <protection locked="0"/>
    </xf>
    <xf numFmtId="0" fontId="0" fillId="0" borderId="218" xfId="26" applyFont="1" applyBorder="1" applyProtection="1">
      <protection locked="0"/>
    </xf>
    <xf numFmtId="0" fontId="0" fillId="0" borderId="225" xfId="26" applyFont="1" applyBorder="1" applyProtection="1">
      <protection locked="0"/>
    </xf>
    <xf numFmtId="0" fontId="24" fillId="12" borderId="216" xfId="26" applyFont="1" applyFill="1" applyBorder="1" applyAlignment="1" applyProtection="1">
      <alignment horizontal="center" vertical="center"/>
      <protection locked="0"/>
    </xf>
    <xf numFmtId="0" fontId="24" fillId="12" borderId="217" xfId="26" applyFont="1" applyFill="1" applyBorder="1" applyAlignment="1" applyProtection="1">
      <alignment horizontal="center" vertical="center"/>
      <protection locked="0"/>
    </xf>
    <xf numFmtId="1" fontId="17" fillId="12" borderId="224" xfId="26" applyNumberFormat="1" applyFont="1" applyFill="1" applyBorder="1" applyAlignment="1" applyProtection="1">
      <alignment horizontal="center" vertical="center"/>
      <protection locked="0"/>
    </xf>
    <xf numFmtId="0" fontId="17" fillId="0" borderId="215" xfId="26" applyFont="1" applyBorder="1" applyAlignment="1" applyProtection="1">
      <alignment horizontal="center" vertical="center"/>
      <protection locked="0"/>
    </xf>
    <xf numFmtId="0" fontId="17" fillId="12" borderId="224" xfId="26" applyFont="1" applyFill="1" applyBorder="1" applyAlignment="1" applyProtection="1">
      <alignment horizontal="center" vertical="center"/>
      <protection locked="0"/>
    </xf>
    <xf numFmtId="1" fontId="17" fillId="12" borderId="226" xfId="26" applyNumberFormat="1" applyFont="1" applyFill="1" applyBorder="1" applyAlignment="1" applyProtection="1">
      <alignment horizontal="center" vertical="center"/>
      <protection locked="0"/>
    </xf>
    <xf numFmtId="0" fontId="17" fillId="0" borderId="217" xfId="26" applyFont="1" applyBorder="1" applyAlignment="1" applyProtection="1">
      <alignment horizontal="center" vertical="center"/>
      <protection locked="0"/>
    </xf>
    <xf numFmtId="0" fontId="17" fillId="13" borderId="226" xfId="26" applyFont="1" applyFill="1" applyBorder="1" applyAlignment="1" applyProtection="1">
      <alignment horizontal="center" vertical="center"/>
      <protection locked="0"/>
    </xf>
    <xf numFmtId="1" fontId="0" fillId="0" borderId="216" xfId="26" applyNumberFormat="1" applyFont="1" applyBorder="1" applyAlignment="1" applyProtection="1">
      <alignment horizontal="center" vertical="center"/>
      <protection locked="0"/>
    </xf>
    <xf numFmtId="1" fontId="0" fillId="0" borderId="217" xfId="26" applyNumberFormat="1" applyFont="1" applyBorder="1" applyAlignment="1" applyProtection="1">
      <alignment horizontal="center" vertical="center"/>
      <protection locked="0"/>
    </xf>
    <xf numFmtId="166" fontId="17" fillId="12" borderId="215" xfId="26" applyNumberFormat="1" applyFont="1" applyFill="1" applyBorder="1" applyAlignment="1" applyProtection="1">
      <alignment horizontal="center" vertical="center"/>
      <protection locked="0"/>
    </xf>
    <xf numFmtId="0" fontId="17" fillId="12" borderId="215" xfId="26" applyFont="1" applyFill="1" applyBorder="1" applyAlignment="1" applyProtection="1">
      <alignment horizontal="center" vertical="center"/>
      <protection locked="0"/>
    </xf>
    <xf numFmtId="0" fontId="0" fillId="0" borderId="217" xfId="26" applyFont="1" applyBorder="1" applyAlignment="1" applyProtection="1">
      <alignment horizontal="center" vertical="center"/>
      <protection locked="0"/>
    </xf>
    <xf numFmtId="0" fontId="0" fillId="0" borderId="200" xfId="26" applyFont="1" applyBorder="1" applyAlignment="1">
      <alignment horizontal="center" vertical="center"/>
    </xf>
    <xf numFmtId="0" fontId="0" fillId="0" borderId="200" xfId="26" applyFont="1" applyBorder="1" applyAlignment="1" applyProtection="1">
      <alignment horizontal="center" vertical="center"/>
      <protection locked="0"/>
    </xf>
    <xf numFmtId="0" fontId="0" fillId="0" borderId="223" xfId="26" applyFont="1" applyBorder="1" applyAlignment="1">
      <alignment horizontal="center" vertical="center"/>
    </xf>
    <xf numFmtId="49" fontId="0" fillId="0" borderId="217" xfId="26" applyNumberFormat="1" applyFont="1" applyBorder="1" applyAlignment="1" applyProtection="1">
      <alignment vertical="center"/>
      <protection locked="0"/>
    </xf>
    <xf numFmtId="49" fontId="0" fillId="0" borderId="218" xfId="26" applyNumberFormat="1" applyFont="1" applyBorder="1" applyAlignment="1" applyProtection="1">
      <alignment vertical="center"/>
      <protection locked="0"/>
    </xf>
    <xf numFmtId="0" fontId="0" fillId="0" borderId="225" xfId="26" applyFont="1" applyBorder="1" applyAlignment="1" applyProtection="1">
      <alignment vertical="center"/>
      <protection locked="0"/>
    </xf>
    <xf numFmtId="1" fontId="17" fillId="12" borderId="215" xfId="26" applyNumberFormat="1" applyFont="1" applyFill="1" applyBorder="1" applyAlignment="1" applyProtection="1">
      <alignment horizontal="center" vertical="center"/>
      <protection locked="0"/>
    </xf>
    <xf numFmtId="1" fontId="13" fillId="12" borderId="217" xfId="26" applyNumberFormat="1" applyFont="1" applyFill="1" applyBorder="1" applyAlignment="1" applyProtection="1">
      <alignment horizontal="center" vertical="center"/>
      <protection locked="0"/>
    </xf>
    <xf numFmtId="1" fontId="17" fillId="12" borderId="217" xfId="26" applyNumberFormat="1" applyFont="1" applyFill="1" applyBorder="1" applyAlignment="1" applyProtection="1">
      <alignment horizontal="center" vertical="center"/>
      <protection locked="0"/>
    </xf>
    <xf numFmtId="2" fontId="17" fillId="12" borderId="224" xfId="26" applyNumberFormat="1" applyFont="1" applyFill="1" applyBorder="1" applyAlignment="1" applyProtection="1">
      <alignment horizontal="center" vertical="center"/>
      <protection locked="0"/>
    </xf>
    <xf numFmtId="2" fontId="17" fillId="12" borderId="215" xfId="26" applyNumberFormat="1" applyFont="1" applyFill="1" applyBorder="1" applyAlignment="1" applyProtection="1">
      <alignment horizontal="center" vertical="center"/>
      <protection locked="0"/>
    </xf>
    <xf numFmtId="2" fontId="17" fillId="12" borderId="226" xfId="26" applyNumberFormat="1" applyFont="1" applyFill="1" applyBorder="1" applyAlignment="1" applyProtection="1">
      <alignment horizontal="center" vertical="center"/>
      <protection locked="0"/>
    </xf>
    <xf numFmtId="1" fontId="13" fillId="3" borderId="215" xfId="26" applyNumberFormat="1" applyFont="1" applyFill="1" applyBorder="1" applyAlignment="1">
      <alignment horizontal="center"/>
    </xf>
    <xf numFmtId="0" fontId="0" fillId="0" borderId="215" xfId="0" applyBorder="1" applyAlignment="1">
      <alignment horizontal="center"/>
    </xf>
    <xf numFmtId="37" fontId="0" fillId="0" borderId="215" xfId="0" applyNumberFormat="1" applyBorder="1" applyAlignment="1">
      <alignment horizontal="center"/>
    </xf>
    <xf numFmtId="2" fontId="0" fillId="0" borderId="200" xfId="0" applyNumberFormat="1" applyBorder="1" applyAlignment="1">
      <alignment horizontal="center"/>
    </xf>
    <xf numFmtId="1" fontId="0" fillId="0" borderId="215" xfId="0" applyNumberFormat="1" applyBorder="1" applyAlignment="1">
      <alignment horizontal="center"/>
    </xf>
    <xf numFmtId="168" fontId="0" fillId="0" borderId="215" xfId="0" applyNumberFormat="1" applyBorder="1" applyAlignment="1">
      <alignment horizontal="center"/>
    </xf>
    <xf numFmtId="168" fontId="0" fillId="0" borderId="205" xfId="0" applyNumberFormat="1" applyBorder="1" applyAlignment="1">
      <alignment horizontal="center"/>
    </xf>
    <xf numFmtId="37" fontId="0" fillId="0" borderId="199" xfId="0" applyNumberFormat="1" applyBorder="1" applyAlignment="1">
      <alignment horizontal="center"/>
    </xf>
    <xf numFmtId="168" fontId="0" fillId="3" borderId="215" xfId="0" applyNumberFormat="1" applyFill="1" applyBorder="1" applyAlignment="1">
      <alignment horizontal="center"/>
    </xf>
    <xf numFmtId="166" fontId="0" fillId="3" borderId="215" xfId="0" applyNumberFormat="1" applyFill="1" applyBorder="1" applyAlignment="1">
      <alignment horizontal="center"/>
    </xf>
    <xf numFmtId="2" fontId="1" fillId="0" borderId="215" xfId="0" applyNumberFormat="1" applyFont="1" applyBorder="1" applyAlignment="1">
      <alignment horizontal="center"/>
    </xf>
    <xf numFmtId="1" fontId="1" fillId="0" borderId="199" xfId="0" applyNumberFormat="1" applyFont="1" applyBorder="1" applyAlignment="1">
      <alignment horizontal="center"/>
    </xf>
    <xf numFmtId="1" fontId="1" fillId="0" borderId="215" xfId="0" applyNumberFormat="1" applyFont="1" applyBorder="1" applyAlignment="1">
      <alignment horizontal="center"/>
    </xf>
    <xf numFmtId="166" fontId="1" fillId="0" borderId="205" xfId="0" applyNumberFormat="1" applyFont="1" applyBorder="1" applyAlignment="1">
      <alignment horizontal="center"/>
    </xf>
    <xf numFmtId="166" fontId="1" fillId="0" borderId="215" xfId="0" applyNumberFormat="1" applyFont="1" applyBorder="1" applyAlignment="1">
      <alignment horizontal="center"/>
    </xf>
    <xf numFmtId="0" fontId="15" fillId="0" borderId="215" xfId="0" applyFont="1" applyBorder="1" applyAlignment="1">
      <alignment horizontal="center"/>
    </xf>
    <xf numFmtId="0" fontId="15" fillId="3" borderId="215" xfId="0" applyFont="1" applyFill="1" applyBorder="1" applyAlignment="1">
      <alignment horizontal="center"/>
    </xf>
    <xf numFmtId="0" fontId="16" fillId="0" borderId="215" xfId="0" applyFont="1" applyBorder="1" applyAlignment="1">
      <alignment horizontal="center"/>
    </xf>
    <xf numFmtId="0" fontId="0" fillId="9" borderId="215" xfId="0" applyFill="1" applyBorder="1" applyAlignment="1">
      <alignment horizontal="center"/>
    </xf>
    <xf numFmtId="2" fontId="0" fillId="0" borderId="215" xfId="0" applyNumberFormat="1" applyBorder="1" applyAlignment="1">
      <alignment horizontal="center"/>
    </xf>
    <xf numFmtId="2" fontId="17" fillId="0" borderId="215" xfId="0" applyNumberFormat="1" applyFont="1" applyBorder="1" applyAlignment="1">
      <alignment horizontal="center"/>
    </xf>
    <xf numFmtId="2" fontId="0" fillId="3" borderId="215" xfId="0" applyNumberFormat="1" applyFill="1" applyBorder="1" applyAlignment="1">
      <alignment horizontal="center"/>
    </xf>
    <xf numFmtId="2" fontId="13" fillId="9" borderId="215" xfId="0" applyNumberFormat="1" applyFont="1" applyFill="1" applyBorder="1" applyAlignment="1">
      <alignment horizontal="center"/>
    </xf>
    <xf numFmtId="0" fontId="0" fillId="10" borderId="215" xfId="0" applyFill="1" applyBorder="1" applyAlignment="1">
      <alignment horizontal="center"/>
    </xf>
    <xf numFmtId="0" fontId="0" fillId="11" borderId="215" xfId="0" applyFill="1" applyBorder="1" applyAlignment="1">
      <alignment horizontal="center"/>
    </xf>
    <xf numFmtId="0" fontId="0" fillId="0" borderId="215" xfId="0" applyBorder="1" applyAlignment="1">
      <alignment horizontal="center" vertical="center"/>
    </xf>
    <xf numFmtId="0" fontId="0" fillId="0" borderId="199" xfId="0" applyBorder="1"/>
    <xf numFmtId="0" fontId="0" fillId="0" borderId="205" xfId="0" applyBorder="1"/>
    <xf numFmtId="0" fontId="0" fillId="0" borderId="200" xfId="0" applyBorder="1"/>
    <xf numFmtId="1" fontId="0" fillId="11" borderId="215" xfId="0" applyNumberFormat="1" applyFill="1" applyBorder="1" applyAlignment="1">
      <alignment horizontal="center"/>
    </xf>
    <xf numFmtId="166" fontId="0" fillId="0" borderId="215" xfId="0" applyNumberFormat="1" applyBorder="1" applyAlignment="1">
      <alignment horizontal="center"/>
    </xf>
    <xf numFmtId="1" fontId="0" fillId="0" borderId="215" xfId="25" applyNumberFormat="1" applyFont="1" applyBorder="1" applyAlignment="1" applyProtection="1">
      <alignment horizontal="center"/>
      <protection locked="0"/>
    </xf>
    <xf numFmtId="0" fontId="18" fillId="0" borderId="199" xfId="25" applyFont="1" applyBorder="1" applyProtection="1">
      <protection locked="0"/>
    </xf>
    <xf numFmtId="0" fontId="18" fillId="0" borderId="205" xfId="25" applyFont="1" applyBorder="1" applyProtection="1">
      <protection locked="0"/>
    </xf>
    <xf numFmtId="0" fontId="18" fillId="0" borderId="200" xfId="25" applyFont="1" applyBorder="1" applyProtection="1">
      <protection locked="0"/>
    </xf>
    <xf numFmtId="0" fontId="0" fillId="0" borderId="215" xfId="25" applyFont="1" applyBorder="1" applyAlignment="1" applyProtection="1">
      <alignment horizontal="center"/>
      <protection locked="0"/>
    </xf>
    <xf numFmtId="0" fontId="18" fillId="0" borderId="199" xfId="25" applyFont="1" applyBorder="1" applyAlignment="1" applyProtection="1">
      <alignment vertical="center"/>
      <protection locked="0"/>
    </xf>
    <xf numFmtId="2" fontId="0" fillId="0" borderId="215" xfId="25" applyNumberFormat="1" applyFont="1" applyBorder="1" applyAlignment="1" applyProtection="1">
      <alignment horizontal="center"/>
      <protection locked="0"/>
    </xf>
    <xf numFmtId="2" fontId="0" fillId="9" borderId="215" xfId="0" applyNumberFormat="1" applyFill="1" applyBorder="1" applyAlignment="1">
      <alignment horizontal="center"/>
    </xf>
    <xf numFmtId="2" fontId="0" fillId="11" borderId="215" xfId="0" applyNumberFormat="1" applyFill="1" applyBorder="1" applyAlignment="1">
      <alignment horizontal="center"/>
    </xf>
    <xf numFmtId="20" fontId="0" fillId="0" borderId="215" xfId="0" applyNumberFormat="1" applyBorder="1"/>
    <xf numFmtId="0" fontId="0" fillId="0" borderId="215" xfId="0" applyBorder="1"/>
    <xf numFmtId="165" fontId="8" fillId="0" borderId="215" xfId="14" applyNumberFormat="1" applyFont="1" applyBorder="1" applyAlignment="1">
      <alignment horizontal="center"/>
    </xf>
    <xf numFmtId="0" fontId="8" fillId="0" borderId="215" xfId="14" applyFont="1" applyBorder="1" applyAlignment="1">
      <alignment horizontal="center"/>
    </xf>
    <xf numFmtId="0" fontId="9" fillId="0" borderId="215" xfId="0" quotePrefix="1" applyFont="1" applyBorder="1"/>
    <xf numFmtId="166" fontId="0" fillId="0" borderId="215" xfId="0" applyNumberFormat="1" applyBorder="1"/>
    <xf numFmtId="0" fontId="4" fillId="0" borderId="227" xfId="14" applyBorder="1" applyAlignment="1">
      <alignment horizontal="center"/>
    </xf>
    <xf numFmtId="0" fontId="10" fillId="0" borderId="227" xfId="14" applyFont="1" applyBorder="1" applyAlignment="1">
      <alignment horizontal="center"/>
    </xf>
    <xf numFmtId="166" fontId="24" fillId="0" borderId="47" xfId="26" applyNumberFormat="1" applyFont="1" applyBorder="1" applyAlignment="1" applyProtection="1">
      <alignment horizontal="center" vertical="center"/>
      <protection locked="0"/>
    </xf>
    <xf numFmtId="20" fontId="24" fillId="0" borderId="45" xfId="26" applyNumberFormat="1" applyFont="1" applyBorder="1" applyAlignment="1" applyProtection="1">
      <alignment horizontal="center" vertical="center"/>
      <protection locked="0"/>
    </xf>
    <xf numFmtId="0" fontId="35" fillId="0" borderId="215" xfId="26" applyFont="1" applyBorder="1" applyAlignment="1" applyProtection="1">
      <alignment horizontal="left" vertical="center"/>
      <protection locked="0"/>
    </xf>
    <xf numFmtId="0" fontId="0" fillId="0" borderId="215" xfId="26" applyFont="1" applyBorder="1" applyAlignment="1" applyProtection="1">
      <alignment horizontal="left" vertical="center"/>
      <protection locked="0"/>
    </xf>
    <xf numFmtId="0" fontId="24" fillId="0" borderId="215" xfId="26" applyFont="1" applyBorder="1" applyAlignment="1" applyProtection="1">
      <alignment horizontal="center" vertical="center"/>
      <protection locked="0"/>
    </xf>
    <xf numFmtId="49" fontId="24" fillId="0" borderId="222" xfId="26" applyNumberFormat="1" applyFont="1" applyBorder="1" applyAlignment="1" applyProtection="1">
      <alignment horizontal="center" vertical="center"/>
      <protection locked="0"/>
    </xf>
    <xf numFmtId="2" fontId="24" fillId="0" borderId="215" xfId="26" applyNumberFormat="1" applyFont="1" applyBorder="1" applyAlignment="1" applyProtection="1">
      <alignment horizontal="center" vertical="center"/>
      <protection locked="0"/>
    </xf>
    <xf numFmtId="49" fontId="35" fillId="0" borderId="216" xfId="26" applyNumberFormat="1" applyFont="1" applyBorder="1" applyAlignment="1" applyProtection="1">
      <alignment horizontal="center" vertical="center"/>
      <protection locked="0"/>
    </xf>
    <xf numFmtId="49" fontId="35" fillId="0" borderId="223" xfId="26" applyNumberFormat="1" applyFont="1" applyBorder="1" applyAlignment="1" applyProtection="1">
      <alignment horizontal="center" vertical="center"/>
      <protection locked="0"/>
    </xf>
    <xf numFmtId="0" fontId="35" fillId="0" borderId="217" xfId="26" applyFont="1" applyBorder="1" applyAlignment="1">
      <alignment horizontal="center" vertical="center"/>
    </xf>
    <xf numFmtId="0" fontId="35" fillId="0" borderId="220" xfId="26" applyFont="1" applyBorder="1" applyAlignment="1" applyProtection="1">
      <alignment vertical="center"/>
      <protection locked="0"/>
    </xf>
    <xf numFmtId="49" fontId="0" fillId="0" borderId="49" xfId="26" applyNumberFormat="1" applyFont="1" applyBorder="1" applyAlignment="1" applyProtection="1">
      <alignment horizontal="center" vertical="center"/>
      <protection locked="0"/>
    </xf>
    <xf numFmtId="49" fontId="0" fillId="0" borderId="23" xfId="26" applyNumberFormat="1" applyFont="1" applyBorder="1" applyAlignment="1" applyProtection="1">
      <alignment horizontal="center" vertical="center"/>
      <protection locked="0"/>
    </xf>
    <xf numFmtId="0" fontId="0" fillId="0" borderId="23" xfId="26" applyFont="1" applyBorder="1" applyAlignment="1">
      <alignment horizontal="center" vertical="center"/>
    </xf>
    <xf numFmtId="0" fontId="0" fillId="0" borderId="26" xfId="26" applyFont="1" applyBorder="1" applyAlignment="1" applyProtection="1">
      <alignment vertical="center"/>
      <protection locked="0"/>
    </xf>
    <xf numFmtId="0" fontId="0" fillId="0" borderId="22" xfId="26" applyFont="1" applyBorder="1" applyAlignment="1">
      <alignment horizontal="center" vertical="center"/>
    </xf>
    <xf numFmtId="0" fontId="0" fillId="0" borderId="228" xfId="26" applyFont="1" applyBorder="1" applyAlignment="1" applyProtection="1">
      <alignment vertical="center"/>
      <protection locked="0"/>
    </xf>
    <xf numFmtId="0" fontId="35" fillId="0" borderId="215" xfId="26" applyFont="1" applyBorder="1" applyAlignment="1" applyProtection="1">
      <alignment horizontal="left" vertical="center"/>
      <protection locked="0"/>
    </xf>
    <xf numFmtId="0" fontId="0" fillId="0" borderId="0" xfId="26" applyFont="1" applyBorder="1" applyAlignment="1" applyProtection="1">
      <alignment vertical="center"/>
      <protection locked="0"/>
    </xf>
    <xf numFmtId="49" fontId="35" fillId="0" borderId="230" xfId="26" applyNumberFormat="1" applyFont="1" applyBorder="1" applyAlignment="1" applyProtection="1">
      <alignment horizontal="center" vertical="center"/>
      <protection locked="0"/>
    </xf>
    <xf numFmtId="2" fontId="35" fillId="0" borderId="229" xfId="26" applyNumberFormat="1" applyFont="1" applyBorder="1" applyAlignment="1" applyProtection="1">
      <alignment horizontal="center" vertical="center"/>
      <protection locked="0"/>
    </xf>
    <xf numFmtId="0" fontId="18" fillId="0" borderId="229" xfId="26" applyFont="1" applyBorder="1" applyAlignment="1" applyProtection="1">
      <alignment horizontal="center" vertical="center"/>
      <protection locked="0"/>
    </xf>
    <xf numFmtId="0" fontId="35" fillId="0" borderId="229" xfId="26" applyFont="1" applyBorder="1" applyAlignment="1" applyProtection="1">
      <alignment horizontal="center" vertical="center"/>
      <protection locked="0"/>
    </xf>
    <xf numFmtId="0" fontId="0" fillId="0" borderId="229" xfId="26" applyFont="1" applyBorder="1" applyAlignment="1" applyProtection="1">
      <alignment horizontal="left" vertical="center"/>
      <protection locked="0"/>
    </xf>
    <xf numFmtId="0" fontId="35" fillId="0" borderId="229" xfId="26" applyFont="1" applyBorder="1" applyAlignment="1" applyProtection="1">
      <alignment horizontal="left" vertical="center"/>
      <protection locked="0"/>
    </xf>
    <xf numFmtId="49" fontId="0" fillId="0" borderId="229" xfId="26" applyNumberFormat="1" applyFont="1" applyBorder="1" applyAlignment="1" applyProtection="1">
      <alignment vertical="center"/>
      <protection locked="0"/>
    </xf>
    <xf numFmtId="0" fontId="0" fillId="0" borderId="29" xfId="26" applyFont="1" applyBorder="1" applyAlignment="1" applyProtection="1">
      <alignment vertical="center"/>
      <protection locked="0"/>
    </xf>
    <xf numFmtId="0" fontId="0" fillId="0" borderId="82" xfId="26" applyFont="1" applyBorder="1" applyAlignment="1" applyProtection="1">
      <alignment vertical="center"/>
      <protection locked="0"/>
    </xf>
    <xf numFmtId="0" fontId="0" fillId="0" borderId="28" xfId="26" applyFont="1" applyBorder="1" applyAlignment="1" applyProtection="1">
      <alignment vertical="center"/>
      <protection locked="0"/>
    </xf>
    <xf numFmtId="0" fontId="0" fillId="0" borderId="205" xfId="26" applyFont="1" applyBorder="1" applyAlignment="1" applyProtection="1">
      <alignment horizontal="left" vertical="center"/>
      <protection locked="0"/>
    </xf>
    <xf numFmtId="0" fontId="0" fillId="0" borderId="200" xfId="26" applyFont="1" applyBorder="1" applyAlignment="1" applyProtection="1">
      <alignment horizontal="left" vertical="center"/>
      <protection locked="0"/>
    </xf>
    <xf numFmtId="0" fontId="35" fillId="0" borderId="205" xfId="26" applyFont="1" applyBorder="1" applyAlignment="1" applyProtection="1">
      <alignment horizontal="left" vertical="center"/>
      <protection locked="0"/>
    </xf>
    <xf numFmtId="0" fontId="0" fillId="0" borderId="208" xfId="26" applyFont="1" applyBorder="1" applyAlignment="1" applyProtection="1">
      <alignment horizontal="left" vertical="center"/>
      <protection locked="0"/>
    </xf>
    <xf numFmtId="0" fontId="0" fillId="0" borderId="231" xfId="26" applyFont="1" applyBorder="1" applyAlignment="1" applyProtection="1">
      <alignment horizontal="center" vertical="center"/>
      <protection locked="0"/>
    </xf>
    <xf numFmtId="0" fontId="35" fillId="0" borderId="232" xfId="26" applyFont="1" applyBorder="1" applyAlignment="1" applyProtection="1">
      <alignment horizontal="left" vertical="center"/>
      <protection locked="0"/>
    </xf>
    <xf numFmtId="0" fontId="35" fillId="0" borderId="232" xfId="26" applyFont="1" applyBorder="1" applyAlignment="1" applyProtection="1">
      <alignment vertical="center"/>
      <protection locked="0"/>
    </xf>
    <xf numFmtId="17" fontId="35" fillId="0" borderId="215" xfId="26" applyNumberFormat="1" applyFont="1" applyBorder="1" applyAlignment="1" applyProtection="1">
      <alignment horizontal="center" vertical="center"/>
      <protection locked="0"/>
    </xf>
    <xf numFmtId="49" fontId="0" fillId="0" borderId="230" xfId="26" applyNumberFormat="1" applyFont="1" applyBorder="1" applyAlignment="1" applyProtection="1">
      <alignment horizontal="center" vertical="center"/>
      <protection locked="0"/>
    </xf>
    <xf numFmtId="49" fontId="0" fillId="0" borderId="25" xfId="26" applyNumberFormat="1" applyFont="1" applyBorder="1" applyAlignment="1" applyProtection="1">
      <alignment horizontal="center" vertical="center"/>
      <protection locked="0"/>
    </xf>
    <xf numFmtId="0" fontId="0" fillId="0" borderId="25" xfId="26" applyFont="1" applyBorder="1" applyAlignment="1">
      <alignment horizontal="center" vertical="center"/>
    </xf>
    <xf numFmtId="0" fontId="35" fillId="0" borderId="229" xfId="26" applyFont="1" applyBorder="1" applyAlignment="1">
      <alignment horizontal="center" vertical="center"/>
    </xf>
    <xf numFmtId="0" fontId="0" fillId="0" borderId="229" xfId="26" applyFont="1" applyBorder="1" applyAlignment="1">
      <alignment horizontal="center" vertical="center"/>
    </xf>
    <xf numFmtId="49" fontId="0" fillId="0" borderId="29" xfId="26" applyNumberFormat="1" applyFont="1" applyBorder="1" applyAlignment="1" applyProtection="1">
      <alignment vertical="center"/>
      <protection locked="0"/>
    </xf>
    <xf numFmtId="49" fontId="0" fillId="0" borderId="231" xfId="26" applyNumberFormat="1" applyFont="1" applyBorder="1" applyAlignment="1" applyProtection="1">
      <alignment horizontal="center" vertical="center"/>
      <protection locked="0"/>
    </xf>
    <xf numFmtId="0" fontId="0" fillId="0" borderId="231" xfId="26" applyFont="1" applyBorder="1" applyAlignment="1">
      <alignment horizontal="center" vertical="center"/>
    </xf>
    <xf numFmtId="0" fontId="0" fillId="0" borderId="233" xfId="26" applyFont="1" applyBorder="1" applyAlignment="1" applyProtection="1">
      <alignment vertical="center"/>
      <protection locked="0"/>
    </xf>
    <xf numFmtId="17" fontId="35" fillId="0" borderId="229" xfId="26" applyNumberFormat="1" applyFont="1" applyBorder="1" applyAlignment="1" applyProtection="1">
      <alignment horizontal="center" vertical="center"/>
      <protection locked="0"/>
    </xf>
    <xf numFmtId="49" fontId="35" fillId="0" borderId="231" xfId="26" applyNumberFormat="1" applyFont="1" applyBorder="1" applyAlignment="1" applyProtection="1">
      <alignment horizontal="center" vertical="center"/>
      <protection locked="0"/>
    </xf>
    <xf numFmtId="49" fontId="35" fillId="0" borderId="49" xfId="26" applyNumberFormat="1" applyFont="1" applyBorder="1" applyAlignment="1" applyProtection="1">
      <alignment horizontal="center" vertical="center"/>
      <protection locked="0"/>
    </xf>
    <xf numFmtId="49" fontId="35" fillId="0" borderId="23" xfId="26" applyNumberFormat="1" applyFont="1" applyBorder="1" applyAlignment="1" applyProtection="1">
      <alignment horizontal="center" vertical="center"/>
      <protection locked="0"/>
    </xf>
    <xf numFmtId="0" fontId="0" fillId="0" borderId="56" xfId="26" applyFont="1" applyBorder="1" applyAlignment="1">
      <alignment horizontal="center" vertical="center"/>
    </xf>
    <xf numFmtId="0" fontId="35" fillId="0" borderId="26" xfId="26" applyFont="1" applyBorder="1" applyAlignment="1" applyProtection="1">
      <alignment vertical="center"/>
      <protection locked="0"/>
    </xf>
    <xf numFmtId="0" fontId="0" fillId="0" borderId="205" xfId="26" applyFont="1" applyBorder="1" applyAlignment="1" applyProtection="1">
      <alignment horizontal="left" vertical="center"/>
      <protection locked="0"/>
    </xf>
    <xf numFmtId="0" fontId="35" fillId="0" borderId="232" xfId="26" applyFont="1" applyBorder="1" applyAlignment="1" applyProtection="1">
      <alignment horizontal="left" vertical="center"/>
      <protection locked="0"/>
    </xf>
    <xf numFmtId="2" fontId="35" fillId="0" borderId="231" xfId="26" applyNumberFormat="1" applyFont="1" applyBorder="1" applyAlignment="1" applyProtection="1">
      <alignment horizontal="center" vertical="center"/>
      <protection locked="0"/>
    </xf>
    <xf numFmtId="0" fontId="18" fillId="0" borderId="231" xfId="26" applyFont="1" applyBorder="1" applyAlignment="1" applyProtection="1">
      <alignment horizontal="center" vertical="center"/>
      <protection locked="0"/>
    </xf>
    <xf numFmtId="0" fontId="0" fillId="0" borderId="232" xfId="26" applyFont="1" applyBorder="1" applyAlignment="1" applyProtection="1">
      <alignment vertical="center"/>
      <protection locked="0"/>
    </xf>
    <xf numFmtId="49" fontId="35" fillId="0" borderId="229" xfId="26" applyNumberFormat="1" applyFont="1" applyBorder="1" applyAlignment="1" applyProtection="1">
      <alignment horizontal="center" vertical="center"/>
      <protection locked="0"/>
    </xf>
    <xf numFmtId="0" fontId="0" fillId="0" borderId="229" xfId="26" applyFont="1" applyBorder="1" applyAlignment="1" applyProtection="1">
      <alignment horizontal="center" vertical="center"/>
      <protection locked="0"/>
    </xf>
    <xf numFmtId="0" fontId="35" fillId="0" borderId="0" xfId="26" applyFont="1" applyBorder="1" applyAlignment="1" applyProtection="1">
      <alignment vertical="center"/>
      <protection locked="0"/>
    </xf>
    <xf numFmtId="49" fontId="0" fillId="0" borderId="22" xfId="26" applyNumberFormat="1" applyFont="1" applyBorder="1" applyAlignment="1" applyProtection="1">
      <alignment horizontal="center" vertical="center"/>
      <protection locked="0"/>
    </xf>
    <xf numFmtId="0" fontId="35" fillId="0" borderId="29" xfId="26" applyFont="1" applyBorder="1" applyAlignment="1" applyProtection="1">
      <alignment vertical="center"/>
      <protection locked="0"/>
    </xf>
    <xf numFmtId="0" fontId="35" fillId="12" borderId="30" xfId="26" applyFont="1" applyFill="1" applyBorder="1" applyAlignment="1" applyProtection="1">
      <alignment horizontal="centerContinuous" vertical="center"/>
      <protection locked="0"/>
    </xf>
    <xf numFmtId="49" fontId="0" fillId="0" borderId="19" xfId="26" applyNumberFormat="1" applyFont="1" applyBorder="1" applyAlignment="1" applyProtection="1">
      <alignment vertical="center"/>
      <protection locked="0"/>
    </xf>
    <xf numFmtId="37" fontId="0" fillId="0" borderId="0" xfId="26" applyNumberFormat="1" applyFont="1"/>
    <xf numFmtId="0" fontId="35" fillId="0" borderId="215" xfId="26" applyFont="1" applyBorder="1" applyAlignment="1" applyProtection="1">
      <alignment horizontal="left" vertical="center"/>
      <protection locked="0"/>
    </xf>
    <xf numFmtId="16" fontId="35" fillId="0" borderId="215" xfId="26" applyNumberFormat="1" applyFont="1" applyBorder="1" applyAlignment="1" applyProtection="1">
      <alignment horizontal="center" vertical="center"/>
      <protection locked="0"/>
    </xf>
    <xf numFmtId="0" fontId="0" fillId="0" borderId="229" xfId="26" applyFont="1" applyBorder="1" applyProtection="1">
      <protection locked="0"/>
    </xf>
    <xf numFmtId="1" fontId="0" fillId="0" borderId="223" xfId="26" applyNumberFormat="1" applyFont="1" applyBorder="1" applyAlignment="1" applyProtection="1">
      <alignment horizontal="center" vertical="center"/>
      <protection locked="0"/>
    </xf>
    <xf numFmtId="0" fontId="24" fillId="0" borderId="215" xfId="26" applyFont="1" applyBorder="1" applyAlignment="1" applyProtection="1">
      <alignment horizontal="center" vertical="center"/>
      <protection locked="0"/>
    </xf>
    <xf numFmtId="0" fontId="24" fillId="0" borderId="200" xfId="26" applyFont="1" applyBorder="1" applyAlignment="1">
      <alignment horizontal="center" vertical="center"/>
    </xf>
    <xf numFmtId="0" fontId="24" fillId="0" borderId="200" xfId="26" applyFont="1" applyBorder="1" applyAlignment="1" applyProtection="1">
      <alignment horizontal="center" vertical="center"/>
      <protection locked="0"/>
    </xf>
    <xf numFmtId="0" fontId="0" fillId="0" borderId="216" xfId="26" applyFont="1" applyBorder="1" applyAlignment="1" applyProtection="1">
      <alignment horizontal="center" vertical="center"/>
      <protection locked="0"/>
    </xf>
    <xf numFmtId="0" fontId="18" fillId="0" borderId="199" xfId="26" applyFont="1" applyBorder="1" applyAlignment="1" applyProtection="1">
      <alignment vertical="center"/>
      <protection locked="0"/>
    </xf>
    <xf numFmtId="0" fontId="0" fillId="0" borderId="234" xfId="26" applyFont="1" applyBorder="1" applyProtection="1">
      <protection locked="0"/>
    </xf>
    <xf numFmtId="0" fontId="35" fillId="0" borderId="56" xfId="26" applyFont="1" applyBorder="1" applyAlignment="1" applyProtection="1">
      <alignment horizontal="center" vertical="center"/>
      <protection locked="0"/>
    </xf>
    <xf numFmtId="0" fontId="0" fillId="0" borderId="205" xfId="26" applyFont="1" applyBorder="1" applyAlignment="1" applyProtection="1">
      <alignment horizontal="left" vertical="center"/>
      <protection locked="0"/>
    </xf>
    <xf numFmtId="0" fontId="35" fillId="0" borderId="232" xfId="26" applyFont="1" applyBorder="1" applyAlignment="1" applyProtection="1">
      <alignment horizontal="left" vertical="center"/>
      <protection locked="0"/>
    </xf>
    <xf numFmtId="0" fontId="18" fillId="0" borderId="205" xfId="26" applyFont="1" applyBorder="1" applyAlignment="1" applyProtection="1">
      <alignment vertical="center"/>
      <protection locked="0"/>
    </xf>
    <xf numFmtId="1" fontId="0" fillId="0" borderId="222" xfId="26" applyNumberFormat="1" applyFont="1" applyBorder="1" applyAlignment="1" applyProtection="1">
      <alignment horizontal="center" vertical="center"/>
      <protection locked="0"/>
    </xf>
    <xf numFmtId="1" fontId="0" fillId="0" borderId="215" xfId="26" applyNumberFormat="1" applyFont="1" applyBorder="1" applyAlignment="1" applyProtection="1">
      <alignment horizontal="center" vertical="center"/>
      <protection locked="0"/>
    </xf>
    <xf numFmtId="1" fontId="0" fillId="0" borderId="231" xfId="26" applyNumberFormat="1" applyFont="1" applyBorder="1" applyAlignment="1" applyProtection="1">
      <alignment horizontal="center" vertical="center"/>
      <protection locked="0"/>
    </xf>
    <xf numFmtId="0" fontId="35" fillId="0" borderId="217" xfId="26" applyFont="1" applyBorder="1" applyAlignment="1" applyProtection="1">
      <alignment horizontal="center" vertical="center"/>
      <protection locked="0"/>
    </xf>
    <xf numFmtId="1" fontId="1" fillId="0" borderId="24" xfId="26" applyNumberFormat="1" applyFont="1" applyBorder="1" applyAlignment="1" applyProtection="1">
      <alignment horizontal="center" vertical="center"/>
      <protection locked="0"/>
    </xf>
    <xf numFmtId="37" fontId="75" fillId="16" borderId="60" xfId="10" applyFont="1" applyFill="1" applyBorder="1" applyAlignment="1" applyProtection="1">
      <alignment horizontal="center" vertical="center"/>
      <protection locked="0"/>
    </xf>
    <xf numFmtId="37" fontId="75" fillId="16" borderId="208" xfId="10" applyFont="1" applyFill="1" applyBorder="1" applyAlignment="1" applyProtection="1">
      <alignment horizontal="center" vertical="center"/>
      <protection locked="0"/>
    </xf>
    <xf numFmtId="37" fontId="19" fillId="0" borderId="174" xfId="10" applyFont="1" applyBorder="1" applyAlignment="1">
      <alignment horizontal="center" vertical="center"/>
    </xf>
    <xf numFmtId="37" fontId="19" fillId="0" borderId="127" xfId="10" applyFont="1" applyBorder="1" applyAlignment="1">
      <alignment horizontal="center" vertical="center"/>
    </xf>
    <xf numFmtId="37" fontId="19" fillId="0" borderId="126" xfId="10" applyFont="1" applyBorder="1" applyAlignment="1">
      <alignment horizontal="center" vertical="center"/>
    </xf>
    <xf numFmtId="37" fontId="74" fillId="17" borderId="66" xfId="10" applyFont="1" applyFill="1" applyBorder="1" applyAlignment="1">
      <alignment horizontal="center" vertical="center"/>
    </xf>
    <xf numFmtId="37" fontId="74" fillId="17" borderId="80" xfId="10" applyFont="1" applyFill="1" applyBorder="1" applyAlignment="1">
      <alignment horizontal="center" vertical="center"/>
    </xf>
    <xf numFmtId="1" fontId="25" fillId="17" borderId="199" xfId="0" applyNumberFormat="1" applyFont="1" applyFill="1" applyBorder="1" applyAlignment="1">
      <alignment horizontal="center" vertical="center"/>
    </xf>
    <xf numFmtId="1" fontId="25" fillId="17" borderId="208" xfId="0" applyNumberFormat="1" applyFont="1" applyFill="1" applyBorder="1" applyAlignment="1">
      <alignment horizontal="center" vertical="center"/>
    </xf>
    <xf numFmtId="37" fontId="76" fillId="17" borderId="68" xfId="10" applyFont="1" applyFill="1" applyBorder="1" applyAlignment="1">
      <alignment horizontal="center" vertical="center"/>
    </xf>
    <xf numFmtId="37" fontId="76" fillId="17" borderId="81" xfId="10" applyFont="1" applyFill="1" applyBorder="1" applyAlignment="1">
      <alignment horizontal="center" vertical="center"/>
    </xf>
    <xf numFmtId="37" fontId="19" fillId="0" borderId="18" xfId="10" applyFont="1" applyBorder="1" applyAlignment="1">
      <alignment horizontal="center" vertical="center"/>
    </xf>
    <xf numFmtId="37" fontId="19" fillId="0" borderId="0" xfId="10" applyFont="1" applyAlignment="1">
      <alignment horizontal="center" vertical="center"/>
    </xf>
    <xf numFmtId="37" fontId="19" fillId="0" borderId="70" xfId="10" applyFont="1" applyBorder="1" applyAlignment="1">
      <alignment horizontal="center" vertical="center"/>
    </xf>
    <xf numFmtId="37" fontId="59" fillId="0" borderId="147" xfId="10" applyFont="1" applyBorder="1" applyAlignment="1">
      <alignment horizontal="center" vertical="center"/>
    </xf>
    <xf numFmtId="37" fontId="59" fillId="0" borderId="75" xfId="10" applyFont="1" applyBorder="1" applyAlignment="1">
      <alignment horizontal="center" vertical="center"/>
    </xf>
    <xf numFmtId="37" fontId="59" fillId="0" borderId="148" xfId="10" applyFont="1" applyBorder="1" applyAlignment="1">
      <alignment horizontal="center" vertical="center"/>
    </xf>
    <xf numFmtId="37" fontId="59" fillId="0" borderId="61" xfId="10" applyFont="1" applyBorder="1" applyAlignment="1">
      <alignment horizontal="center" vertical="center"/>
    </xf>
    <xf numFmtId="37" fontId="59" fillId="0" borderId="77" xfId="10" applyFont="1" applyBorder="1" applyAlignment="1">
      <alignment horizontal="center" vertical="center"/>
    </xf>
    <xf numFmtId="37" fontId="19" fillId="19" borderId="30" xfId="10" applyFont="1" applyFill="1" applyBorder="1" applyAlignment="1">
      <alignment horizontal="center" vertical="center"/>
    </xf>
    <xf numFmtId="37" fontId="19" fillId="19" borderId="31" xfId="10" applyFont="1" applyFill="1" applyBorder="1" applyAlignment="1">
      <alignment horizontal="center" vertical="center"/>
    </xf>
    <xf numFmtId="37" fontId="19" fillId="19" borderId="50" xfId="1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37" fontId="19" fillId="0" borderId="213" xfId="10" applyFont="1" applyBorder="1" applyAlignment="1">
      <alignment horizontal="center" vertical="center"/>
    </xf>
    <xf numFmtId="37" fontId="19" fillId="0" borderId="19" xfId="10" applyFont="1" applyBorder="1" applyAlignment="1">
      <alignment horizontal="center" vertical="center"/>
    </xf>
    <xf numFmtId="37" fontId="19" fillId="0" borderId="62" xfId="10" applyFont="1" applyBorder="1" applyAlignment="1">
      <alignment horizontal="center" vertical="center"/>
    </xf>
    <xf numFmtId="37" fontId="19" fillId="0" borderId="162" xfId="10" applyFont="1" applyBorder="1" applyAlignment="1">
      <alignment horizontal="center" vertical="center"/>
    </xf>
    <xf numFmtId="37" fontId="19" fillId="0" borderId="163" xfId="10" applyFont="1" applyBorder="1" applyAlignment="1">
      <alignment horizontal="center" vertical="center"/>
    </xf>
    <xf numFmtId="37" fontId="19" fillId="0" borderId="27" xfId="10" applyFont="1" applyBorder="1" applyAlignment="1">
      <alignment horizontal="center" vertical="center"/>
    </xf>
    <xf numFmtId="37" fontId="19" fillId="0" borderId="23" xfId="10" applyFont="1" applyBorder="1" applyAlignment="1">
      <alignment horizontal="center" vertical="center"/>
    </xf>
    <xf numFmtId="37" fontId="19" fillId="0" borderId="44" xfId="10" applyFont="1" applyBorder="1" applyAlignment="1">
      <alignment horizontal="center" vertical="center"/>
    </xf>
    <xf numFmtId="0" fontId="77" fillId="0" borderId="198" xfId="0" applyFont="1" applyBorder="1" applyAlignment="1">
      <alignment horizontal="center"/>
    </xf>
    <xf numFmtId="0" fontId="77" fillId="0" borderId="199" xfId="0" applyFont="1" applyBorder="1" applyAlignment="1">
      <alignment horizontal="center"/>
    </xf>
    <xf numFmtId="0" fontId="77" fillId="0" borderId="200" xfId="0" applyFont="1" applyBorder="1" applyAlignment="1">
      <alignment horizontal="center"/>
    </xf>
    <xf numFmtId="14" fontId="64" fillId="16" borderId="19" xfId="15" applyNumberFormat="1" applyFont="1" applyFill="1" applyBorder="1" applyAlignment="1" applyProtection="1">
      <alignment horizontal="center"/>
      <protection locked="0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37" fontId="59" fillId="0" borderId="149" xfId="10" applyFont="1" applyBorder="1" applyAlignment="1">
      <alignment horizontal="center" vertical="center"/>
    </xf>
    <xf numFmtId="37" fontId="59" fillId="0" borderId="195" xfId="10" applyFont="1" applyBorder="1" applyAlignment="1">
      <alignment horizontal="center" vertical="center"/>
    </xf>
    <xf numFmtId="37" fontId="59" fillId="0" borderId="196" xfId="10" applyFont="1" applyBorder="1" applyAlignment="1">
      <alignment horizontal="center" vertical="center"/>
    </xf>
    <xf numFmtId="37" fontId="59" fillId="0" borderId="197" xfId="10" applyFont="1" applyBorder="1" applyAlignment="1">
      <alignment horizontal="center" vertical="center"/>
    </xf>
    <xf numFmtId="37" fontId="19" fillId="0" borderId="170" xfId="10" applyFont="1" applyBorder="1" applyAlignment="1">
      <alignment horizontal="center" vertical="center"/>
    </xf>
    <xf numFmtId="37" fontId="19" fillId="0" borderId="171" xfId="10" applyFont="1" applyBorder="1" applyAlignment="1">
      <alignment horizontal="center" vertical="center"/>
    </xf>
    <xf numFmtId="37" fontId="19" fillId="0" borderId="172" xfId="10" applyFont="1" applyBorder="1" applyAlignment="1">
      <alignment horizontal="center" vertical="center"/>
    </xf>
    <xf numFmtId="37" fontId="59" fillId="0" borderId="150" xfId="10" applyFont="1" applyBorder="1" applyAlignment="1">
      <alignment horizontal="center" vertical="center"/>
    </xf>
    <xf numFmtId="37" fontId="59" fillId="0" borderId="151" xfId="10" applyFont="1" applyBorder="1" applyAlignment="1">
      <alignment horizontal="center" vertical="center"/>
    </xf>
    <xf numFmtId="37" fontId="59" fillId="0" borderId="152" xfId="10" applyFont="1" applyBorder="1" applyAlignment="1">
      <alignment horizontal="center" vertical="center"/>
    </xf>
    <xf numFmtId="37" fontId="59" fillId="0" borderId="98" xfId="10" applyFont="1" applyBorder="1" applyAlignment="1">
      <alignment horizontal="center" vertical="center"/>
    </xf>
    <xf numFmtId="37" fontId="59" fillId="0" borderId="127" xfId="10" applyFont="1" applyBorder="1" applyAlignment="1">
      <alignment horizontal="center" vertical="center"/>
    </xf>
    <xf numFmtId="37" fontId="59" fillId="0" borderId="156" xfId="10" applyFont="1" applyBorder="1" applyAlignment="1">
      <alignment horizontal="center" vertical="center"/>
    </xf>
    <xf numFmtId="37" fontId="19" fillId="0" borderId="161" xfId="10" applyFont="1" applyBorder="1" applyAlignment="1">
      <alignment horizontal="center" vertical="center"/>
    </xf>
    <xf numFmtId="0" fontId="37" fillId="9" borderId="37" xfId="11" applyFont="1" applyFill="1" applyBorder="1" applyAlignment="1">
      <alignment horizontal="center"/>
    </xf>
    <xf numFmtId="0" fontId="37" fillId="9" borderId="0" xfId="11" applyFont="1" applyFill="1" applyAlignment="1">
      <alignment horizontal="center"/>
    </xf>
    <xf numFmtId="0" fontId="26" fillId="0" borderId="60" xfId="24" applyFont="1" applyBorder="1" applyAlignment="1">
      <alignment horizontal="center" vertical="center"/>
    </xf>
    <xf numFmtId="0" fontId="26" fillId="0" borderId="200" xfId="24" applyFont="1" applyBorder="1" applyAlignment="1">
      <alignment horizontal="center" vertical="center"/>
    </xf>
    <xf numFmtId="0" fontId="26" fillId="0" borderId="90" xfId="24" applyFont="1" applyBorder="1" applyAlignment="1">
      <alignment horizontal="center" vertical="center" shrinkToFit="1"/>
    </xf>
    <xf numFmtId="0" fontId="26" fillId="0" borderId="100" xfId="24" applyFont="1" applyBorder="1" applyAlignment="1">
      <alignment horizontal="center" vertical="center" shrinkToFit="1"/>
    </xf>
    <xf numFmtId="0" fontId="26" fillId="0" borderId="101" xfId="24" applyFont="1" applyBorder="1" applyAlignment="1">
      <alignment horizontal="center" vertical="center" shrinkToFit="1"/>
    </xf>
    <xf numFmtId="0" fontId="26" fillId="0" borderId="90" xfId="24" applyFont="1" applyBorder="1" applyAlignment="1">
      <alignment horizontal="center" vertical="center"/>
    </xf>
    <xf numFmtId="0" fontId="26" fillId="0" borderId="100" xfId="24" applyFont="1" applyBorder="1" applyAlignment="1">
      <alignment horizontal="center" vertical="center"/>
    </xf>
    <xf numFmtId="0" fontId="26" fillId="0" borderId="133" xfId="24" applyFont="1" applyBorder="1" applyAlignment="1">
      <alignment horizontal="center" vertical="center"/>
    </xf>
    <xf numFmtId="0" fontId="37" fillId="0" borderId="105" xfId="24" applyFont="1" applyBorder="1" applyAlignment="1">
      <alignment horizontal="left" vertical="center" shrinkToFit="1"/>
    </xf>
    <xf numFmtId="0" fontId="37" fillId="0" borderId="31" xfId="24" applyFont="1" applyBorder="1" applyAlignment="1">
      <alignment horizontal="left" vertical="center" shrinkToFit="1"/>
    </xf>
    <xf numFmtId="0" fontId="37" fillId="0" borderId="123" xfId="24" applyFont="1" applyBorder="1" applyAlignment="1">
      <alignment horizontal="left" vertical="center" shrinkToFit="1"/>
    </xf>
    <xf numFmtId="3" fontId="39" fillId="16" borderId="199" xfId="19" applyNumberFormat="1" applyFont="1" applyFill="1" applyBorder="1" applyAlignment="1" applyProtection="1">
      <alignment horizontal="center" vertical="center"/>
      <protection locked="0"/>
    </xf>
    <xf numFmtId="3" fontId="39" fillId="16" borderId="205" xfId="19" applyNumberFormat="1" applyFont="1" applyFill="1" applyBorder="1" applyAlignment="1" applyProtection="1">
      <alignment horizontal="center" vertical="center"/>
      <protection locked="0"/>
    </xf>
    <xf numFmtId="3" fontId="39" fillId="16" borderId="200" xfId="19" applyNumberFormat="1" applyFont="1" applyFill="1" applyBorder="1" applyAlignment="1" applyProtection="1">
      <alignment horizontal="center" vertical="center"/>
      <protection locked="0"/>
    </xf>
    <xf numFmtId="3" fontId="39" fillId="3" borderId="98" xfId="19" applyNumberFormat="1" applyFont="1" applyFill="1" applyBorder="1" applyAlignment="1" applyProtection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37" fontId="38" fillId="10" borderId="66" xfId="24" quotePrefix="1" applyNumberFormat="1" applyFont="1" applyFill="1" applyBorder="1" applyAlignment="1">
      <alignment horizontal="center" vertical="center"/>
    </xf>
    <xf numFmtId="37" fontId="38" fillId="10" borderId="58" xfId="24" applyNumberFormat="1" applyFont="1" applyFill="1" applyBorder="1" applyAlignment="1">
      <alignment horizontal="center" vertical="center"/>
    </xf>
    <xf numFmtId="37" fontId="38" fillId="10" borderId="124" xfId="24" applyNumberFormat="1" applyFont="1" applyFill="1" applyBorder="1" applyAlignment="1">
      <alignment horizontal="center" vertical="center"/>
    </xf>
    <xf numFmtId="14" fontId="36" fillId="10" borderId="58" xfId="24" applyNumberFormat="1" applyFont="1" applyFill="1" applyBorder="1" applyAlignment="1" applyProtection="1">
      <alignment horizontal="center" vertical="center"/>
      <protection locked="0"/>
    </xf>
    <xf numFmtId="14" fontId="36" fillId="10" borderId="80" xfId="24" applyNumberFormat="1" applyFont="1" applyFill="1" applyBorder="1" applyAlignment="1" applyProtection="1">
      <alignment horizontal="center" vertical="center"/>
      <protection locked="0"/>
    </xf>
    <xf numFmtId="0" fontId="36" fillId="0" borderId="205" xfId="24" applyFont="1" applyBorder="1" applyAlignment="1">
      <alignment horizontal="center" vertical="center"/>
    </xf>
    <xf numFmtId="0" fontId="36" fillId="0" borderId="200" xfId="24" applyFont="1" applyBorder="1" applyAlignment="1">
      <alignment horizontal="center" vertical="center"/>
    </xf>
    <xf numFmtId="0" fontId="36" fillId="0" borderId="98" xfId="24" applyFont="1" applyBorder="1" applyAlignment="1">
      <alignment horizontal="center" vertical="center"/>
    </xf>
    <xf numFmtId="0" fontId="36" fillId="0" borderId="127" xfId="24" applyFont="1" applyBorder="1" applyAlignment="1">
      <alignment horizontal="center" vertical="center"/>
    </xf>
    <xf numFmtId="0" fontId="36" fillId="0" borderId="128" xfId="24" applyFont="1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0" fontId="35" fillId="0" borderId="199" xfId="26" applyFont="1" applyBorder="1" applyAlignment="1" applyProtection="1">
      <alignment horizontal="left" vertical="center"/>
      <protection locked="0"/>
    </xf>
    <xf numFmtId="0" fontId="0" fillId="0" borderId="205" xfId="26" applyFont="1" applyBorder="1" applyAlignment="1" applyProtection="1">
      <alignment horizontal="left" vertical="center"/>
      <protection locked="0"/>
    </xf>
    <xf numFmtId="0" fontId="0" fillId="0" borderId="200" xfId="26" applyFont="1" applyBorder="1" applyAlignment="1" applyProtection="1">
      <alignment horizontal="left" vertical="center"/>
      <protection locked="0"/>
    </xf>
    <xf numFmtId="0" fontId="32" fillId="0" borderId="0" xfId="23" applyFont="1" applyAlignment="1" applyProtection="1">
      <alignment horizontal="center"/>
      <protection locked="0"/>
    </xf>
    <xf numFmtId="0" fontId="0" fillId="0" borderId="199" xfId="26" applyFont="1" applyBorder="1" applyAlignment="1" applyProtection="1">
      <alignment horizontal="center"/>
      <protection locked="0"/>
    </xf>
    <xf numFmtId="0" fontId="0" fillId="0" borderId="205" xfId="26" applyFont="1" applyBorder="1" applyAlignment="1" applyProtection="1">
      <alignment horizontal="center"/>
      <protection locked="0"/>
    </xf>
    <xf numFmtId="0" fontId="0" fillId="0" borderId="208" xfId="26" applyFont="1" applyBorder="1" applyAlignment="1" applyProtection="1">
      <alignment horizontal="center"/>
      <protection locked="0"/>
    </xf>
    <xf numFmtId="0" fontId="35" fillId="0" borderId="215" xfId="26" applyFont="1" applyBorder="1" applyAlignment="1" applyProtection="1">
      <alignment horizontal="left" vertical="center"/>
      <protection locked="0"/>
    </xf>
    <xf numFmtId="0" fontId="0" fillId="0" borderId="215" xfId="26" applyFont="1" applyBorder="1" applyAlignment="1" applyProtection="1">
      <alignment horizontal="left" vertical="center"/>
      <protection locked="0"/>
    </xf>
    <xf numFmtId="0" fontId="35" fillId="0" borderId="205" xfId="26" applyFont="1" applyBorder="1" applyAlignment="1" applyProtection="1">
      <alignment horizontal="left" vertical="center"/>
      <protection locked="0"/>
    </xf>
    <xf numFmtId="0" fontId="35" fillId="0" borderId="208" xfId="26" applyFont="1" applyBorder="1" applyAlignment="1" applyProtection="1">
      <alignment horizontal="left" vertical="center"/>
      <protection locked="0"/>
    </xf>
    <xf numFmtId="0" fontId="17" fillId="12" borderId="30" xfId="26" applyFont="1" applyFill="1" applyBorder="1" applyAlignment="1" applyProtection="1">
      <alignment horizontal="center" vertical="center"/>
      <protection locked="0"/>
    </xf>
    <xf numFmtId="0" fontId="17" fillId="12" borderId="77" xfId="26" applyFont="1" applyFill="1" applyBorder="1" applyAlignment="1" applyProtection="1">
      <alignment horizontal="center" vertical="center"/>
      <protection locked="0"/>
    </xf>
    <xf numFmtId="1" fontId="17" fillId="12" borderId="54" xfId="26" applyNumberFormat="1" applyFont="1" applyFill="1" applyBorder="1" applyAlignment="1" applyProtection="1">
      <alignment horizontal="center" vertical="center"/>
      <protection locked="0"/>
    </xf>
    <xf numFmtId="1" fontId="17" fillId="12" borderId="55" xfId="26" applyNumberFormat="1" applyFont="1" applyFill="1" applyBorder="1" applyAlignment="1" applyProtection="1">
      <alignment horizontal="center" vertical="center"/>
      <protection locked="0"/>
    </xf>
    <xf numFmtId="1" fontId="17" fillId="12" borderId="31" xfId="26" applyNumberFormat="1" applyFont="1" applyFill="1" applyBorder="1" applyAlignment="1" applyProtection="1">
      <alignment horizontal="center" vertical="center"/>
      <protection locked="0"/>
    </xf>
    <xf numFmtId="169" fontId="0" fillId="0" borderId="24" xfId="1" applyNumberFormat="1" applyFont="1" applyBorder="1" applyAlignment="1" applyProtection="1">
      <alignment horizontal="center" vertical="center"/>
      <protection locked="0"/>
    </xf>
    <xf numFmtId="0" fontId="13" fillId="0" borderId="22" xfId="26" applyFont="1" applyBorder="1" applyAlignment="1" applyProtection="1">
      <alignment horizontal="center" vertical="center"/>
      <protection locked="0"/>
    </xf>
    <xf numFmtId="0" fontId="13" fillId="0" borderId="26" xfId="26" applyFont="1" applyBorder="1" applyAlignment="1" applyProtection="1">
      <alignment horizontal="center" vertical="center"/>
      <protection locked="0"/>
    </xf>
    <xf numFmtId="0" fontId="13" fillId="0" borderId="215" xfId="26" applyFont="1" applyBorder="1" applyAlignment="1" applyProtection="1">
      <alignment horizontal="center" vertical="center"/>
      <protection locked="0"/>
    </xf>
    <xf numFmtId="0" fontId="13" fillId="0" borderId="199" xfId="26" applyFont="1" applyBorder="1" applyAlignment="1" applyProtection="1">
      <alignment horizontal="center" vertical="center"/>
      <protection locked="0"/>
    </xf>
    <xf numFmtId="0" fontId="13" fillId="0" borderId="24" xfId="26" applyFont="1" applyBorder="1" applyAlignment="1" applyProtection="1">
      <alignment horizontal="center" vertical="center"/>
      <protection locked="0"/>
    </xf>
    <xf numFmtId="0" fontId="13" fillId="0" borderId="28" xfId="26" applyFont="1" applyBorder="1" applyAlignment="1" applyProtection="1">
      <alignment horizontal="center" vertical="center"/>
      <protection locked="0"/>
    </xf>
    <xf numFmtId="0" fontId="0" fillId="12" borderId="37" xfId="26" applyFont="1" applyFill="1" applyBorder="1" applyAlignment="1" applyProtection="1">
      <alignment horizontal="center" vertical="center"/>
      <protection locked="0"/>
    </xf>
    <xf numFmtId="0" fontId="0" fillId="12" borderId="70" xfId="26" applyFont="1" applyFill="1" applyBorder="1" applyAlignment="1" applyProtection="1">
      <alignment horizontal="center" vertical="center"/>
      <protection locked="0"/>
    </xf>
    <xf numFmtId="0" fontId="0" fillId="12" borderId="0" xfId="26" applyFont="1" applyFill="1" applyAlignment="1" applyProtection="1">
      <alignment horizontal="center" vertical="center"/>
      <protection locked="0"/>
    </xf>
    <xf numFmtId="0" fontId="0" fillId="12" borderId="44" xfId="26" applyFont="1" applyFill="1" applyBorder="1" applyAlignment="1" applyProtection="1">
      <alignment horizontal="center" vertical="center"/>
      <protection locked="0"/>
    </xf>
    <xf numFmtId="0" fontId="0" fillId="12" borderId="19" xfId="26" applyFont="1" applyFill="1" applyBorder="1" applyAlignment="1" applyProtection="1">
      <alignment horizontal="center" vertical="center"/>
      <protection locked="0"/>
    </xf>
    <xf numFmtId="0" fontId="0" fillId="12" borderId="62" xfId="26" applyFont="1" applyFill="1" applyBorder="1" applyAlignment="1" applyProtection="1">
      <alignment horizontal="center" vertical="center"/>
      <protection locked="0"/>
    </xf>
    <xf numFmtId="0" fontId="1" fillId="0" borderId="0" xfId="26" applyFont="1" applyAlignment="1" applyProtection="1">
      <alignment horizontal="center"/>
      <protection locked="0"/>
    </xf>
    <xf numFmtId="15" fontId="14" fillId="0" borderId="0" xfId="26" applyNumberFormat="1" applyFont="1" applyAlignment="1" applyProtection="1">
      <alignment horizontal="center"/>
      <protection locked="0"/>
    </xf>
    <xf numFmtId="0" fontId="0" fillId="12" borderId="30" xfId="26" applyFont="1" applyFill="1" applyBorder="1" applyAlignment="1" applyProtection="1">
      <alignment horizontal="center" vertical="center"/>
      <protection locked="0"/>
    </xf>
    <xf numFmtId="0" fontId="0" fillId="12" borderId="31" xfId="26" applyFont="1" applyFill="1" applyBorder="1" applyAlignment="1" applyProtection="1">
      <alignment horizontal="center" vertical="center"/>
      <protection locked="0"/>
    </xf>
    <xf numFmtId="0" fontId="0" fillId="12" borderId="32" xfId="26" applyFont="1" applyFill="1" applyBorder="1" applyAlignment="1" applyProtection="1">
      <alignment horizontal="center" vertical="center" wrapText="1"/>
      <protection locked="0"/>
    </xf>
    <xf numFmtId="0" fontId="0" fillId="12" borderId="35" xfId="26" applyFont="1" applyFill="1" applyBorder="1" applyAlignment="1" applyProtection="1">
      <alignment horizontal="center" vertical="center" wrapText="1"/>
      <protection locked="0"/>
    </xf>
    <xf numFmtId="0" fontId="0" fillId="12" borderId="40" xfId="26" applyFont="1" applyFill="1" applyBorder="1" applyAlignment="1" applyProtection="1">
      <alignment horizontal="center" vertical="center" wrapText="1"/>
      <protection locked="0"/>
    </xf>
    <xf numFmtId="0" fontId="1" fillId="12" borderId="30" xfId="26" applyFont="1" applyFill="1" applyBorder="1" applyAlignment="1" applyProtection="1">
      <alignment horizontal="center" vertical="center"/>
      <protection locked="0"/>
    </xf>
    <xf numFmtId="0" fontId="1" fillId="12" borderId="31" xfId="26" applyFont="1" applyFill="1" applyBorder="1" applyAlignment="1" applyProtection="1">
      <alignment horizontal="center" vertical="center"/>
      <protection locked="0"/>
    </xf>
    <xf numFmtId="0" fontId="87" fillId="23" borderId="193" xfId="26" applyFont="1" applyFill="1" applyBorder="1" applyAlignment="1" applyProtection="1">
      <alignment horizontal="center" vertical="center" wrapText="1"/>
      <protection locked="0"/>
    </xf>
    <xf numFmtId="0" fontId="0" fillId="12" borderId="33" xfId="26" applyFont="1" applyFill="1" applyBorder="1" applyAlignment="1" applyProtection="1">
      <alignment horizontal="center" vertical="center" wrapText="1"/>
      <protection locked="0"/>
    </xf>
    <xf numFmtId="0" fontId="26" fillId="12" borderId="38" xfId="22" applyFont="1" applyFill="1" applyBorder="1" applyAlignment="1">
      <alignment horizontal="center" vertical="center" wrapText="1"/>
    </xf>
    <xf numFmtId="0" fontId="0" fillId="12" borderId="34" xfId="26" applyFont="1" applyFill="1" applyBorder="1" applyAlignment="1" applyProtection="1">
      <alignment horizontal="center" vertical="center"/>
      <protection locked="0"/>
    </xf>
    <xf numFmtId="0" fontId="26" fillId="12" borderId="39" xfId="22" applyFont="1" applyFill="1" applyBorder="1" applyAlignment="1">
      <alignment horizontal="center" vertical="center"/>
    </xf>
    <xf numFmtId="1" fontId="28" fillId="12" borderId="54" xfId="26" applyNumberFormat="1" applyFont="1" applyFill="1" applyBorder="1" applyAlignment="1" applyProtection="1">
      <alignment horizontal="center" vertical="center"/>
      <protection locked="0"/>
    </xf>
    <xf numFmtId="1" fontId="28" fillId="12" borderId="55" xfId="26" applyNumberFormat="1" applyFont="1" applyFill="1" applyBorder="1" applyAlignment="1" applyProtection="1">
      <alignment horizontal="center" vertical="center"/>
      <protection locked="0"/>
    </xf>
    <xf numFmtId="1" fontId="17" fillId="12" borderId="50" xfId="26" applyNumberFormat="1" applyFont="1" applyFill="1" applyBorder="1" applyAlignment="1" applyProtection="1">
      <alignment horizontal="center" vertical="center"/>
      <protection locked="0"/>
    </xf>
    <xf numFmtId="0" fontId="30" fillId="0" borderId="22" xfId="26" applyFont="1" applyBorder="1" applyAlignment="1" applyProtection="1">
      <alignment horizontal="center" vertical="center"/>
      <protection locked="0"/>
    </xf>
    <xf numFmtId="169" fontId="0" fillId="0" borderId="215" xfId="1" applyNumberFormat="1" applyFont="1" applyBorder="1" applyAlignment="1" applyProtection="1">
      <alignment horizontal="center" vertical="center"/>
      <protection locked="0"/>
    </xf>
    <xf numFmtId="0" fontId="13" fillId="0" borderId="224" xfId="26" applyFont="1" applyBorder="1" applyAlignment="1" applyProtection="1">
      <alignment horizontal="center" vertical="center"/>
      <protection locked="0"/>
    </xf>
    <xf numFmtId="0" fontId="24" fillId="0" borderId="215" xfId="26" applyFont="1" applyBorder="1" applyAlignment="1" applyProtection="1">
      <alignment horizontal="center" vertical="center"/>
      <protection locked="0"/>
    </xf>
    <xf numFmtId="0" fontId="30" fillId="0" borderId="215" xfId="26" applyFont="1" applyBorder="1" applyAlignment="1" applyProtection="1">
      <alignment horizontal="center" vertical="center"/>
      <protection locked="0"/>
    </xf>
    <xf numFmtId="169" fontId="0" fillId="0" borderId="22" xfId="1" applyNumberFormat="1" applyFont="1" applyBorder="1" applyAlignment="1" applyProtection="1">
      <alignment horizontal="center" vertical="center"/>
      <protection locked="0"/>
    </xf>
    <xf numFmtId="0" fontId="13" fillId="0" borderId="71" xfId="26" applyFont="1" applyBorder="1" applyAlignment="1" applyProtection="1">
      <alignment horizontal="center" vertical="center"/>
      <protection locked="0"/>
    </xf>
    <xf numFmtId="0" fontId="24" fillId="0" borderId="22" xfId="26" applyFont="1" applyBorder="1" applyAlignment="1" applyProtection="1">
      <alignment horizontal="center" vertical="center"/>
      <protection locked="0"/>
    </xf>
    <xf numFmtId="169" fontId="0" fillId="0" borderId="199" xfId="1" applyNumberFormat="1" applyFont="1" applyBorder="1" applyAlignment="1" applyProtection="1">
      <alignment horizontal="center" vertical="center"/>
      <protection locked="0"/>
    </xf>
    <xf numFmtId="169" fontId="0" fillId="0" borderId="200" xfId="1" applyNumberFormat="1" applyFont="1" applyBorder="1" applyAlignment="1" applyProtection="1">
      <alignment horizontal="center" vertical="center"/>
      <protection locked="0"/>
    </xf>
    <xf numFmtId="169" fontId="0" fillId="0" borderId="66" xfId="1" applyNumberFormat="1" applyFont="1" applyBorder="1" applyAlignment="1" applyProtection="1">
      <alignment horizontal="center" vertical="center"/>
      <protection locked="0"/>
    </xf>
    <xf numFmtId="169" fontId="0" fillId="0" borderId="65" xfId="1" applyNumberFormat="1" applyFont="1" applyBorder="1" applyAlignment="1" applyProtection="1">
      <alignment horizontal="center" vertical="center"/>
      <protection locked="0"/>
    </xf>
    <xf numFmtId="0" fontId="13" fillId="0" borderId="46" xfId="26" applyFont="1" applyBorder="1" applyAlignment="1" applyProtection="1">
      <alignment horizontal="center" vertical="center"/>
      <protection locked="0"/>
    </xf>
    <xf numFmtId="0" fontId="24" fillId="0" borderId="24" xfId="26" applyFont="1" applyBorder="1" applyAlignment="1" applyProtection="1">
      <alignment horizontal="center" vertical="center"/>
      <protection locked="0"/>
    </xf>
    <xf numFmtId="169" fontId="24" fillId="0" borderId="24" xfId="26" applyNumberFormat="1" applyFont="1" applyBorder="1" applyAlignment="1" applyProtection="1">
      <alignment horizontal="center" vertical="center"/>
      <protection locked="0"/>
    </xf>
    <xf numFmtId="0" fontId="27" fillId="12" borderId="30" xfId="26" applyFont="1" applyFill="1" applyBorder="1" applyAlignment="1" applyProtection="1">
      <alignment horizontal="center" vertical="center"/>
      <protection locked="0"/>
    </xf>
    <xf numFmtId="0" fontId="27" fillId="12" borderId="31" xfId="26" applyFont="1" applyFill="1" applyBorder="1" applyAlignment="1" applyProtection="1">
      <alignment horizontal="center" vertical="center"/>
      <protection locked="0"/>
    </xf>
    <xf numFmtId="0" fontId="27" fillId="12" borderId="50" xfId="26" applyFont="1" applyFill="1" applyBorder="1" applyAlignment="1" applyProtection="1">
      <alignment horizontal="center" vertical="center"/>
      <protection locked="0"/>
    </xf>
    <xf numFmtId="0" fontId="1" fillId="12" borderId="75" xfId="26" applyFont="1" applyFill="1" applyBorder="1" applyAlignment="1" applyProtection="1">
      <alignment horizontal="center" vertical="center" wrapText="1"/>
      <protection locked="0"/>
    </xf>
    <xf numFmtId="0" fontId="1" fillId="12" borderId="76" xfId="26" applyFont="1" applyFill="1" applyBorder="1" applyAlignment="1" applyProtection="1">
      <alignment horizontal="center" vertical="center" wrapText="1"/>
      <protection locked="0"/>
    </xf>
    <xf numFmtId="0" fontId="1" fillId="12" borderId="77" xfId="26" applyFont="1" applyFill="1" applyBorder="1" applyAlignment="1" applyProtection="1">
      <alignment horizontal="center" vertical="center" wrapText="1"/>
      <protection locked="0"/>
    </xf>
    <xf numFmtId="0" fontId="24" fillId="12" borderId="37" xfId="26" applyFont="1" applyFill="1" applyBorder="1" applyAlignment="1" applyProtection="1">
      <alignment horizontal="center" vertical="center"/>
      <protection locked="0"/>
    </xf>
    <xf numFmtId="0" fontId="24" fillId="12" borderId="70" xfId="26" applyFont="1" applyFill="1" applyBorder="1" applyAlignment="1" applyProtection="1">
      <alignment horizontal="center" vertical="center"/>
      <protection locked="0"/>
    </xf>
    <xf numFmtId="0" fontId="24" fillId="12" borderId="44" xfId="26" applyFont="1" applyFill="1" applyBorder="1" applyAlignment="1" applyProtection="1">
      <alignment horizontal="center" vertical="center"/>
      <protection locked="0"/>
    </xf>
    <xf numFmtId="0" fontId="24" fillId="12" borderId="77" xfId="26" applyFont="1" applyFill="1" applyBorder="1" applyAlignment="1" applyProtection="1">
      <alignment horizontal="center" vertical="center"/>
      <protection locked="0"/>
    </xf>
    <xf numFmtId="0" fontId="24" fillId="12" borderId="76" xfId="26" applyFont="1" applyFill="1" applyBorder="1" applyAlignment="1" applyProtection="1">
      <alignment horizontal="center" vertical="center"/>
      <protection locked="0"/>
    </xf>
    <xf numFmtId="0" fontId="30" fillId="0" borderId="24" xfId="26" applyFont="1" applyBorder="1" applyAlignment="1" applyProtection="1">
      <alignment horizontal="center" vertical="center"/>
      <protection locked="0"/>
    </xf>
    <xf numFmtId="0" fontId="24" fillId="12" borderId="62" xfId="26" applyFont="1" applyFill="1" applyBorder="1" applyAlignment="1" applyProtection="1">
      <alignment horizontal="center" vertical="center"/>
      <protection locked="0"/>
    </xf>
    <xf numFmtId="0" fontId="35" fillId="0" borderId="232" xfId="26" applyFont="1" applyBorder="1" applyAlignment="1" applyProtection="1">
      <alignment horizontal="left" vertical="center"/>
      <protection locked="0"/>
    </xf>
    <xf numFmtId="0" fontId="35" fillId="0" borderId="231" xfId="26" applyFont="1" applyBorder="1" applyAlignment="1" applyProtection="1">
      <alignment horizontal="left" vertical="center"/>
      <protection locked="0"/>
    </xf>
    <xf numFmtId="0" fontId="0" fillId="0" borderId="199" xfId="26" applyFont="1" applyBorder="1" applyAlignment="1" applyProtection="1">
      <alignment horizontal="left" vertical="center"/>
      <protection locked="0"/>
    </xf>
    <xf numFmtId="0" fontId="0" fillId="0" borderId="208" xfId="26" applyFont="1" applyBorder="1" applyAlignment="1" applyProtection="1">
      <alignment horizontal="left" vertical="center"/>
      <protection locked="0"/>
    </xf>
    <xf numFmtId="169" fontId="30" fillId="0" borderId="215" xfId="26" applyNumberFormat="1" applyFont="1" applyBorder="1" applyAlignment="1" applyProtection="1">
      <alignment horizontal="center" vertical="center"/>
      <protection locked="0"/>
    </xf>
    <xf numFmtId="169" fontId="13" fillId="0" borderId="22" xfId="26" applyNumberFormat="1" applyFont="1" applyBorder="1" applyAlignment="1" applyProtection="1">
      <alignment horizontal="center" vertical="center"/>
      <protection locked="0"/>
    </xf>
    <xf numFmtId="0" fontId="35" fillId="0" borderId="200" xfId="26" applyFont="1" applyBorder="1" applyAlignment="1" applyProtection="1">
      <alignment horizontal="left" vertical="center"/>
      <protection locked="0"/>
    </xf>
    <xf numFmtId="0" fontId="17" fillId="12" borderId="50" xfId="26" applyFont="1" applyFill="1" applyBorder="1" applyAlignment="1" applyProtection="1">
      <alignment horizontal="center" vertical="center"/>
      <protection locked="0"/>
    </xf>
    <xf numFmtId="0" fontId="35" fillId="0" borderId="28" xfId="26" applyFont="1" applyBorder="1" applyAlignment="1" applyProtection="1">
      <alignment horizontal="left" vertical="center"/>
      <protection locked="0"/>
    </xf>
    <xf numFmtId="0" fontId="0" fillId="0" borderId="29" xfId="26" applyFont="1" applyBorder="1" applyAlignment="1" applyProtection="1">
      <alignment horizontal="left" vertical="center"/>
      <protection locked="0"/>
    </xf>
    <xf numFmtId="0" fontId="0" fillId="0" borderId="25" xfId="26" applyFont="1" applyBorder="1" applyAlignment="1" applyProtection="1">
      <alignment horizontal="left" vertical="center"/>
      <protection locked="0"/>
    </xf>
    <xf numFmtId="0" fontId="35" fillId="0" borderId="228" xfId="26" applyFont="1" applyBorder="1" applyAlignment="1" applyProtection="1">
      <alignment horizontal="left" vertical="center"/>
      <protection locked="0"/>
    </xf>
    <xf numFmtId="0" fontId="0" fillId="0" borderId="82" xfId="26" applyFont="1" applyBorder="1" applyAlignment="1" applyProtection="1">
      <alignment horizontal="left" vertical="center"/>
      <protection locked="0"/>
    </xf>
    <xf numFmtId="0" fontId="0" fillId="0" borderId="231" xfId="26" applyFont="1" applyBorder="1" applyAlignment="1" applyProtection="1">
      <alignment horizontal="left" vertical="center"/>
      <protection locked="0"/>
    </xf>
    <xf numFmtId="0" fontId="35" fillId="0" borderId="199" xfId="26" applyFont="1" applyBorder="1" applyAlignment="1" applyProtection="1">
      <alignment horizontal="center" vertical="center"/>
      <protection locked="0"/>
    </xf>
    <xf numFmtId="0" fontId="35" fillId="0" borderId="205" xfId="26" applyFont="1" applyBorder="1" applyAlignment="1" applyProtection="1">
      <alignment horizontal="center" vertical="center"/>
      <protection locked="0"/>
    </xf>
    <xf numFmtId="0" fontId="35" fillId="0" borderId="208" xfId="26" applyFont="1" applyBorder="1" applyAlignment="1" applyProtection="1">
      <alignment horizontal="center" vertical="center"/>
      <protection locked="0"/>
    </xf>
    <xf numFmtId="0" fontId="35" fillId="0" borderId="229" xfId="26" applyFont="1" applyBorder="1" applyAlignment="1" applyProtection="1">
      <alignment horizontal="left" vertical="center"/>
      <protection locked="0"/>
    </xf>
    <xf numFmtId="0" fontId="0" fillId="0" borderId="229" xfId="26" applyFont="1" applyBorder="1" applyAlignment="1" applyProtection="1">
      <alignment horizontal="left" vertical="center"/>
      <protection locked="0"/>
    </xf>
    <xf numFmtId="0" fontId="35" fillId="0" borderId="228" xfId="26" applyFont="1" applyBorder="1" applyAlignment="1" applyProtection="1">
      <alignment horizontal="center" vertical="center"/>
      <protection locked="0"/>
    </xf>
    <xf numFmtId="0" fontId="35" fillId="0" borderId="29" xfId="26" applyFont="1" applyBorder="1" applyAlignment="1" applyProtection="1">
      <alignment horizontal="center" vertical="center"/>
      <protection locked="0"/>
    </xf>
    <xf numFmtId="0" fontId="35" fillId="0" borderId="82" xfId="26" applyFont="1" applyBorder="1" applyAlignment="1" applyProtection="1">
      <alignment horizontal="center" vertical="center"/>
      <protection locked="0"/>
    </xf>
    <xf numFmtId="169" fontId="35" fillId="0" borderId="215" xfId="1" applyNumberFormat="1" applyFont="1" applyBorder="1" applyAlignment="1" applyProtection="1">
      <alignment horizontal="center" vertical="center"/>
      <protection locked="0"/>
    </xf>
    <xf numFmtId="169" fontId="35" fillId="0" borderId="22" xfId="1" applyNumberFormat="1" applyFont="1" applyBorder="1" applyAlignment="1" applyProtection="1">
      <alignment horizontal="center" vertical="center"/>
      <protection locked="0"/>
    </xf>
    <xf numFmtId="169" fontId="35" fillId="0" borderId="199" xfId="1" applyNumberFormat="1" applyFont="1" applyBorder="1" applyAlignment="1" applyProtection="1">
      <alignment horizontal="center" vertical="center"/>
      <protection locked="0"/>
    </xf>
    <xf numFmtId="169" fontId="35" fillId="0" borderId="200" xfId="1" applyNumberFormat="1" applyFont="1" applyBorder="1" applyAlignment="1" applyProtection="1">
      <alignment horizontal="center" vertical="center"/>
      <protection locked="0"/>
    </xf>
    <xf numFmtId="169" fontId="24" fillId="0" borderId="215" xfId="1" applyNumberFormat="1" applyFont="1" applyBorder="1" applyAlignment="1" applyProtection="1">
      <alignment horizontal="center" vertical="center"/>
      <protection locked="0"/>
    </xf>
    <xf numFmtId="169" fontId="35" fillId="0" borderId="24" xfId="1" applyNumberFormat="1" applyFont="1" applyBorder="1" applyAlignment="1" applyProtection="1">
      <alignment horizontal="center" vertical="center"/>
      <protection locked="0"/>
    </xf>
    <xf numFmtId="0" fontId="0" fillId="9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0" borderId="215" xfId="0" applyBorder="1" applyAlignment="1">
      <alignment horizontal="center" vertical="center"/>
    </xf>
    <xf numFmtId="0" fontId="0" fillId="0" borderId="215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15" xfId="0" applyFill="1" applyBorder="1" applyAlignment="1">
      <alignment horizontal="left"/>
    </xf>
    <xf numFmtId="0" fontId="0" fillId="0" borderId="199" xfId="0" applyBorder="1" applyAlignment="1">
      <alignment horizontal="center"/>
    </xf>
    <xf numFmtId="0" fontId="0" fillId="0" borderId="200" xfId="0" applyBorder="1" applyAlignment="1">
      <alignment horizontal="center"/>
    </xf>
    <xf numFmtId="0" fontId="0" fillId="0" borderId="205" xfId="0" applyBorder="1" applyAlignment="1">
      <alignment horizontal="center"/>
    </xf>
    <xf numFmtId="0" fontId="18" fillId="0" borderId="199" xfId="25" applyFont="1" applyBorder="1" applyAlignment="1" applyProtection="1">
      <alignment horizontal="left" vertical="center"/>
      <protection locked="0"/>
    </xf>
    <xf numFmtId="0" fontId="18" fillId="0" borderId="205" xfId="25" applyFont="1" applyBorder="1" applyAlignment="1" applyProtection="1">
      <alignment horizontal="left" vertical="center"/>
      <protection locked="0"/>
    </xf>
    <xf numFmtId="0" fontId="18" fillId="0" borderId="200" xfId="25" applyFont="1" applyBorder="1" applyAlignment="1" applyProtection="1">
      <alignment horizontal="left" vertical="center"/>
      <protection locked="0"/>
    </xf>
    <xf numFmtId="0" fontId="0" fillId="0" borderId="215" xfId="0" applyBorder="1" applyAlignment="1">
      <alignment horizontal="left"/>
    </xf>
    <xf numFmtId="167" fontId="13" fillId="0" borderId="0" xfId="0" applyNumberFormat="1" applyFont="1" applyAlignment="1">
      <alignment horizontal="center"/>
    </xf>
    <xf numFmtId="0" fontId="1" fillId="3" borderId="215" xfId="0" applyFont="1" applyFill="1" applyBorder="1" applyAlignment="1">
      <alignment horizontal="center"/>
    </xf>
    <xf numFmtId="0" fontId="0" fillId="3" borderId="215" xfId="0" applyFill="1" applyBorder="1" applyAlignment="1">
      <alignment horizontal="center"/>
    </xf>
    <xf numFmtId="0" fontId="1" fillId="0" borderId="199" xfId="0" applyFont="1" applyBorder="1" applyAlignment="1">
      <alignment horizontal="center"/>
    </xf>
    <xf numFmtId="0" fontId="1" fillId="0" borderId="205" xfId="0" applyFont="1" applyBorder="1" applyAlignment="1">
      <alignment horizontal="center"/>
    </xf>
    <xf numFmtId="0" fontId="1" fillId="0" borderId="200" xfId="0" applyFont="1" applyBorder="1" applyAlignment="1">
      <alignment horizontal="center"/>
    </xf>
    <xf numFmtId="0" fontId="5" fillId="2" borderId="1" xfId="14" applyFont="1" applyFill="1" applyBorder="1" applyAlignment="1">
      <alignment horizontal="center" vertical="center"/>
    </xf>
    <xf numFmtId="0" fontId="5" fillId="5" borderId="0" xfId="14" applyFont="1" applyFill="1" applyAlignment="1">
      <alignment horizontal="center" vertical="center"/>
    </xf>
    <xf numFmtId="0" fontId="5" fillId="5" borderId="19" xfId="14" applyFont="1" applyFill="1" applyBorder="1" applyAlignment="1">
      <alignment horizontal="center" vertical="center"/>
    </xf>
    <xf numFmtId="0" fontId="5" fillId="2" borderId="1" xfId="14" quotePrefix="1" applyFont="1" applyFill="1" applyBorder="1" applyAlignment="1">
      <alignment horizontal="center"/>
    </xf>
    <xf numFmtId="0" fontId="5" fillId="2" borderId="1" xfId="14" applyFont="1" applyFill="1" applyBorder="1" applyAlignment="1">
      <alignment horizontal="center"/>
    </xf>
    <xf numFmtId="0" fontId="5" fillId="2" borderId="1" xfId="14" applyFont="1" applyFill="1" applyBorder="1" applyAlignment="1">
      <alignment horizontal="center" vertical="center" textRotation="255"/>
    </xf>
    <xf numFmtId="0" fontId="5" fillId="5" borderId="2" xfId="14" applyFont="1" applyFill="1" applyBorder="1" applyAlignment="1">
      <alignment horizontal="center" vertical="center" textRotation="255"/>
    </xf>
    <xf numFmtId="0" fontId="5" fillId="5" borderId="3" xfId="14" applyFont="1" applyFill="1" applyBorder="1" applyAlignment="1">
      <alignment horizontal="center" vertical="center" textRotation="255"/>
    </xf>
    <xf numFmtId="0" fontId="5" fillId="5" borderId="4" xfId="14" applyFont="1" applyFill="1" applyBorder="1" applyAlignment="1">
      <alignment horizontal="center" vertical="center" textRotation="255"/>
    </xf>
    <xf numFmtId="0" fontId="5" fillId="2" borderId="5" xfId="14" applyFont="1" applyFill="1" applyBorder="1" applyAlignment="1">
      <alignment horizontal="center" vertical="center"/>
    </xf>
    <xf numFmtId="0" fontId="5" fillId="2" borderId="8" xfId="14" applyFont="1" applyFill="1" applyBorder="1" applyAlignment="1">
      <alignment horizontal="center" vertical="center"/>
    </xf>
    <xf numFmtId="0" fontId="5" fillId="2" borderId="10" xfId="14" applyFont="1" applyFill="1" applyBorder="1" applyAlignment="1">
      <alignment horizontal="center" vertical="center"/>
    </xf>
    <xf numFmtId="0" fontId="5" fillId="2" borderId="2" xfId="14" applyFont="1" applyFill="1" applyBorder="1" applyAlignment="1">
      <alignment horizontal="center" vertical="center"/>
    </xf>
    <xf numFmtId="0" fontId="5" fillId="2" borderId="3" xfId="14" applyFont="1" applyFill="1" applyBorder="1" applyAlignment="1">
      <alignment horizontal="center" vertical="center"/>
    </xf>
    <xf numFmtId="0" fontId="5" fillId="2" borderId="4" xfId="14" applyFont="1" applyFill="1" applyBorder="1" applyAlignment="1">
      <alignment horizontal="center" vertical="center"/>
    </xf>
    <xf numFmtId="49" fontId="2" fillId="0" borderId="0" xfId="16" applyNumberFormat="1" applyFont="1" applyAlignment="1">
      <alignment horizontal="center" vertical="center"/>
    </xf>
    <xf numFmtId="0" fontId="2" fillId="0" borderId="0" xfId="16" applyFont="1" applyAlignment="1">
      <alignment horizontal="center" vertical="center"/>
    </xf>
    <xf numFmtId="49" fontId="2" fillId="0" borderId="0" xfId="16" applyNumberFormat="1" applyFont="1" applyAlignment="1">
      <alignment horizontal="left"/>
    </xf>
    <xf numFmtId="1" fontId="2" fillId="0" borderId="0" xfId="16" applyNumberFormat="1" applyFont="1" applyAlignment="1">
      <alignment horizontal="left"/>
    </xf>
    <xf numFmtId="0" fontId="0" fillId="0" borderId="0" xfId="5" applyFont="1" applyAlignment="1">
      <alignment horizontal="left"/>
    </xf>
    <xf numFmtId="0" fontId="0" fillId="0" borderId="0" xfId="16" applyFont="1" applyAlignment="1">
      <alignment horizontal="left"/>
    </xf>
    <xf numFmtId="0" fontId="3" fillId="0" borderId="0" xfId="16" applyFont="1" applyAlignment="1">
      <alignment horizontal="center"/>
    </xf>
    <xf numFmtId="0" fontId="2" fillId="0" borderId="0" xfId="16" applyFont="1" applyAlignment="1">
      <alignment horizontal="left" indent="2"/>
    </xf>
  </cellXfs>
  <cellStyles count="28">
    <cellStyle name="Comma" xfId="1" builtinId="3"/>
    <cellStyle name="Comma 2" xfId="3" xr:uid="{00000000-0005-0000-0000-000031000000}"/>
    <cellStyle name="Hyperlink 2" xfId="4" xr:uid="{00000000-0005-0000-0000-000032000000}"/>
    <cellStyle name="Normal" xfId="0" builtinId="0"/>
    <cellStyle name="Normal 2" xfId="5" xr:uid="{00000000-0005-0000-0000-000033000000}"/>
    <cellStyle name="Normal 3" xfId="6" xr:uid="{00000000-0005-0000-0000-000034000000}"/>
    <cellStyle name="Normal 4" xfId="7" xr:uid="{00000000-0005-0000-0000-000035000000}"/>
    <cellStyle name="Normal 5" xfId="8" xr:uid="{00000000-0005-0000-0000-000036000000}"/>
    <cellStyle name="Normal 6" xfId="9" xr:uid="{00000000-0005-0000-0000-000037000000}"/>
    <cellStyle name="Normal_FORMTILE" xfId="10" xr:uid="{00000000-0005-0000-0000-000038000000}"/>
    <cellStyle name="Normal_np1_130347" xfId="11" xr:uid="{00000000-0005-0000-0000-000039000000}"/>
    <cellStyle name="Normal_ns_180447" xfId="12" xr:uid="{00000000-0005-0000-0000-00003A000000}"/>
    <cellStyle name="Normal_r170447" xfId="13" xr:uid="{00000000-0005-0000-0000-00003B000000}"/>
    <cellStyle name="Normal_TNP1_30มิถุนายน47" xfId="14" xr:uid="{00000000-0005-0000-0000-00003C000000}"/>
    <cellStyle name="Normal_TNP1M100347" xfId="15" xr:uid="{00000000-0005-0000-0000-00003D000000}"/>
    <cellStyle name="Normal_ใบเบิกปูน+นำมัน ส่งพัสดุ" xfId="16" xr:uid="{00000000-0005-0000-0000-00003E000000}"/>
    <cellStyle name="Percent" xfId="2" builtinId="5"/>
    <cellStyle name="Percent 2" xfId="17" xr:uid="{00000000-0005-0000-0000-00003F000000}"/>
    <cellStyle name="Percent 3" xfId="18" xr:uid="{00000000-0005-0000-0000-000040000000}"/>
    <cellStyle name="เครื่องหมายจุลภาค_Gnfpd113NP" xfId="19" xr:uid="{00000000-0005-0000-0000-000041000000}"/>
    <cellStyle name="ปกติ_Book1" xfId="20" xr:uid="{00000000-0005-0000-0000-000042000000}"/>
    <cellStyle name="ปกติ_Book1 2" xfId="21" xr:uid="{00000000-0005-0000-0000-000043000000}"/>
    <cellStyle name="ปกติ_Book2 2" xfId="22" xr:uid="{00000000-0005-0000-0000-000044000000}"/>
    <cellStyle name="ปกติ_Book3 2" xfId="23" xr:uid="{00000000-0005-0000-0000-000045000000}"/>
    <cellStyle name="ปกติ_Gnfpd113NP" xfId="24" xr:uid="{00000000-0005-0000-0000-000046000000}"/>
    <cellStyle name="ปกติ_new  2004 ridge" xfId="25" xr:uid="{00000000-0005-0000-0000-000047000000}"/>
    <cellStyle name="ปกติ_new  2004 ridge 2" xfId="26" xr:uid="{00000000-0005-0000-0000-000048000000}"/>
    <cellStyle name="ปกติ_TNP1M060347" xfId="27" xr:uid="{00000000-0005-0000-0000-00004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50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กราฟ!$B$1</c:f>
              <c:strCache>
                <c:ptCount val="1"/>
                <c:pt idx="0">
                  <c:v>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total</c:v>
                </c:pt>
              </c:strCache>
            </c:strRef>
          </c:cat>
          <c:val>
            <c:numRef>
              <c:f>กราฟ!$B$2:$B$33</c:f>
              <c:numCache>
                <c:formatCode>_-* #,##0.00_-;\-* #,##0.00_-;_-* "-"??_-;_-@_-</c:formatCode>
                <c:ptCount val="32"/>
                <c:pt idx="0">
                  <c:v>93.022415039768617</c:v>
                </c:pt>
                <c:pt idx="1">
                  <c:v>0</c:v>
                </c:pt>
                <c:pt idx="2">
                  <c:v>0</c:v>
                </c:pt>
                <c:pt idx="3">
                  <c:v>97.022094140249763</c:v>
                </c:pt>
                <c:pt idx="4">
                  <c:v>90.304382051954875</c:v>
                </c:pt>
                <c:pt idx="5">
                  <c:v>88.447937131630653</c:v>
                </c:pt>
                <c:pt idx="6">
                  <c:v>89.927679158448399</c:v>
                </c:pt>
                <c:pt idx="7">
                  <c:v>91.838006230529587</c:v>
                </c:pt>
                <c:pt idx="8">
                  <c:v>0</c:v>
                </c:pt>
                <c:pt idx="9">
                  <c:v>0</c:v>
                </c:pt>
                <c:pt idx="10">
                  <c:v>85.271218889597961</c:v>
                </c:pt>
                <c:pt idx="11">
                  <c:v>0</c:v>
                </c:pt>
                <c:pt idx="12">
                  <c:v>97.121266642677213</c:v>
                </c:pt>
                <c:pt idx="13">
                  <c:v>93.230373230373232</c:v>
                </c:pt>
                <c:pt idx="14">
                  <c:v>95.584212583040255</c:v>
                </c:pt>
                <c:pt idx="15">
                  <c:v>0</c:v>
                </c:pt>
                <c:pt idx="16">
                  <c:v>0</c:v>
                </c:pt>
                <c:pt idx="17">
                  <c:v>91.957630443311103</c:v>
                </c:pt>
                <c:pt idx="18">
                  <c:v>94.493016918360397</c:v>
                </c:pt>
                <c:pt idx="19">
                  <c:v>96.390977443609032</c:v>
                </c:pt>
                <c:pt idx="20">
                  <c:v>97.337110481586393</c:v>
                </c:pt>
                <c:pt idx="21">
                  <c:v>91.025004139758238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0">
                  <c:v>92.815475815097443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C-42F1-BE81-122A8280F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868751"/>
        <c:axId val="561494351"/>
      </c:lineChart>
      <c:catAx>
        <c:axId val="5668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94351"/>
        <c:crosses val="autoZero"/>
        <c:auto val="1"/>
        <c:lblAlgn val="ctr"/>
        <c:lblOffset val="100"/>
        <c:noMultiLvlLbl val="0"/>
      </c:catAx>
      <c:valAx>
        <c:axId val="5614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กราฟ!$C$1</c:f>
              <c:strCache>
                <c:ptCount val="1"/>
                <c:pt idx="0">
                  <c:v>PR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กราฟ!$A$2:$A$33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total</c:v>
                </c:pt>
              </c:strCache>
            </c:strRef>
          </c:cat>
          <c:val>
            <c:numRef>
              <c:f>กราฟ!$C$2:$C$33</c:f>
              <c:numCache>
                <c:formatCode>_-* #,##0.00_-;\-* #,##0.00_-;_-* "-"??_-;_-@_-</c:formatCode>
                <c:ptCount val="32"/>
                <c:pt idx="0">
                  <c:v>46.884311439305613</c:v>
                </c:pt>
                <c:pt idx="1">
                  <c:v>0</c:v>
                </c:pt>
                <c:pt idx="2">
                  <c:v>0</c:v>
                </c:pt>
                <c:pt idx="3">
                  <c:v>63.158887317303162</c:v>
                </c:pt>
                <c:pt idx="4">
                  <c:v>62.918301128383938</c:v>
                </c:pt>
                <c:pt idx="5">
                  <c:v>76.29201836220939</c:v>
                </c:pt>
                <c:pt idx="6">
                  <c:v>60.998196617439191</c:v>
                </c:pt>
                <c:pt idx="7">
                  <c:v>57.473993668023518</c:v>
                </c:pt>
                <c:pt idx="8">
                  <c:v>0</c:v>
                </c:pt>
                <c:pt idx="9">
                  <c:v>0</c:v>
                </c:pt>
                <c:pt idx="10">
                  <c:v>49.303996407723396</c:v>
                </c:pt>
                <c:pt idx="11">
                  <c:v>0</c:v>
                </c:pt>
                <c:pt idx="12">
                  <c:v>68.070478778148285</c:v>
                </c:pt>
                <c:pt idx="13">
                  <c:v>69.156083195288048</c:v>
                </c:pt>
                <c:pt idx="14">
                  <c:v>72.996729354047432</c:v>
                </c:pt>
                <c:pt idx="15">
                  <c:v>0</c:v>
                </c:pt>
                <c:pt idx="16">
                  <c:v>0</c:v>
                </c:pt>
                <c:pt idx="17">
                  <c:v>68.003412969283275</c:v>
                </c:pt>
                <c:pt idx="18">
                  <c:v>64.587839461667869</c:v>
                </c:pt>
                <c:pt idx="19">
                  <c:v>66.666666666666657</c:v>
                </c:pt>
                <c:pt idx="20">
                  <c:v>68.810632518432286</c:v>
                </c:pt>
                <c:pt idx="21">
                  <c:v>72.736644230186158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0">
                  <c:v>64.128914632558192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1-4BD4-BD49-5C9365289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45343"/>
        <c:axId val="2103882159"/>
      </c:lineChart>
      <c:catAx>
        <c:axId val="56894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82159"/>
        <c:crosses val="autoZero"/>
        <c:auto val="1"/>
        <c:lblAlgn val="ctr"/>
        <c:lblOffset val="100"/>
        <c:noMultiLvlLbl val="0"/>
      </c:catAx>
      <c:valAx>
        <c:axId val="21038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4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en-US"/>
              <a:t>% Reject </a:t>
            </a:r>
            <a:r>
              <a:rPr lang="th-TH"/>
              <a:t>แยกสาเหตุ</a:t>
            </a:r>
          </a:p>
        </c:rich>
      </c:tx>
      <c:layout>
        <c:manualLayout>
          <c:xMode val="edge"/>
          <c:yMode val="edge"/>
          <c:x val="0.42890202045569797"/>
          <c:y val="3.44827958149067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718596882419003E-2"/>
          <c:y val="0.21917844870111999"/>
          <c:w val="0.903377524486217"/>
          <c:h val="0.554795448274708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7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'สรุป '!$F$12:$N$12</c:f>
              <c:strCache>
                <c:ptCount val="9"/>
                <c:pt idx="0">
                  <c:v>ร้าว</c:v>
                </c:pt>
                <c:pt idx="1">
                  <c:v>ปูนติดผ้า</c:v>
                </c:pt>
                <c:pt idx="2">
                  <c:v>สี</c:v>
                </c:pt>
                <c:pt idx="3">
                  <c:v>GEP</c:v>
                </c:pt>
                <c:pt idx="4">
                  <c:v>บิ่น แหว่ง</c:v>
                </c:pt>
                <c:pt idx="5">
                  <c:v>ข้างไม่เรียบ</c:v>
                </c:pt>
                <c:pt idx="6">
                  <c:v>ยกเข้า Rack</c:v>
                </c:pt>
                <c:pt idx="7">
                  <c:v>อื่นๆ</c:v>
                </c:pt>
                <c:pt idx="8">
                  <c:v>รวม</c:v>
                </c:pt>
              </c:strCache>
            </c:strRef>
          </c:cat>
          <c:val>
            <c:numRef>
              <c:f>'สรุป '!$F$18:$N$18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1.1570247933884297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9-4FD6-B826-2EFE5FF5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8905551"/>
        <c:axId val="1"/>
      </c:barChart>
      <c:catAx>
        <c:axId val="618905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/>
                </a:solidFill>
                <a:latin typeface="CordiaUPC" panose="020B0304020202020204"/>
                <a:ea typeface="CordiaUPC" panose="020B0304020202020204"/>
                <a:cs typeface="CordiaUPC" panose="020B030402020202020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7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18905551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91dc755-40ef-4a7f-bc22-a8885dd991e4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25</xdr:row>
      <xdr:rowOff>32871</xdr:rowOff>
    </xdr:from>
    <xdr:to>
      <xdr:col>21</xdr:col>
      <xdr:colOff>628704</xdr:colOff>
      <xdr:row>41</xdr:row>
      <xdr:rowOff>227948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12534900" y="6461760"/>
          <a:ext cx="1885950" cy="428117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27432" tIns="45720" rIns="0" bIns="0" anchor="t" upright="1"/>
        <a:lstStyle/>
        <a:p>
          <a:pPr algn="l" rtl="1">
            <a:lnSpc>
              <a:spcPts val="1800"/>
            </a:lnSpc>
            <a:defRPr sz="1000"/>
          </a:pPr>
          <a:r>
            <a:rPr lang="th-TH" sz="1600" b="0" i="0" strike="noStrike">
              <a:solidFill>
                <a:srgbClr val="000000"/>
              </a:solidFill>
              <a:latin typeface="CordiaUPC" panose="020B0304020202020204"/>
              <a:cs typeface="CordiaUPC" panose="020B0304020202020204"/>
            </a:rPr>
            <a:t> - เลข </a:t>
          </a:r>
          <a:r>
            <a:rPr lang="en-US" sz="1600" b="0" i="0" strike="noStrike">
              <a:solidFill>
                <a:srgbClr val="000000"/>
              </a:solidFill>
              <a:latin typeface="CordiaUPC" panose="020B0304020202020204"/>
              <a:cs typeface="CordiaUPC" panose="020B0304020202020204"/>
            </a:rPr>
            <a:t>Lot </a:t>
          </a:r>
          <a:r>
            <a:rPr lang="th-TH" sz="1600" b="0" i="0" strike="noStrike">
              <a:solidFill>
                <a:srgbClr val="000000"/>
              </a:solidFill>
              <a:latin typeface="CordiaUPC" panose="020B0304020202020204"/>
              <a:cs typeface="CordiaUPC" panose="020B0304020202020204"/>
            </a:rPr>
            <a:t>ในลำดับที่ 3 (นับจากทางขวามือ) เป็นตัวเลขที่ทำขึ้นเพื่อแยกชนิดครอบในระบบฐานข้อมูล  จะใช้ในเรื่องการกรอกข้อมูลในรายงานการผลิตเท่านนั้นส่วนในเรื่องปั้ม </a:t>
          </a:r>
          <a:r>
            <a:rPr lang="en-US" sz="1600" b="0" i="0" strike="noStrike">
              <a:solidFill>
                <a:srgbClr val="000000"/>
              </a:solidFill>
              <a:latin typeface="CordiaUPC" panose="020B0304020202020204"/>
              <a:cs typeface="CordiaUPC" panose="020B0304020202020204"/>
            </a:rPr>
            <a:t>Lot </a:t>
          </a:r>
          <a:r>
            <a:rPr lang="th-TH" sz="1600" b="0" i="0" strike="noStrike">
              <a:solidFill>
                <a:srgbClr val="000000"/>
              </a:solidFill>
              <a:latin typeface="CordiaUPC" panose="020B0304020202020204"/>
              <a:cs typeface="CordiaUPC" panose="020B0304020202020204"/>
            </a:rPr>
            <a:t>ครอบและในรายงานทดสอบคุณภาพจะไม่มีตัวเลขนี้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36</xdr:row>
      <xdr:rowOff>0</xdr:rowOff>
    </xdr:from>
    <xdr:to>
      <xdr:col>16</xdr:col>
      <xdr:colOff>9525</xdr:colOff>
      <xdr:row>38</xdr:row>
      <xdr:rowOff>247650</xdr:rowOff>
    </xdr:to>
    <xdr:sp macro="" textlink="">
      <xdr:nvSpPr>
        <xdr:cNvPr id="1773507" name="AutoShape 1">
          <a:extLst>
            <a:ext uri="{FF2B5EF4-FFF2-40B4-BE49-F238E27FC236}">
              <a16:creationId xmlns:a16="http://schemas.microsoft.com/office/drawing/2014/main" id="{00000000-0008-0000-0200-0000C30F1B00}"/>
            </a:ext>
          </a:extLst>
        </xdr:cNvPr>
        <xdr:cNvSpPr/>
      </xdr:nvSpPr>
      <xdr:spPr>
        <a:xfrm>
          <a:off x="9677400" y="10311130"/>
          <a:ext cx="285750" cy="800100"/>
        </a:xfrm>
        <a:prstGeom prst="rightBrace">
          <a:avLst>
            <a:gd name="adj1" fmla="val 23307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457200</xdr:colOff>
      <xdr:row>39</xdr:row>
      <xdr:rowOff>0</xdr:rowOff>
    </xdr:from>
    <xdr:to>
      <xdr:col>16</xdr:col>
      <xdr:colOff>9525</xdr:colOff>
      <xdr:row>42</xdr:row>
      <xdr:rowOff>247650</xdr:rowOff>
    </xdr:to>
    <xdr:sp macro="" textlink="">
      <xdr:nvSpPr>
        <xdr:cNvPr id="1773508" name="AutoShape 2">
          <a:extLst>
            <a:ext uri="{FF2B5EF4-FFF2-40B4-BE49-F238E27FC236}">
              <a16:creationId xmlns:a16="http://schemas.microsoft.com/office/drawing/2014/main" id="{00000000-0008-0000-0200-0000C40F1B00}"/>
            </a:ext>
          </a:extLst>
        </xdr:cNvPr>
        <xdr:cNvSpPr/>
      </xdr:nvSpPr>
      <xdr:spPr>
        <a:xfrm>
          <a:off x="9677400" y="11149330"/>
          <a:ext cx="285750" cy="1076325"/>
        </a:xfrm>
        <a:prstGeom prst="rightBrace">
          <a:avLst>
            <a:gd name="adj1" fmla="val 31354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123825</xdr:colOff>
      <xdr:row>23</xdr:row>
      <xdr:rowOff>38100</xdr:rowOff>
    </xdr:from>
    <xdr:to>
      <xdr:col>15</xdr:col>
      <xdr:colOff>409575</xdr:colOff>
      <xdr:row>25</xdr:row>
      <xdr:rowOff>228600</xdr:rowOff>
    </xdr:to>
    <xdr:sp macro="" textlink="">
      <xdr:nvSpPr>
        <xdr:cNvPr id="1773509" name="AutoShape 3">
          <a:extLst>
            <a:ext uri="{FF2B5EF4-FFF2-40B4-BE49-F238E27FC236}">
              <a16:creationId xmlns:a16="http://schemas.microsoft.com/office/drawing/2014/main" id="{00000000-0008-0000-0200-0000C50F1B00}"/>
            </a:ext>
          </a:extLst>
        </xdr:cNvPr>
        <xdr:cNvSpPr/>
      </xdr:nvSpPr>
      <xdr:spPr>
        <a:xfrm>
          <a:off x="9344025" y="7051040"/>
          <a:ext cx="285750" cy="666750"/>
        </a:xfrm>
        <a:prstGeom prst="rightBrace">
          <a:avLst>
            <a:gd name="adj1" fmla="val 19423"/>
            <a:gd name="adj2" fmla="val 51787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104775</xdr:colOff>
      <xdr:row>26</xdr:row>
      <xdr:rowOff>28575</xdr:rowOff>
    </xdr:from>
    <xdr:to>
      <xdr:col>15</xdr:col>
      <xdr:colOff>390525</xdr:colOff>
      <xdr:row>28</xdr:row>
      <xdr:rowOff>219075</xdr:rowOff>
    </xdr:to>
    <xdr:sp macro="" textlink="">
      <xdr:nvSpPr>
        <xdr:cNvPr id="1773510" name="AutoShape 4">
          <a:extLst>
            <a:ext uri="{FF2B5EF4-FFF2-40B4-BE49-F238E27FC236}">
              <a16:creationId xmlns:a16="http://schemas.microsoft.com/office/drawing/2014/main" id="{00000000-0008-0000-0200-0000C60F1B00}"/>
            </a:ext>
          </a:extLst>
        </xdr:cNvPr>
        <xdr:cNvSpPr/>
      </xdr:nvSpPr>
      <xdr:spPr>
        <a:xfrm>
          <a:off x="9324975" y="7755890"/>
          <a:ext cx="285750" cy="666750"/>
        </a:xfrm>
        <a:prstGeom prst="rightBrace">
          <a:avLst>
            <a:gd name="adj1" fmla="val 19423"/>
            <a:gd name="adj2" fmla="val 51787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133350</xdr:colOff>
      <xdr:row>29</xdr:row>
      <xdr:rowOff>9525</xdr:rowOff>
    </xdr:from>
    <xdr:to>
      <xdr:col>15</xdr:col>
      <xdr:colOff>419100</xdr:colOff>
      <xdr:row>31</xdr:row>
      <xdr:rowOff>200025</xdr:rowOff>
    </xdr:to>
    <xdr:sp macro="" textlink="">
      <xdr:nvSpPr>
        <xdr:cNvPr id="1773511" name="AutoShape 5">
          <a:extLst>
            <a:ext uri="{FF2B5EF4-FFF2-40B4-BE49-F238E27FC236}">
              <a16:creationId xmlns:a16="http://schemas.microsoft.com/office/drawing/2014/main" id="{00000000-0008-0000-0200-0000C70F1B00}"/>
            </a:ext>
          </a:extLst>
        </xdr:cNvPr>
        <xdr:cNvSpPr/>
      </xdr:nvSpPr>
      <xdr:spPr>
        <a:xfrm>
          <a:off x="9353550" y="8451215"/>
          <a:ext cx="285750" cy="666750"/>
        </a:xfrm>
        <a:prstGeom prst="rightBrace">
          <a:avLst>
            <a:gd name="adj1" fmla="val 19423"/>
            <a:gd name="adj2" fmla="val 51787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119061</xdr:colOff>
      <xdr:row>0</xdr:row>
      <xdr:rowOff>147637</xdr:rowOff>
    </xdr:from>
    <xdr:to>
      <xdr:col>15</xdr:col>
      <xdr:colOff>600075</xdr:colOff>
      <xdr:row>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CA96D-2C53-4C31-AB28-AB14A6833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7</xdr:row>
      <xdr:rowOff>14288</xdr:rowOff>
    </xdr:from>
    <xdr:to>
      <xdr:col>15</xdr:col>
      <xdr:colOff>409574</xdr:colOff>
      <xdr:row>14</xdr:row>
      <xdr:rowOff>133351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A3333A-777A-428C-B47B-14BE87377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DA7E389-466D-42A8-AF05-93FA91445EFC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1D4EB57-A742-4534-B433-807C3DA2D076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4EC05AB0-61EC-49B0-86EF-2200E19430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B28CA39C-3790-46AB-9CFD-14AAFCA451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C33A9E92-7DBC-4C58-8BC6-E636C3E8B7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26F4A554-2A22-4963-B485-A7D1B026F1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60EBF565-7403-40B6-8C6D-BF6C4E8B2BD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2BE6E64-C66C-40BC-9E21-DDA3938D6D60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4B8F077F-5DF2-4A08-A64C-B14E9EC5027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63FBA878-B9D2-4392-93FF-B894C1E86A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E17CC2D-ABD0-418F-9A85-210C346DC5D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AF7353F0-E881-4184-A92C-BF41442DA4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FA24862E-1A62-4357-980D-D1DD6465099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9224982-75A7-4454-A219-F59F9F857174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082C6344-0D7B-4D9C-A89A-79E60E1F98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B520592C-83AE-49A8-80AF-01136670AC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9427019D-AFCA-4199-8B00-ECAD8C0329A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CB189F1C-BB28-4CF7-8002-9E0E304C9D3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C5F0B6C4-EC58-411C-9B74-6B4D9C11ABF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778C114-5358-4453-A217-83742C7B2F64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21AC595D-0A2A-4BDB-8A99-3B0D3B00239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0CD6EAF0-30DB-4BFB-907E-372AC918F0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4A3E1212-13BF-4F47-93BC-2123CACA13B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3155AD03-544F-44E2-AE05-76DF8BF9FB0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64084561-1D03-4A3D-B0D0-27536461D3C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9A452F1-43F3-419A-998C-0F171FFF9707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33EE7D9D-AA97-4139-9228-0647867F05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5B20288F-AF4A-4B45-BF96-A966BC89C81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4865256F-7E61-4D71-AF85-FA4462C9641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7A7CF806-7929-43CF-A72A-4A53AA5D96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9D58CEA2-706B-413C-B2BB-6F9F97866F4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B5FDA3C-8044-4E42-B377-D21DC3E556E9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C30D436F-0EAF-4C06-BC8D-6D5640E3B6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205846A8-B80B-4339-887F-283F68D39F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FCA77D7C-193B-49F9-8507-452F174272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5E819AF7-915D-4486-AC8E-95FB80C3A0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98E801F8-6494-4E66-8074-39CBABC0D20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E2B2CB3-B738-4D08-9028-394E4F947C10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91A7D80D-5FE9-46C4-9CCA-9D1A7B04AB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660421D3-CF0A-4CC3-A7FC-FC0CB91CB7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A7927428-3325-48DC-91AF-4EE4E25285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F3366DAE-A741-40CD-8922-ADD42C48A43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686E6C3A-B0D8-4871-96F4-397FE0C2B18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3D7A4A4F-7966-485C-8346-1FF6AAA331B1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E07C4F0E-22F0-4A76-BBE4-D3E4E8E722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A1D9722D-87B6-4838-9F91-23D2103C34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B6F6D3F5-669F-4C02-8301-ED89176AC3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0A2CB051-6AF1-47FF-9084-A0A63A7A53A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9AEED546-5DCA-4B2A-B35A-FAA445156BD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74EC91D7-0CD6-4DB3-B208-A80796A1A2B1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92546B46-4FBA-4773-A18A-19549F6C34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C4735EFE-2940-483F-B172-9EFDC293DC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0A0E6E3A-2DDA-426C-94EF-B92622191C0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246D15C-49D5-4794-8D4C-6DE1192FCFF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CB7EF382-5A58-4CD2-883B-CE9A5E84638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1E1AEA9D-43F8-47EB-9062-E181081BDB2A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1CBCA520-2B5D-4DCF-92E6-4E60579785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EE771898-B297-497C-B4D9-260897E94B0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4C08DECE-5E39-4EEB-B03B-6FCD2B120C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DC4B178F-B08D-4CF2-8663-B603463E24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41D15BB9-3088-4A10-811E-6F196B746F6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87774C8A-B3B3-4E59-94CF-1F99FFF8FED9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F00DD676-313E-4928-845A-781CA9A89DD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3CE42BF1-00D3-4975-81AC-C99287799C1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4EDD85A0-5FD7-49CF-82F3-F65538925A6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A053A07E-2B42-496B-9E84-EA481F414D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D5AED4D7-5AF3-49E3-A2B4-9ABC95BC19A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5FA1398B-4448-4B50-A621-39C12E40FD5F}"/>
            </a:ext>
          </a:extLst>
        </xdr:cNvPr>
        <xdr:cNvGrpSpPr/>
      </xdr:nvGrpSpPr>
      <xdr:grpSpPr>
        <a:xfrm>
          <a:off x="9189253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ADE99F98-6753-40A3-BB76-D8A7DE29FA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CC49EDD0-AD83-4AD6-982B-07ECEA0513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2E6D1671-F447-41C0-865B-F4B0636E8C9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178F13C4-DE2D-4323-BC8C-3A799CC75BD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7C8299FC-B798-41E2-BF46-12123F9F424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5D608CD9-10EA-4296-B7A4-8C51B39180B2}"/>
            </a:ext>
          </a:extLst>
        </xdr:cNvPr>
        <xdr:cNvGrpSpPr/>
      </xdr:nvGrpSpPr>
      <xdr:grpSpPr>
        <a:xfrm>
          <a:off x="19050" y="15167011"/>
          <a:ext cx="14235605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6363EAA5-CFB8-4CDF-9888-A82BC142A4AA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5E714154-CC0C-4FA6-AA84-70583C28D619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F64D0914-F060-4508-BD56-910C4D016EC1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6CB17F29-6C7D-4D68-BD0F-41D66CB0C7F8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2EA2E23-0D3C-436F-9BA6-867F1BA67A17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4308475-EF61-497E-9559-C21A60F33D20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8330D05-CAD6-4911-BF19-47C97FB3342F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7EE02EA2-32ED-491E-A09F-9DB0056528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DD918E37-7838-4BA7-AFAE-23DC0A6568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4A48B14A-5148-4CDB-AF4E-B8A751A829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DB6465B9-8B7D-4C77-912A-FB957FF2087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978287A9-DE90-4088-8650-A1B267BABB9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BFF4A23-9F25-43EC-9EEB-ED959DAE9074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BDF3D2A9-1340-418D-B2F2-862D7CD0BA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F18E2ECD-2780-4B00-BAC0-E8C20334D7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9B023D74-7EB0-409A-8DE8-0AF0F3DE18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A9D53255-7920-4ADE-8677-AC01549954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B4F75CD7-33BD-4068-8E0F-2ED36DDE1DE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A889541-8A0C-4B41-BFA0-F13516E86D7E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3EF0318E-85AA-4218-A95E-5FDE7831B9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BFFC5FD1-FAD4-4227-8128-050AD62EA5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8AC12AC9-FC93-4099-A8CD-81D486EBDB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1C77E114-26B6-46D9-ACED-73C8B2A2B1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3A2399BB-3A2F-4FB3-9D82-4E64F8AF169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32DAAAE1-DC16-4CA4-9528-903208A3046D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E7D14AE8-FF24-430E-8AE7-0EF3566ED3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3E4FA41-FBD9-4664-8B8B-90AD74AC43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CFF4905C-25B9-43E8-8AE9-BEC006652E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B40D5A24-4728-4640-99FF-88D84DB2A7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7F93D3A-7247-4248-833B-578292982E5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6244312-1C0A-4CC3-BC69-0A62D9497036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E0827EE5-63B3-466B-A7BC-62C32D164C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FBDFF320-1727-4559-B0AD-0C57BAD77AF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589A72C2-5D75-482B-801D-F1C669E87A9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9FCEE2B6-B1E5-4116-A98E-F42D8E7C02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F8164C56-9E01-4403-BDFA-B3AAE692B5F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1145BC2E-04A7-4E52-94E7-CD870A7F8BDC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E6C64738-F369-45E1-90DD-FA1E40EC2B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927760E6-F4E4-4252-9235-60A4C6D3829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6F9871BF-6A23-4848-9F77-7BC16E102DC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7B8DF66D-C3F2-40F4-843F-50F7100959C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C9A7C4D6-92D7-4FD8-8351-52FE0366E3E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3C2BA6DF-1AA5-4EAC-87D8-1DBC01CE9C70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2E96332C-B238-4495-8BF6-954AAC75AD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5A76A554-2FDD-46AD-975F-008F00A489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60A1C393-0934-4033-8568-9CFE343B3C0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E2E158C8-FFDD-447E-A776-159FE58A588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0C7C8CDC-0B4C-4DEC-B6F9-3CD04545A59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83019789-53CD-45DC-AB03-938101A0C8DE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DE1271A0-3C28-4869-9F88-FAA42B5F032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4E0CA9CE-E6C6-4971-998B-98F27ACF508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DEB1D2F7-568E-4FF5-B046-DB82849F81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A65190CC-6C8B-4C89-9CC6-5BBCC993DF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58791D93-1212-4B56-8598-B93D30E8F01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96CAC08-DFCF-4E9B-8CBF-331A76562B10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BBD080EC-7034-4FC6-BC07-91EC4A9AE4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0174152C-F86E-43E5-ACF9-33D19DDDEF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6609CF26-9255-4954-BE63-543547C24C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69CFC178-0EE7-49D0-B458-9BE62743CFA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58408378-0EC9-4D38-9309-CD956E3096D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250669EA-5CDF-407A-A648-289CCBE728A4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3B84ABB0-849B-496E-BD6B-3759FD17177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6A92E08F-E2A6-4BFE-A490-DF92E064D7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7CABF7E0-FC9E-4D9A-B265-037BF9F4DD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F2326F3C-2F20-4925-818D-0BF5396783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8B2456EF-9780-4719-BC4A-67FBD3A8E03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C4D5C0-95D5-4EAC-B6B7-A9ED34B01CAD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982C28CE-734B-4678-B88D-F45ED624C3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B9A4B0B0-48DE-4F26-95C9-C850256956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6367952A-032C-456B-9C4D-9CBED9323C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5B27D78E-B94C-443B-B6CE-E3B12BEF45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7560DF15-B954-4809-9D1A-154F5081E55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ECCA771B-A709-42C5-A571-E0162846B3B2}"/>
            </a:ext>
          </a:extLst>
        </xdr:cNvPr>
        <xdr:cNvGrpSpPr/>
      </xdr:nvGrpSpPr>
      <xdr:grpSpPr>
        <a:xfrm>
          <a:off x="8791466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C0EEDEAD-8AC4-4C16-9E69-B86D1B8E6BA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172795AF-93A2-4FE0-8F09-B7F2BF3762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693FF256-12E3-40AA-91EE-E5206350C0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DA1FA36F-2D0E-4098-A2F2-521008B3EE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BEDE29F8-AD1A-40B6-8C4D-499DDCC1371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7E9ECD8-A36A-4050-8A8D-5C0E107DC4ED}"/>
            </a:ext>
          </a:extLst>
        </xdr:cNvPr>
        <xdr:cNvGrpSpPr/>
      </xdr:nvGrpSpPr>
      <xdr:grpSpPr>
        <a:xfrm>
          <a:off x="19050" y="15502759"/>
          <a:ext cx="13885260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B3E611AC-18FC-4454-AC9F-AD9F41284CD2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949D8938-2457-4C3A-B0E4-B92DB457B003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87870AB7-C9ED-4069-B19C-29A285B43540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4A5D1E43-3F26-4C11-9132-A42B6EF19013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FE2C194-48AE-4FFF-A2D1-C489C5AEB923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D0B48C3-63FD-4CC6-890B-9A00D5976319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D342AA5-4C3D-4101-B35F-DE5023DCFCAA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9D9057F-2BC9-4743-B05B-F03BC32B83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30E9F8FE-66D3-4996-9BEC-6AF4FAD064A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01BC1052-D021-4A32-9D7B-F1689DF1F88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03266299-4FA7-49E4-B393-65BA46F30E0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7B995D30-F904-43E5-AFCA-8976BD1399F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E12A15F-C107-4A3A-AA1F-2D73CF512D8A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454B0DF4-D57E-47B3-BC09-7AA3C1B1326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777A512D-DE5D-4426-9515-2B1EB10CA6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8163BA9C-E5C8-4326-97E1-6CEDEC08A9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EF781C69-25E3-453B-83C7-8433ABD3AB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D9E70606-7B4E-4D38-BB41-AD202B246FC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4FB5C29A-40F9-4323-8DA9-05002FC7052B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AFF552F5-267F-4104-9620-F4C25898B6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49784E0A-618F-4450-B97D-41C9DB0BBC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4807D109-089E-4073-AE90-AE3E391D657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E171E2B4-9910-4A39-8EBC-A0FBD399A4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5FCDDAB9-EB08-4E76-AEC3-ED22B8C4802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465C724-9368-4CAD-8395-7E9C5B2C2AD4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AE61DD42-FAC7-4BAC-97F6-B3FDA68A57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736CFBCD-BC7D-4011-9200-CCF9E8C5937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4439107D-D87D-4014-8BB1-91B934E79C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2EDC3A84-B188-43F2-9C1A-BC6CFECF83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FB4CFF04-0A4F-484E-9589-99EC4DE6337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6D71B14-1BD9-4313-9DAA-D824518DE750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BA6C5C69-D9A8-4004-9580-028476039D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27930247-3F87-4084-8CED-2D231DBA7B5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57911898-810C-4F5E-9DBC-F660FE5DB6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1B729354-9D6E-4128-8D1C-374A53F03E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18EC852-E3B6-46C3-95A7-22589D556D8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265D496-F90E-4D0E-831E-EC466CCC049E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F6513C99-98DC-41F4-A9C7-C2DC40285AE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E7DF4B76-B1D4-4B72-A56E-E1B4DA9E59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A601F305-BD7C-4E1F-B797-696CFD08C3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400ECC05-200C-4404-AFC3-1E18770DDB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08E87D91-C65A-46F2-8159-FD349D974E0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4C740CC-304E-41BB-80DF-D77AED66C71F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EE098A5D-32B6-48F3-9A62-B0330DD420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15FBE8C9-293A-4086-A2B7-E0BC389E64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1E609F8C-AD8C-4EF9-8C7B-AF9345183F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5BDF7C89-0992-4983-B2C8-A545B72BF2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570A9F78-4773-4C1B-9BF9-B8F5EF6C00F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70D7E0C-121F-46DB-B34E-EC5538CE26AC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BEB724AE-AB15-4208-BAB7-B1E38D8CF3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673D46C0-3FA6-4E6B-A871-5B5B799CDE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1EB949B0-D9B2-4424-9BD0-B9233252E38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E54EE689-61AA-4033-BC06-3BF6CD43C2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9FDCBA2E-4038-4B9B-974F-A5F2626130D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A142BF07-21A8-4BCF-B01C-0D7092A20B79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B2BB56CE-22D5-4604-B3A2-98BB88E6A72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97CBDBC8-AB9A-4FCE-BA8B-B2F6CC889B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4856A2DF-0F8F-43CF-B565-84EA6E079F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65093694-751F-4FD1-8F95-66DE07655D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6FBC0CB0-68B1-46E1-9536-A9D532BBC2B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FA359CE-D623-4A3A-8E73-7A280BCF0222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7480CF2B-592A-4B48-A3E9-AEDC2E2BAAF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EA1B26F8-9B6F-4623-A31C-763995DB69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1EB15EFD-418B-4E41-9AB9-EC07C4C3CBE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FEAF9F4D-8DEB-4971-93AD-95843469ED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285A902C-FFF0-4183-946C-5DCA0C390D9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E27D282-C118-42FA-8C3D-8B3BD33C709B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13AD029B-8084-43A6-9CB6-CCAC7A935D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7D72C4B4-B61C-49F7-98FC-385A0C780E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0D0997FE-FD45-409C-B72D-C95D858546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D56017AD-FE4E-485A-A018-734717B4F7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497BC239-3EF7-45D2-BF0E-51E1756F3B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84F57ADD-DA94-44B0-BABF-3F1DC367C6B1}"/>
            </a:ext>
          </a:extLst>
        </xdr:cNvPr>
        <xdr:cNvGrpSpPr/>
      </xdr:nvGrpSpPr>
      <xdr:grpSpPr>
        <a:xfrm>
          <a:off x="8638190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946D6125-E4A1-4ADF-9D4A-4CF86E305EA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44052C8C-0FD0-4AA3-9C24-FB7922F241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57D7A101-834F-4311-9DBB-757A066FFE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442B02F9-E150-43DB-B80A-6FB34A7CDA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C489FB0D-2BA2-4D0C-8C3D-3BE45E138CF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43F64DB-13E8-4C7C-9839-2360EC155CBE}"/>
            </a:ext>
          </a:extLst>
        </xdr:cNvPr>
        <xdr:cNvGrpSpPr/>
      </xdr:nvGrpSpPr>
      <xdr:grpSpPr>
        <a:xfrm>
          <a:off x="19050" y="15502759"/>
          <a:ext cx="13731984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2335E07B-CC0A-4F2C-9207-65B66D9ED785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021801B3-9B9E-42A3-93ED-0FAC0DB386E7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886A796B-F23C-4C40-B808-FC011E0A12D3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2804D197-216D-48E2-B26E-FC0F81682AFF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F5F3C09-5359-4805-9D02-BB24EB227C3A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D8E4E90-17EB-4338-9683-851FCA587D25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C8151F4-A27D-4AC0-A4E6-6311183E56B9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7C337905-1E2F-45F4-8D6A-98078EAA2A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316F7B9A-E61D-4E31-858C-A381AA37E11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15F1D63D-257F-4112-80C5-34CCFB4784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BC85C9D0-3E3B-4379-AE10-BE7F9F76AF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229B1362-E219-4D4F-AA29-92B2D1CB0F2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BE51B84-714C-4C86-8339-A16BDC9E5C17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4B232E9F-CB70-486F-9FF1-FAB8540667C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2ACE9583-F33E-409B-8331-F5AAB0C316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8D98914F-76D1-4DE7-9A86-41576C2401F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307FD1EA-D408-4490-BCC2-F32CAD80A6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0C82F28A-97AB-4698-979E-13F4F26091D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7676186-76E9-4CBB-96C5-7FECF95E5E4D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5D70E61B-AD15-4AAB-998D-4F2B62FA1C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FE7D42A8-5443-4253-9202-E76357A374B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DE658B08-AC27-40CE-AE63-430F699A50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94847CDB-3B24-4AF9-8EF4-860E502955C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F62378E7-D09F-4AA1-995B-91A716E516A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E1C3CA4-2754-4656-82C8-58AA23E5C6F9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07F56194-39E4-4DED-B058-BAC89166C0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4650A5B4-7D25-4550-9EC1-F3C9054D9D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A453D04F-3D30-4D2C-A37D-11A1A06E3BB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D2827A56-E282-454B-BDC3-12420D3DD67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907FE09-09E5-4FD2-B447-C5C62CE2228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35B8138-67C2-4E16-85A4-9A175FBBCE28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846E8077-C08A-4C7B-B4AA-1E49CB5558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30201212-D0DE-418D-B63E-0942916A29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CE7C6831-FF67-43E3-958F-2C224A21CFD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AC544BC1-4428-45AC-A498-89576E5830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01B347FF-0D2B-4943-BD50-FFA0019C61D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A7516F7-3193-4EDB-8DFF-2F386CAC5EDD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9442CC03-A0F6-419D-B830-57AEFD84781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9BB08F9A-1D94-43F0-A678-C72BA3C445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7A3FF706-830A-46D7-9B38-0F76D26F7E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CCCC50DA-7E1F-4BAF-9AF7-870BD4D2D4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0BD3A1A6-41FF-4952-84D3-9E5C8743F7E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32C5FD7-71F6-4BF3-9792-EC17432EFE35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2ED47310-FEDC-4D19-9C34-EA24FF66F2F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B64F4DCA-E6F1-4B5C-AC3F-55DFF45176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C3EA83C0-4ACC-4B10-ADF8-DD988DCA1A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A8AD2DBD-9FCD-4F42-93DD-C4AA5E26AA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CAD10383-E370-42C3-84C4-FC398B2F600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42034C0-1D86-4293-9D20-E71849355013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CC23CA7D-BC92-4506-9F65-5901D5FA30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275DFAB5-9E9C-4702-B54B-61EFC0825B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ACB154A6-38D7-4761-8895-EF3669FDB0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AC31B826-C8C1-4A53-8FA2-23F5142901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F8E9A5B8-3D0C-47C1-B11A-08E1C7ACB6D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3C1FA88-F7AB-4C87-A1F7-9023267C96C0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4BE044FD-1BDE-4CA9-B533-A000E98C0F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CD51CDE0-9C53-4CBC-8FF7-6905A7414D6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7A636302-E452-4181-A0C1-17544E48695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C2012405-E1CA-4FAE-AF86-2D905783C4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9137461A-BB50-4EDF-806F-B673E8F1F0B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92DD997-7248-4BA4-9589-2E3647AF483C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1F480472-41C1-4E01-AC8C-2599DC8D0F2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EBDAE0B8-52C5-45EA-8476-A200920FAEF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93E6D12B-8267-40E0-A512-6AADA4372B9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EE7A6A86-B78D-46DB-9836-DCB6E05E1F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01A33805-723B-4D82-9CF8-11BC223E3EE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3B69C97-EB08-4DC4-9F77-05B95C068F5D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8676CB63-FFC2-48A7-AF7E-5DA11875BC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A72355EB-7021-4439-A360-1760128378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D69D4779-A26B-4A7A-899F-B037EBF7E0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3137E922-D1DA-4BF5-B4F1-B13C221643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A2CFEB36-51AD-4EE1-8573-8F273771546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105F4DFB-271F-4275-A45A-C9B370BFD3E8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7B438759-7B6D-4B8C-B1D8-E51883D3E8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C105FC8B-53C2-4CF4-AC71-10F0AA1FEE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EF1F5400-061A-44AB-9034-C3A2254510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0A9519BB-C8B8-461D-87A4-32F747CCE6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63E1DA5C-A896-4866-9A56-B835D47505A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1544B12E-684B-4876-8D5F-C4AA4BD6142B}"/>
            </a:ext>
          </a:extLst>
        </xdr:cNvPr>
        <xdr:cNvGrpSpPr/>
      </xdr:nvGrpSpPr>
      <xdr:grpSpPr>
        <a:xfrm>
          <a:off x="19050" y="15502759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ABAE440A-C886-4ECF-BF2E-BDA175CC0FBB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4A48F1F0-EBC6-4928-90E3-634E513B78A5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BBFFF51A-04DE-48FF-BB35-8F78C1E9830C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0469D09A-CC5A-4FC0-8ECC-FE31DD78AE0D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F15206EE-C308-4DC5-8A0A-DB017369C213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5DADFFD-F784-43D6-8FFB-DECA9A698871}"/>
            </a:ext>
          </a:extLst>
        </xdr:cNvPr>
        <xdr:cNvSpPr txBox="1">
          <a:spLocks noChangeArrowheads="1"/>
        </xdr:cNvSpPr>
      </xdr:nvSpPr>
      <xdr:spPr>
        <a:xfrm>
          <a:off x="1026840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782D1FD-3FB9-4659-8558-463365EBC875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F32D123A-E0F0-47ED-BDC4-AD228F96412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DCFCCB3D-A425-41CC-A852-B6BE2F62E5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5A659596-E2F1-490D-A6B2-E97C2B4F3C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91EFCB57-4E0B-4281-B3CC-C58CA07103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5520DE48-350C-487C-8471-E07A04A9F85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23575DB-0C4D-4A8F-B0F9-D0AE579AFDE6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D750793D-5EE1-4BFD-87CA-29E207AF8C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CE2D4472-40A9-4A76-AE99-AC7F9438CC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8D2185E6-4A18-407B-BEC9-53FE38DFBB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D8F0EB6E-1F3F-460C-84DB-26270F4AF7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154B296E-0C4F-46D8-9C6E-8061FCFB887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74BC973-9A62-4244-8DD1-868DA9EB4290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51BA1BD7-BBC1-4099-9B77-1EF413F0F4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9E2979D5-1E02-46D3-A319-61F7087C71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6F05E4B5-D3C5-4182-BAF1-48C1F9262D7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18E1F03A-0C77-4C22-A4F6-BDE6853AF2B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C9756ACB-58FB-49E6-BB24-398155AE12E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6DA2AB4-4E9C-43B9-8F0A-D63190022735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59554EE5-95F1-4D5E-94CE-AA989F7847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5A54292-B8D6-4179-BD74-D2E6E4773C0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8F2888B0-4383-4F83-9DCC-6DD7F4487AB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339FECB-075E-4AEE-AB17-D918787CE6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ED2C83AF-FBE1-4FE7-A108-FE7ECF8DC7D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8D0D7F7-3FCB-4404-87FD-21194B8FC22D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9E772A1D-8B9B-4CF3-BEFB-7EFD651D84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DCD28240-A13F-482E-8883-83420ACF58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6972D19B-5C2A-4193-9EFE-0BDCDFFE4B0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DC895CCA-6EBA-4780-B7AA-CCF7805D90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9907E48B-C424-4ABE-85B6-5C9F780149E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CE097A2-6709-4138-89F3-7797CEEC5385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E51984F2-21F5-4C6C-8BCC-EA787957488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561B4C53-1227-4F20-85F9-0017F97DBAB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75A9624F-9D6E-44C1-9CDF-368EA974F0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2083E130-5AE3-48AB-9849-8064DB4900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518D4FF6-2242-4102-B0AF-90A74D2DE9E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3CEF1CA7-52A2-4830-823F-47F764627126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7613BBE-5A26-42C7-99AE-C8BD35FFE4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D49FE8B7-526E-4607-AF7A-5E953E5C4D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AD727236-979E-4713-92A6-3B7F93AA85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48B98614-83FF-48BF-B6EB-352E12967E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DA3C2F84-A63E-4ADB-8D07-D38E1DE194A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6989AAE4-C04F-4738-8F2B-37EA4A2F1355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B0D27FBA-3EE0-41D1-9E3E-549B29A224D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98114C2D-0D0F-4A74-BFBE-746A3DDD23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A93380A5-3562-416A-8F50-A5F02E8AEB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2E64CD1D-0659-4ACF-B2F3-562C591D711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D3B8BCB7-3D8D-4A15-9B77-A385A519807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700355B8-AFF2-4A38-B7A7-457A8DF64BAE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C7B0F6FE-8540-42BC-895F-6BD60624E5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B6B43706-5AD5-43D0-B782-64450B7682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4177DF1B-4F43-4FE0-BDBD-EB38CF7D8CF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114411EB-A885-4DDF-9DA2-F2F370AACD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0941D9B6-9D19-415F-96A2-18F3915341B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889307F-5E87-4980-9140-C586F0BD88B6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9F62D05C-592C-4350-BCFF-E9B1E55542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A504E932-042E-46A3-800A-D530E2DF41C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DA2083B1-9128-4DD3-AF3E-5B717034B0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47EB6D2A-7CF8-4D31-A27F-FFF4E0BA9B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56EEEC73-9927-4C0F-9056-EF380D2E8A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A4FF3160-F2EB-48D7-9C05-2A49EFBD6AF6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9266B52B-46D4-4087-808A-EBC35429690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4EC52966-A171-4B57-968C-DCEB29419B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907AEE2B-41EA-426C-B999-AA9D247E12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D9634314-916E-4F50-B882-AA8E581709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6D968A89-4C7A-44BF-BF06-0FAA7A1E8FE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D5D95367-9FD5-4615-B580-25BEE5A54099}"/>
            </a:ext>
          </a:extLst>
        </xdr:cNvPr>
        <xdr:cNvGrpSpPr/>
      </xdr:nvGrpSpPr>
      <xdr:grpSpPr>
        <a:xfrm>
          <a:off x="8944741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FED3F379-4D33-4CAF-A4D5-9D94E1AE47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5BEECDE0-AA48-407C-AE13-28B222CF9D7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1DC7983D-5C5A-4D7B-9406-2FC9BFEA3A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20878248-9202-46CD-BCC6-E82CAE6DD1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2D13CF1E-E585-4D69-9E8D-B28E61E4F6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7909F7D-5B6A-4526-8C08-DF10210DFBCC}"/>
            </a:ext>
          </a:extLst>
        </xdr:cNvPr>
        <xdr:cNvGrpSpPr/>
      </xdr:nvGrpSpPr>
      <xdr:grpSpPr>
        <a:xfrm>
          <a:off x="19050" y="15502759"/>
          <a:ext cx="14038536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40F6D5AB-1A41-4CEA-9D29-6A9AFD238FEA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1D2998D2-1BD9-4FDD-B985-EAB02ACACC43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D7CA2CF1-FEA6-49FC-B2E6-C272CF0C81C0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19E8C0D6-2E0B-4E15-A6DB-18E784F579DF}"/>
            </a:ext>
          </a:extLst>
        </xdr:cNvPr>
        <xdr:cNvSpPr/>
      </xdr:nvSpPr>
      <xdr:spPr>
        <a:xfrm>
          <a:off x="1476375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C5EF12D0-D494-4AF3-B14C-C3535C70D855}"/>
            </a:ext>
          </a:extLst>
        </xdr:cNvPr>
        <xdr:cNvSpPr/>
      </xdr:nvSpPr>
      <xdr:spPr>
        <a:xfrm>
          <a:off x="1477327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74</xdr:row>
      <xdr:rowOff>22225</xdr:rowOff>
    </xdr:from>
    <xdr:to>
      <xdr:col>21</xdr:col>
      <xdr:colOff>607786</xdr:colOff>
      <xdr:row>74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1A9D6A4-E5E9-45AE-882E-A698A6EA09F7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A0CB57D-C137-4A19-9E73-A79532140B92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8136098C-9246-44EF-96A5-07FAE5DFEC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25232384-32A3-4CA5-A5F1-AF5A573A5E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81ED8A4F-DC3E-4A98-8CC2-6F3E6C347B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0C5654EF-C2DF-4F70-B28C-D5CE056879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DE8CE87E-D0A9-4A78-835D-5D447EEFEF8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0D8962C-8EB3-4F18-819F-B5308BD0284E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0D4E6DBD-4353-43CA-8A5C-423FE60D94C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C6A07AC0-A4CD-4E92-8A9B-2C66E8268B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7640E5F8-72BA-437D-B767-B143C1D7DE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5C1CA20D-F4CD-4038-9098-619C6B9C9E2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F1AA6A09-7F2A-41DB-9DE7-115820C1859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4AB4E36-B092-4AEC-86A6-888C1153C8D8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978C114B-0E18-4084-8A04-01C7345CB9E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7BD35BF1-DE74-4412-AEB2-66C6921725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18EDE737-6B78-42C6-A3C6-03CC5923E9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9115AC59-9F83-4FA0-9F4F-42652B74FA7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91D413B7-BF78-49BF-938C-4B8B67933FD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70E072BE-A2A6-4269-BE5D-3D8525D9E134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E7B833A4-3864-4777-BC69-D0231A888FD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31F7010D-2296-4957-9DC3-45D08C7128F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FF5B04CB-862D-47C6-AEC4-2870B53213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6A376B8-C629-4391-AA11-D513D0ECF0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6F87E31F-BF8A-43E5-A49A-2C4F664CE96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F2A4D6E-77F6-4ACE-85B6-E72D2A82254F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E3E32F85-54E1-4AA3-9271-E9EB7EC43C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E1A3CFBE-D310-4BA8-90AE-079FF07031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EDB112A0-9980-44A4-B3E4-581CBC3C55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1DAD0F93-C1D6-4DFD-A4D7-9D1FA5666C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FEC138D7-7F43-4CD2-9B35-60B29FBDC99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A8C5F78-D35F-45D8-8B35-4C705D3B70C0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A3299556-40F8-42F1-9085-1FC3C9A662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F0EE1CE8-8336-4395-B48C-B41EC41B13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646F1B14-4D8C-4073-B8E9-C31424CD55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BCEEF53B-3AD7-4FAA-B05B-2C1B3356C3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71D886B8-E0C7-4E6A-8782-ED89833CC19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C0610C5C-AAAC-42C8-8A3B-68BE641E0D9F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B290095C-18C7-4B13-AACD-3503E0C2F9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10B90ED6-2150-4148-BCD1-9B9D9E0322E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902900AA-4163-47B7-9659-8E535337990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E1EB6FE2-7CA3-4FC2-A9ED-305EA5F8BF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6F24FED6-6005-4C36-B4E3-8ACA9AACAD0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DF4C0C93-6812-45D5-9A49-5360F4E2A261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5407B919-8602-4536-B37F-3B330397B3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6DE701A3-A5AE-425F-880A-44885988C1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8C8C190D-AA8A-4FCF-9C61-DEE884F2C6C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FA865DF1-F4DF-4DC5-8B01-F54464319E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F6BFEF10-8CB6-4C40-856C-FCAE17D8B5F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24F181D5-D85E-4C24-87DF-B97B17AA9F2D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3B67D754-26FE-4ABF-BD52-E652CE38E7C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46607834-27D8-4812-8193-C968CF9E7A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5CB2469E-2A53-4642-9451-571D77E873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0F14A934-9FA3-44DD-AB82-2572F74259C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F82E4205-5930-402B-84F5-666C61B6CA0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F5E6EF6-9620-46CE-BD4A-111C35E22AA1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3FDF65CF-E3C0-45F2-B000-F4971D11AB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D5436E21-2D88-40BF-AEB4-3B5032726F6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221AB1E8-EEED-4E77-925B-3A9DB03930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D09BB64A-AAE9-41A4-817C-6287FD70FE3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69E6E084-D07C-473D-AE71-4B5FFE20504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5E7FA5B-1E2A-4C08-934E-C5A5E975AB24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446778E0-39BD-4F3F-8116-01DB8ECBB8C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3D8F3488-2771-4D0D-8E96-750E7ABDA4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11BAF5F6-BC02-4C8C-962F-B6B0BAA7C93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0B5F530B-F3C5-4403-93CD-57E9B2CA51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1AD5B77E-5416-4361-9D39-19C56230B8D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F103AEB7-A24C-4DD1-B28D-3678C3DCA7EA}"/>
            </a:ext>
          </a:extLst>
        </xdr:cNvPr>
        <xdr:cNvGrpSpPr/>
      </xdr:nvGrpSpPr>
      <xdr:grpSpPr>
        <a:xfrm>
          <a:off x="8627241" y="15995431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3CC1BE37-A114-4DA3-8033-CF3934F6110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09C62D1A-81E9-4AAD-9759-C6B32D6220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7CAF777E-01C7-4CBE-A4A8-2DD5937098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BCC84D90-694A-4572-8179-EB289FEC9BD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7490EF3-6A80-403E-BE99-10306F0AD7D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73</xdr:row>
      <xdr:rowOff>0</xdr:rowOff>
    </xdr:from>
    <xdr:to>
      <xdr:col>22</xdr:col>
      <xdr:colOff>0</xdr:colOff>
      <xdr:row>74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9575391-8F36-40B9-A9F6-E164BF55BE4B}"/>
            </a:ext>
          </a:extLst>
        </xdr:cNvPr>
        <xdr:cNvGrpSpPr/>
      </xdr:nvGrpSpPr>
      <xdr:grpSpPr>
        <a:xfrm>
          <a:off x="19050" y="16433362"/>
          <a:ext cx="13721036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EA8C2B0B-CA1F-45CD-8F2A-DFD88F3C4C7C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92DCF5FC-24B7-4611-93EE-5F991E6F6802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5E706719-239C-4678-9375-8ED106C6DD73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61</xdr:row>
      <xdr:rowOff>9525</xdr:rowOff>
    </xdr:from>
    <xdr:to>
      <xdr:col>23</xdr:col>
      <xdr:colOff>400050</xdr:colOff>
      <xdr:row>64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1E66D57F-5DDD-4D93-94D2-3B5AEF7154EC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65</xdr:row>
      <xdr:rowOff>9525</xdr:rowOff>
    </xdr:from>
    <xdr:to>
      <xdr:col>23</xdr:col>
      <xdr:colOff>390525</xdr:colOff>
      <xdr:row>68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A14C0F41-C772-415A-B312-C3D4AF8CAC42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1675D1C-1746-4F73-B96B-A502130F120C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18FF18B-C30D-4F8B-B70C-46A0CD65A67C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ECB06362-3F22-4533-B771-487275BF400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BFA372C7-FE3A-4C38-85C9-42F462327B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3C8D5BE-5B8D-47DE-B56A-0BBCB1881F3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20EBE54B-6F9A-4DDA-8A77-1D76EE37F8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6648EEE4-6069-4F75-AF17-D0534C9D101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AF3CF61-014F-4396-B5DC-429A910851F3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CF64105-19D3-4722-B1A7-93160CD353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0A2E6231-D427-4101-AE5C-28C108FBEF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CC0F6777-41F4-4695-875E-7E52F0D485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422F649-F2F8-4DD5-B7D5-75CCD3208C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85066D86-C17B-4C3C-A038-24ABC84CCC5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B8044CE-B7D1-4416-B652-E35B518A1322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02DB9DC7-36A0-4627-86A3-5521BE7949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686B361A-3E6F-489D-82E7-0A447E7D50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A05471DC-FD67-4B67-8638-2EDA1F6E19F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5D014693-80F1-4A61-95F8-0047EB03C63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B48752D7-9BF5-4D56-B3CD-4EB60225383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12B0D01-881C-4BA7-B561-A18978F3C616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A50BB2D9-B220-495F-90BE-65AF5B0A88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93F524F7-F7B1-4FBC-96AD-369214A8F6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E6CF4A1A-1B06-47AA-B009-9D1A946EE5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C12F2A99-5A05-43E4-95EC-95CB4BB293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405A08DA-4F54-4D1A-9E43-F1B4D81FDF8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F7DAA77-C489-49CD-8689-9D3610BBB4BC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DE162C67-DBAE-45F7-A876-4576B62DBF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C4D6FFEF-058B-4611-9D03-B6340C20AA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FDA01F7A-DB10-4165-854D-05022912A3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CBB414FF-70E4-450A-8D9C-C8AC6D36C82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07082214-B056-4969-B511-73105113DB0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82103AC-0FD5-47B1-AB02-83C3B844A132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9FE44B97-1C62-4F5A-9FA6-E94126D995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4ABB786D-2BF5-404F-AFEF-DD9D04528C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6E5A0B57-352D-4144-B215-141844073E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CD5D7A0F-C824-4706-8BD7-05D98C494C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B23CC987-5D41-4BF2-9C36-07806E65E95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699341E-BFEA-4658-9503-B326D9B9561F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E5C772D6-3F35-4B6B-A68A-5F2F4D1A8C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B88215D9-9A2F-4289-8B44-2FADB7A70A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E47E509A-4381-47BA-8DB7-CB71DB300D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9E9F2CF3-BF30-4A11-84C8-B9DA61ED2B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6D81E03E-41A2-4DA9-BE21-59B0494BB50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841BEAA-8A8E-437B-867D-314BB0DC1E0F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9CAE4616-BA8D-42D8-8DE8-44330AC259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D524571A-B6CE-4686-8BE4-A1F11BA86A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109E8A9B-B0D0-4072-BA7F-95BB2ED92D8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80A2EBCD-4097-4C81-B537-AE32828B29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F7DFEDA6-1256-45B0-B1BC-101B910A170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ADEB0EE5-57A0-4814-A46C-7CD725E2394F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41B1DD50-B616-44B9-BDF3-E42BA0FCA0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B49F8377-1D9E-4689-ADDD-F8DC533B93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14A9B2F1-DD79-4D20-86EB-101D6916D5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76A5548B-D7B6-4CBF-9B45-7FCAA4117E0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73407A7-A294-4937-ACE7-A71058376A1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D4D2F566-283B-404F-9AEB-CDE90FFEF5A8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46928598-506E-4973-8D91-AD2491E2FC3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6F095B5E-4401-4A48-9F70-DE7440297FD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77576113-7E48-4AF9-B386-28690F58E6A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7978AB69-453B-4A8C-B80A-5DD61CF538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FFCC843D-AEB4-4F91-BA48-2CB79A208C7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2C78FBE-EC62-411B-AACC-8B10C2C68831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48024139-8E8C-4F74-8EC6-501459F3FD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BA82DDFB-B302-49DD-A443-47EDF7AFA0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FCA53716-8465-40E2-834E-ACCF619B4E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24C692FA-ACC8-4FC5-AF88-CB68C54097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17A3F7B7-E19B-412C-89AB-C310702DD0F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A444FF75-4262-4E2E-9D18-812BE16C84CB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91527DB5-C4AF-4E1E-8FB8-85313DB3E3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88987820-177D-4335-804E-468F8E1E18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6AA19919-8E63-49FE-9B44-E932A0F71F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237D7497-6CAD-41CA-A19F-19AE034FF9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9F6DCC61-A00B-4C39-8479-A8387F8C777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55CBDD43-ECFF-4EFE-8D1E-02ECB673168D}"/>
            </a:ext>
          </a:extLst>
        </xdr:cNvPr>
        <xdr:cNvGrpSpPr/>
      </xdr:nvGrpSpPr>
      <xdr:grpSpPr>
        <a:xfrm>
          <a:off x="19050" y="15502759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42244963-52B9-4C0A-80E5-761BB4EE0F56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42C2CE3D-CCB8-4BCD-883B-7E8FA38CB4FD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9310A3C5-68E5-4B8C-9215-FB66AC480250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200748CE-CF52-4F62-9CA5-9C2D5F8C5B77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F358C444-E43D-47DF-AD12-BD7F3F739538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77</xdr:row>
      <xdr:rowOff>22225</xdr:rowOff>
    </xdr:from>
    <xdr:to>
      <xdr:col>21</xdr:col>
      <xdr:colOff>607786</xdr:colOff>
      <xdr:row>77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B9D3A07-6B47-4B1B-8A2C-A313B5CA61CE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4B38E0B-2126-448F-B030-055F8D846E17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3FCE6AA4-3259-41F3-BB55-65421B4C4E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39624230-2BE4-4770-AC72-668EA2BC03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E55C1B88-6D66-45FD-9CA6-142DAC08B4E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33479AF9-0602-4895-8E63-9FDB009672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6F15136C-EBF1-4A70-B835-34455D0C467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932946D-2BAC-499F-B236-675D75FED893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2B544A3-AA81-4A53-8ECC-0CC38EECD9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3CD222C1-331C-402D-B872-696ED6432C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24F97931-BFC9-496F-A027-3C9748B0A7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1D667136-D3C8-4A5C-B5BD-3E62518C0D5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6BFCBE05-EAAA-4FBA-8C4D-3B3DD157122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3831501-6D42-4E2C-BEC3-8533F2A30A0D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C0587BCB-5E70-464F-B19D-DD9D92AA2FF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8CAE46EF-18AF-43AF-B3CC-340B61C9C3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BA1259A2-628B-4249-B36B-120F7DF345D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42624107-62D6-483E-861F-DB0CCEDE39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AD26C71A-AEF4-4FAA-A7FC-164D85946DC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3E2C088-849E-484E-9513-FAD29D0D9A6C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8CE19E9D-5E9F-4E89-94BE-F45B5B3CD7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BC004C72-094F-4DA6-8F1D-69EF3C0E73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1DE23EAF-D762-4B40-8EA4-2EF3201CCE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F2116D5E-406F-4EA4-A214-3F7965700A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C23FE749-3AB2-4D3E-95D1-86879C6222E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F9E0856-2E9F-4B58-AC4E-191E7F683A76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E61F3F25-7B56-4826-9235-EB37789C3A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7A7E2B85-3330-4828-AC9F-4964343A960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CB7FE3FC-F57A-42CA-96B0-07A7DAE7E9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D154895A-E293-4D30-ACE2-1B9D0038AD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51502805-E59C-4606-BC89-CB165FB566D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FB35FDB-6387-424A-9BA6-DEF7BA2E1966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272F6DFA-0F79-4A81-B0F5-3F154477D86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A5B41AA3-8690-4169-845C-81EC53CF068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E46C0D9D-876E-4715-9748-02A41422F4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3ABE563B-FF10-4872-87E5-857D6C14BC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A82658EA-9DE3-4F8B-94CC-AFF989D0B4C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AFA99F2-F203-46F1-B8DB-2AE7EB0B731A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7C6FE540-CA0F-45DE-9E4E-F2720AC268C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AC937CEA-8CE1-4480-ABB6-56B0F4D18D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481AC1DE-F3C7-40C3-82EF-AFB1BD753BA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A706C1F1-8108-41BA-A5C4-49F11AC1B1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3DADEE57-9DA3-4B6A-8832-8D877F329C4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0621F5D-9F6D-455C-9239-0749651DE632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57C71AAE-BFEC-4964-BE05-A28FCA8FC3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F60B99A4-8030-4454-AF7B-8CE4BFE328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8D02F2EA-B0C1-4533-8E8E-805FD9D5806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929BE2B6-9E1D-421C-9494-BE42E85CA5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DD5CB44A-E177-40DB-BA2A-04030498340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3FAF5BA-8EC6-4A66-9779-EE499FFD79D9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42437312-AC2B-423D-A5F5-C3FA623021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CB5AFCE1-BCE2-4B2D-96A6-6BB5354D32E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2DC01074-911C-4B88-A76E-BD761E1CEE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63E0B409-1B0E-4DC3-BADA-622C5B10C5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60DA734E-6376-4D6D-8EE7-A0DDE326C97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4F750E6-9E06-4496-8087-804136853DC5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05BDD590-84D1-4913-8BC0-EB1A64E823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89C98F1F-4421-4EFA-96B8-1209106A881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594FD836-5BF0-41F0-84B0-00582058518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BEC0210E-07ED-41DC-85E3-E413EC56C0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212C5483-3F2E-450C-8BE4-30E76EEDF72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052A240-02EC-49D3-95FF-171C0052F101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4FE3B77A-BE37-4FE6-B332-F0C6B6D99F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07F58C2E-D2FC-4915-8694-77005C567C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9D23A814-BA4F-4314-A1F5-7D1189CF516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8C4C1701-B233-4DDF-A187-6EFF98F369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F85753B2-91E8-4557-BAA4-AFD85A4F910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0</xdr:colOff>
      <xdr:row>73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C98FA19F-4BEC-464F-BB51-92E738A9B23F}"/>
            </a:ext>
          </a:extLst>
        </xdr:cNvPr>
        <xdr:cNvGrpSpPr/>
      </xdr:nvGrpSpPr>
      <xdr:grpSpPr>
        <a:xfrm>
          <a:off x="8627878" y="167241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025D97CF-1D2E-46FB-9238-F83672470C4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DBC094C9-BB70-4970-B591-44685C7962D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EB176183-5D30-4E23-9C19-DEC535D43A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B3C8A776-CB8F-4AF8-9C77-0C754D077FA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59400B39-3C13-455B-9531-3AA58F73750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76</xdr:row>
      <xdr:rowOff>0</xdr:rowOff>
    </xdr:from>
    <xdr:to>
      <xdr:col>22</xdr:col>
      <xdr:colOff>0</xdr:colOff>
      <xdr:row>77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C72EA19C-84DF-4657-B316-F33F8895730D}"/>
            </a:ext>
          </a:extLst>
        </xdr:cNvPr>
        <xdr:cNvGrpSpPr/>
      </xdr:nvGrpSpPr>
      <xdr:grpSpPr>
        <a:xfrm>
          <a:off x="19050" y="17167151"/>
          <a:ext cx="13692520" cy="25806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86DE0B8A-0DF1-46B1-ADD6-314D04C2B64C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520C74E3-7D1B-43CB-AC6E-FAE2B3AC8C12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BF96B3C0-A58E-4813-9FF9-10D8F5C7CF9A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64</xdr:row>
      <xdr:rowOff>9525</xdr:rowOff>
    </xdr:from>
    <xdr:to>
      <xdr:col>23</xdr:col>
      <xdr:colOff>400050</xdr:colOff>
      <xdr:row>67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C96D2B65-3865-49D3-8716-4135F831136B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68</xdr:row>
      <xdr:rowOff>9525</xdr:rowOff>
    </xdr:from>
    <xdr:to>
      <xdr:col>23</xdr:col>
      <xdr:colOff>390525</xdr:colOff>
      <xdr:row>71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6077993B-57DF-42F7-9E88-079AD8B84A0B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71</xdr:row>
      <xdr:rowOff>22225</xdr:rowOff>
    </xdr:from>
    <xdr:to>
      <xdr:col>21</xdr:col>
      <xdr:colOff>607786</xdr:colOff>
      <xdr:row>71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DAAA427-B71B-4E69-ADB8-37BE823DEE8F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DB58324-7C90-4329-81F8-2AD2C01E4DF1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01CAFD34-0930-4AF1-9863-B5ECEB7A1C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03226C51-2C1C-4222-92D2-FE7038734C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8CF1399-FC0B-41CE-8F88-0B95DCAC55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36C80E5B-39DD-4570-90E5-417B4AE78EE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E7F83312-2662-4315-B88F-F3F7C9B2469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E59B73B-4FD3-4983-A62A-D8A5E7F1A718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A2864FBC-1293-41CD-B61D-CBE4455928F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91F32F47-8E92-460D-AA37-B8167BAC717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90C55185-E1AA-4B24-AC55-70982A8299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4B071C7-F85B-4F55-8889-0E44C96E233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58DBDBBC-6181-42F2-AA2D-17E1FB3A52C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831C597-90B4-4354-9AB8-78A5701209DA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25A8EF74-7FF6-4422-9B9B-636363DD1B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9E2A8714-E8BB-4A9D-9858-C582CECF4D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5693716B-94C7-49BC-8887-2C76AF7D14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E82584CF-689A-4304-A72F-BA6034F392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2BDACEBA-E325-4836-B72C-CA2C77B7669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EBE2448-EB63-4B72-B30D-6279CF8F4EBC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E56DFBE0-8C26-4C0C-AEA7-7B22790DA36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35CEF57-D996-4885-B5CC-E8B87E6CBF1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B4DF61AD-169A-434E-8FF9-6DE61078D9E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817FFE73-04AA-4500-A167-A2E35BAB5CA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A0117D0-4325-4524-B625-71D5FD962ED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C39FD20-9F2F-403E-B1BD-03DBBEA08FE7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7E8A0126-DA85-404D-B647-FBC149E930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2ADD81C0-AFF7-4BE1-8C4E-4783360B60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FD74B844-9FC0-4E1F-91E3-3550586B2D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1EF1B7DF-1E88-41DD-B8E8-B6DCD432D9A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F2616AA-7813-4AFE-914F-690471DD636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39A6BB4-8D24-4E2A-AFB7-745016FDF2D6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C72A6164-9C03-43C5-9E65-888E4E3EA2B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2FE904AE-4D19-4914-A435-6BFD26B04D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4630C28E-A57C-4BA6-BE90-7314BB3F386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BFC2BA05-1B3A-49AC-9288-E78D301837C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77A15CDE-64C7-4171-97FD-A8376D3B6D9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C6DD79B-3881-42D2-A06F-9F640B296913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A310AD2D-A9BC-4D2A-B4AE-D4FA12E6DC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40339EF0-CEEE-4AFF-8F66-F256027600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EAAFDDC2-9DD6-4045-A96C-50D51D7246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C35A2244-E798-40D7-AEE3-B9C2667623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1AB4A040-E51A-4D60-8F40-DA4C72352FF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1917C60-CDB3-439C-B49B-3B1720C0FD5F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97CB08CC-5A91-4757-884E-4CE6BE9725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C99060DD-3E2A-4719-A45E-8C73141FABB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6BBDB88B-E374-4CCB-B4E3-1FE6C4A44B5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E1B6A7DA-60C9-4E5D-A062-9226C2B19CD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DB5E6A47-17E6-4A92-A82C-94B29E47294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AE92A9EB-C5FD-442F-BD51-92DAB43B7D02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92644A23-0F27-42FF-947E-9B98DDE219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78CE993D-B3FC-4313-9F90-84CC42450A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0155BA88-E1D5-4579-9489-60D51F64696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782D413C-55BD-4ED6-A524-E5F92F2092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005614AE-CF80-4930-95E4-0A6F2699FB3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789F5BD6-7689-4CA2-BFF0-5F542C11D501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9D0D4F56-937B-4E45-86B0-2C540B1197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DEACC972-46DD-4B34-81AB-AFB44AEDF11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5590DCD5-6599-4007-8C4F-535698B8AC7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43089E67-9378-48AD-87E5-9E012BC590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C4B02D09-A305-41BB-B4DA-6BDF97C70DE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94F2349E-F9A2-44A3-8132-5CD7AAD04A20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F0479B9E-3377-41E2-9CE3-72908387CF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8238C83F-2B75-4A8B-942B-DF624D76BE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A3553CFA-20C9-4833-AACD-45E844F580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5E5B29AC-47EF-4105-A73F-0B275AF189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97AD84C2-9212-4132-8178-C73A40F2C98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B69BCD9-0066-4949-840A-C8718AF279ED}"/>
            </a:ext>
          </a:extLst>
        </xdr:cNvPr>
        <xdr:cNvGrpSpPr/>
      </xdr:nvGrpSpPr>
      <xdr:grpSpPr>
        <a:xfrm>
          <a:off x="8495862" y="1543706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7626AFDB-7A81-451D-9152-B968725200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DEFCF577-A5BF-478A-A4FA-04AF75F83C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11479BE-E7EB-40B8-BF06-979966C8C1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3774699B-FEB2-4401-B329-93C9429321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6ADB3C4-2E15-4A73-AFD4-E49427CB0D2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70</xdr:row>
      <xdr:rowOff>0</xdr:rowOff>
    </xdr:from>
    <xdr:to>
      <xdr:col>22</xdr:col>
      <xdr:colOff>0</xdr:colOff>
      <xdr:row>71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37DC3FC-6548-4D2F-BCD7-9A61E382FEAE}"/>
            </a:ext>
          </a:extLst>
        </xdr:cNvPr>
        <xdr:cNvGrpSpPr/>
      </xdr:nvGrpSpPr>
      <xdr:grpSpPr>
        <a:xfrm>
          <a:off x="19050" y="15875000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C781E9BC-C371-4010-BF4F-8C043C2576D9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F3117A2A-EBFC-401B-ACA1-449621E317EA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55D11C47-C8A3-44A1-8899-EE832D668234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58</xdr:row>
      <xdr:rowOff>9525</xdr:rowOff>
    </xdr:from>
    <xdr:to>
      <xdr:col>23</xdr:col>
      <xdr:colOff>400050</xdr:colOff>
      <xdr:row>61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1A91E326-C4AB-47F6-B57C-4CB112194801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62</xdr:row>
      <xdr:rowOff>9525</xdr:rowOff>
    </xdr:from>
    <xdr:to>
      <xdr:col>23</xdr:col>
      <xdr:colOff>390525</xdr:colOff>
      <xdr:row>65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738681D-461C-4279-BC0B-20251FD28BC5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4122B4F-ACA8-4C79-BCFB-01A23DBAAD11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804788A-3BF7-4C5F-B3C8-65FAC38150E5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12182C14-CA00-464D-BE7D-0FE139BE76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DB14CB20-BEA4-4AD7-82A9-36C93C84D8D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34892FC2-BA2A-4CAB-911F-FB4170841A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A48227F5-4644-4F39-98EB-DAA47AD5DE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F83707C9-6A05-4EA5-B1E8-FB0E3E73406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A3FDF44-D620-489F-A584-460D693003DC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0B6DF87-E5F9-466A-B2F0-B3AD1876F7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B0CA9C2B-E7EA-4FB9-A13A-9BE7E0F1E5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880CE1C6-111A-4C54-8301-7978011521E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FD48BB6-9040-47AA-884D-DB4915F342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4F98CE9D-094D-4BF9-AC57-2163B65FD6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5CEF359-027C-4D20-B36C-B2E0D35F4F86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51FEA87B-2315-4AC4-8A14-6AAE0A8A53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2F4E9A93-2CDD-41FE-B836-CA6E48F55BF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AAC4974E-0931-4752-96E6-009AFB6F4D1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A93A5325-5DC3-4B47-8C29-9C97F39751B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A41DDAAD-EEF5-400C-9CF1-57A86BB72E7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1C844C3-DC8C-4660-BA2B-C8B098F4FFB2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4144B0FF-4F20-4218-B394-80F243F0E66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15D7AF16-A4F0-42CA-85CC-656B6B0F77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04C1E843-E3DA-48B8-86E6-6AB1C8F938A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FCB15B2-51C1-4D22-874B-9F4CBD93116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8DB69CD9-A533-4DB6-B3D8-EDEA2F2C0F2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5F66BEA-1826-4566-A764-36F1060EE928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7EE4071A-FE49-4380-B1DA-07BD99F1842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CA89F96B-7EAB-44D4-9FBF-85E4C0EEB03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902C81D1-1E3D-4960-91FC-8834004B5A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EC13BD40-7109-4923-8FE3-6B224CB7A2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5DA9FE76-4804-4A32-9892-39FBB71E11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EC480B2-7890-4487-9316-0DEE1131030A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EBAB5D32-F84B-4E00-9498-BB2CF53F8B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9D06C99C-67B3-4708-B656-66CDD4E0EE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EC31F608-CB4E-42D2-ACDB-65E9C2E945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752BFDC2-DD70-4943-8277-B6B19CA74F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C21458EA-0E8B-420C-9F01-A6921131B34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5FB1F95-D125-43FF-A3D5-BCE9322245C7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4AE1A096-F0C6-4080-8042-09E1B2FB33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6128613B-50A3-491C-A7E3-C993E651F2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05B57D45-9D45-4CCA-9029-D69A30D74F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1E0D9CF2-47E0-4A50-8563-FF651B5218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FE434643-FBC3-46B4-B3DB-46049A3F9F6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15D45BDF-0753-4B6C-878C-07C6D7E594A3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C432EC4B-2075-4C45-9059-5A4D5CE382E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5423F259-8FCA-477D-853D-DDB245BC81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A0B5A1F5-8292-4CC6-A1D6-E1B73F8412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0C282E00-F3A4-4970-A8DE-257204A8043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7E513C04-9B23-45BF-B9BC-5594BCD57B1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81D32972-5323-44E0-B1B0-109F63046D96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4ABB7728-ED39-4F7E-9D4F-AFE1829C13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4984CBC9-40A6-48BE-98A5-8E95C85D07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336C30DA-546F-4E9F-A18C-4352E85136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A0132780-BDDC-40C8-9947-CF15D525B9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3D8F3E7E-1FA9-4679-911E-14D0DC1B707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D2427CF-61D7-4772-90B7-51E34E1DFF93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6373505B-28A0-44F5-897A-01B56489CFB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C57D01E7-9E8C-419E-8CFA-DFC92AEDD5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A78E655E-52A3-4C50-82B7-0D0F0624432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2024A344-4A88-429C-AA84-037B5E890F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9E809BE-DBF8-4080-BF4A-A06FDA12B5B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76AC9BBF-F4B5-46A2-A2FC-40F98D44F3E5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8726E01-B89C-478E-BEE0-9C566B249A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B69C0376-DE37-4769-8F11-729B0214CF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002B5B98-F3BD-4F40-BAE9-15D108E540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D53753F9-3A09-4079-9D5E-FC4C50AFCD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E1272963-3470-4ADE-836A-CCA16E7968C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0B24360-C7DB-4B99-8B0D-ADC7DDEF33C6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AE2304D6-1F0A-4899-89BF-7BE53167D2B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80C94B7E-B751-42C6-8832-ED6B96AE8F1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EEEBB3F0-A860-4840-BAB3-18C4B5A201C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B0526EAF-8DCA-4D62-9437-E21403D011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9C495855-E831-471C-916D-F513F015600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3D4DC661-4A6C-42B5-AB3A-62F40BAACA1E}"/>
            </a:ext>
          </a:extLst>
        </xdr:cNvPr>
        <xdr:cNvGrpSpPr/>
      </xdr:nvGrpSpPr>
      <xdr:grpSpPr>
        <a:xfrm>
          <a:off x="19050" y="15502759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A744206D-F3BA-4B16-B7E7-29474F794B2C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A61EB0DE-0F0A-4A79-A49C-22C41D4B5526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9AAE49FA-0B3F-4D23-BAB3-88550C9EA484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D477B6EC-0C8A-4736-B487-D2103ABFE937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F966B5AA-A03B-430D-B201-1D9DF31EBCC1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70</xdr:row>
      <xdr:rowOff>22225</xdr:rowOff>
    </xdr:from>
    <xdr:to>
      <xdr:col>21</xdr:col>
      <xdr:colOff>607786</xdr:colOff>
      <xdr:row>70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67865BF-A2CE-4C75-B956-913A37509010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B165252-E006-4EAA-9FA2-F52C1EE09803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23B95410-2628-4483-AD75-6755FF3CC5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6E6F1AEA-19DC-46AC-8BF4-76EBB1AF5A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FDB0D73A-3330-470E-A00B-C486170D36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E8DDBD87-50EB-450D-BC02-F48D835175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0F021E07-AB91-4189-B1E5-2BB311554A5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981A8EF-239C-4C29-B5B9-246EB2889D6F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4F6A0851-4924-4728-A78A-CBFE028FDB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1B47365E-486D-4B07-82A0-4C68253DD0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E54C9BF-BAFA-427E-81DB-F6DAFECF19C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06176F2B-4389-4606-9F78-32894FD1FD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0DC1BEEE-0E1F-441B-8CE2-F561792477C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4AFE2F08-1E40-4FC7-B54A-301D14E69C1B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28E6B434-5132-44AE-BB59-4AF4EC6486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4FB0268A-4DDD-4234-B328-308EC4CF895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5654625C-69F9-47CA-8DD1-9BFAC4AE6D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A5C3078B-6219-4499-A7FE-D8059A0A06A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61E12DCC-5CAA-4F04-BC72-028E7050D7D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722688FC-09D1-441B-973E-AC9E7698741E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2DB2CC37-94C3-48A1-BB19-DE05754986C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3B533A5-8082-4541-BBAA-DBEEB50494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CF19F5AA-054F-4049-8241-177B28B872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043ABFF8-F82C-48C1-9DA0-3B6CB64B6F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66F02BBD-5618-4368-8B23-178DE20BF38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4E7F9D2-FB42-4F24-975A-7F69011510E9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3F7C4B99-C0D9-47DC-91AC-92C9002E87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50F33EB1-2B0D-496A-8B14-C2C4A6CC73E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EFFB50E9-34D9-420C-B394-B3E144E109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F8DB9054-4B1E-4003-8693-CF391C2C11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86A87F83-4743-48FF-B219-93803FC0077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13510B8-B203-4966-873C-A33F94C4A1B6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72EE2671-44ED-4706-B0E6-AAA7176A6EC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2E5AA76B-7F21-45B6-AB2D-31172B302A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5A50F55D-955F-46CF-B98A-C072FCF3F4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86BAD34F-C639-4762-B43A-9A5A164E79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21D2B6FC-E2A6-41D1-BEC2-12DCCE2732C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4973199-3E6C-40FE-BBA9-5AFB14EFAD4D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314D8F49-C018-49E3-ACCC-8027BE6257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09EEB229-84CE-49EB-9340-A32B09C05E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A427B4E4-8AE2-4AAF-A711-37D862ED54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BA5764DC-0FEA-4798-B1EC-835E34725C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C4A139C3-02E1-4280-9AF3-81300910382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A9E9763-87EE-42FE-A5C1-6340D1952F9B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0D7FE141-E752-498C-B9F8-9EF3C2BE972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6904EDAA-5010-44C7-9EC5-0F4D1CE2F0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E1B7CE49-22F3-4316-9A57-A965CCF758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97DC0D28-5BAA-4B52-860C-40FA7869EB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36C0633F-56DD-452F-A5D1-3A3623943BC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97A1276-AA3B-4051-A84F-D07B10D1A403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53FF875A-55FA-4BD4-93C2-70A692EE6ED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5DE9F5FE-9761-4525-A451-599463CA4C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57426BFE-A102-476D-89F2-577A00FBBE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47EF4A27-416C-43FE-8F79-0399BD07E34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C732E650-ACEA-4CD4-8195-35AD18FF9C2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14DD5955-4CA7-4995-95E9-20B0CF2762A8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6EBAC54E-B744-4BAB-89E0-0B2B475656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A13D3CBC-93DA-4B7A-B237-628DB91FB80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30F69821-35DB-4D50-9EEA-C9E75C3C4F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79480625-25D9-4A4A-A45C-34E0A67B327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5B89E884-D642-4777-B8DB-5E5561204E0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2C340D5-2C36-4E3E-8035-6C8861B8F974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96CD28F-61C9-4E0B-A9FD-F421C1B08F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536E8CDC-7938-43A1-8FA8-FF5C7BD949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D8F1C28C-5305-45BA-AB0C-AA27B72FD54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0B4D41EE-885F-4C62-ADE3-508F19A5306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C5414C8A-E250-4C44-9795-94FBC220495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9233A455-D39D-49ED-BAD3-A96288AF7B31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A1AFCCC0-8FFD-4A0D-B0DC-CCF0F3F5D4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85F4E4B9-D590-4D53-B486-A8E4043E7E0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34D85842-7875-428D-AF1E-B51E8E4124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EC644678-71E0-44B8-B7EF-71378DFA63F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E0D8C4B-DE5A-4440-979D-1674CB1A8FD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69</xdr:row>
      <xdr:rowOff>0</xdr:rowOff>
    </xdr:from>
    <xdr:to>
      <xdr:col>22</xdr:col>
      <xdr:colOff>0</xdr:colOff>
      <xdr:row>70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9EAB7FB4-4EE8-4210-B038-A5B1D8D587F7}"/>
            </a:ext>
          </a:extLst>
        </xdr:cNvPr>
        <xdr:cNvGrpSpPr/>
      </xdr:nvGrpSpPr>
      <xdr:grpSpPr>
        <a:xfrm>
          <a:off x="19050" y="15356782"/>
          <a:ext cx="13469226" cy="25929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BF416718-AD17-4AFA-A1DE-8D43BE756CD7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37E81F45-55A4-4065-9776-9A8007B50D25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67F91DC9-F173-4596-9FFE-3758A1783413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57</xdr:row>
      <xdr:rowOff>9525</xdr:rowOff>
    </xdr:from>
    <xdr:to>
      <xdr:col>23</xdr:col>
      <xdr:colOff>400050</xdr:colOff>
      <xdr:row>60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40AE61D2-62AC-4E9C-95C6-0119DAD76870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61</xdr:row>
      <xdr:rowOff>9525</xdr:rowOff>
    </xdr:from>
    <xdr:to>
      <xdr:col>23</xdr:col>
      <xdr:colOff>390525</xdr:colOff>
      <xdr:row>64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4F0347A4-981E-4A8E-8A52-95C0DD89A4F3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71</xdr:row>
      <xdr:rowOff>22225</xdr:rowOff>
    </xdr:from>
    <xdr:to>
      <xdr:col>21</xdr:col>
      <xdr:colOff>607786</xdr:colOff>
      <xdr:row>71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022CE01-9178-4DF5-9CE7-0C01538D939F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ECEE10B-6FCE-49CC-ACE7-EDFB180F7CF6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976A9A69-6710-460B-AF0A-B03E5DF5F89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A7C5E00A-8E8D-45C1-91BF-7709F2C63B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25437451-C1B6-49D3-9907-811831B7F2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2F560CD2-EB4C-4A4E-9EAA-E195A3BDF39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5EE2B5E7-600E-4B53-A152-DEA8EC95363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F99613C-18B4-4973-8028-910AB1B5D992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E03AB99D-A9F0-4C7E-BF80-8C9A3F6170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4CEC8956-33B9-4169-BE67-73F792E52D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F5E74671-B70B-4C2F-8249-7DB705F194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027D8DE1-746A-4685-8FC5-5DE47194E4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BC1B737F-FCB5-45A0-9F49-5D7500F4C19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4CF885B-AF4E-43BC-BF2B-6565AD0FAC7B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41D6BEA3-C823-4609-8FDC-756BFA59B6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AA3B9595-89BF-4E67-BD40-C4FD0167BD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7E82890E-D5B9-4684-916E-6731D49416E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C234A439-2CD8-4FCC-B64E-03D13977A0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045FBBB3-2E73-4681-994F-C258C63BB7B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5819DA3-2827-44EA-B5F1-6B3AFD7A6948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5741DF64-6BD4-4CD5-9606-F78AE4B6301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4479C463-22C2-4C65-AC10-C3AF48BF53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0B8FA2A0-03B8-4D4F-9DA1-5F89794864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6D1BCADD-1279-48DF-B7EC-00CF0A7B36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718869B6-0EEE-4DEF-98AE-6A90C80CE4C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7E1E6C3-2845-4999-B315-3F8D4C659E2A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14637694-6FC0-4857-98CD-FAB5181512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990B2597-12BD-47E6-B93A-DE207B2BCD3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5CF64055-7611-405A-8DD4-EEAF3FC2E1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840AEA3E-9E22-4C62-AD51-3557AFAF07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FB97E5AD-BE5D-43F8-89E0-E7609FC9DEE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6BCBBA9-4763-4A1F-A1F7-BA8861995D0B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0A4740ED-13EF-4939-81A2-08C5D21606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895E28DD-7DF8-4C94-B5C7-0681E50310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E04BE80E-0013-409C-80F8-7F9F8F5172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CA1EEED8-B71A-4081-ABA2-278E42FFE88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9CEE2FE6-1A84-4587-BDF2-55BABA9A60F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818BC54-BDDC-4E6D-88C6-7C268C38D3BE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FB75AC15-700F-48FB-BAD2-69E3EE5349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8A4E36A7-EA2A-49A8-AD36-EEA7DC862E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2E9FF072-9BE2-4790-AB82-08345D37C77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98E89EBD-55C2-4D4D-9458-621403C83F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4056DDBF-F431-43B2-9751-BEAEDCC7D67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4A865A9-F376-4227-A273-D2FC6A57D6D2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03FA5948-CBAA-46A5-A54B-3C38EF1C294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859E4E27-1A27-48DF-B15F-DD6BB6EBCB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75CFAB14-6B9A-4DE0-A6A6-C16F4235C0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1E57B43C-42B7-4FA6-B4EB-28A5F5B82F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CE80F7FD-6865-4DB2-8EB2-965E96C2E35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A36E78C-25B1-4560-919D-D3E0CA2F7E0C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2A92740F-B1FF-4601-A68D-75A51C30E5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4D9D1587-093A-447B-B8C8-85A8C1A51FD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8DEF3CD3-419B-46FC-A21A-91947B0C8F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9D9E143E-30F8-4570-84E9-0DC6550AF8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C2A4D563-9891-4683-AE73-0F50D0D5D50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8EF92F6-8EFE-4563-A1DC-80F30CB6AF34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5EDEA189-E771-4590-8234-B7E8A984ADC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85E2926B-7E53-4AF1-A27E-66E7EC75FD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3C770DF5-0379-4A52-8A40-55D89A932A5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814A07FA-4888-48DF-8945-B0DED22AFB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4A944E85-7420-4E76-B841-78D02FD9E32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21182C0E-24BA-4368-9760-EF0F09894582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D6DC1795-3433-4BB1-B5A0-515B164361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50C6FA43-641F-4A7D-BA8D-C38F3DD1AFE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92EA9ED9-1DC6-4EEF-8601-AC2EFEA32C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F3A55A25-5AE2-4818-9EF6-A7AADBEF5E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5C543E3D-AC37-48F6-B5DA-7A5462E7887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5F49CCFB-9391-4208-B3CD-55C54431267D}"/>
            </a:ext>
          </a:extLst>
        </xdr:cNvPr>
        <xdr:cNvGrpSpPr/>
      </xdr:nvGrpSpPr>
      <xdr:grpSpPr>
        <a:xfrm>
          <a:off x="9108966" y="1511592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B5AE357F-41D9-44B0-B4E0-0A4E19EB713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1D95D9D2-BE23-4415-BA80-16130B3E72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E579B5CF-B7C1-4EC5-94B1-939F92AEC2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8EBC8414-3FF3-4B25-BAD1-1853E98535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EB5EABA2-944F-48B4-BB3A-5F909ADBC64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70</xdr:row>
      <xdr:rowOff>0</xdr:rowOff>
    </xdr:from>
    <xdr:to>
      <xdr:col>22</xdr:col>
      <xdr:colOff>0</xdr:colOff>
      <xdr:row>71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7E776934-A44D-4242-AB2F-C0F2708D968F}"/>
            </a:ext>
          </a:extLst>
        </xdr:cNvPr>
        <xdr:cNvGrpSpPr/>
      </xdr:nvGrpSpPr>
      <xdr:grpSpPr>
        <a:xfrm>
          <a:off x="19050" y="15546552"/>
          <a:ext cx="14155318" cy="25929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3010D1C9-3302-4BF9-BB32-1CC2CB5E67D2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F0C93E21-20E9-4E99-B14A-01D48E05E264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DBA5200C-D752-4ABA-9517-CA8A1F365AE6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58</xdr:row>
      <xdr:rowOff>9525</xdr:rowOff>
    </xdr:from>
    <xdr:to>
      <xdr:col>23</xdr:col>
      <xdr:colOff>400050</xdr:colOff>
      <xdr:row>61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DA0E4BA4-2867-4849-BF03-77674998FE0C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62</xdr:row>
      <xdr:rowOff>9525</xdr:rowOff>
    </xdr:from>
    <xdr:to>
      <xdr:col>23</xdr:col>
      <xdr:colOff>390525</xdr:colOff>
      <xdr:row>65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AFE47D7B-98D9-44D9-BABA-BE4F06D74DE2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74</xdr:row>
      <xdr:rowOff>22225</xdr:rowOff>
    </xdr:from>
    <xdr:to>
      <xdr:col>21</xdr:col>
      <xdr:colOff>607786</xdr:colOff>
      <xdr:row>74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CDD72B8-B85E-4F15-A085-E9FA38BE5406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5BDAD62-3540-448C-AAEA-5EBD6529D9EA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5D55F5BC-5F30-4140-B91D-A346F9CAFBA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306E4F63-78B7-463A-A3F0-8430FBEB2C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B3D404FD-FDC8-4BEF-9E98-72B75B1408C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3E9A4AF9-8CC6-4108-ACD0-2DF6973AE8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C9C2C336-46BD-4BF4-A594-D745E6C44A1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692D0EA-188F-4CD5-8CEB-DE56EF5A7599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A57E438D-BADE-434E-831A-A44C4C89B1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DF48CC69-0F37-43A8-ACC6-3D00FA6830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70DAA30A-2A7A-45C9-A502-34A0E253DC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DEA6DAD9-16FA-469E-8EB9-DD15CA6537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DB67721B-30E7-49D8-9EF8-DCE1BF79A26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1521CE9-17FE-435F-923D-DA3E2B4A0751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9E61631B-6C65-42CE-8931-9ADF3819522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A1FD8EF8-0B17-48B2-A8CA-ED8A24B1D4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658C494E-B73F-498E-9763-F657374AADB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F2F7239F-FF36-454D-B56A-2F579C51ED2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7C6217BF-A183-4385-90A9-35139784A31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697DBD8-5F3D-4340-B1B2-93060217CEA4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B86763CD-A1D2-41D3-B9D3-0EC838517D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DE1BBABB-72C1-4DC2-8280-048AA36A847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1D6F69BE-3CD7-4F82-96CE-F85DEC55A3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01E62ACF-BA58-49A6-8549-E7230644BE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8BB5E41-750A-447D-AD59-EBE57593C2F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4541DA0-B466-417A-A529-5E2CB9E09EA7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58A78BD8-DF5F-4276-A678-6C763826423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8CF311D0-B204-41B0-A3CD-90D45DF007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BE4EB09A-4B3A-43FB-9810-8EF695EDDB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EA7AD67F-F41B-4E48-AEB0-22F9A51096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DFFB8A70-5C10-4191-B52E-B01BBE7FA11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6080D83-0C13-4633-9183-C2F26EBACF73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22188AE8-1958-42B1-8E1D-E52C0A7E21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DF85AB13-4B2C-45D7-A130-A6E6E2C23E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0BF54D92-F675-42BA-B16B-DB25E69019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7350FB02-AB74-48D3-AEBC-EA4A0A60261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9E8BACAE-0195-4217-8161-85F9794C116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5911E2C9-1B18-44A6-9F45-44182267A388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53A50AF-B4EB-4040-BF74-93499701E0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51EE5295-4275-438E-8A32-D49C56008F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C44CD86D-44AA-4709-989F-5C231D9B15E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5DD394CC-ADA5-46DC-9DF6-8C5802D58F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179300BA-6BC7-4815-B892-D75DF42265D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AD6E739-1709-4D43-A436-504AF8E07953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5D6B6879-0F2C-410C-9D77-91F8F6C4278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7ACD5EF6-C85C-401E-A110-EA7A57B500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8FF2BC1A-58F5-4D98-842B-CB3C40C681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A2033F8E-8EF1-477E-806A-A4578DF4D2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055DB099-2018-4D2F-A385-3CA5A3BB0F1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69B12046-E771-4471-8EE2-7A85214A91ED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8DBBF5E6-D951-4797-A0EE-122E4E4DB56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B68EFDB5-8577-4EC4-B6D3-1E602CEE37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15EAA8D5-B9E2-400C-8AB5-0355CB087C6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EE49CBCA-F579-4420-B1B3-876FCAE364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96EBEF30-0286-4402-A5AC-0402E687D6C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483C504-1202-4681-BD7C-CE13796C0EFB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CF69DB34-65FD-4357-8F15-00B9FC55F9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8C7E090C-904D-4D3F-979F-8F012FBB35A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4ED811C4-4A24-4665-99BA-21C35C54033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EE6E8A9F-4782-46D0-9514-D9FE90FE99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38AC1CCF-CAA6-4FCC-A0E6-0DF556580E3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1572B8B2-0C84-4D10-B79A-20AE1017C946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6D177A61-AAED-4A41-9149-DB788E75D77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5157945B-3522-4408-8B11-FA32B24E9A7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7A7F801F-685D-4BF8-8602-7A49102F77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3BBD4BE8-EECC-4829-8A88-D3F8D28860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94C3AA92-B9E9-40EC-8ECD-2AC2579D2B4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CC88C757-D384-43E6-A691-8B394E0A2336}"/>
            </a:ext>
          </a:extLst>
        </xdr:cNvPr>
        <xdr:cNvGrpSpPr/>
      </xdr:nvGrpSpPr>
      <xdr:grpSpPr>
        <a:xfrm>
          <a:off x="8422874" y="1492614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EC67EF81-94D6-47FE-AEA9-E05F70E2BA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5B2DA7A4-5FC3-4E26-A082-C788686974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BCEA8BED-9D60-412B-9B29-D778E9E763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A0AC34BB-F237-40ED-B772-36959FA7988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9E5DAE03-477C-486F-8CCA-6DD2E1550A3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73</xdr:row>
      <xdr:rowOff>0</xdr:rowOff>
    </xdr:from>
    <xdr:to>
      <xdr:col>22</xdr:col>
      <xdr:colOff>0</xdr:colOff>
      <xdr:row>74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EA687B54-FD99-4739-983A-6052D2C58D85}"/>
            </a:ext>
          </a:extLst>
        </xdr:cNvPr>
        <xdr:cNvGrpSpPr/>
      </xdr:nvGrpSpPr>
      <xdr:grpSpPr>
        <a:xfrm>
          <a:off x="19050" y="15356782"/>
          <a:ext cx="13469226" cy="25929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AFDDF62C-F0ED-401D-A480-7E4106383C26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52D07E36-0B58-4DBB-9513-51E8F35AE2F5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87863A6E-A85F-48A5-A00B-8F271D515A27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61</xdr:row>
      <xdr:rowOff>9525</xdr:rowOff>
    </xdr:from>
    <xdr:to>
      <xdr:col>23</xdr:col>
      <xdr:colOff>400050</xdr:colOff>
      <xdr:row>64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9DA3DDE6-B1DF-4A40-BCED-C6127DE9D06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65</xdr:row>
      <xdr:rowOff>9525</xdr:rowOff>
    </xdr:from>
    <xdr:to>
      <xdr:col>23</xdr:col>
      <xdr:colOff>390525</xdr:colOff>
      <xdr:row>68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DA91BBB-FC85-45C2-A8F5-1C1D6902CD4D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E21F8E1-F394-46FE-BC97-CFA1054A16EE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B706C32-77E4-40C5-8671-75E2086003F5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5C347A19-F1EC-4068-94EC-08B6DEAAED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AFAFF72B-DDDB-4875-8B07-964B71DECC2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C75A045-58D3-44C5-81CD-1EBBDA638F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4CD178C9-EDA2-4C96-9A47-C510DA545E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1BE48A36-D687-4BC6-AF43-1112AC8119A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1FA9A36-F83E-44FA-9AB4-062B79E88813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6B70CAA7-4046-4A85-953E-6FDAF22C6F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DF05F999-82A6-4A9B-87F0-779FB5B188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79A6B315-E2AF-4EEB-8808-C72B928CB3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EAB1FA1C-376B-44B2-BD2B-DB676FCA40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0307F53A-E895-4E24-9126-2C0EA0613EC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439AE71-907B-4D75-A0C4-56509B91B73A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41A313A4-5EB9-4C35-9E09-3F7638A0F4B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F564C9B3-3626-4A72-9F57-91583370E3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24FB5D6E-8985-4483-B306-58C04834877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6B24B6E0-BB81-4EE4-822A-7F6BBD8D2E1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0D0EB5F6-A708-4F2C-9B58-F354DFE8105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3DA4E7AD-58F3-4278-97F4-63020FCD9902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F4FE5D33-BB04-40E0-8406-A8B4E632E2C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493B9E98-3172-4476-92FA-645F496362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89B38799-F7E5-42D2-85F1-BD5D88E331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92141B18-6BBE-4A2E-A068-5E73507441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41B8C519-954D-48ED-BEF5-F0435F8E110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A59DCBE1-9762-4837-88E4-04C4988187C1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AA46BDF9-810A-406C-B3D6-062C4C7940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3C3115BE-D526-41D1-B9EC-D0DA5B0A2D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8BDE4544-AAD6-41E8-8F81-738B9954F4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C462497F-0B9D-4D41-9D0A-899F73B5068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1F31CB7A-F18C-43B8-8690-F7054CF8BE3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BE306CC-1667-4D7D-A8C6-E2B797B38E34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639933D2-DD8E-491D-9BF9-E32B9A78AB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82B40157-FC53-4BB8-AA29-8D25A7C4EF6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8CB08D61-DC9E-413F-BF2C-7E036EAB8B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09D175FD-7F66-4647-9995-414C1F790B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3FC1CD98-A87F-4BF0-8B33-5DE06E04A94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134181-5B8F-4143-A275-E5F6B194DB27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A231C875-6C42-47BD-9002-4365FF4B0DA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344F0B5E-2940-4A91-ABB7-8566AB212C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2CD905D7-E3EE-454A-935A-6698FD0B66E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91D8435F-ECF3-47CF-9CD0-165A1BD0630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8A0244C5-700D-44B3-A5F5-B039E9EFE44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9AA20702-987D-48D5-8762-A1C439A14B7F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0BCDDB9E-C4B6-4429-8752-47938A9F4D6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6B11F27A-EE6C-440F-B4A8-A5FD3E18DE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F7C8A907-E6C8-4822-81F4-DD3B81F41D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4C83AEA3-09C0-4E08-8625-FD696205643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E74705F9-792E-406A-842C-2F9269D1C61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9285FCD-0F3C-4F22-A0B9-1EB9310B1F23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9A3EA5BF-128E-4258-BE66-958E805FC8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43307B7A-2F78-4984-B101-01240B53A0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6455AADE-76C8-4F3F-9395-918375ECED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69E49929-6C8A-48E9-88AE-BE2C890F2A7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49E9C0D9-F0D7-4BA4-8540-80A49E028BF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B6CBC8D7-A9A3-4C60-9A26-4D8B2EC59BD1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D6072E95-D02C-47D3-AADC-87008FF61E1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109D048F-E05A-48B9-A8E2-B6858E8F3E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3C8D0F61-E7E7-49B7-A25F-37D91497CC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03AAF406-0477-407E-9425-741F66651ED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AF61822-8A5A-4B91-A576-1B2F0DA939B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F9D0732F-A705-4086-BCD6-23F91ED2D225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312054BC-FF3A-4AAE-9BBA-1F60D42212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2445909B-5885-4AFC-88B1-7FE05E1D5C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ED916439-0451-4547-B37C-09F9B3252F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DB40E301-3756-4330-B5BD-2ACF65026D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2CC63D3C-49AF-4D11-A4D5-ADC2886EC1A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57AC388D-3D17-4883-A7FD-3ACFB7A3BC80}"/>
            </a:ext>
          </a:extLst>
        </xdr:cNvPr>
        <xdr:cNvGrpSpPr/>
      </xdr:nvGrpSpPr>
      <xdr:grpSpPr>
        <a:xfrm>
          <a:off x="8444770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B599342A-5FCC-4B63-957B-E818DC894C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A307C611-AE6D-4CA9-844E-DB8AA4B5D40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66970E4F-BEFC-4CF4-B975-3BEF35A930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544BA115-1F0C-4AE2-8025-886B526DA1F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FC8F068-CCD3-414E-9E81-658789FDA9E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2F6B80D7-DA4E-45C1-8C13-7F255B67C5EC}"/>
            </a:ext>
          </a:extLst>
        </xdr:cNvPr>
        <xdr:cNvGrpSpPr/>
      </xdr:nvGrpSpPr>
      <xdr:grpSpPr>
        <a:xfrm>
          <a:off x="19050" y="15167011"/>
          <a:ext cx="13491122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EC0F3674-8192-4BDC-8AEB-DA3BA1E02506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27DBEF63-BC37-4B63-8C0D-6EE14FC64424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EFAF0FA8-C3F6-4540-BEE8-EF9E1B81C670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57F47814-2FF2-425C-A937-6F1B6E9DC2DC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7B398DE-70A8-4BAA-BF57-FA9E98A408DB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D498ED8-185F-413C-A0D1-ADE7F83A797A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5B47B28-13DC-48BF-A48A-980C79019D78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28F37C8C-4330-455D-9DF8-3C4A114B3F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68F7DB0D-BBE0-4C14-AB67-741F8863A6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5D29EF92-D116-4CF5-9A30-1C1B28DE78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EE345365-6EBB-4F74-8E78-4942A177D3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5A43CF77-0B6E-4443-B3EE-D8A3040322D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EEF5F84-2794-4966-8720-91E04BAC3AD9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6BAAB5C2-A280-4D17-A5C4-017A16945C1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1A3C992B-5B37-4CF4-B42B-457ED396F5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EE5E50F-DABD-4E37-BCC6-54814C62ADE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9701F1A0-E4C1-43F0-849D-6D3E5637F9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12F866DA-B479-42B6-8B2C-2DB510AD6C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D3BD09E-57A4-45D9-A4C0-5D4726731C8D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99D2488D-B16A-4A4E-8756-D5ACD6A00AD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2EA3EBD1-C5E7-4D08-8F4D-6BEF3E7FCF1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1E3EEB65-6515-419A-BAFE-2080FA19D4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47AE9A19-58E9-41A2-8585-0094F28FB5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F9849B6A-F7C1-4F87-B050-727EFBBFE29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3604ECF-D106-4322-BB53-C0E47581BBE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5D9A2AE9-CDA7-4BA6-8145-AC4727A03B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5776BF1E-B923-4B1A-80EB-2496109562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963EE998-173E-4116-B9B2-BC01B8A0FB9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F9972BDC-3455-404E-BD49-026C23E980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6755662A-2ED2-45C3-B054-F3DE60909CA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FB5C580-FB49-44C4-B9CB-04914CE355A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F7341233-97C3-437D-B3A7-EC891709DEB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8B89F29C-8097-43EB-9F57-A01E18F86A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250C80FD-72AE-4CA2-9AA8-903A5E4BF7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8DE2A183-7DB2-45D7-BC5F-8ECF12B0EE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A4BBF4F5-C5C4-4365-A48A-94FD52D6DA2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1A1B59A-2D9B-4BD6-A3AE-CA16006D9283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AA23C6CF-8508-4AD6-A551-6FC1060246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CAF32A36-B2CF-481F-9D8B-B850EFC1F2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AF97E75B-322C-4708-AA23-6558CA58C2E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E2BAB2D1-2BA1-4C53-8AD4-FCB0112FFC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84EAA19C-7E62-44C4-81A2-1FA0C8122E8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506515C6-47E4-499B-9FB1-1A2B218193B0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3DC8194-566B-47B0-BB33-9CF1AB084C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90EF6249-91FB-4074-9384-3AD6FB119F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52645040-7E64-4B92-9EA2-0FC8850B24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EFE820A7-292B-4B91-AA25-D8882A9A53C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9AEAA3DF-6183-46DB-B62F-923A9A42354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8C37030-E2AA-4BC7-8DCB-D871685D9EB7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B8AD91E6-8915-4213-9311-02292A6FDD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6F19835B-EA67-4BE7-B36F-A015805BC75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C110506B-FF45-4190-97B7-E28768CC4A7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9C2A6F45-3343-4FF0-BA2E-DA0D7C04C3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32931E33-F888-4939-9935-01BF10FD8F4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5DC291F-32FF-41F9-B87A-5890D012D4F8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1436EA9E-14E4-487F-B353-02D065C816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7E85E960-77D3-4C79-9D10-61D419AC8E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9626D012-E406-4352-B169-0481FC7877D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029C32E2-3FC5-4D7D-84AA-48769B1AD0D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6DF7B2BB-6CDE-4EAF-B01A-7A9D363A6D4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41586E4-FBE3-49A8-B2A9-DB6BBBC7E96D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E065372D-381E-42D0-AD9C-D65BCDBBFE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BE6FF5AB-5F0D-4798-9F0E-CF0B8BAFFA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5A94DE10-7A78-4915-9AA0-47AFDC3F06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5A046A5C-E3CE-4E49-89BD-2AFDFA164E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8E61DE68-96FC-4B72-AF7C-B5EC80F3FFE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1C63937-9BD2-4C80-B304-CEF8913A3F8E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392935D8-10A0-4735-8D53-7F75C21757A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1DE4467D-24C2-474B-A0A5-22E431854E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EA9FB8B7-1161-47E4-BA44-79259B97AE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DB1D3D39-1DCE-48AB-9760-F21BE05D530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34C6BFFD-D7E4-432F-BF85-89ACD2BABBD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4FCDD05D-89D3-4D3D-88FC-912082AD1EE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2AFF352F-79F1-4855-8D1D-204E23590A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5CA2D732-75A9-4662-853A-72ED4D28BB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25C5CFFF-F7F9-494F-B18E-0DAD16A49D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F1A84772-6D95-4064-B233-A3A38E79E1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7ED40251-705A-471B-8332-BAFC2CC519A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01773A5-A01C-4375-B33F-EAA910F267B0}"/>
            </a:ext>
          </a:extLst>
        </xdr:cNvPr>
        <xdr:cNvGrpSpPr/>
      </xdr:nvGrpSpPr>
      <xdr:grpSpPr>
        <a:xfrm>
          <a:off x="19050" y="15167011"/>
          <a:ext cx="1346922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65AE37AA-EA98-410E-B7C3-60A2828091DF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2FA86712-151E-4D3D-A0B3-5691D074F6F4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9AF9F349-D7F2-4921-9B5A-4CB62B8BB49C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45754F97-9AA9-4406-96FD-6E9AE5F3D97F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5B7ABDFA-BA0F-471E-9B26-C3498B395FA0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71</xdr:row>
      <xdr:rowOff>22225</xdr:rowOff>
    </xdr:from>
    <xdr:to>
      <xdr:col>21</xdr:col>
      <xdr:colOff>607786</xdr:colOff>
      <xdr:row>71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758B2C3-54D5-4B16-BC05-3B10A6AFE2A1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FCDF2F2-A08D-45FA-9DDB-4A282622666C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169D3ED5-A900-45D3-8219-F6395FFE48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1F005AD2-8491-4CD0-BF03-5AA1B8B21A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3BB6D56C-339A-407F-9A24-AFD32ED941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C345903A-8BFB-438C-8C02-2B17F28FDD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258387B1-21A7-4811-A963-E5310B3A205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204D4CD-C49E-47EB-9834-64C9C903C4CC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DB422588-34E8-4DFA-AD3E-1E48173EA30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D830359E-3F73-4E83-BB80-50AD929387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C8B3BE12-4D8C-475A-8109-83C35DEADF3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8EC7F85-B546-4212-BB63-5DEB2783327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EBDE0692-C14E-4887-B83F-6E107648E00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67FCFC40-A3A1-469D-8946-00A9F49C2AB5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A90338A8-6452-41A5-B2EC-EF637C8218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DC7B8940-2F79-4391-B500-99744E21FCA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24EC1A35-B84E-4A6D-A16B-FEE9809BD7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82DE3665-4531-4F3E-B793-8BA4C4DF13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FF8475BE-28D7-442C-97A9-3907608F40A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B4BFB8E-A3EE-4DEB-A46C-52E343804D42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1AAC8F62-E588-414A-A3AA-ECA869850D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091F1319-E0F6-44C7-8439-580ED6C3D8E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71540573-6E68-4999-9AAF-988CE973F0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EE9B0C09-D7B4-4C9F-972C-9CBA2042DE0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7833ABC-D16F-4ABF-8369-6A97015B639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B807497-63F4-416A-B81D-F19FD1A06902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CA5BD4E3-A4C0-4C61-9CF7-2FE8B28F2E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2676EC14-A719-4849-8B25-3FAAAAE731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CB73BCBF-E353-44F8-9F8B-26C83945F7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51FDDB7A-F77C-413D-83AF-89D336D0A0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40BEEFC-0483-4BC5-8D40-AB801379226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A399D54-136B-44FA-919D-C94967F9DAB4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B27D2655-AA61-4DD2-9FF5-46CA2968EE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1BDD2CED-78B1-4995-B7FF-AAD762E7B63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881AC3CA-1F63-42EA-8012-E0E862BF4C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1DE9ECD3-A5C7-4E1B-941B-2EFDD20544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6C658E4B-E96C-4D81-B409-74E4F5D8DBD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F033DAA-EF44-4AA0-96B2-E995622DFCE8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1FE3CA6E-1120-43EC-847F-CDB9C70FDE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74C18F01-939D-40DD-BC00-2CB7DD6827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490C8866-D0B7-4025-8EF7-2C63839F89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A1026604-A441-4E65-A254-883B25829CE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0038412F-AA7E-492F-B6FE-E308891AD60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5DF5C32-EAB6-4414-9BF5-98B238402433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A42F3ADD-A172-401C-9DE2-54582E28F9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2E4A8F5A-14C1-4414-9871-8F7CF84462A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1B752A71-0F6F-4941-AE1F-FE46D82BFE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B6A2B43E-510C-46FC-9467-7C00969C97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0068EF53-0EB3-4B80-A588-AE0D9F11419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CFBAC05-38F7-4DFE-AC35-6C226E1E6AD4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08F3169B-092C-417C-92EF-B63494CB27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B96B0EB3-3BB3-4586-A738-FEAA79592E6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95ADDAC4-3C54-4C3A-844C-919DD47C50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2562D494-28D4-40CD-9E60-63F9233740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FB5DF790-55E3-4DBC-8DDC-88803D84000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B293732-42AC-4012-8454-D2FF045B14BD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32442E62-0517-440B-A6D1-AFF0187BF37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11D2DB43-C080-4648-9471-6975B48FEF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046FA474-25BF-45B7-8AA8-A089907E236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541CD18A-A879-4884-AB99-B0978408C2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4E4615BC-F844-4E41-99FE-38BC86B8A0A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8C89272C-999A-4ACF-BB64-CECDBEEDB25A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B33D0250-AD7F-4721-A277-9F49ACEE19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D9E90B9A-5E86-454A-BAA3-9F6A6355C8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2AFE45E1-D5E6-4B59-83F2-013C190BE0C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0A442A09-551E-4940-B3B9-308D049A4E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1240503F-F821-4FB6-9D28-D918C324022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0</xdr:colOff>
      <xdr:row>67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E4075737-5E54-4B37-976E-834554338745}"/>
            </a:ext>
          </a:extLst>
        </xdr:cNvPr>
        <xdr:cNvGrpSpPr/>
      </xdr:nvGrpSpPr>
      <xdr:grpSpPr>
        <a:xfrm>
          <a:off x="8422874" y="1511592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D9A0327C-666A-4612-B1F6-B06B7F76ECE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F33F3E1C-0552-4F62-B401-64008E6D72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0082126F-A89B-4E4D-AE83-200C7379A4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D75B6A59-199D-4EF3-8594-1BEDCA8AF1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DD1BD1B3-3D22-43E8-819B-31D8A21C713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70</xdr:row>
      <xdr:rowOff>0</xdr:rowOff>
    </xdr:from>
    <xdr:to>
      <xdr:col>22</xdr:col>
      <xdr:colOff>0</xdr:colOff>
      <xdr:row>71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6C45FC4D-A78F-49EF-8BFB-94F75AE4C8D5}"/>
            </a:ext>
          </a:extLst>
        </xdr:cNvPr>
        <xdr:cNvGrpSpPr/>
      </xdr:nvGrpSpPr>
      <xdr:grpSpPr>
        <a:xfrm>
          <a:off x="19050" y="15546552"/>
          <a:ext cx="13564111" cy="25929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9471E4FF-E989-4F33-A30D-023C431046CE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76F53A8D-A36D-44FD-B94E-DCB01C3263FF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D172A039-52BD-4CB7-9320-FE1D6C7160F7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58</xdr:row>
      <xdr:rowOff>9525</xdr:rowOff>
    </xdr:from>
    <xdr:to>
      <xdr:col>23</xdr:col>
      <xdr:colOff>400050</xdr:colOff>
      <xdr:row>61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4B7BCA00-6FBB-4705-AB42-88EA17DFB564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62</xdr:row>
      <xdr:rowOff>9525</xdr:rowOff>
    </xdr:from>
    <xdr:to>
      <xdr:col>23</xdr:col>
      <xdr:colOff>390525</xdr:colOff>
      <xdr:row>65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4C96BCD-3731-487B-A984-83984D1A8417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9B921C8-70F5-480E-9D2B-B455B597B216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6F4E19D-A9E8-4E49-9957-1B781E12DCC7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D27D380-462B-4536-9865-ACDDB7BD6B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EFBC3755-6BC8-4C0E-B7D5-8A466D208F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C0D3BBD-7BF4-43E7-B66E-63D9659782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C1898F83-5743-4C66-A60A-FB350676EDC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63B56F18-810C-40EB-8B8D-53910354CE2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45C0E4A-F236-471E-B558-C9210474ADD6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A0CB95F2-603D-4ED0-B0B4-35DB5B126D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515A1430-0F92-4D62-A74E-55BE66B3B8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3792FE5-64EB-44B0-BAC4-D446BF72299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6A74DF6F-EF21-4BD0-ADE9-F5F303A119C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2ECA364C-52DA-4F39-B909-0476673E6D1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2B37403-BA29-4322-AECA-926C2C70A14B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3AC3ACAA-0567-4584-883B-09FE444F2E2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C70C7673-12D5-4AFE-BC41-7AC523878FD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91E43170-BE1D-48B5-9CB7-B23F85E87D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841284F6-4561-4CE5-B64B-5E981C360B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B1C50A21-7126-4984-8676-AFFD90918BF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67E90CC-B6B0-4E15-9C5C-BB400C50756A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D39080AA-73A7-4DFC-87B4-00FD24EC79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740B7600-CA04-4468-99BF-62841ECDFF5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33A1ECFB-FB02-48E7-AFB5-42D7590743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111E5A50-B0E4-422C-89D4-8241725D243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6DC48278-592F-46FA-A8DE-20D568AE283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EBD60E9-D7C5-445F-8B4F-DCC4EC42BFC7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FF188F63-9D18-485D-9C4E-6480EE473C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5DD2FD33-31DE-4FAB-B953-D9CE4CC209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50717F43-29B8-461A-A2F9-AA017542043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5C119FCC-CB2E-40A1-B169-CFB65AD001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8A510A7-EEA7-4C7A-9957-31D89EBF222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A80AA27-517B-43B4-A527-61F71F133D1B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D8413C45-DDDE-4C7C-B6F5-80E2FF4E168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7332988E-AB94-4AC0-BB7B-0E0A09B561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4968B83B-A0D3-4B38-BBE4-2D8A6965E2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DF23DD63-7446-4115-8727-3F175067581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90657850-C9CB-410B-B05E-487FCC2542D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287FA136-6F50-430F-97D4-A9639948279F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A725E33B-E11A-44BC-9266-98D6FEF2EFB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1882B29A-0B4A-4237-9A77-148D81645CD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51EAF2E3-3C21-48AF-A314-D878CC2341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397EB227-655A-4A7C-9FFE-4EB2104D09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2C2CF165-5847-45B3-AD34-3234B46DEFD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A7794DA-79DA-4CD2-9250-DBD0A6D5C632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7BE98FC3-140D-4C57-8635-4BD4ABA686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1AD60F93-5528-494F-94A6-45FF63B49F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5F6C89C4-BCB6-4AB4-8AD0-E06FA7F4CD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FC491E2B-B92F-4B4B-B65C-482CA88A230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461B3DD5-1328-4EC8-9FA0-E5F9700E11C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823E56F3-CDAE-49B0-8329-1A0CF4141528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62BD5D19-169A-4A4C-9146-2010945807B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5B6DC794-044A-4682-84F1-D11162D5662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1076312B-99F2-4B79-AE1F-DD75D1002FB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857A2F50-F338-4CAC-A360-03D05FE39E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DDCF723A-881B-48FF-BC3C-F276FD4E027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64C3DB0E-9E36-40DA-A2D1-636E8ED75F8F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85CD83B9-0776-4C15-A704-D4237CEFD1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007AEA2E-9BFB-4008-A03C-6A42343DBC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E4E529F5-ECA2-4F91-86D5-4C1D8574FF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DDA26E45-C104-43EB-B625-BF41F80428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A6D52F29-4608-4FFE-9219-6B8A41267F9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FE684C43-6E4D-4BAC-8F58-F69493D233B2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3ACADB28-5A32-46DB-AFA0-2C84F45C2BE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5952E9A4-7F31-4624-82D8-14E692E5A9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4290CA1C-61A2-4AB3-8691-C9BC532B664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B3189639-D7D1-416C-9B97-689AA15154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1258FFDD-C7BC-4DEA-AA07-7CBE646C1E5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A04FE255-C1CA-4FED-9BE1-C98FBBA93320}"/>
            </a:ext>
          </a:extLst>
        </xdr:cNvPr>
        <xdr:cNvGrpSpPr/>
      </xdr:nvGrpSpPr>
      <xdr:grpSpPr>
        <a:xfrm>
          <a:off x="8495862" y="1506482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B7D7A526-6BC3-4C31-A770-0D177D7A8D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2ADE5D62-4AE5-4062-AEE7-85764733F5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2DEE7C5-3DF7-4BCC-BBCB-21EE9223A8D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169BCFC4-9FA9-4D44-A762-CE2B5C7B8A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7F55B8A7-0589-494A-A3F5-22D3A6AD9E0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6091B611-8C72-403A-B426-82BD5F040DB9}"/>
            </a:ext>
          </a:extLst>
        </xdr:cNvPr>
        <xdr:cNvGrpSpPr/>
      </xdr:nvGrpSpPr>
      <xdr:grpSpPr>
        <a:xfrm>
          <a:off x="19050" y="15502759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7FE9B75E-BE94-4CD2-8A4C-D4DA41C96A72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E98ABA5D-258E-48FB-8A98-E20694948164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A4ABAEFF-D088-4005-9F2D-6455352E6E10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5A3F9658-6339-4889-9EAB-388320261309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B3C925AB-44D9-446B-8E43-BA4DFF0E16EE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68E4247-40D4-485C-A62C-F0AFC55038B7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AC90D3A-AC41-4133-8305-7E0DE9C02A74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0C910458-36EC-4DFD-985C-BF378C65520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FE6486BF-863F-4AA3-80FD-0551A95C2C1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42EC5C93-9AAA-4553-86CB-1D2ADD1D12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F32813F7-BB0B-480E-AB06-1B289FA1DF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1366F79C-1B4A-4458-9ED3-EA52079AC97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68E5ABA-0BFE-45D5-9BC5-7F545659666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0DB8995C-C2F4-4B64-B97D-E43A372B8A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91B81766-CC00-480E-99A0-63DA9F8C62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19FF9E19-5052-45C2-B3A4-3C5D2A317F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99640D56-E20C-46A0-94C1-6F1AE48D46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FF2FC650-8BA2-4D0A-9DC8-A2EF56B0FE3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049E00D-6C57-4AA8-8E3C-B1B739997FE1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AB149864-CD18-470A-B31A-76612E2B9A0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771672C9-6AC9-4F16-AED0-829678E7E2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B2B05A3B-CEBC-49AF-AF2E-80A7669D8B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6FC09520-F2A0-4F73-9827-A4A0B140EC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96B6D2B0-FF01-4A52-AD86-7DE2A7E25A3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7697AF0B-B20C-4D01-934C-3F37A7881D8F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36F0AFD9-D984-4FCF-A592-756A739DD9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B1FFC4A3-3E96-4D26-ABF8-AC48596AD4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3CC24DA6-15A3-4820-B727-41DACF5BB5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BAAD33FD-B83F-41E6-9817-D7E21C09D2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2994D1A7-2D32-451E-816D-3412D586F75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F8BA9A23-B886-4091-9D4F-76C457B9B881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FB4177F9-67B0-4CE1-A1E6-AE9A9577D4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FA665FA0-1B82-4469-81C9-D2ECC97675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0258E9E7-711E-4CF7-A9CE-3B792C52BA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FD34EE0F-7AE7-41DF-B681-638AA29475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41170EE-89D1-46D0-A27C-FAC351D2403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617529E-BFA6-42A5-B86C-5686C9D829D2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BE3C4E69-2B7C-4495-8183-3CB50C44BAC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8886BD48-038F-4420-9212-3EE9DF1841D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9DB42C94-ADFA-4AD0-88BA-172ACEB10B2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8DF65A79-6E24-4D9B-953A-AF096C3F37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492E001C-A538-4DBC-841F-6E0B5A60B9F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7914A78-6BC2-4629-9C85-825FA485725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63822B9A-E3EA-4712-B9C8-C25A768DF17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4E911BAC-8114-4DF1-B69F-81565DA57F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48A103CF-7C96-4763-8E1D-CCCF868B1ED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FE12532C-ACE7-480D-B7F4-D38C61ED3B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F15FEBAD-E79F-4CE4-880F-BA3928C1B64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375F913B-FCB9-4641-865A-048180AAA14E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2C5242E7-4C37-4A6C-B7AC-58A08317445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E6009F07-3354-4208-833E-F4BBC06E89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F8A5C738-3A57-4C2D-BEE0-A7FBF43F54D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6ABCBAAF-88C2-45BA-B82B-9017E95415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9AC32737-A7A5-4926-8B89-44B2EA1E8B0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BC7CCA0-4B96-49D3-9F42-F095A06E9A0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359ED719-221C-4AE6-BFF9-BE4C5CC2ED9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B4FDC341-CED3-4F09-B17C-007AA19338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3F393C47-2940-4A19-9F70-AD965C0DF4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93806F38-14DE-4A54-A145-43081401D3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8BF08AF1-B376-4B3F-8B13-21638FD719B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DE6138DD-240C-4F88-AAEB-B894534AD483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765759E5-3C1A-49BF-9304-EC97A596A0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845C3D8F-73A5-4C35-9F7F-4A094C7AE36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76D11A91-88CE-4227-B31D-7FC77F5CA8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66B16CE6-8173-4172-986C-5CE167AA7A7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299914E-EE19-4AF1-A41C-3D423FE6360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ADDE19F5-F842-40D1-AEC3-B2C22875CB2F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FB890896-28D9-4459-8ACA-E415F7476F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BB72E053-95A5-43F3-9391-F7FBAC437F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3FDECD0C-6620-4616-BECE-82546743DE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2FB4E011-DDDB-4735-8733-500B90C8FF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64A9B497-5185-443B-A1EA-5EEFFBD2E42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ADCFF33D-1F8F-49E3-AE30-045A77A0DA17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3A03B194-40E7-4F03-A4BD-DB790BE58B6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65DBFE7C-73F9-4570-A88D-AE3BE2C06A3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31C13A91-032D-4CD2-A8A2-3A496A325F6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760D0B82-1E24-4B2E-882F-3AD42477E1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B93236F-B81A-413B-9361-1671F0EE0C2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B1CD9D5-D463-4B44-99A3-EE6FCD441E6F}"/>
            </a:ext>
          </a:extLst>
        </xdr:cNvPr>
        <xdr:cNvGrpSpPr/>
      </xdr:nvGrpSpPr>
      <xdr:grpSpPr>
        <a:xfrm>
          <a:off x="19050" y="15167011"/>
          <a:ext cx="1346922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0548AE49-9DBC-4EB1-92CE-94ED03CD4215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F6B1B052-F2BC-4671-935D-68F1895C5A84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92EF53BB-E345-4240-9520-8D0F3D3567F6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3B553785-A782-4E44-ABEA-9B0A2C34BCF5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7AEC7CED-8E55-46AB-A75D-863E559B6302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73</xdr:row>
      <xdr:rowOff>22225</xdr:rowOff>
    </xdr:from>
    <xdr:to>
      <xdr:col>21</xdr:col>
      <xdr:colOff>607786</xdr:colOff>
      <xdr:row>73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E4F258E-E737-4AA1-974E-209969B37FAB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7B4B45-5AD2-4A99-8653-DDD78B0E186E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D5683C6-D610-4013-B374-F9E6D464449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8240D006-D4B5-42EB-8CF2-EEC20763F3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15639360-1A1E-4758-A08F-AD149D1234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8CEEB6C6-E8DE-4307-AAC6-8FE46CC0DD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B7E499CC-2FC5-4CB3-AA9A-8DB10C177BF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7A92669-4F53-4F2F-8DC5-AC8F318BD475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F9428561-F6E8-4825-9ED1-C065A58B47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6EE6C4E5-052A-4D52-A695-EC5C0E0105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300F7ADA-7F6E-4F99-9C6E-472AA62F5B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E826D444-C1AB-405E-ACDF-09F441E8BB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299E5446-ECE3-452D-9C57-25984142B7A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F1170C7-7591-4C83-A4AE-FEF0FA3499F7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5C709ED6-87A8-45E3-AFA8-95A102A159D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4359896B-DFD0-4911-A5EF-7CB6EF8B35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FB4F588F-122F-4B7B-A7C5-828C716092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8B5EEB07-391D-4EBF-9145-D6F589E806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54DC8DB6-3496-436A-AF95-20B2015B2C6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865BA29C-E3EB-430E-B5C6-5E81BA37E62A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CF7CA9C4-A636-4D8D-92F4-CFA50789C8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FAAB5A65-E4B9-4D53-88CE-53B4E0EDC83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3C7654E7-FE5E-4D34-8978-CA4F37C8DB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07585A93-76E2-460E-AE18-AB3390CE9D8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8A8FD80C-373C-4BA6-B8FD-51001FBB54D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3307F8E-1C02-427B-B2B8-36FD80F85B29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B53D0716-A858-4615-B62B-67FB8BF4D3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804652A9-1B89-4403-8075-66A06A852F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24787769-D54B-41B3-9938-7051F4E6B1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F018FCEC-4FCE-469F-B934-362FF1373D8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5AA63886-D176-4C56-9260-8F4C30696E0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3B7A183-ADB3-4228-9FDE-F4E3A238AFB9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BD21C5AE-7E3B-45E4-802A-164BB7EC68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6C043BEC-2CA9-4BC3-A16A-AA02E2C52C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5D9EB36D-5ED5-4585-B8B6-424293A753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32A55701-C9D2-401E-8DA6-14F3534338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20FA5520-F5F7-4330-8DF1-80245B6929D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6C43845-8DAC-41E4-B9BE-46154916D99A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7F680D58-3648-4071-9186-3C9EDF44CD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91F06CB6-E8AD-45BE-A617-3AF5FB87AC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8BBAC19D-DACD-4516-A810-298F07E9C6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F856E83E-42F0-47E0-88D5-E1036A830A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79FA30BE-AB28-464D-A264-B8A2E7913E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CFD7814-00D4-4970-AAF7-591CE3CF038F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6FEC98E5-F954-4F40-BCAA-9154098BDFB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2BB6E14B-2F82-42F3-9011-9AABAC461CF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A98E9501-E031-486A-8C98-36CBB93F57D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BE2716C4-70D5-4C2B-B40B-96E261CE96F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DC600288-8D5B-4A03-B932-A24D78FDF3C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3DB54A1F-5C9C-407C-B09D-8683EE8A145A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4F16C833-19CE-44BE-9AC9-9D833C4A4E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28FE126C-4C96-488A-8C8C-78BA54C8C5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E741B637-BF47-4DD6-8092-67E4DD46BF5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CD31B099-13B6-4C45-820E-40C4F8FBD5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2327ECE7-4D49-4310-9A75-DFA0EF5515D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DABA5EFB-C7DB-4A93-B351-8BF3DAEDB8F1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CE010BA4-E4C5-445E-A341-8E1247CBE1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CAC438FF-FCFC-482C-B300-24A90DBDFE4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5F24473B-03A2-479D-8053-DE3DBE40F4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5B731DEB-4D14-4F9A-B22E-BD726159E1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64B90370-35C7-4BA2-ACB9-697F8BA41E8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76AFFE4D-1AD5-4B86-8631-B2F077718CEF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4B1E6DE2-E819-4C82-8E0F-008248FB9DF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974872C6-6031-422A-8DBA-4181CF9101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C57EC82A-006B-4E1F-9224-2F0BC0A486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80E5CA53-E9BE-4C13-89A0-757677666C1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2752BD92-1532-4B68-8746-68821866FAD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44960622-0234-4EB9-AC6D-B70077272C04}"/>
            </a:ext>
          </a:extLst>
        </xdr:cNvPr>
        <xdr:cNvGrpSpPr/>
      </xdr:nvGrpSpPr>
      <xdr:grpSpPr>
        <a:xfrm>
          <a:off x="8612644" y="1549546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5DFEE885-F247-4FA9-8241-8B19C612FA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EBF4B48E-EA92-4F55-80A1-D9D3C83BADA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2014259F-D522-482B-B51A-470739487D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191C7D0A-3B06-43DF-A953-8B58C8A41E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F9E86987-3184-4741-A9A4-AEDCF5BE49D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72</xdr:row>
      <xdr:rowOff>0</xdr:rowOff>
    </xdr:from>
    <xdr:to>
      <xdr:col>22</xdr:col>
      <xdr:colOff>0</xdr:colOff>
      <xdr:row>73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EC433C12-BC3C-4493-BBF4-99BE2B6F0837}"/>
            </a:ext>
          </a:extLst>
        </xdr:cNvPr>
        <xdr:cNvGrpSpPr/>
      </xdr:nvGrpSpPr>
      <xdr:grpSpPr>
        <a:xfrm>
          <a:off x="19050" y="15926092"/>
          <a:ext cx="1365899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D04ABABE-EC92-48C5-97D9-083E82C7815F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D8CDFA8E-6C8A-4E15-8BF3-FEE9B8C4538D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0B6830C6-B0A5-4813-9DE5-3CEE2C98B529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60</xdr:row>
      <xdr:rowOff>9525</xdr:rowOff>
    </xdr:from>
    <xdr:to>
      <xdr:col>23</xdr:col>
      <xdr:colOff>400050</xdr:colOff>
      <xdr:row>63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3A660C15-1D6F-4D71-AD0D-856B847C3414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64</xdr:row>
      <xdr:rowOff>9525</xdr:rowOff>
    </xdr:from>
    <xdr:to>
      <xdr:col>23</xdr:col>
      <xdr:colOff>390525</xdr:colOff>
      <xdr:row>67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CA9E2B9F-8EE1-4851-B068-AFB48F4A5BFC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74</xdr:row>
      <xdr:rowOff>22225</xdr:rowOff>
    </xdr:from>
    <xdr:to>
      <xdr:col>21</xdr:col>
      <xdr:colOff>607786</xdr:colOff>
      <xdr:row>74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A549D21-E8BA-4603-B6D5-11EDA39218B8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8E2BF62-12CB-4724-B14B-1FD8867CFC65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ABF60D08-3E80-4C90-9406-F636E90838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4B8909DF-9343-4E93-B7C7-F27DC7BD81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53F453AE-F71D-4EC6-B3F1-18FCCD66FC7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BD1025CD-EB22-4C8A-A86B-AAC6441AB66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9603F26F-838A-4AC8-8C0E-F93337AECDA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48EB13C-46CC-43CD-A330-3DF6AB744C89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6CB9646C-3464-413E-87B6-6ACDD812C7B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BA0AC133-13E6-4320-B896-EB3273BFB4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0332B88A-6E0E-4DFC-93B6-D4BBE05D05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4CF8C5F-A218-467D-869F-03E360749C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2A4FB2EE-4E5D-48BF-B0B8-8CC662563CA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3AE31C7-7459-420D-8685-0D73BE6CC3B0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D3FAE5D5-F0EE-401A-94E0-CDEE6D0174D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F41F2D13-D1E0-48ED-A796-689FAF0949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6B8B9C72-DD11-4271-90AA-71FB5A364D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D6A14662-3E75-4C77-A322-14D7B8A811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31C2937B-43F3-4FE1-9292-2745F57EB93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196B40B-9837-4A73-A248-B04A40184053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91962B8D-02F4-4093-AF2D-ED653F38CD4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9924058-5AF5-4C7C-B797-AA4B302A7F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A33AECAD-AEC2-471C-8385-E84AFFF4BF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A7F2B325-9379-4561-AAC2-3AAC69F70E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85670B1B-53ED-41B7-8F8C-AEBE3A8B287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AF816A6-1538-4ED9-BE11-F2B224BA1C90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1F23F66C-A116-4EB8-8F70-C0EDDEAEA5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CBF2BB18-B830-47A9-951C-98137E041C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CAFA085A-0ED1-4668-AD4F-37BEE6041B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C6890812-BA20-4E3F-9BAF-5865E56195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BF378851-2458-4E24-98C8-21FF8337864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CDDD27A-8288-4228-B633-5F9EE6B4E7D6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FDFD0768-5E17-48D0-B476-DFE090BF05B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A2B9CA73-B533-40EB-930A-139E6DFB4E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D8D72C7A-2FAE-4F1A-805F-B2FA07C740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2E6BBF58-468E-46F8-92A8-BEBAD6A5A0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589CB7DF-B47E-4EA1-AE67-431E242F727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34FD70B3-35D8-4A03-8DD1-7664ADABE3B3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AEC597BA-52D7-4D08-AB98-720F785682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01235200-1ED3-429D-915E-480AC2639D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989C7679-AF36-4A3D-B091-415C506C869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81C30AAE-CCD9-4236-889A-3A3AC9B263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55A14A67-8187-41E3-83FC-378D8C1B15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39107CDF-85FF-4317-B45B-9CAAF5F970D5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58EB096F-C833-4B7C-AF59-89E295CC56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035C9F2F-1D85-40A0-9B8B-5AFC95BE9C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EAD85A9F-0321-45D4-B936-125CB49445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A334406D-33FA-4574-9977-CA69F5A0BA1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E596947B-22D9-41E6-AD55-FD843830693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33A1F67-9208-4C61-9615-C9A599A03D8C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23B44FAC-7E07-4B07-BA1D-ECF8F1871E6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DB5DF602-14AB-4420-86B9-731041C781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08A2B255-665B-451A-805F-F734BDF2DA2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D1C667E5-85ED-4C7C-B6A6-7275E28EA09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9A9B589-D8E8-4D5E-B0E7-FCFDA4ACD34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BA5C3051-620D-4C61-A24E-BE8C81F64E0C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5A06B1F4-864B-4751-B9BA-CE51440B53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E7DBD27F-1C9C-4625-B01E-B63FB99CAB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0157CFD4-C0E3-4D31-A190-1BBF1A680D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95824B35-BDAE-4262-8F22-2C2D7225EF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E5269CA8-DA42-4616-9364-3C2341EDA5C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6FDB00D-0D94-422F-A964-416D591BA444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81FA677-A1BA-47F4-B7DE-49ED2F6732B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05B5ADB6-3714-44F9-83D1-AFDE4EFC60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61782A36-DA90-4FA1-A3B9-D8D5145385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63D865AF-A0D6-42DC-8D83-5FC335269B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31521C42-DCD3-4E6B-A735-0E7EC54565E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0</xdr:colOff>
      <xdr:row>70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4985A8E0-6FE0-478E-9BAA-A55E8782A9D3}"/>
            </a:ext>
          </a:extLst>
        </xdr:cNvPr>
        <xdr:cNvGrpSpPr/>
      </xdr:nvGrpSpPr>
      <xdr:grpSpPr>
        <a:xfrm>
          <a:off x="8509000" y="1573305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065E474B-F3E3-4BCF-B560-F78277B3A0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ED9BA047-7E2C-49FB-AAE7-7AC3C92CCDC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30BB7692-778C-4A44-9237-FDAD3B8308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23ACBBB0-5BF7-4C93-AE95-C5B25E26F3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A1DA4EEF-C678-48DA-9FA4-84163E4D75B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73</xdr:row>
      <xdr:rowOff>0</xdr:rowOff>
    </xdr:from>
    <xdr:to>
      <xdr:col>22</xdr:col>
      <xdr:colOff>0</xdr:colOff>
      <xdr:row>74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B751F9A7-B462-4AE4-BEC7-8480C089ECD7}"/>
            </a:ext>
          </a:extLst>
        </xdr:cNvPr>
        <xdr:cNvGrpSpPr/>
      </xdr:nvGrpSpPr>
      <xdr:grpSpPr>
        <a:xfrm>
          <a:off x="19050" y="16166353"/>
          <a:ext cx="13584891" cy="25680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293B7BC6-E73A-44B9-BF02-F6A7A86A56ED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1A20256B-4B2F-4217-B791-72759EC2E241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2A0B714A-A0AF-4691-A4C8-2C0CBC7DC1EA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61</xdr:row>
      <xdr:rowOff>9525</xdr:rowOff>
    </xdr:from>
    <xdr:to>
      <xdr:col>23</xdr:col>
      <xdr:colOff>400050</xdr:colOff>
      <xdr:row>64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3CB62B67-7042-4C29-804A-9C5905C436E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65</xdr:row>
      <xdr:rowOff>9525</xdr:rowOff>
    </xdr:from>
    <xdr:to>
      <xdr:col>23</xdr:col>
      <xdr:colOff>390525</xdr:colOff>
      <xdr:row>68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E6CAC806-E08C-4BB6-B387-5249D076FFFB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73</xdr:row>
      <xdr:rowOff>22225</xdr:rowOff>
    </xdr:from>
    <xdr:to>
      <xdr:col>21</xdr:col>
      <xdr:colOff>607786</xdr:colOff>
      <xdr:row>73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78A17AA-722A-46D8-AAF5-A82B9202C060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D7FCD8F-19C8-48F2-BDA4-D640A1F10802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3952F929-9FE8-4B43-A4D1-F4D89BE03C8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62506EFF-C7E6-47B3-A1DC-F648AF73E0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BB0E4233-A79B-4A33-BDD7-5240C37AB0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86289ADD-4595-4CAC-831B-6B21FE3A00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4C5278FC-9DD5-4185-B838-84CE3A9705D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BAAE0AA-FAF4-4A2F-B27A-BAB128B7AF17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F2571ED2-D338-4354-96D0-A353A9CA52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40E4DA3B-BFF0-4D15-B572-84977E26261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95563ABD-4C98-4F55-B47F-F5121C0B243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144BC7E0-E00E-40F8-9757-CFB32262F9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741211C2-8BEF-4AB7-8D24-FE4B58A3092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B05D486A-78EC-4E1C-A859-35B4C8FA52B7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2BF41A11-FA49-4530-9F2C-D56613387EB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45B2CA27-EBBE-48E3-A103-6AAF52F13CA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8577380A-CFEF-4D0F-B564-D038F46D6C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2FE9AC6B-22A5-4EF6-B655-DC775D94C20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623E8227-A0BF-4A42-9A1B-800F10440BA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9C28191-117B-4C5E-8BDE-43547EF78592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1A872E49-2CCD-45B3-B7A3-6DBC55E73D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3FC70B15-C9E7-4F55-9E5A-39D57366B8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5C900213-402A-46D8-ADED-F3CAB3B99F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2D8911C-2E92-48AE-855D-CDF73C92FF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C7D68B8A-FB88-47FE-AAA1-90E8A719271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A8E0F9B8-C17B-4D14-A636-F9AA2EEBC802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B3A1F815-2467-485B-B463-F2A9E6929A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DE6EC677-2157-4D4D-AA0E-A3A8EE8367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271DF30A-08CA-407A-9506-C46C35E914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DD0C6619-F106-402D-8A39-598BE9E33B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FB14ECD8-0F91-41E4-BEC4-E07FA627064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F1F90CF-6912-4EFA-AB22-B6628E7E4B8C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D541E7EA-4F58-4A82-AF04-01571420D9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F7B28008-EA02-43D3-BA65-0143D814A5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32CC52C0-37FF-436D-915D-FDA6003343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8DB1007D-4420-4D5F-93AF-C682858F0C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093B7930-9D56-4732-91E8-839873608D9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BBCE2A8-EEEB-4668-8780-D966CC4A0A9C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FB382CC-F255-4000-B607-DA2DBF8682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1779AEDA-3389-4D97-A85D-9C387132889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08332D48-EF7C-4337-9B75-A7A3E916C2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03322FDD-FC75-4FBE-B229-942D0943C64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92B5E3EE-D7EB-4C45-93A8-FA5215334EB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B68D938-1341-4ADC-82B9-12C7E8D14D7F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25C1C0C2-F602-43D8-9A5E-08D5BFC17EC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9771551C-B5C9-413A-890A-522A8B153E7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4D80F7C2-8D14-4650-ABED-532C733B58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1948C5B6-7C8B-4094-9DAC-40C0DEF7806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15CD0343-BAB3-41C6-B213-E28A3141B9F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7111840-B519-44E4-9848-0E271757D8D2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996CD82F-603C-45FD-881D-8F712CCC29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811C430F-34FF-4E08-A54B-3E5FA5E557D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C0330475-A464-4759-A49F-2BBA0CB8441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3E230F3-3CC5-4C18-A6DF-B84A5D4497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58ECFA56-4468-49BF-8E55-E891DFD6228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B14F1F93-3235-4C07-93B0-C391C8BF0897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3E4FEBE9-C8B4-4FBD-AC51-D0364B738D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EA2B3F9C-F232-47F6-935E-E48BD5CE8F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F6D1A370-B0D0-4139-B74E-D75DBFCEC9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1A47F668-DE3A-4909-A603-02B10E575BA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AB20A25-D09B-4DBC-AD90-B4AB437415D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19770460-4142-4F1D-B1E6-19C7E70B8B5F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869FE253-A4E3-47FB-8EB8-F882BA47D43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B8847470-C8D2-44F9-9E70-F648864F77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2F7C55DE-25A3-453F-BE79-82CF1177B8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9F6FC675-65D3-423B-9820-C3FDB0BC933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83D7C969-2120-47E9-A625-87BA0C0F746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0</xdr:colOff>
      <xdr:row>69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93CAF8D-045B-441B-B6EA-99E8BE39573A}"/>
            </a:ext>
          </a:extLst>
        </xdr:cNvPr>
        <xdr:cNvGrpSpPr/>
      </xdr:nvGrpSpPr>
      <xdr:grpSpPr>
        <a:xfrm>
          <a:off x="8539655" y="1580931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99D3E933-9796-4964-A12F-E8675052F4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5A562FFB-4AC9-4D0E-9133-5280C95992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56D2CBDD-18AB-4812-B086-EE17888333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5B5086D4-A146-4751-A7E1-A05E97BE10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E261DCD-49D5-406B-B329-E308F281478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72</xdr:row>
      <xdr:rowOff>0</xdr:rowOff>
    </xdr:from>
    <xdr:to>
      <xdr:col>22</xdr:col>
      <xdr:colOff>0</xdr:colOff>
      <xdr:row>73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B39A3924-E9DA-4CA7-9C22-401040206697}"/>
            </a:ext>
          </a:extLst>
        </xdr:cNvPr>
        <xdr:cNvGrpSpPr/>
      </xdr:nvGrpSpPr>
      <xdr:grpSpPr>
        <a:xfrm>
          <a:off x="19050" y="16247241"/>
          <a:ext cx="13633450" cy="255643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D01C26FA-5CE4-4705-BAB7-C9CCAC586C30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71A8B707-E1F6-405A-AAF1-39568B85BC8B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60DF101F-4890-48E1-973B-3101F953F84C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60</xdr:row>
      <xdr:rowOff>9525</xdr:rowOff>
    </xdr:from>
    <xdr:to>
      <xdr:col>23</xdr:col>
      <xdr:colOff>400050</xdr:colOff>
      <xdr:row>63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ABE1C16F-7189-45CE-A24D-B7421D4DE44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64</xdr:row>
      <xdr:rowOff>9525</xdr:rowOff>
    </xdr:from>
    <xdr:to>
      <xdr:col>23</xdr:col>
      <xdr:colOff>390525</xdr:colOff>
      <xdr:row>67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14FB621E-AE33-43A7-9A7F-5F9984B3D1EB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0C23D06-CB2E-48DF-9692-F05C405E7F6B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FCA4F3F-3E2B-46DD-A00C-03CE5D2B7DF0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E352E5C0-99D7-4AC8-AC65-D9A9A4628D5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E02A3E6C-D84B-4FEC-9D9D-9BD45C3D1A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307C21B4-7FCA-4516-8F4B-8288A98229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8EE0CF06-58BC-413A-9DB8-623C69CADC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B4138968-E453-49B8-8F2B-94F509F554A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61CC1A0-063F-4D57-8F95-B1A5461B7586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54857852-1EE4-4494-B789-6CDAB247D5D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40D730DF-593E-4DE2-959C-3772FBE0B9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72B8E826-BCAC-402F-843D-5E8A194D46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DF2843EB-2F99-4BAE-AF98-5B1C2E7934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A739AF09-609C-420B-B47D-1797FCA409E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92166E5-632B-41BA-89BB-F1AA237189D2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6C19E812-3ADD-463B-A5AF-C6E04EAB6A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59677312-74F7-4F01-8153-00C004C0E3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EFD49208-FBA5-4EA4-809C-C909354090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F1DDA780-24AB-43D5-9491-13771D658B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0C08392A-95C8-4499-AEED-4A0EA9E456C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D055291B-8403-452E-88C9-3B08D09334C1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B626CC8D-C3AE-4C29-A7C2-14ED7C949E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44D4C2CE-9113-4728-8C55-F42DDF046B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5C4F084D-FC95-4F52-BF15-8881CB48B0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2B0DCA7-2C2A-41C9-9851-0BF845AB89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FF968D3E-CA6C-46C8-9AAD-6785EF017FA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62EEE7C-F7BA-4868-9B36-8FA5DB45FAD1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9134A335-62E4-4432-AAE1-487A51ADE2C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A30A4E34-697F-44B9-B499-4FC7561D24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4A267F2F-08B4-46F1-BCD2-8FD985D094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722585F1-D5E7-4E75-995A-082CA7FD90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A54373DA-FADA-4034-A148-B91163DCCA6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B8DCD9C5-495F-4C9A-9B62-0B305CB11A3F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FBA8E413-1851-4C68-9B43-DC78145A97E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8EAAFE2E-5B73-4CD2-A4B6-B8046EB0FC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C1692483-8757-4D80-A1BC-6B559FA60C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42633967-6ACF-4851-9829-25C9B9C84E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76B0F33A-8370-451F-830D-253BA18D488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8B0A9EE-B097-401A-A2B1-18B4F49E3BF1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56B1C586-174D-4106-9204-2E87511F0A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DA0ED811-BC0C-4258-8D47-F529F68A99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8C9DA6FF-23CA-453D-9924-0FE41C88B6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44818C63-26D3-4E5C-904F-1242C25E5C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21B1C44A-9D31-4FA3-A508-BDED76915F7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797C9DC7-07AC-432F-9584-42A0D21B0649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77D91E58-CCEC-414D-BE5B-37BF09F1C97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CA260123-2AFB-4F5E-9E38-09281E9E609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FA788AD2-C335-4C86-8A3A-B4C88E3D28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D297DD41-C26F-4999-8A69-5C85879BF5B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858A6E2D-48B1-4AD7-92F2-A26B7DAE98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7D6BE6A1-23E7-4811-BDC5-77CB1349D657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82539275-0741-4B58-BECD-8CFACD937C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03110BB4-2B7A-443B-9C82-76C07DE060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EA13E4AD-B84F-431F-B58F-911F0EAB32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A45FE575-8096-46D1-AC68-B7E6B8CD72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CC3F3B98-7D9F-49E9-9F8D-4D97D816863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51921AB2-75A9-4988-94C8-2772EF2E60F2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291F2E82-8C2A-457B-A643-8EF66D62198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AB32C90D-92A2-4FF3-8D13-DF1865A1F5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D2F0BFA4-5174-4509-8D9E-22321B98226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6B906333-71F9-4724-803B-90AA1697D0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5DF31047-6114-4C01-8CA4-1FDE2657863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A92602DD-9936-4C76-8045-0F622100D621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053C9E60-E250-4294-8169-F39BFE75D4E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A1854C98-57FE-44A6-82AE-EDE8D1BF1A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86789E8A-FCDA-4F12-BD40-636722F22F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90B8B0C9-E9BE-4942-96AA-7B563FA84E7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C4E80858-1377-49C4-9670-2DDC11F8B22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545720A3-1E8D-45BD-93EC-57B635090337}"/>
            </a:ext>
          </a:extLst>
        </xdr:cNvPr>
        <xdr:cNvGrpSpPr/>
      </xdr:nvGrpSpPr>
      <xdr:grpSpPr>
        <a:xfrm>
          <a:off x="8941092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625C0191-AABE-4031-B7DB-6F1C261C990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44824DA4-AF7A-4956-A9EB-AE576A60BE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D1208CF4-132D-4C13-B8ED-4FB3D4BC8E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A8EC18D1-22FF-4360-B0E6-573FAFD113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3C3E48B3-464E-45C4-98A9-CB220FE0AC1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9602885E-6996-4F6B-A6BB-8B9405DC9DB2}"/>
            </a:ext>
          </a:extLst>
        </xdr:cNvPr>
        <xdr:cNvGrpSpPr/>
      </xdr:nvGrpSpPr>
      <xdr:grpSpPr>
        <a:xfrm>
          <a:off x="19050" y="15167011"/>
          <a:ext cx="13987444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79C50F95-1D6C-4A25-A72A-679C75DEEE60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E1A2D98C-4F1C-4142-B2ED-6AF9A77B3D4A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B8588699-BB4D-4595-BAD9-199AAD9A16AE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E6F8A172-80E7-40F2-8F39-228C8E6DFA92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F5285FE9-5528-4BD6-9C8D-78FACEDCB08A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EEF3E8D-D9DB-4753-9EE7-3007FDF15A17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CCE9DAA-1AA4-401D-B473-2A4B5BD8DCCD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2A6C8B17-83F4-4AA7-98EE-537AF78C4E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B6E17CA1-6414-4569-A38F-FE2F7017FE8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960A243-2530-4EFA-B5D2-67491C69A5E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18BFA72E-443D-4359-81F5-91E347A46D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F8BD6814-CBCF-46A1-A4A0-DA4952D519B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1ADA77B-D385-4123-85AF-85E34C0D8847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F6B862D9-12BF-4769-9761-A9BF219532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6252F82F-B4BF-4E64-9BE9-B4AFEED68F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C477042-EFF2-412A-B3B1-1390CACF81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DC838114-D9E7-4887-9DC5-E02BAE50FCB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178DE7E4-928F-4057-89E4-112E5EB6B8C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F0EE77D-CFA1-4DAB-9DDF-26E35B2A9B02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47C517E5-469F-4383-82BC-C316E753EF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4BEA17BD-35BF-4E66-86A1-D85B23FF4C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AFE74AF8-C3A1-4BAE-AD83-1E46CCEFD9D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13EE7A7C-E1B0-406A-9875-D416D3BD9E4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30A8B465-7884-4A8D-89FF-82F3EA5281B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A739B52-05BA-4337-9377-086EE3A15158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F02038E8-5E38-4DE1-80D1-EEEA783B1C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BA4BE668-16BA-496C-B24D-6BD2F3B5B8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B79BADB8-1AF2-4001-B040-DCA0ABD87F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E60D6FD6-9CF9-411C-950D-26000D7CCC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E096AD18-F339-4969-90D2-E1E26543170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ABF76F63-7D77-4E10-9F02-DE326B3C3655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C5F0AD39-49B8-40CA-B1E4-A913C760EE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3B1D12FC-6DD8-4F7B-A3A2-199FBAA826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66A7A8B7-9980-4815-BFBF-151F8F4B6F2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E90A1A20-EABB-4763-B792-3F5B3FFD89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94C548E8-3D11-4122-8C22-E257E2E23A4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01DA1C0-A2CD-44DA-9FA2-477CDF3F82B4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96DA78E7-96B8-4146-9633-ACF598608E7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C1222C2F-1351-4835-AC0B-138232EF71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2EB66A6E-0FFF-4B02-83FD-24BCBF68E45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B63E2D2A-89CE-4D60-A4F4-FA2AFBB1063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A8E6A7E3-6FC1-4B92-BEC6-585D5669ED1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FE6FC6B-B820-4617-A03F-418725235016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B2A40658-B53E-4AC5-90BC-EA29405D4B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A8F13A12-0E55-468B-B46F-B5A887252A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AC400F32-38DB-475E-8A46-69912E359C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20129A2F-BB94-44F1-938B-EDA8175B15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01195DCC-8B23-4DAE-AE84-79871A1719D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7728416F-5D3A-4D44-A804-1B831E42483C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4409B8F5-F01A-4123-B7E4-98C9CCB6A9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1ACC63EB-1C41-48BF-A590-B2721C4065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F5D75321-4F82-44AE-9CBA-0E3B3C6AF1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14D9A7ED-CF38-40B6-BAAD-591F598B93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6A5A7634-D5A7-4373-AC3D-ED25C56CC0E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58F60CC-E2A7-4969-8B8E-30B7ED1B5590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634033B6-DE0C-4E81-808A-B4523D801E0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CBCB8828-1B0E-4BCF-9FA7-CF10A41C32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102FD9CE-60CC-4709-9FEE-B71B5FEA9F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51A573E5-F687-47C1-9CA3-0D486068BB8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E246B440-6BB7-48E8-9534-278EA9D30EC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043668B-E08B-46BA-A64F-5DA230FB0606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17766667-43CB-4A14-806D-AF71AF6B98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AEBED500-42D8-4434-BAC3-7BA6D65F93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EE78E00A-91CA-4AC4-ADEC-EBE1AF8C71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F6926274-417A-47C2-81B4-AE9A13F63D3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CEDFC26A-BD54-4B4F-BF39-0140053B5DE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16C75069-8282-4343-9EE2-C59C8F2E888A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D23FC6CC-AE8A-4F0A-8FF1-5BB6C5E3D6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D559ABE9-4738-4214-92C9-74FA4531C0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AA0DF900-2D2C-456D-8C30-877F81D100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8288865D-8F34-4A71-8DC3-FC77A7C1D9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1557A38E-CA65-40EE-A3CA-E4E48A7FF65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B8D0B83-5426-4D94-A036-9A9E1017E337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181F2311-884D-4859-AEA1-F25041523E4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F56608BB-AB44-4BC2-A618-733304A6F94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6D0C7AB-7165-4774-A586-FD2AD44584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D1E1185A-AE70-4191-A0B8-F04D87592A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CABFD07F-30C8-4AD7-8FA0-E368EEFBF9F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94DD5117-F062-4B88-B4C1-3111D603398D}"/>
            </a:ext>
          </a:extLst>
        </xdr:cNvPr>
        <xdr:cNvGrpSpPr/>
      </xdr:nvGrpSpPr>
      <xdr:grpSpPr>
        <a:xfrm>
          <a:off x="19050" y="15167011"/>
          <a:ext cx="1346922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2C33EC0E-0E4F-4D87-9B70-0D4FCB06642A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52FEA550-93B5-4496-B270-B9CD5DED883E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682576DF-F37A-4CA2-8211-17DFC1AF4A7A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40837168-0518-44BD-84FC-53502D4C2D4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48F7FD6D-C3CE-4CF1-912A-1706A2ED7B41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DB63729-D672-41BD-9BD3-7899EAD43648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A6B985B-A92B-4DC0-BA71-8524508EDC35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FA86D3F-4815-4070-98B0-E22126D2E5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0D26802F-5188-444A-B7B1-39F9C6A0A3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FD6A217C-18C5-4551-8D25-227AC05FE9F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4C008722-9A3F-4378-9491-19F850388C9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1D444AD9-3E0E-4A57-B28D-03AE31E4F7E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C99B63C-7409-4CDD-9EA1-ACF93D83A06D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39151446-643E-47A8-93F7-2B68386B70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E2883EA8-722F-4DB3-9B49-6D53A0376E7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964BB3C1-2A53-4116-A5E5-6DB684DB78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82CD5248-3AF7-43A0-BE93-DC9F25EABB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8AB53453-CCF7-4996-952C-A3D1AC0C924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ABCFB71-5D52-434C-92A3-DE0265245D99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308DBB91-5E87-44C2-A65D-0652814A541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AADD237A-FA65-4306-B750-B643A157106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E9710C16-C977-42C9-8F7A-FBBEE255C2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F0DC6D30-9AC0-4A6F-B4CC-C985804386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35CE5FD2-83AF-4401-9AC6-C46CC856531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366D88D1-D433-4511-ADFB-C38694D5941B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C44D82EC-7B76-4F36-8516-EB30A5291E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32F94E07-8173-428A-9691-E59F5448D2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9FE2BB5E-F8FB-4B0A-9995-FAD8872C3B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80B62619-1356-4A60-AEA5-389B87168E6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C774045E-5767-40F5-87B8-60B76B5C483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3876291-4079-4962-B9FA-D7D602D6A712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C6D55832-C98F-4DA8-8870-A6D900FF17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23461446-12D0-4AF0-8B0E-0004D25627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91345DCC-D251-498B-A4A1-938B782DE4F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6D8C3A01-F98E-45A8-AAE8-CC8DE8C8B5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37B89A18-2319-40DC-A580-9CE56A4D0FC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124EC32F-14AF-4D9C-9F9C-F9735355E01F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F299BA3E-CE86-40FE-A5B7-B9D81168424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03EC6392-3A5B-484A-B626-A842F68A22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6C5ED53B-1F2D-4318-894C-F4DDB2EF4CB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9465F1EE-9B80-427C-8C9A-777FB71BC3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092D5E89-5AF5-4987-81CB-A56F05DF774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DF31111-66FF-461F-A226-1FF598BEF0B3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C9D3412F-BED8-4BE8-9020-0018D33923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03E3BB62-03FD-464A-A6EB-2CD67D3EE6D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9EA93906-D742-4A23-B65E-7DE0537234E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96F73C15-1E15-4D43-B8DA-6EDBBBD45C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04E2084E-7266-44C2-8AF0-BB4B0A9B184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7C123E70-AED3-46A7-937C-FAF532184545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3E838A44-916E-49BA-B979-B03F42AEEE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30D007B8-07D6-46B1-AAB1-1D63FB9211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4D4EC65D-8CDE-4139-87A8-B18E679110D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FDB054EA-A426-46F7-B431-9F0F90BEE09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2A00EF6A-17A4-4393-A97B-1B2DDCD5246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F4EFA480-367C-4109-BE47-14DB396B297D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A643E112-DCA9-4BAE-96BB-8C2D5F9033A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0316E9BB-1CCB-478B-A8FD-39A4072DDB3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770CBD93-4B36-4E04-B853-1A871FF3E8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457B013-C0BA-41CB-A869-D37C21D368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D8699031-1F46-45A1-A5C3-68AE2E0903E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200021F8-37C3-4D74-ACC7-65BC13889A8A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B2796FD1-C9A5-48CA-90E4-7C0A473B04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7226E9F7-1D8C-4B24-9C65-3E7B0283E34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18D0DC78-42B3-46DC-ADC6-B060B23D13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D10F3719-7F5D-4EBA-ABE9-341365CBD9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7640B30-F5B1-4045-BE30-8C705E6BE27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C1ED60A6-884B-4EFC-916F-34C9A271985B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05D0864-183B-468E-921C-17E8F7B0006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4644252E-2EEE-4502-B3D9-A8F71B4002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24B9D401-D2E0-4B80-8A69-9EC37BD3DE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69087AB0-B0A0-4C2A-AFDA-E321508F4DC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9BD508AD-D0F3-4827-AEF6-01A56A7BF6B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C8B86B87-A91B-4224-A3B3-07D4691D47AD}"/>
            </a:ext>
          </a:extLst>
        </xdr:cNvPr>
        <xdr:cNvGrpSpPr/>
      </xdr:nvGrpSpPr>
      <xdr:grpSpPr>
        <a:xfrm>
          <a:off x="8495862" y="1468163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3FC6A50E-D26A-457C-92C4-8132E6DEF39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651E5BDC-E069-41D3-A83B-EBC8BDF994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D90D31A3-2F7D-46DC-8568-18B17BE44A0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DA56A23D-9F5B-4FA8-8C94-DC865D156E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AF04855A-A6F0-4975-81F3-02C1A4F8780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96EE573D-2E58-4C07-93E3-D4F185E42B17}"/>
            </a:ext>
          </a:extLst>
        </xdr:cNvPr>
        <xdr:cNvGrpSpPr/>
      </xdr:nvGrpSpPr>
      <xdr:grpSpPr>
        <a:xfrm>
          <a:off x="19050" y="15119569"/>
          <a:ext cx="13589657" cy="25564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9080FBFA-E9D6-4381-AA28-612B641EF6B0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81DDB5A8-DD1C-4964-8A9F-43565D5504CD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164A5A4F-4362-499C-A0C5-537E9C607961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2A856426-A5F5-4592-A993-C00590FF8468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462EFF7A-EBEF-40E3-9D09-B657EB83E112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EAB027B-75EA-45F6-8E83-4C8C941B932E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A9B8A00-F811-4B30-B1F1-CD2E7F241641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C58D09B6-4583-4CD8-88D6-DBCD2E5D95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84640BB8-BBC8-4A77-A724-BE9CE02A6D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F8AEF748-B4FC-40CE-B91A-DBDB84CADD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9FAD8276-D4D1-413A-88DC-9377354B7D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B5E1D95B-4761-42B7-AF1C-3D71BA356DF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7B5BFCF-CB8B-4969-B162-58F7C86E9650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4ECA80A2-664F-4625-8E93-F5D228C152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78CA1839-E5B1-493B-AA6A-F6A473D2A0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46DD8953-B3F0-4B20-85C9-FF01A7AAB43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99BC4DF3-1765-41EC-AC95-68D3DB69A4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8073011A-71B9-407C-A9A6-9B0D111907D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681ED0F1-31D4-4266-884F-05A649B663ED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E934D56D-2DB2-4644-BDD5-B12CC7CF42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5C386733-BA61-4962-8AD0-F929CD039A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6B6DDB98-5401-41C0-B12B-332D05F7BE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097EE23B-C858-4E96-9C1A-4E399DF9157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5216D12E-9133-4AD2-96D2-34AAA83301F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3406C9C-6899-4A92-9549-D314ED200724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AFE3028C-3D96-445A-B3BA-90B2B85847B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B2948102-7271-432D-A752-F363E713024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4BAFE1FD-9C6F-475F-BDC7-AE0A605469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2F1FB052-EA53-4364-A51C-1760356A5BD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4310610A-F428-44B5-AD1E-DE509440875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FBED252-39A6-4720-992A-5C1D22F482A3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9397C940-A2DE-4986-A424-3CB4E09BBAE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66C14AC6-9EDF-4D02-ABD5-502186E887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E4B2C3AA-807A-423C-943B-5CEFE9FDF01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31122B82-5DEC-4763-8045-FB3BA349E3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32A4DBE7-BFDE-4672-A8D9-B186A665D91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1520733D-B2C3-4CDC-BF6D-5D376C3C3065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0BDF0174-82B8-4CD7-B455-ABC5E3705A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A6A4A75C-C65F-432A-8F9A-EFE6F69BDF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63A41EBF-9D3B-459F-9331-CBB95454DF0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2CCC98B0-E93B-4001-9E8E-1FDDF4A3F0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8743D1E2-ED93-47A9-88A1-4AC4D0CE100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AB3EA23-DF5D-4963-AB2A-90364F75AD27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BBBC5604-40D0-4FD6-AB22-CB30E2A7BD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210C28E4-7FC3-48D0-A92B-6E4A2605013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34690571-1E2B-4CF5-8C02-16C26FA5360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02BD2655-C037-4528-A6F8-20DCFB59E9B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8B4233F1-2487-4A88-9051-CCDFCC3614B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B3DF0CC-BD81-4EE9-9DE3-12F52B46F74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F6E0C647-BE6D-4B80-89B7-C70FED527BB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FE35B956-10B5-41B6-B84B-3E68AA53F3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4B8DBD57-9098-4F57-AB3C-CD2070F060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CC085D68-CED2-4353-AD17-377F148D2DA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5A061ED8-258F-4269-A203-7EB1CE90C87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D99E96B-9165-41D3-AF20-DC9FBE1DACEB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B9135912-8572-4A40-9461-E8B337FBF81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2F9789D8-CA98-4015-9BEC-4E85F2C8E9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A224C440-366F-4A9E-B753-800B5E0DE94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C6D6BF2A-4F48-4B82-BA34-C688A91BB7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5B4FAA1D-C8B0-48D0-8750-17C73D3B2D7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B2ADDA79-C890-472A-BEE2-2303631C798A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EBE6269F-54CD-47D4-BB3C-A7870125D2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77AC2AF7-BA0C-4C4F-A400-4C1A8E9791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64FE2F44-4DC4-4C4A-A5CB-2A19FF5AE5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BC4B89F1-BCF0-4954-94D1-9028579FCA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AB38E40B-1418-4418-984C-B7886C3FCC7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6FEE6BD8-BF2B-4C50-A43B-8895DFB25D61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47955453-8590-49A4-A0A1-CBDB111D56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86B4F8F1-C9F1-4F1A-B9B7-BD2578AD63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FA4F43E9-6045-4A26-9A6C-ABF42FB8B8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E5F19661-C4E2-42BA-B19D-7619171F41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0666D82C-F091-44A7-90E9-47E846480C1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B6E1039D-A10F-4AA1-948E-F455A2A30B75}"/>
            </a:ext>
          </a:extLst>
        </xdr:cNvPr>
        <xdr:cNvGrpSpPr/>
      </xdr:nvGrpSpPr>
      <xdr:grpSpPr>
        <a:xfrm>
          <a:off x="8422874" y="1473637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5BD98D88-234E-4820-9F9A-DB810E11F5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3367B2FE-8FCE-4464-93BE-44CBD05F7C4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EB84697-9691-4162-A946-7550EE5C569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728A145A-BEC7-4E4A-B60D-D4359BFF0A2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83DF47B9-0BA3-4825-97BA-BC900485B67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7708FEEB-F070-4423-9A4B-014F1A3BCC73}"/>
            </a:ext>
          </a:extLst>
        </xdr:cNvPr>
        <xdr:cNvGrpSpPr/>
      </xdr:nvGrpSpPr>
      <xdr:grpSpPr>
        <a:xfrm>
          <a:off x="19050" y="15167011"/>
          <a:ext cx="1346922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A2DC44D3-04C2-46C3-B2CE-9F57E5D49CD4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0FA15BF3-98EF-43FC-B946-A502B5127D85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E06AC739-B91F-4B5F-8B77-4A4116BFA118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917EFF08-C388-4CBD-8666-A6D992968C2E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478C668D-4F6E-4E29-B742-DE2BAF24ECC6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75</xdr:row>
      <xdr:rowOff>22225</xdr:rowOff>
    </xdr:from>
    <xdr:to>
      <xdr:col>21</xdr:col>
      <xdr:colOff>607786</xdr:colOff>
      <xdr:row>75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EBA0E16-FCC6-43B6-9B70-27795101DA1F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51A602B-EA22-4BE6-A7A8-CF8AB25FDF29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0D290D9-89AE-4594-9027-B52E4511B6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33F5A4F1-F12C-4D9D-B62F-4305616FC09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C0AD85E-5512-482E-B0B2-429E12B1A8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831F2925-1A25-49EC-AAEF-C24F8B0D918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B836DB3C-A000-41DA-8C7E-FFA8C1DEE47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8F74536-0F7C-4AA4-92C3-2F415BA8E450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7D4585F-500D-4F71-9310-9D93273D803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E40E5C77-584F-41FA-89C1-56B2A7BC20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5100361B-A12F-412F-86D7-744FEE815B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E23ABB81-F465-407D-9A75-493529AB738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282C28C6-7579-4830-B5E1-B5F4C34E91A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B48725E-D210-43B3-A64E-5AE864258088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03ED33C1-E8E4-4B5B-8ED3-D33127840A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07353E72-BCF3-4D89-B759-E8C40B8057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49FF7D9C-2EF0-428E-8060-CAFFF02964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9BA75FB8-0297-44BF-97ED-91BE0C0F8D3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AABF522C-B99A-49BB-9836-6942E3D9205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5ACE8D9-C7B9-45B1-B008-AF1E19A3229E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1D6C8117-64FD-4116-8AE6-41F2A659D30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2E6EB332-2B23-4B16-B0C2-F6390EE5DA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424B4ED2-2A60-4D7A-9DB3-6C8A2755A1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9C4E8712-1563-4D07-80DD-CACCDA393A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CED9CCD0-8603-4AD9-8AD3-4925D8E9F10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63648FED-1F94-42C6-B9FC-0B9A952373DF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B30C8BB7-218E-47C6-9C32-C3602542AE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3FC188F0-E5A3-4866-A2A0-B3B124BCA5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1075B87C-4C93-4199-8B14-EDD5D3FAF2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C2648B62-2A74-4346-8455-93F83542FFD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468C1ECC-DF72-4D55-9C44-E60D66512E3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6E0BD57-6BF6-4C01-B185-E61425B43213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A623224C-AE2E-4788-AF21-1D3094EA93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43263AF5-6C60-4B98-A97B-E87C5791C1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849B4A23-4776-4832-BB89-96940478A08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E3527A0E-6406-4A18-8846-C106AF6354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8BB87AE5-5100-4926-B9F8-52160008DF4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22D474F-2E28-4531-8CFC-11E5CBD7D37A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96EF11B-EABC-4C81-931B-F5CAE975FD0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49B1C9B5-0F14-4347-99CC-F3F1A4E224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5932F3DE-A76C-4EFE-91F5-72C99049F4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F1D9380C-168E-46C3-A994-9A0D23B941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A1AE40BA-4A9D-464F-95FB-CB5630E8804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8DE5F2D8-58EF-4B88-89BF-BDFEC69E085B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BE2C71F7-C5EA-4CB5-9C0D-1E445C51FDA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B4B97367-B3B5-4AA9-916B-2E757C2783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CD25F634-196A-4F8F-9E4A-7D44414C49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664E37D2-EADC-4146-B083-D4D82B9DA2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FD128F50-7101-461C-AA91-E871189F267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5E7BDFE1-E466-4D6C-A246-40E767CAFDBF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3A85DC94-CB41-45A7-B631-DFBEE4A3C6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2C2A3982-7081-4B2D-8FDA-2E29D7BFE9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7359E7F1-450D-4C8C-BB55-75E17D5B41D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6AA741DF-C748-4547-B98A-5D08BEEC3D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65BEB0F5-5B7B-431A-BA61-BCC8A799487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E3FB113-FC9E-445E-A82A-44885F8D4411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82A8287C-59F1-41A8-88B3-361F6AE07C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34FD0C97-8A9B-4A06-838F-22B1B5B437A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9B2827B3-3F54-4818-AD7D-1C437031490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27AEA033-68E2-4797-9E9D-1E3163E5226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D9C1FCA0-5F45-455D-B3C2-02B1BECC872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28A11715-AB03-434D-A0B2-374BE09430A8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35350159-2AC9-47D9-B5FB-6BFB8CADB59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5361B737-DC3F-47FC-8585-0E6BB9F4DF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3D02DCA7-C8BF-4750-B26E-B31BF62614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96CF4AE5-0998-46AB-A6A4-1493CD31B5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309A5D08-0F4E-4A7D-8E11-1EEAF3F64FE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0</xdr:colOff>
      <xdr:row>71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E3B39100-9C2E-4BED-9136-DB90401E5652}"/>
            </a:ext>
          </a:extLst>
        </xdr:cNvPr>
        <xdr:cNvGrpSpPr/>
      </xdr:nvGrpSpPr>
      <xdr:grpSpPr>
        <a:xfrm>
          <a:off x="8422874" y="15882299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42D1BA64-D81F-47D6-A179-1E1D48D24F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900ED27A-19C2-4B44-9C96-FF88ADF700F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50004DFC-CB14-4178-8374-281C8A20DD4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0EA118B6-F759-4240-8B82-4D7B174E29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8270D567-B80C-4A4E-A192-C4EA0057255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74</xdr:row>
      <xdr:rowOff>0</xdr:rowOff>
    </xdr:from>
    <xdr:to>
      <xdr:col>22</xdr:col>
      <xdr:colOff>0</xdr:colOff>
      <xdr:row>75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DE73BBE8-59C2-4736-95F6-E41091525DD1}"/>
            </a:ext>
          </a:extLst>
        </xdr:cNvPr>
        <xdr:cNvGrpSpPr/>
      </xdr:nvGrpSpPr>
      <xdr:grpSpPr>
        <a:xfrm>
          <a:off x="19050" y="16312931"/>
          <a:ext cx="13469226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4F0B013B-D9D2-4DFA-B943-9A44DCEE054B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FF9F7082-7190-407B-AA7E-E59B9B3EB52A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80B61CE3-7C92-4AC5-BF2E-3E74FF22D1F6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62</xdr:row>
      <xdr:rowOff>9525</xdr:rowOff>
    </xdr:from>
    <xdr:to>
      <xdr:col>23</xdr:col>
      <xdr:colOff>400050</xdr:colOff>
      <xdr:row>65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26D7E0FA-3EBC-4ABC-B404-FB93714C4ABF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66</xdr:row>
      <xdr:rowOff>9525</xdr:rowOff>
    </xdr:from>
    <xdr:to>
      <xdr:col>23</xdr:col>
      <xdr:colOff>390525</xdr:colOff>
      <xdr:row>69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C71C4630-83C8-44CF-9473-725A9B11F10E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7782F7C-557C-4395-B3C7-5306D35336F8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57F57CF-3C07-44B7-B07D-6DA8FF5C28B9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1554B115-C959-4B29-98A0-A2656496FF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8B15E5CF-C33F-4ABB-9A09-9DC01F35F8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E7927632-AD9E-43EB-8225-5CBB9FDF76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8A52D2E5-7FB2-41B3-A20F-10ABE8A0C8D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F0ECF924-6762-418B-8FC2-234BD1C8E03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D39C3AD-EB31-4659-BD00-D508A66A8204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EDD344E8-F6F2-4F45-A54B-A88AE144BC8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13F3CD63-0A9C-4806-9919-461F8B5353D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A5E46DE7-E863-43C8-AE5A-7CCBC4B761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1EE2789D-F182-4EB0-A543-72A3FE54F4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969A0A30-A6C4-4A4B-A38F-E686B414A0A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FCFADD9-3968-45EC-BB57-29F56A5209A9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652EF10E-1A65-44E8-B249-5F073B59A6B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E4C64FE7-B7BB-4905-95DC-942F669B6C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6824D91A-5E3F-4CEF-A773-61B424BE697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9A424598-BFBB-4702-AFED-BE4F228D89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91EC9E74-B2CC-4D51-8F62-75AEDBB9636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311B8F6-D086-4C8E-A51F-8E9DCCBC322D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B3F3C728-79B5-461B-87C8-A9B3CFB79C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556BDDD3-F760-400B-9945-53A7D00DE8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F535FDA3-4065-4917-9D52-A5A0659AE47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895532A3-33C0-4E37-ABEA-DD6D633CBA6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DCE8BF14-D62C-436D-891D-C3BEC224C171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0F3C546-E95B-42DB-9551-58CD3C5B53EF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DFE06E00-857A-4C2F-A1E6-E4A8CE968C3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09D87019-4061-48DE-A088-03E634191D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1E3DA9B8-1E2D-4F67-A85C-CBA87CB3D02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FF871856-9580-46F5-BD19-C42CC1843A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8EB88679-852B-4552-BBAE-CA96170263A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7E09927-F949-4741-84F1-6247B2E27938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A66BD4E8-0AF7-45CB-BBC0-264B8377F5F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8C8CF3F5-24A2-4C46-8F75-45BE1F46DC7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8804B827-3617-4824-8FE5-9D6E6A09E0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48823DD1-ECD4-4B86-B0F0-09D5752C3B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BADF5589-4ABF-42F8-BFD9-66016544403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FC69E9B7-7B61-4ADF-A4B9-69111E1D6E16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B4848D3-9026-41BD-9240-32DC723BFC2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694C7076-10E0-43C5-9FD2-DD62EBA999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91613A69-21F8-4491-B7E3-748BD72EEE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D6D1D3DA-5F60-4F70-B8B9-1A724993109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FB452A67-5543-49FC-AF99-2AEEFB069ED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BEE4798C-370E-4EBF-8837-FC8248E43757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F0AB0E94-A781-4388-97FF-38C7EDE6D0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28E23EEA-A5EE-48E0-9A27-0DBCC278A8D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2DE74328-EF9B-41F6-8E74-15FE3366B74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4A2F16CC-9EBE-41AA-9E50-65817422ADD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370DDA72-3F14-4489-93AD-53348FA6B3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F9708038-A57B-4283-8D2D-60EB360C3FAD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3523ED02-E0DA-4B2B-834A-2E24CC44911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5ACA816C-8971-4161-89C4-0CF7293F1E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8ABADD65-FF81-4520-B7D5-678E83A1917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9D5CEAD8-2158-4630-8235-995C2E035A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0BE433F4-237C-4479-999B-9FCA9D6E4D4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73132D1-AB04-453F-8737-08BA525C3E47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4CF34CA4-4426-4A4E-A425-30E7597C08D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B43EBEFA-D576-4880-95DE-BA76779CD4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0C212716-41D4-4F75-8946-7E28D75B9E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AFE02836-1CE0-478D-966C-83C7CDC4DC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C19918F9-2206-4BF6-98C2-A8362B11C1A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C2206A35-3718-4B5E-8AF9-3855E00EA7AB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D0E0193E-D489-4E40-AD62-CA67BE59A7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AA525172-3FEE-4827-A38A-1CDD653E8D0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F6B5353B-435C-4B07-89B9-8B3F865543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8FEEA3A6-A8BE-4AC9-9BCA-16D21071E6E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C69695DC-C29C-4E39-914B-6EC2A74204F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B4A91EFD-3B5E-4150-BE3E-8E4CD6DA82C3}"/>
            </a:ext>
          </a:extLst>
        </xdr:cNvPr>
        <xdr:cNvGrpSpPr/>
      </xdr:nvGrpSpPr>
      <xdr:grpSpPr>
        <a:xfrm>
          <a:off x="8425366" y="1478311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A948F4A2-36E6-4D19-A356-F57D16BDF69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F980DBAA-1300-46DD-BA52-39BF250E3F8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222CB684-11C4-4220-81BA-643DCF73495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EA848DA2-6667-4B49-81BD-88EC41A2C48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662478D1-5B8E-4FE9-BE98-60B84C64F67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8330CB48-5724-4212-A39E-060EFC96A962}"/>
            </a:ext>
          </a:extLst>
        </xdr:cNvPr>
        <xdr:cNvGrpSpPr/>
      </xdr:nvGrpSpPr>
      <xdr:grpSpPr>
        <a:xfrm>
          <a:off x="19050" y="15224512"/>
          <a:ext cx="13470828" cy="256711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D6EA13DC-5866-4722-972B-E1B5660A01AA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5497A4DB-E9B2-4F4C-AF64-FBB409EDDD29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007434A5-57C5-4B54-9686-EBA3C10DDE7D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5DE9BC11-E36A-4186-8313-F11A0D9651D6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39C2C9D8-AE84-4BEA-8701-76DDBDBE0384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70</xdr:row>
      <xdr:rowOff>22225</xdr:rowOff>
    </xdr:from>
    <xdr:to>
      <xdr:col>21</xdr:col>
      <xdr:colOff>607786</xdr:colOff>
      <xdr:row>70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79A87AF-7721-4115-8880-00FAEA8F8E66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36AB0B-AD27-4BD9-B788-1F99939FC930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655F04C7-381E-49BB-ACFA-D73EFDCB038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A52CD0E5-F067-4C6C-9924-66CBA7EF350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E3C8CF07-E5F2-42AE-8C7E-38764A097C1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905BC48A-156A-4B23-9C0B-2EBA87A3209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8ABB9E14-83A0-4103-921B-BCCF455E9807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ABA9EAF-517A-4476-85EE-278FB0BB37A3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ED2BF29-13B1-4E2E-93C1-6019AF64F52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5178571A-9EFE-4E37-86EE-ACA373587A9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ECFE23AA-4C55-47D1-BE65-F579FBB0FF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855EBC1A-99B1-4294-88F2-8CA0C99E520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89C44E55-4C91-49C3-82EF-DA0171890A5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46C0136-3751-4B35-8709-B9CF500ECAFB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9D4800E0-6943-4FFD-8AE7-DB5766E04B4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B5E1E306-14AE-463D-B3D3-BF7E44312FC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0C9BE7A6-9606-47D9-B732-3B37F6D151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FA3BFDB3-88BA-4691-B06E-FD332174C3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4FF4A84D-1E03-4402-9466-C190CB1013C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22ED6C03-9233-4B5B-A044-7928B065943A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B5402BDF-F0DC-456F-8C05-C80258A54B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D1C28715-1D67-4855-A074-4771DA704B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31BE5C8C-285D-45BA-8A2F-030162522D8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F7816A16-413D-488C-8A54-4036DE5DFD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D140EFBE-C1D0-44DE-84AF-B030E83A913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6DA885A8-7E36-409B-A36F-94ACD2ED762A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711F4E57-8F8E-44DC-9B6A-A4F8F08D31F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3D0AFF21-E68B-4978-A496-A4C24556AB7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3340741F-4152-440F-83C6-90054772EB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BD6CB1AE-26BF-4ACD-8C4A-767995786D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9DB41ADF-A3AB-4F47-9ECE-8A7E166F548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653C622-864F-43AF-866E-7C07CB43CE39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216F8A26-B87F-40AE-ACFA-29C53BA4F34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B58A5633-6613-4810-951C-2AB48787B2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D8C15368-141F-45D2-A293-C1D4EAF05C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A720D2E9-58A3-4DF6-A3A1-A4DA2B4FE2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71EC5FB5-1D5A-4B38-B758-0D7B906A53A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70DC4FF-9D86-400C-AB47-9551D27F8A0D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6AD08A8D-AC1F-4CE2-8E62-4F7CC953A30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AE850CA5-E57E-4F03-A86C-781C778FC7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E49F1B2D-1D00-45C4-A89E-BC24822FF0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7CD75D68-0EDB-41FA-9869-D53BB9DC76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5FC1B92D-E3DE-403A-AEB8-D1E7B40112A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F487A60-B7E7-47E5-95D0-598D76FFDC16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8CA85837-C3EB-4C78-94D8-917C8571E2A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96435133-F4D6-4967-9E47-6B909D5703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A92BD9BB-E6AF-44F4-B666-77E5BAFB3A5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E46D34FB-1FA2-45A5-B0AA-E635358340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E49E4A67-A40C-428D-BABB-DFB3D447D29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623A388B-9C1C-419E-AA16-12A331E899D8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5C72B42B-0753-4453-ACF6-3B76A48EA54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7D699E99-6BEA-41A1-BEC7-4697E21C621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11DE0B81-B3CA-4414-AF0E-34E4A82FB3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DDA2345-20E9-4A31-923E-E58C44C253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522AB0E4-AEBC-4FD1-B579-DC5A81D4CCE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0A86355-4FD6-4415-9301-A0878C632A2C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B12FE337-1459-4585-A3EF-9037EABA4B0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4C5C8E7F-5811-4613-B2EE-3D031F79CD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DE2EE125-2CDA-4B6B-BBB0-41E664A6E90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FE4B2F67-6E51-4592-AEDA-82DCD7E06F1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8DA390AF-883E-4FE3-AFBF-61BB9B50332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986C6DDD-AFDF-467E-974D-904F66929A53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39865E69-68C7-4CE2-BFFB-D7E907ACF8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DC3CA58C-9AE4-472D-AD2E-5D6FFD6E30C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CBC94402-1400-46E3-8BCB-9243480186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41583844-87A8-4BD2-A973-6A184274384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C438F6A3-46F6-467F-A46B-22D997A4046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0</xdr:colOff>
      <xdr:row>66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CE23F19-5172-4466-AFB0-95AA66117A0C}"/>
            </a:ext>
          </a:extLst>
        </xdr:cNvPr>
        <xdr:cNvGrpSpPr/>
      </xdr:nvGrpSpPr>
      <xdr:grpSpPr>
        <a:xfrm>
          <a:off x="8425366" y="14976707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1998B8BD-F6FE-4993-B7DC-DE4BF35CB6C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FAE5DDC6-5B06-4AB4-B4C3-4542A9AB14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B87AC135-C876-4755-B0E3-4432627508C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36D8AAB1-0095-4B40-8D50-EC44F329EE7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8F9296D1-0D1A-41C6-B18D-1A3EFC1AE76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69</xdr:row>
      <xdr:rowOff>0</xdr:rowOff>
    </xdr:from>
    <xdr:to>
      <xdr:col>22</xdr:col>
      <xdr:colOff>0</xdr:colOff>
      <xdr:row>70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E286F03E-B4E6-413C-A8F0-FFAC42F36BD0}"/>
            </a:ext>
          </a:extLst>
        </xdr:cNvPr>
        <xdr:cNvGrpSpPr/>
      </xdr:nvGrpSpPr>
      <xdr:grpSpPr>
        <a:xfrm>
          <a:off x="19050" y="15418110"/>
          <a:ext cx="13470828" cy="256710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EE59F045-EF2F-4C74-A52F-3147167339A4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AD9FCED3-02B6-451D-ABF2-BBF862FC1E2A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C26320EB-A90D-46A9-BE9D-70083BC800D4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57</xdr:row>
      <xdr:rowOff>9525</xdr:rowOff>
    </xdr:from>
    <xdr:to>
      <xdr:col>23</xdr:col>
      <xdr:colOff>400050</xdr:colOff>
      <xdr:row>60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3126B744-9CB1-469D-8E52-48FF0BE377B9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61</xdr:row>
      <xdr:rowOff>9525</xdr:rowOff>
    </xdr:from>
    <xdr:to>
      <xdr:col>23</xdr:col>
      <xdr:colOff>390525</xdr:colOff>
      <xdr:row>64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6CB2E426-0355-426F-9284-4186450D6E77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043B20C-FD96-4213-B424-6E5A3A3D0453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099B542-26FF-458E-8B57-087E1A433EC7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2AF5057F-815A-4934-BE32-8FA7A18316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A12B9073-F41F-40F0-8EC2-A79FA78732E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0FDBF55C-E394-4D68-A351-4BFD53D1BBF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BE38ABB0-6040-4A3F-9795-24CD455F92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83EDC4FD-8B7A-4802-8962-40BEE4DD1E8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631EDA8-AC87-4395-B564-5B94DC058BB0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8F2BFB2E-BAE5-4A0C-8967-C5350E1C64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51075BC5-AABF-4336-940E-EBCC5A8F80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54DC0D1F-5C0C-4D6D-941F-DBD364EAA0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96946018-AEEB-4EFB-8478-777D41E6B63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76182DB9-DE87-4427-AE95-8744F7AC635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89D91F10-FC30-44F5-9B7A-A4A2E89CF5B8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AFC34DFD-6226-49A9-9223-4DF36E4992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E8B1A3D6-37AF-41A2-924B-0601B9ED12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04F14B78-5584-437A-B397-A288DB745F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36EE8672-4A1A-4FA0-B37B-DCD994EA161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3204117E-2CFD-49EB-AA55-BE77B2B7CAA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0A786C2-231C-4932-AD65-9C4A1BB41999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C59D3519-6B01-431A-81BD-3973FC2866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F0048A5B-C114-4327-B646-28C5A77BD2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16F6E0F4-A6D6-4562-BC7C-B3DC4192E1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5AA3E3F9-B6A4-40E6-8416-A3FA09C4DE0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85F21F6F-A8A7-4680-8BF3-A616745B60B9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A17B17D-6A1C-47C3-9E97-F0B8E2CE1EA5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70E1394F-5A7D-4351-B315-067549597C4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61284D32-4786-4378-A958-97E53B1C612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D0075B07-D2A6-422C-A779-75C267CEE4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760E64FC-10F2-46DF-8606-029E9D963D7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9B761FC5-D0D7-4A98-A65E-1BCF19DAB066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C1F352F9-3BD7-4893-B5D9-04E623C3AF7B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1B86E81B-9CD7-4FF7-A2BC-B9520B2C7D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3C90B11C-654B-4061-935E-AAFFFE4A86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1F4A667B-F0AE-42B3-B1CB-EB4F393D0C9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F444D525-BB90-49CA-8AAB-5FEF615A0DF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9DF48C4C-C11F-48E4-A123-0200646D48F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7A34512-BEC1-49F3-BBC6-D22AF63A1E7E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24149DF1-B273-4023-B5CF-DA2E87D3D55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CFF2F092-5F49-4497-B7DA-D4F79448A5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8A92E4C1-ADD0-4271-9DB7-B9720C6FD1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D06EFA04-2784-4839-AA10-1A69ED3252C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E6474E4D-EDC3-44D0-961D-1BCEB274733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BA91E21-5D4F-4A61-AE6D-4FD011440BA2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DE05720B-5846-41A9-8E2B-9B6E16230A5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5D5FE043-6C66-443A-94F1-260649CBD61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198DE661-6363-4FAC-91BA-2B1D3B02146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93E0FF68-3842-45D5-8004-DCAFAB50E83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9043BD14-0C9E-492F-872A-69BF157E3B3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91A4D447-E92B-4D41-B022-72834F1D4307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CCEC878A-C718-448E-9F57-9397EF6BEE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948A74EA-5ECC-4EEE-8604-E86F9C13DFE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26A8C354-181B-406B-85BA-B8155DFC776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83417E1-7256-4549-A28F-7356DDF6349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0E38FAB-A20A-4FA1-9EDB-DCFF6C06543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5F8798EA-A14C-4FCD-810A-D7431A9E5554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8F1FDE2C-C498-434F-A996-498EDB2A6FD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7799CB75-E2C8-489A-95E5-1007A47EBFB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C2E67937-1F14-4DC9-9EE0-7DB8F3147FC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8319B279-98CB-4926-B64D-42B9FA6FB9E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9B69DC04-C0B3-4B1B-94AF-93CFD588FDC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31ED569-7BDD-4305-B2FD-FBE4C62B3CD9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1A67D2E-7440-4002-AF43-6A601B893C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4920AB84-6467-46D1-8967-3DDB9113FE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C0BEBA12-DDFF-4E26-9C34-963E14C7597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934AA601-1D90-4DC3-8807-B0C1885283F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FF31E2FD-A463-4154-9D84-DAD93A4A10E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623EEFDF-6FEC-4D42-84D8-C8C4257638F1}"/>
            </a:ext>
          </a:extLst>
        </xdr:cNvPr>
        <xdr:cNvGrpSpPr/>
      </xdr:nvGrpSpPr>
      <xdr:grpSpPr>
        <a:xfrm>
          <a:off x="8995833" y="14922500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7466284A-C74A-47C2-8FA9-0315A49A9E7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7F071015-7A7E-4500-8AC2-2BE3DDDA4A1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176FC17-021B-4B53-910E-A48F524BD5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56C1B2D6-6D7F-4415-8445-AD20C255FC2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CAF0BD76-5CB1-4A95-8AAA-A8A59B83209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B325B242-5BCA-462C-872B-36461688C412}"/>
            </a:ext>
          </a:extLst>
        </xdr:cNvPr>
        <xdr:cNvGrpSpPr/>
      </xdr:nvGrpSpPr>
      <xdr:grpSpPr>
        <a:xfrm>
          <a:off x="19050" y="15353393"/>
          <a:ext cx="14064343" cy="259292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7BDA3163-6B6B-4C66-94A7-1E7F3886B8DD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86342E22-EBC2-4BDE-A4F3-1061C51AC930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3EAF11B7-16EA-4F80-9E40-CD2714D4963C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61FD7CC8-D5A5-47EC-9038-E9C7903F589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C55CD2D1-47EF-427E-B6B9-2F87A209B10C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B23DCB0-44A1-4A84-9762-338CE204E418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84CE327-7367-4D81-865C-EE048A38EC3E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1F047481-51D6-4096-891C-EDC62AF88B5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FC78C7AC-0A1F-45F1-AE19-14559FF68A3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1DABF290-B2D0-4C79-A7BB-31F925E10B6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F1D195F9-7F34-4103-9F2B-DEFC50EBC66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635A28D3-8C03-4D77-80D4-53522298D67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9486488-7087-4396-9FFE-B9E05B347753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9B865804-89CF-4D5D-8613-F2993FEBF12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2D1F1A29-BFAF-42F6-8444-84074E578D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B19CA3A7-2FBC-4E26-AA8A-5320A06E3B6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FBE2F019-B7AA-462E-AAF1-14670354137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BD72EE85-134A-467E-899D-5811DD60F5D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939AA26-DCB9-473A-AC18-00F78FB28B30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B782677E-9035-4AC5-914D-52E96EBA353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266DDBAE-011D-4EBE-B9A7-B2651E9702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C5C01177-56C0-490E-B744-8E063F394A6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7E1872B9-42A5-4889-9CE4-9DA8E91D63D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A51230F0-3554-4E4A-93B4-5E0BFBC2FD2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086C748-DBEB-4936-90D2-CFD348C11071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9F8BBBF3-8C9A-409E-AC07-FEE41DA60E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50C040D5-A448-421D-B2CB-C87A4F50AE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A2303A77-A517-42EF-AF11-05E40D5587A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8FE8CE2B-08B1-4D4D-B9BF-B1E01914BA9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DA3EE251-F92E-4817-AC21-716A5BAD915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90D0DFD-092D-4C8A-B77E-9398670463D4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81B21854-1D2D-4BB1-9FF2-FE750E6B2F1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101F70CC-E75C-46C7-8EF1-1BF1861F16F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D88BD631-FD14-40CE-BDBC-F93829FC4F0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21E31232-0AED-477D-A26F-7FFC32E19EF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0386FECA-ABFC-4B12-B966-E42A7E1C18D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1B721C3-4E50-4AF7-83AB-AC274E686A67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E5F499B9-C22F-4A46-9F04-309EA608FAB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C88347FE-2CD8-419A-B5E9-099619AF8F6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19402002-AC8E-4A91-9633-3FE88FC5A35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B083DBE5-C963-4619-B99B-A4259FA4BE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19AD4BBA-109C-4862-8BD5-DF453A41D96E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2E0A517C-FF4A-4198-8D56-2303D719636A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C474342-85FB-42F8-94F3-B95B55C692A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92C84DB0-3479-411A-8632-C4097E7DE6F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5869A787-B3FA-46F4-93F2-C1D1A092F0C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A23D689C-38C7-45DA-BFFD-1432057C58D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D7FB058D-4E20-4F9A-A70A-C664FBCE9AB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67EAE5A-906D-4E80-AFC5-5258ED131A9F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6C493F39-D9E3-4B8D-B4EF-68C306FDD59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9C23FD59-F38B-475C-AFBE-D7E7DF54359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D8AD342B-578D-4D79-81D9-723D9C7EC4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86CDAC39-8A2E-490E-9698-9ABA268921C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B449B9B5-FE93-4BF8-9C0E-EFDD5EAF13C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E0EEB7F7-9840-46AF-9A4E-0921CB39F166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8AEE2544-BF37-4A72-8812-691C15C601F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EB206393-0BE7-4577-8FDD-99F4A522E61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EB187CD4-3A19-4DD6-A305-BA4C722A449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573E7922-9B05-4400-9CDB-B5C42DA6A0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A0C5F3E-2B02-482A-A894-6A3F7F0F2B2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3A2721E6-3A34-48C7-AEA8-70E17ED4ACE5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207B4661-4EEB-414C-A657-60F50EABEA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A7CAFB7A-62B4-4418-8C08-9E9C2CF16AB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0CBEFE1F-C251-474A-81C7-ED2BC56101D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354BA404-D02A-422A-84F7-C361D428C97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19C29946-A9BC-4FCB-BBA9-D386B1C27CF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E9BD33C0-289E-4AF7-AC7B-DC27B32AF495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F6DAAD55-2D3F-45C6-AFCF-2295F8A252C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D5ED35D4-11CE-4100-8D77-4749BB7105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176E94B4-04E9-4843-8375-7D70F66CE2E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FE021F59-E111-4FC3-965D-D7D0A2474D5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5ED70340-7B98-4BD3-9D1A-A4AE8EEB442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158CF77D-485B-4FA4-B85B-686264F6597A}"/>
            </a:ext>
          </a:extLst>
        </xdr:cNvPr>
        <xdr:cNvGrpSpPr/>
      </xdr:nvGrpSpPr>
      <xdr:grpSpPr>
        <a:xfrm>
          <a:off x="8461375" y="14970125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82D15009-C540-4BDA-A081-ADB700A38A3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40243513-8AAA-49A1-A405-EE94454DEA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4F2680D2-BDD6-4FE6-BE40-7566901CF2D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064461B3-40DF-4546-8870-DE375BF6FA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1DEE9E66-CDD2-4E9D-9D5F-20A701190CF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1C8B1DA0-3795-445E-939F-6BFD46A85FA2}"/>
            </a:ext>
          </a:extLst>
        </xdr:cNvPr>
        <xdr:cNvGrpSpPr/>
      </xdr:nvGrpSpPr>
      <xdr:grpSpPr>
        <a:xfrm>
          <a:off x="19050" y="15406688"/>
          <a:ext cx="13538200" cy="254000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6F406535-603C-4C8F-9945-A46E463DCF62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B0A5801F-0DA2-4AD6-A728-5C1F0A4E1E65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F0C07885-5028-4E8D-87D7-7D8ACAC40B18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77E63536-FE56-453E-A710-80CE37A761AA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308D6604-78A0-42EB-93E4-F14082A97E63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6D09894-64EB-4303-9EFA-FA01C1628E04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823FD91-35D6-40D9-97F4-D208BF111E32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CD8A34E8-77B9-4AA6-AEAE-124989152E3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AE4FFE3A-C1B0-4336-A3E4-BDDA0B72AC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9A96EF55-FC01-4EFD-83F3-EC32437911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0D700E20-A683-43EE-A6A4-AA74AD6CDD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B6FB18EE-F152-4BD1-A91A-BB9EDD3C58A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F6A20D5-D776-497F-B171-A71C63C0D6FC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94E2A787-B7E1-4436-A916-FB20375DC1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F76D6FD0-6106-47C9-9E6B-CF64CC16D18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15D670C4-8F1C-488A-836C-0B61F2B67CE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275B494B-6695-4A40-91A9-81C7005C3F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1D7B2DA9-2FC9-497F-B112-704FE71AAFF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B282164-EAB2-4F9A-A3DA-3D40BF77222A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ACF090AC-1E50-4A11-8CE7-453A1FEDE41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86996BF5-4193-4222-85C4-87ED4FA07DD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1EF5B15E-EEAA-4925-8731-80F4EFBD196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8D834ADE-2A7D-41CA-A83B-82F2B12FF86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2DD9E658-EF90-438C-8DBB-763F7A1BF25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8C95816-A83E-42E1-B007-C4CA86710392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06401281-2052-4759-83D4-E814A3C48BD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336CD1B9-4034-4B3A-AB4B-A2CAA64A51B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1C5C10AB-E8F3-4476-9DCA-1C4C0876192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FCD5BF92-E0BF-4A9A-B631-D9E7DD61CE1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5C02CC70-5BBE-4F6F-B2FE-35DA5422D44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E729404-5447-404C-9CD5-6A7E0BC9CFA3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84FEFEA0-2C59-44A8-986A-C3BDCBA62A0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BA814216-FE51-4811-AEA3-850288E7D2A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5453DC35-25C1-450E-A037-249EC0C996E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41D3413D-C3D7-468F-884A-F10ABDA0C9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AF932119-29FB-4E7C-BC57-905B6FF677F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B06321E-FF36-451D-BA15-8F12D3B38175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2A280469-FB90-4DFF-9FB0-E5A270DA91F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F5F8A1F8-F53B-48A4-8D58-4F701BC2D5C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9ACA2357-8262-4629-AF58-B9028E825E3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514512A9-4072-4E90-B3EE-2DAC9A0262C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B937D807-0F8E-4A75-93AE-CCACD9C90768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D83ECAC-803F-4413-B209-1BF8C8DDC6CA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A5401D6D-C3BB-4EB8-A52E-A9A68B7D255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9BC16231-C5DA-4BB5-9EBD-859E27A6436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A4BE80AB-4E5C-4A00-996B-D2F33334F59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40A721B3-97CB-4C7E-89BB-4856AAC1DCE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987BE9CD-7C01-4BF2-8CD5-EDB6464BBF2A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697ED404-58CE-47D5-BBD6-31A3620AB432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D3827EE1-F212-4A59-B215-699FEAF4C23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570075FC-EF0D-41D8-A24B-BB387EB422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CE1959DE-F444-41BF-907D-7315D5F0E05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A3F21F4B-07A7-4BF0-A4CD-9676ACE2358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7390CBC1-D578-406F-BBB9-C8544334025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445503D7-F5FC-4CCE-84C8-6DB5664FA663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B56D25EE-5970-44D0-B3E4-E27E07CE174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9E200433-6CDA-4B4F-9BDF-247B0C141C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9940AA34-6EDD-45E8-A4C2-132A8A45F52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855E1943-2D8A-4CC7-B256-75C8A2771AC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01CA98E-29E9-4901-823E-6A0C5F85FA7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D24CD02-D0DB-4754-A34A-1FA95E0AE295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71BE429B-DEFC-475B-844A-86F76BBB373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1FD73A7B-608D-4437-B0CB-ADB5A509E21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2534A4D3-B23C-4EFC-81E3-FAD29831B5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EA58540D-A923-4352-BE16-577CECCDD38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F2A1BDB7-CD5E-4FD5-AD92-68746293E2F3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A8C2D11-5CC3-490D-BA3F-C5B1D55E90A2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22520869-9D5A-4388-9994-FE926049B02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81231390-1E9F-4167-B8C3-D3BBFA15B4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746C7AA7-25B4-40AC-A760-57FF1500D60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075F9A40-A731-4CBB-838B-9978FCD47A3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60F726C5-5AB1-467F-8654-843F9ACEEEB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F8705C55-9CD8-42D8-A8B4-C1E95A1D1093}"/>
            </a:ext>
          </a:extLst>
        </xdr:cNvPr>
        <xdr:cNvGrpSpPr/>
      </xdr:nvGrpSpPr>
      <xdr:grpSpPr>
        <a:xfrm>
          <a:off x="8477250" y="14930438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BFAFEF7C-4677-4B23-A958-A5EBB211C33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CC6A80E9-DCB7-46FF-B3B5-24C822AC40B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FDF0401B-EDAC-4646-802F-CE12C1DA26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A1E0F1A4-DB01-4CB0-9AA7-1E2E0E2A558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6BE1C1AC-28B7-4C60-BA5A-43E9910628A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50DE51E5-2B53-44C6-8316-4917BB7D62AF}"/>
            </a:ext>
          </a:extLst>
        </xdr:cNvPr>
        <xdr:cNvGrpSpPr/>
      </xdr:nvGrpSpPr>
      <xdr:grpSpPr>
        <a:xfrm>
          <a:off x="19050" y="15370969"/>
          <a:ext cx="13565981" cy="261937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6AC81697-A5BF-4137-8F5C-FB779AA06A2E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68DB71E1-890C-4E91-A6EB-34C04875D737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955EBE86-54B8-41D9-932C-9F9C245D27C9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50F5DD97-568E-4673-BF62-0CDF96A9B655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C6C0CEE8-401D-4CF3-AD9E-7D606D9257FE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19504</xdr:colOff>
      <xdr:row>69</xdr:row>
      <xdr:rowOff>22225</xdr:rowOff>
    </xdr:from>
    <xdr:to>
      <xdr:col>21</xdr:col>
      <xdr:colOff>607786</xdr:colOff>
      <xdr:row>69</xdr:row>
      <xdr:rowOff>273106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46DEC58-425C-4C2D-8787-E0C456C8862B}"/>
            </a:ext>
          </a:extLst>
        </xdr:cNvPr>
        <xdr:cNvSpPr txBox="1">
          <a:spLocks noChangeArrowheads="1"/>
        </xdr:cNvSpPr>
      </xdr:nvSpPr>
      <xdr:spPr>
        <a:xfrm>
          <a:off x="10135054" y="15633700"/>
          <a:ext cx="3207657" cy="250881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NP - F - PD - 213       ( 1  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พฤศจิกายน 25</a:t>
          </a:r>
          <a:r>
            <a:rPr lang="en-US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51</a:t>
          </a:r>
          <a:r>
            <a:rPr lang="th-TH" sz="1400" b="0" i="0" strike="noStrike">
              <a:solidFill>
                <a:srgbClr val="000000"/>
              </a:solidFill>
              <a:latin typeface="AngsanaUPC" panose="02020603050405020304"/>
              <a:cs typeface="AngsanaUPC" panose="02020603050405020304"/>
            </a:rPr>
            <a:t>)</a:t>
          </a:r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202DDCC-045A-42F3-BE1D-4A5D1553FD9E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4" name="Text 16">
            <a:extLst>
              <a:ext uri="{FF2B5EF4-FFF2-40B4-BE49-F238E27FC236}">
                <a16:creationId xmlns:a16="http://schemas.microsoft.com/office/drawing/2014/main" id="{743701C8-971A-4D44-8A33-18927824C94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" name="Text 17">
            <a:extLst>
              <a:ext uri="{FF2B5EF4-FFF2-40B4-BE49-F238E27FC236}">
                <a16:creationId xmlns:a16="http://schemas.microsoft.com/office/drawing/2014/main" id="{873A9B3B-9148-4293-A2AC-718F6DE3C91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" name="Text 18">
            <a:extLst>
              <a:ext uri="{FF2B5EF4-FFF2-40B4-BE49-F238E27FC236}">
                <a16:creationId xmlns:a16="http://schemas.microsoft.com/office/drawing/2014/main" id="{666E789A-4123-4A0C-B9FA-64FEC78E5BA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" name="Text 19">
            <a:extLst>
              <a:ext uri="{FF2B5EF4-FFF2-40B4-BE49-F238E27FC236}">
                <a16:creationId xmlns:a16="http://schemas.microsoft.com/office/drawing/2014/main" id="{327F0055-7096-4351-81BB-17F94E42DCB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8" name="Text 20">
            <a:extLst>
              <a:ext uri="{FF2B5EF4-FFF2-40B4-BE49-F238E27FC236}">
                <a16:creationId xmlns:a16="http://schemas.microsoft.com/office/drawing/2014/main" id="{8E9EDD56-21E9-4A28-86FF-A045E4C122E0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0ABC570-011A-49DC-867D-A57A716AADAD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10" name="Text 16">
            <a:extLst>
              <a:ext uri="{FF2B5EF4-FFF2-40B4-BE49-F238E27FC236}">
                <a16:creationId xmlns:a16="http://schemas.microsoft.com/office/drawing/2014/main" id="{0A815731-283A-41D8-B506-97B2C529F3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1" name="Text 17">
            <a:extLst>
              <a:ext uri="{FF2B5EF4-FFF2-40B4-BE49-F238E27FC236}">
                <a16:creationId xmlns:a16="http://schemas.microsoft.com/office/drawing/2014/main" id="{3CA90768-92F0-40CA-84A6-A44B2AE1577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2" name="Text 18">
            <a:extLst>
              <a:ext uri="{FF2B5EF4-FFF2-40B4-BE49-F238E27FC236}">
                <a16:creationId xmlns:a16="http://schemas.microsoft.com/office/drawing/2014/main" id="{F84A136E-E388-408C-A796-D95A6D159D4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3" name="Text 19">
            <a:extLst>
              <a:ext uri="{FF2B5EF4-FFF2-40B4-BE49-F238E27FC236}">
                <a16:creationId xmlns:a16="http://schemas.microsoft.com/office/drawing/2014/main" id="{1B3629D0-9BCB-4138-9690-A0F2E2C62C9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14" name="Text 20">
            <a:extLst>
              <a:ext uri="{FF2B5EF4-FFF2-40B4-BE49-F238E27FC236}">
                <a16:creationId xmlns:a16="http://schemas.microsoft.com/office/drawing/2014/main" id="{B385378B-59EA-4A28-853B-0C41D28CBC0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E3A77B9-A7CF-4577-842C-CAD0300061CC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16" name="Text 16">
            <a:extLst>
              <a:ext uri="{FF2B5EF4-FFF2-40B4-BE49-F238E27FC236}">
                <a16:creationId xmlns:a16="http://schemas.microsoft.com/office/drawing/2014/main" id="{E9EC22D1-6DE1-4741-954E-52DE7D7483E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17" name="Text 17">
            <a:extLst>
              <a:ext uri="{FF2B5EF4-FFF2-40B4-BE49-F238E27FC236}">
                <a16:creationId xmlns:a16="http://schemas.microsoft.com/office/drawing/2014/main" id="{284DC073-5B9B-4B57-9387-BC6D4B5DD9C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18" name="Text 18">
            <a:extLst>
              <a:ext uri="{FF2B5EF4-FFF2-40B4-BE49-F238E27FC236}">
                <a16:creationId xmlns:a16="http://schemas.microsoft.com/office/drawing/2014/main" id="{BB4130C2-9ABE-4024-97A6-5D7AD0DED17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19" name="Text 19">
            <a:extLst>
              <a:ext uri="{FF2B5EF4-FFF2-40B4-BE49-F238E27FC236}">
                <a16:creationId xmlns:a16="http://schemas.microsoft.com/office/drawing/2014/main" id="{52DA6D35-B0F6-4086-9C9E-E48E19D3241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0" name="Text 20">
            <a:extLst>
              <a:ext uri="{FF2B5EF4-FFF2-40B4-BE49-F238E27FC236}">
                <a16:creationId xmlns:a16="http://schemas.microsoft.com/office/drawing/2014/main" id="{DA3B4ADA-E524-410A-9462-180A0CD127F2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9CBC9E8-D919-4D97-9A03-A331A8CBF6CC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22" name="Text 16">
            <a:extLst>
              <a:ext uri="{FF2B5EF4-FFF2-40B4-BE49-F238E27FC236}">
                <a16:creationId xmlns:a16="http://schemas.microsoft.com/office/drawing/2014/main" id="{5C3A63B8-1576-483E-AF23-BD7F802CED2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3" name="Text 17">
            <a:extLst>
              <a:ext uri="{FF2B5EF4-FFF2-40B4-BE49-F238E27FC236}">
                <a16:creationId xmlns:a16="http://schemas.microsoft.com/office/drawing/2014/main" id="{89E30FD8-E134-4F5F-8F50-E7883FA30C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24" name="Text 18">
            <a:extLst>
              <a:ext uri="{FF2B5EF4-FFF2-40B4-BE49-F238E27FC236}">
                <a16:creationId xmlns:a16="http://schemas.microsoft.com/office/drawing/2014/main" id="{4F7B87E4-EB63-4529-93ED-CEF268187D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25" name="Text 19">
            <a:extLst>
              <a:ext uri="{FF2B5EF4-FFF2-40B4-BE49-F238E27FC236}">
                <a16:creationId xmlns:a16="http://schemas.microsoft.com/office/drawing/2014/main" id="{F5414B81-F80C-4B57-AC45-D43A07CF8A4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26" name="Text 20">
            <a:extLst>
              <a:ext uri="{FF2B5EF4-FFF2-40B4-BE49-F238E27FC236}">
                <a16:creationId xmlns:a16="http://schemas.microsoft.com/office/drawing/2014/main" id="{1E05BF8C-94D3-4FDB-9276-2F4434527D3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109F892-7B88-4493-9B69-73319A19EFAA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28" name="Text 16">
            <a:extLst>
              <a:ext uri="{FF2B5EF4-FFF2-40B4-BE49-F238E27FC236}">
                <a16:creationId xmlns:a16="http://schemas.microsoft.com/office/drawing/2014/main" id="{5EE18D72-F4C0-4E51-8AE9-4B363C26CBF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29" name="Text 17">
            <a:extLst>
              <a:ext uri="{FF2B5EF4-FFF2-40B4-BE49-F238E27FC236}">
                <a16:creationId xmlns:a16="http://schemas.microsoft.com/office/drawing/2014/main" id="{7E002899-5991-4291-B251-26C8841C49C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0" name="Text 18">
            <a:extLst>
              <a:ext uri="{FF2B5EF4-FFF2-40B4-BE49-F238E27FC236}">
                <a16:creationId xmlns:a16="http://schemas.microsoft.com/office/drawing/2014/main" id="{00CE5102-1376-4FB1-8DEE-F24E154DC67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1" name="Text 19">
            <a:extLst>
              <a:ext uri="{FF2B5EF4-FFF2-40B4-BE49-F238E27FC236}">
                <a16:creationId xmlns:a16="http://schemas.microsoft.com/office/drawing/2014/main" id="{CBEABCE5-715D-46A5-BF74-D5CE21326C9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2" name="Text 20">
            <a:extLst>
              <a:ext uri="{FF2B5EF4-FFF2-40B4-BE49-F238E27FC236}">
                <a16:creationId xmlns:a16="http://schemas.microsoft.com/office/drawing/2014/main" id="{63B3EE80-1ECA-4B61-A610-BE5ADAC7460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9E64DDD-9517-4544-8998-9829CB19579E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34" name="Text 16">
            <a:extLst>
              <a:ext uri="{FF2B5EF4-FFF2-40B4-BE49-F238E27FC236}">
                <a16:creationId xmlns:a16="http://schemas.microsoft.com/office/drawing/2014/main" id="{824EF5D4-E40F-4AC2-B5DF-7940EFC7B550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35" name="Text 17">
            <a:extLst>
              <a:ext uri="{FF2B5EF4-FFF2-40B4-BE49-F238E27FC236}">
                <a16:creationId xmlns:a16="http://schemas.microsoft.com/office/drawing/2014/main" id="{07FA7D3B-9A20-4249-BBE2-F82FB98437E9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36" name="Text 18">
            <a:extLst>
              <a:ext uri="{FF2B5EF4-FFF2-40B4-BE49-F238E27FC236}">
                <a16:creationId xmlns:a16="http://schemas.microsoft.com/office/drawing/2014/main" id="{A07F5F21-9136-41F4-8861-4D7B99F5C5C3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37" name="Text 19">
            <a:extLst>
              <a:ext uri="{FF2B5EF4-FFF2-40B4-BE49-F238E27FC236}">
                <a16:creationId xmlns:a16="http://schemas.microsoft.com/office/drawing/2014/main" id="{BF8918B8-D2AF-4606-8263-A6E91AADE165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38" name="Text 20">
            <a:extLst>
              <a:ext uri="{FF2B5EF4-FFF2-40B4-BE49-F238E27FC236}">
                <a16:creationId xmlns:a16="http://schemas.microsoft.com/office/drawing/2014/main" id="{FB83AF9A-7517-4DC6-A462-826D16538C4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81DF9875-5C97-480F-BEA1-F75CD6971DD8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40" name="Text 16">
            <a:extLst>
              <a:ext uri="{FF2B5EF4-FFF2-40B4-BE49-F238E27FC236}">
                <a16:creationId xmlns:a16="http://schemas.microsoft.com/office/drawing/2014/main" id="{04CE98B7-DCB9-43FF-8375-6468C7438BC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1" name="Text 17">
            <a:extLst>
              <a:ext uri="{FF2B5EF4-FFF2-40B4-BE49-F238E27FC236}">
                <a16:creationId xmlns:a16="http://schemas.microsoft.com/office/drawing/2014/main" id="{8D6342D3-A7A4-450A-BACA-5ACCA141AE3C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2" name="Text 18">
            <a:extLst>
              <a:ext uri="{FF2B5EF4-FFF2-40B4-BE49-F238E27FC236}">
                <a16:creationId xmlns:a16="http://schemas.microsoft.com/office/drawing/2014/main" id="{31C12726-2DED-42BC-AB0A-860D357168B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3" name="Text 19">
            <a:extLst>
              <a:ext uri="{FF2B5EF4-FFF2-40B4-BE49-F238E27FC236}">
                <a16:creationId xmlns:a16="http://schemas.microsoft.com/office/drawing/2014/main" id="{08B3449C-BEE6-42B2-921C-A7419490A68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44" name="Text 20">
            <a:extLst>
              <a:ext uri="{FF2B5EF4-FFF2-40B4-BE49-F238E27FC236}">
                <a16:creationId xmlns:a16="http://schemas.microsoft.com/office/drawing/2014/main" id="{546DF7B4-F2C5-47D8-A27B-8FC50A995994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902414F-67B9-4A8E-8B27-357199B6E65E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46" name="Text 16">
            <a:extLst>
              <a:ext uri="{FF2B5EF4-FFF2-40B4-BE49-F238E27FC236}">
                <a16:creationId xmlns:a16="http://schemas.microsoft.com/office/drawing/2014/main" id="{5096BB67-0B51-4D4E-94B4-FA9F2A29A3C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47" name="Text 17">
            <a:extLst>
              <a:ext uri="{FF2B5EF4-FFF2-40B4-BE49-F238E27FC236}">
                <a16:creationId xmlns:a16="http://schemas.microsoft.com/office/drawing/2014/main" id="{DD6E7653-1B36-4E8C-8FAC-BAC854CCE2F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48" name="Text 18">
            <a:extLst>
              <a:ext uri="{FF2B5EF4-FFF2-40B4-BE49-F238E27FC236}">
                <a16:creationId xmlns:a16="http://schemas.microsoft.com/office/drawing/2014/main" id="{C203EB0E-2EEA-46BF-BA79-13ECE97F3D1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49" name="Text 19">
            <a:extLst>
              <a:ext uri="{FF2B5EF4-FFF2-40B4-BE49-F238E27FC236}">
                <a16:creationId xmlns:a16="http://schemas.microsoft.com/office/drawing/2014/main" id="{155D53E1-BFE1-4208-BF7D-627C0CEAF9E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0" name="Text 20">
            <a:extLst>
              <a:ext uri="{FF2B5EF4-FFF2-40B4-BE49-F238E27FC236}">
                <a16:creationId xmlns:a16="http://schemas.microsoft.com/office/drawing/2014/main" id="{9CA615EA-3EAA-4C39-8681-D171FB33A27C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8F334CD-D041-4964-BC23-CB852AD3B2BA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52" name="Text 16">
            <a:extLst>
              <a:ext uri="{FF2B5EF4-FFF2-40B4-BE49-F238E27FC236}">
                <a16:creationId xmlns:a16="http://schemas.microsoft.com/office/drawing/2014/main" id="{935F782F-A317-4F08-9509-AD3C0723793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3" name="Text 17">
            <a:extLst>
              <a:ext uri="{FF2B5EF4-FFF2-40B4-BE49-F238E27FC236}">
                <a16:creationId xmlns:a16="http://schemas.microsoft.com/office/drawing/2014/main" id="{F3BB742A-DD95-4431-8A7E-ACB0390AD6D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54" name="Text 18">
            <a:extLst>
              <a:ext uri="{FF2B5EF4-FFF2-40B4-BE49-F238E27FC236}">
                <a16:creationId xmlns:a16="http://schemas.microsoft.com/office/drawing/2014/main" id="{77D903BD-5DE5-4157-8741-CBBF92C223BA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55" name="Text 19">
            <a:extLst>
              <a:ext uri="{FF2B5EF4-FFF2-40B4-BE49-F238E27FC236}">
                <a16:creationId xmlns:a16="http://schemas.microsoft.com/office/drawing/2014/main" id="{32C567C5-00E4-4AAA-B419-7C15C82C36C8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56" name="Text 20">
            <a:extLst>
              <a:ext uri="{FF2B5EF4-FFF2-40B4-BE49-F238E27FC236}">
                <a16:creationId xmlns:a16="http://schemas.microsoft.com/office/drawing/2014/main" id="{A34C8425-61A6-4897-85C6-F7BFE2A58725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4060B3E-2131-414E-8CCD-C85DCBABC763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58" name="Text 16">
            <a:extLst>
              <a:ext uri="{FF2B5EF4-FFF2-40B4-BE49-F238E27FC236}">
                <a16:creationId xmlns:a16="http://schemas.microsoft.com/office/drawing/2014/main" id="{21FF9FBF-4D4A-40AA-9CA7-17C152EC344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59" name="Text 17">
            <a:extLst>
              <a:ext uri="{FF2B5EF4-FFF2-40B4-BE49-F238E27FC236}">
                <a16:creationId xmlns:a16="http://schemas.microsoft.com/office/drawing/2014/main" id="{57E6B8A1-BE86-4C3F-80FB-8CBDE0617352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0" name="Text 18">
            <a:extLst>
              <a:ext uri="{FF2B5EF4-FFF2-40B4-BE49-F238E27FC236}">
                <a16:creationId xmlns:a16="http://schemas.microsoft.com/office/drawing/2014/main" id="{186B3FDE-D25F-43A0-B2E8-01B687CA298D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1" name="Text 19">
            <a:extLst>
              <a:ext uri="{FF2B5EF4-FFF2-40B4-BE49-F238E27FC236}">
                <a16:creationId xmlns:a16="http://schemas.microsoft.com/office/drawing/2014/main" id="{57470060-3BAF-44C0-9125-304C8CB60DE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2" name="Text 20">
            <a:extLst>
              <a:ext uri="{FF2B5EF4-FFF2-40B4-BE49-F238E27FC236}">
                <a16:creationId xmlns:a16="http://schemas.microsoft.com/office/drawing/2014/main" id="{75E29F94-2BD5-4374-B565-E1190CD2B65D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B0E82FFD-81B0-4DFD-A40F-8BC7CD4F6829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64" name="Text 16">
            <a:extLst>
              <a:ext uri="{FF2B5EF4-FFF2-40B4-BE49-F238E27FC236}">
                <a16:creationId xmlns:a16="http://schemas.microsoft.com/office/drawing/2014/main" id="{C91F38B2-4C38-4864-9CD5-E1EF857DB111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65" name="Text 17">
            <a:extLst>
              <a:ext uri="{FF2B5EF4-FFF2-40B4-BE49-F238E27FC236}">
                <a16:creationId xmlns:a16="http://schemas.microsoft.com/office/drawing/2014/main" id="{DADC6FFC-B95E-4469-81D9-82FFD314718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66" name="Text 18">
            <a:extLst>
              <a:ext uri="{FF2B5EF4-FFF2-40B4-BE49-F238E27FC236}">
                <a16:creationId xmlns:a16="http://schemas.microsoft.com/office/drawing/2014/main" id="{CD3FB1A8-F7B6-484C-93D6-67A084903266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67" name="Text 19">
            <a:extLst>
              <a:ext uri="{FF2B5EF4-FFF2-40B4-BE49-F238E27FC236}">
                <a16:creationId xmlns:a16="http://schemas.microsoft.com/office/drawing/2014/main" id="{0AB050A7-B677-430E-BF10-2DACF033B524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68" name="Text 20">
            <a:extLst>
              <a:ext uri="{FF2B5EF4-FFF2-40B4-BE49-F238E27FC236}">
                <a16:creationId xmlns:a16="http://schemas.microsoft.com/office/drawing/2014/main" id="{3B86D5E4-4661-4BDD-B282-601779AFC47F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0</xdr:colOff>
      <xdr:row>65</xdr:row>
      <xdr:rowOff>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42F63BA6-594C-464E-AE88-C255D90BE640}"/>
            </a:ext>
          </a:extLst>
        </xdr:cNvPr>
        <xdr:cNvGrpSpPr/>
      </xdr:nvGrpSpPr>
      <xdr:grpSpPr>
        <a:xfrm>
          <a:off x="8556625" y="14779625"/>
          <a:ext cx="0" cy="0"/>
          <a:chOff x="-673" y="-403"/>
          <a:chExt cx="19375" cy="19992"/>
        </a:xfrm>
      </xdr:grpSpPr>
      <xdr:sp macro="" textlink="">
        <xdr:nvSpPr>
          <xdr:cNvPr id="70" name="Text 16">
            <a:extLst>
              <a:ext uri="{FF2B5EF4-FFF2-40B4-BE49-F238E27FC236}">
                <a16:creationId xmlns:a16="http://schemas.microsoft.com/office/drawing/2014/main" id="{91A1AE70-2BBB-4203-9646-F19E73812F0F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ผู้รายงาน</a:t>
            </a:r>
          </a:p>
        </xdr:txBody>
      </xdr:sp>
      <xdr:sp macro="" textlink="">
        <xdr:nvSpPr>
          <xdr:cNvPr id="71" name="Text 17">
            <a:extLst>
              <a:ext uri="{FF2B5EF4-FFF2-40B4-BE49-F238E27FC236}">
                <a16:creationId xmlns:a16="http://schemas.microsoft.com/office/drawing/2014/main" id="{D2CB1D00-6F45-414D-A119-9A38BEE66ACE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หม.ผค</a:t>
            </a:r>
          </a:p>
        </xdr:txBody>
      </xdr:sp>
      <xdr:sp macro="" textlink="">
        <xdr:nvSpPr>
          <xdr:cNvPr id="72" name="Text 18">
            <a:extLst>
              <a:ext uri="{FF2B5EF4-FFF2-40B4-BE49-F238E27FC236}">
                <a16:creationId xmlns:a16="http://schemas.microsoft.com/office/drawing/2014/main" id="{79C9341E-F4B6-45E0-A798-B9CD9D6AAC5B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หง.ผค</a:t>
            </a:r>
          </a:p>
        </xdr:txBody>
      </xdr:sp>
      <xdr:sp macro="" textlink="">
        <xdr:nvSpPr>
          <xdr:cNvPr id="73" name="Text 19">
            <a:extLst>
              <a:ext uri="{FF2B5EF4-FFF2-40B4-BE49-F238E27FC236}">
                <a16:creationId xmlns:a16="http://schemas.microsoft.com/office/drawing/2014/main" id="{960B4E97-347A-4527-8186-618BC143F1F7}"/>
              </a:ext>
            </a:extLst>
          </xdr:cNvPr>
          <xdr:cNvSpPr txBox="1">
            <a:spLocks noChangeArrowheads="1"/>
          </xdr:cNvSpPr>
        </xdr:nvSpPr>
        <xdr:spPr>
          <a:xfrm>
            <a:off x="8324850" y="14963775"/>
            <a:ext cx="0" cy="0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  <xdr:txBody>
          <a:bodyPr vertOverflow="clip" wrap="square" lIns="27432" tIns="41148" rIns="0" bIns="0" anchor="t" upright="1"/>
          <a:lstStyle/>
          <a:p>
            <a:pPr algn="l" rtl="0">
              <a:defRPr sz="1000"/>
            </a:pPr>
            <a:r>
              <a:rPr lang="th-TH" sz="12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ผผ.ผค</a:t>
            </a:r>
          </a:p>
        </xdr:txBody>
      </xdr:sp>
      <xdr:sp macro="" textlink="">
        <xdr:nvSpPr>
          <xdr:cNvPr id="74" name="Text 20">
            <a:extLst>
              <a:ext uri="{FF2B5EF4-FFF2-40B4-BE49-F238E27FC236}">
                <a16:creationId xmlns:a16="http://schemas.microsoft.com/office/drawing/2014/main" id="{1B108051-1B4E-4BDE-8D7E-A69751C301BB}"/>
              </a:ext>
            </a:extLst>
          </xdr:cNvPr>
          <xdr:cNvSpPr txBox="1">
            <a:spLocks noChangeArrowheads="1"/>
          </xdr:cNvSpPr>
        </xdr:nvSpPr>
        <xdr:spPr>
          <a:xfrm>
            <a:off x="16352" y="-403"/>
            <a:ext cx="2350" cy="19992"/>
          </a:xfrm>
          <a:prstGeom prst="rect">
            <a:avLst/>
          </a:prstGeom>
          <a:solidFill>
            <a:srgbClr val="FFFFFF"/>
          </a:solidFill>
          <a:ln w="17145">
            <a:solidFill>
              <a:srgbClr val="000000"/>
            </a:solidFill>
            <a:miter lim="800000"/>
          </a:ln>
        </xdr:spPr>
      </xdr:sp>
    </xdr:grpSp>
    <xdr:clientData/>
  </xdr:twoCellAnchor>
  <xdr:twoCellAnchor>
    <xdr:from>
      <xdr:col>0</xdr:col>
      <xdr:colOff>19050</xdr:colOff>
      <xdr:row>68</xdr:row>
      <xdr:rowOff>0</xdr:rowOff>
    </xdr:from>
    <xdr:to>
      <xdr:col>22</xdr:col>
      <xdr:colOff>0</xdr:colOff>
      <xdr:row>69</xdr:row>
      <xdr:rowOff>47625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C210949A-F5BE-461B-8C56-9B1D39BC719F}"/>
            </a:ext>
          </a:extLst>
        </xdr:cNvPr>
        <xdr:cNvGrpSpPr/>
      </xdr:nvGrpSpPr>
      <xdr:grpSpPr>
        <a:xfrm>
          <a:off x="19050" y="15216188"/>
          <a:ext cx="13633450" cy="254000"/>
          <a:chOff x="61" y="1153"/>
          <a:chExt cx="662" cy="33"/>
        </a:xfrm>
      </xdr:grpSpPr>
      <xdr:sp macro="" textlink="">
        <xdr:nvSpPr>
          <xdr:cNvPr id="76" name="Text Box 75">
            <a:extLst>
              <a:ext uri="{FF2B5EF4-FFF2-40B4-BE49-F238E27FC236}">
                <a16:creationId xmlns:a16="http://schemas.microsoft.com/office/drawing/2014/main" id="{79F47108-98E1-4C7E-8228-CE7D1B58E2B5}"/>
              </a:ext>
            </a:extLst>
          </xdr:cNvPr>
          <xdr:cNvSpPr txBox="1">
            <a:spLocks noChangeArrowheads="1"/>
          </xdr:cNvSpPr>
        </xdr:nvSpPr>
        <xdr:spPr>
          <a:xfrm>
            <a:off x="6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หผ.ผลิต</a:t>
            </a:r>
          </a:p>
        </xdr:txBody>
      </xdr:sp>
      <xdr:sp macro="" textlink="">
        <xdr:nvSpPr>
          <xdr:cNvPr id="77" name="Text Box 76">
            <a:extLst>
              <a:ext uri="{FF2B5EF4-FFF2-40B4-BE49-F238E27FC236}">
                <a16:creationId xmlns:a16="http://schemas.microsoft.com/office/drawing/2014/main" id="{61BAA70F-DC07-4E71-A645-F54CBFEDBFB6}"/>
              </a:ext>
            </a:extLst>
          </xdr:cNvPr>
          <xdr:cNvSpPr txBox="1">
            <a:spLocks noChangeArrowheads="1"/>
          </xdr:cNvSpPr>
        </xdr:nvSpPr>
        <xdr:spPr>
          <a:xfrm>
            <a:off x="281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หง.ผ</a:t>
            </a:r>
          </a:p>
        </xdr:txBody>
      </xdr:sp>
      <xdr:sp macro="" textlink="">
        <xdr:nvSpPr>
          <xdr:cNvPr id="78" name="Text Box 77">
            <a:extLst>
              <a:ext uri="{FF2B5EF4-FFF2-40B4-BE49-F238E27FC236}">
                <a16:creationId xmlns:a16="http://schemas.microsoft.com/office/drawing/2014/main" id="{6B7C3BF7-315B-4EAB-843B-96D00729A122}"/>
              </a:ext>
            </a:extLst>
          </xdr:cNvPr>
          <xdr:cNvSpPr txBox="1">
            <a:spLocks noChangeArrowheads="1"/>
          </xdr:cNvSpPr>
        </xdr:nvSpPr>
        <xdr:spPr>
          <a:xfrm>
            <a:off x="502" y="1153"/>
            <a:ext cx="221" cy="3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</a:ln>
        </xdr:spPr>
        <xdr:txBody>
          <a:bodyPr vertOverflow="clip" wrap="square" lIns="27432" tIns="45720" rIns="0" bIns="0" anchor="ctr" upright="1"/>
          <a:lstStyle/>
          <a:p>
            <a:pPr algn="l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AngsanaUPC" panose="02020603050405020304"/>
                <a:cs typeface="AngsanaUPC" panose="02020603050405020304"/>
              </a:rPr>
              <a:t>        ผร.คน</a:t>
            </a:r>
          </a:p>
        </xdr:txBody>
      </xdr:sp>
    </xdr:grpSp>
    <xdr:clientData/>
  </xdr:twoCellAnchor>
  <xdr:twoCellAnchor>
    <xdr:from>
      <xdr:col>23</xdr:col>
      <xdr:colOff>323850</xdr:colOff>
      <xdr:row>56</xdr:row>
      <xdr:rowOff>9525</xdr:rowOff>
    </xdr:from>
    <xdr:to>
      <xdr:col>23</xdr:col>
      <xdr:colOff>400050</xdr:colOff>
      <xdr:row>59</xdr:row>
      <xdr:rowOff>219075</xdr:rowOff>
    </xdr:to>
    <xdr:sp macro="" textlink="">
      <xdr:nvSpPr>
        <xdr:cNvPr id="79" name="AutoShape 78">
          <a:extLst>
            <a:ext uri="{FF2B5EF4-FFF2-40B4-BE49-F238E27FC236}">
              <a16:creationId xmlns:a16="http://schemas.microsoft.com/office/drawing/2014/main" id="{1DDAE053-F4F6-45DB-A031-520681E44FBC}"/>
            </a:ext>
          </a:extLst>
        </xdr:cNvPr>
        <xdr:cNvSpPr/>
      </xdr:nvSpPr>
      <xdr:spPr>
        <a:xfrm>
          <a:off x="14630400" y="12915900"/>
          <a:ext cx="76200" cy="895350"/>
        </a:xfrm>
        <a:prstGeom prst="leftBrace">
          <a:avLst>
            <a:gd name="adj1" fmla="val 9780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333375</xdr:colOff>
      <xdr:row>60</xdr:row>
      <xdr:rowOff>9525</xdr:rowOff>
    </xdr:from>
    <xdr:to>
      <xdr:col>23</xdr:col>
      <xdr:colOff>390525</xdr:colOff>
      <xdr:row>63</xdr:row>
      <xdr:rowOff>0</xdr:rowOff>
    </xdr:to>
    <xdr:sp macro="" textlink="">
      <xdr:nvSpPr>
        <xdr:cNvPr id="80" name="AutoShape 79">
          <a:extLst>
            <a:ext uri="{FF2B5EF4-FFF2-40B4-BE49-F238E27FC236}">
              <a16:creationId xmlns:a16="http://schemas.microsoft.com/office/drawing/2014/main" id="{706901DB-3529-43C4-BEAD-397DC57DCD43}"/>
            </a:ext>
          </a:extLst>
        </xdr:cNvPr>
        <xdr:cNvSpPr/>
      </xdr:nvSpPr>
      <xdr:spPr>
        <a:xfrm>
          <a:off x="14639925" y="13830300"/>
          <a:ext cx="57150" cy="676275"/>
        </a:xfrm>
        <a:prstGeom prst="leftBrace">
          <a:avLst>
            <a:gd name="adj1" fmla="val 98502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18</xdr:row>
      <xdr:rowOff>85725</xdr:rowOff>
    </xdr:from>
    <xdr:to>
      <xdr:col>15</xdr:col>
      <xdr:colOff>352425</xdr:colOff>
      <xdr:row>27</xdr:row>
      <xdr:rowOff>123825</xdr:rowOff>
    </xdr:to>
    <xdr:graphicFrame macro="">
      <xdr:nvGraphicFramePr>
        <xdr:cNvPr id="2166786" name="Chart 1">
          <a:extLst>
            <a:ext uri="{FF2B5EF4-FFF2-40B4-BE49-F238E27FC236}">
              <a16:creationId xmlns:a16="http://schemas.microsoft.com/office/drawing/2014/main" id="{00000000-0008-0000-1100-000002102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13</xdr:row>
      <xdr:rowOff>104775</xdr:rowOff>
    </xdr:from>
    <xdr:to>
      <xdr:col>21</xdr:col>
      <xdr:colOff>142875</xdr:colOff>
      <xdr:row>15</xdr:row>
      <xdr:rowOff>171450</xdr:rowOff>
    </xdr:to>
    <xdr:grpSp>
      <xdr:nvGrpSpPr>
        <xdr:cNvPr id="2161669" name="Group 10">
          <a:extLst>
            <a:ext uri="{FF2B5EF4-FFF2-40B4-BE49-F238E27FC236}">
              <a16:creationId xmlns:a16="http://schemas.microsoft.com/office/drawing/2014/main" id="{00000000-0008-0000-1300-000005FC2000}"/>
            </a:ext>
          </a:extLst>
        </xdr:cNvPr>
        <xdr:cNvGrpSpPr/>
      </xdr:nvGrpSpPr>
      <xdr:grpSpPr>
        <a:xfrm>
          <a:off x="809625" y="3781425"/>
          <a:ext cx="4752975" cy="581025"/>
          <a:chOff x="21" y="303"/>
          <a:chExt cx="349" cy="144"/>
        </a:xfrm>
      </xdr:grpSpPr>
      <xdr:sp macro="" textlink="">
        <xdr:nvSpPr>
          <xdr:cNvPr id="2161670" name="Line 11">
            <a:extLst>
              <a:ext uri="{FF2B5EF4-FFF2-40B4-BE49-F238E27FC236}">
                <a16:creationId xmlns:a16="http://schemas.microsoft.com/office/drawing/2014/main" id="{00000000-0008-0000-1300-000006FC2000}"/>
              </a:ext>
            </a:extLst>
          </xdr:cNvPr>
          <xdr:cNvSpPr>
            <a:spLocks noChangeShapeType="1"/>
          </xdr:cNvSpPr>
        </xdr:nvSpPr>
        <xdr:spPr>
          <a:xfrm>
            <a:off x="21" y="303"/>
            <a:ext cx="3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1671" name="Line 12">
            <a:extLst>
              <a:ext uri="{FF2B5EF4-FFF2-40B4-BE49-F238E27FC236}">
                <a16:creationId xmlns:a16="http://schemas.microsoft.com/office/drawing/2014/main" id="{00000000-0008-0000-1300-000007FC2000}"/>
              </a:ext>
            </a:extLst>
          </xdr:cNvPr>
          <xdr:cNvSpPr>
            <a:spLocks noChangeShapeType="1"/>
          </xdr:cNvSpPr>
        </xdr:nvSpPr>
        <xdr:spPr>
          <a:xfrm flipH="1">
            <a:off x="22" y="303"/>
            <a:ext cx="348" cy="1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1672" name="Line 13">
            <a:extLst>
              <a:ext uri="{FF2B5EF4-FFF2-40B4-BE49-F238E27FC236}">
                <a16:creationId xmlns:a16="http://schemas.microsoft.com/office/drawing/2014/main" id="{00000000-0008-0000-1300-000008FC2000}"/>
              </a:ext>
            </a:extLst>
          </xdr:cNvPr>
          <xdr:cNvSpPr>
            <a:spLocks noChangeShapeType="1"/>
          </xdr:cNvSpPr>
        </xdr:nvSpPr>
        <xdr:spPr>
          <a:xfrm>
            <a:off x="23" y="447"/>
            <a:ext cx="3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6;&#3657;&#3629;&#3617;&#3641;&#3621;&#3585;&#3634;&#3619;&#3612;&#3621;&#3636;&#3605;%202561/&#3619;&#3634;&#3618;&#3591;&#3634;&#3609;&#3585;&#3634;&#3619;&#3612;&#3621;&#3636;&#3605;%20%2068/&#3619;&#3634;&#3618;&#3591;&#3634;&#3609;&#3585;&#3634;&#3619;&#3612;&#3621;&#3636;&#3605;%202025/3.&#3619;&#3634;&#3618;&#3591;&#3634;&#3609;&#3585;&#3634;&#3619;&#3612;&#3621;&#3636;&#3605;%20&#3648;&#3604;&#3639;&#3629;&#3609;&#3617;&#3637;&#3609;&#3634;&#3588;&#3617;%202025/&#3619;&#3634;&#3618;&#3591;&#3634;&#3609;&#3626;&#3617;&#3619;&#3619;&#3606;&#3616;&#3634;&#3614;&#3585;&#3634;&#3619;&#3612;&#3621;&#3636;&#3605;&#3588;&#3619;&#3629;&#3610;%20SB2%207.7.6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nsawas\Downloads\&#3619;&#3634;&#3618;&#3591;&#3634;&#3609;&#3626;&#3617;&#3619;&#3619;&#3606;&#3616;&#3634;&#3614;&#3585;&#3634;&#3619;&#3612;&#3621;&#3636;&#3605;&#3588;&#3619;&#3629;&#3610;%20Prestige%20Common%20SB2%20&#3648;&#3604;&#3639;&#3629;&#3609;%20&#3617;&#3585;&#3619;&#3634;&#3588;&#3617;%20256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ายงานการผลิต"/>
      <sheetName val="รายงานการผลิต (2)"/>
      <sheetName val="สมรรถภาพการผลิต_"/>
      <sheetName val="1.1"/>
      <sheetName val="Link ส.วศ. 1"/>
      <sheetName val="Link ส.วศ. 2"/>
      <sheetName val="Link วางแผน"/>
      <sheetName val="สรุป "/>
      <sheetName val="Data"/>
      <sheetName val="ใบเบิ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ายงานการผลิต"/>
      <sheetName val="รายงานการผลิต (2)"/>
      <sheetName val="สมรรถภาพการผลิต_"/>
      <sheetName val="22"/>
      <sheetName val="แบบฟอร์ม"/>
      <sheetName val="Link ส.วศ. 1"/>
      <sheetName val="Link ส.วศ. 2"/>
      <sheetName val="Link วางแผน"/>
      <sheetName val="สรุป "/>
      <sheetName val="Data"/>
      <sheetName val="ใบเบิ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58"/>
  <sheetViews>
    <sheetView topLeftCell="A4" zoomScale="85" zoomScaleNormal="85" workbookViewId="0">
      <selection activeCell="K29" sqref="K29"/>
    </sheetView>
  </sheetViews>
  <sheetFormatPr defaultColWidth="11" defaultRowHeight="24.5"/>
  <cols>
    <col min="1" max="1" width="4.58203125" style="544" customWidth="1"/>
    <col min="2" max="3" width="10.25" style="545" customWidth="1"/>
    <col min="4" max="4" width="13.5" style="545" customWidth="1"/>
    <col min="5" max="5" width="8.25" style="545" customWidth="1"/>
    <col min="6" max="6" width="10.33203125" style="545" customWidth="1"/>
    <col min="7" max="7" width="8.5" style="545" customWidth="1"/>
    <col min="8" max="8" width="2.33203125" style="545" customWidth="1"/>
    <col min="9" max="9" width="9.58203125" style="545" customWidth="1"/>
    <col min="10" max="10" width="8.5" style="545" customWidth="1"/>
    <col min="11" max="11" width="9.5" style="545" customWidth="1"/>
    <col min="12" max="12" width="8.08203125" style="545" customWidth="1"/>
    <col min="13" max="14" width="8.5" style="545" customWidth="1"/>
    <col min="15" max="15" width="9.75" style="545" customWidth="1"/>
    <col min="16" max="16" width="8.33203125" style="545" customWidth="1"/>
    <col min="17" max="17" width="8.5" style="545" customWidth="1"/>
    <col min="18" max="18" width="8.58203125" style="545" customWidth="1"/>
    <col min="19" max="19" width="8.08203125" style="545" customWidth="1"/>
    <col min="20" max="20" width="8" style="545" customWidth="1"/>
    <col min="21" max="22" width="8.75" style="545" customWidth="1"/>
    <col min="23" max="26" width="8.75" style="546" customWidth="1"/>
    <col min="27" max="27" width="8.33203125" style="546" customWidth="1"/>
    <col min="28" max="31" width="9.5" style="546" customWidth="1"/>
    <col min="32" max="32" width="8.75" style="546" customWidth="1"/>
    <col min="33" max="16384" width="11" style="544"/>
  </cols>
  <sheetData>
    <row r="1" spans="1:70" ht="27" customHeight="1">
      <c r="A1" s="874" t="s">
        <v>0</v>
      </c>
      <c r="B1" s="754"/>
      <c r="C1" s="755"/>
      <c r="D1" s="755"/>
      <c r="E1" s="755"/>
      <c r="F1" s="875" t="str">
        <f>IF(Data!$B$105=0,"",Data!$B$105)</f>
        <v>โรงงานนครปฐม ครอบชนผนัง</v>
      </c>
      <c r="G1" s="756"/>
      <c r="H1" s="757"/>
      <c r="I1" s="782"/>
      <c r="J1" s="635"/>
      <c r="K1" s="636" t="s">
        <v>1</v>
      </c>
      <c r="L1" s="876" t="str">
        <f>Data!D104</f>
        <v>17/38</v>
      </c>
      <c r="M1" s="546"/>
      <c r="N1" s="637" t="s">
        <v>2</v>
      </c>
      <c r="O1" s="1301">
        <v>242754</v>
      </c>
      <c r="P1" s="1301"/>
      <c r="Q1" s="698" t="s">
        <v>3</v>
      </c>
      <c r="R1" s="699"/>
      <c r="S1" s="700"/>
      <c r="T1" s="701"/>
      <c r="U1" s="638">
        <f>O1</f>
        <v>242754</v>
      </c>
      <c r="V1" s="703"/>
      <c r="W1" s="1302" t="s">
        <v>4</v>
      </c>
      <c r="X1" s="1303"/>
      <c r="Y1" s="1303"/>
      <c r="Z1" s="1303"/>
      <c r="AA1" s="1303"/>
      <c r="AB1" s="1303"/>
      <c r="AC1" s="1303"/>
      <c r="AD1" s="1303"/>
      <c r="AE1" s="1303"/>
      <c r="AG1" s="946" t="str">
        <f>TEXT(U1,"ddmmyy")</f>
        <v>190864</v>
      </c>
      <c r="AH1" s="947">
        <f ca="1">NOW()-ROUNDDOWN(NOW(),0)</f>
        <v>0.80654178241093177</v>
      </c>
      <c r="AI1" s="699"/>
      <c r="AJ1" s="715" t="s">
        <v>5</v>
      </c>
      <c r="AK1" s="715" t="s">
        <v>5</v>
      </c>
      <c r="AL1" s="747" t="s">
        <v>5</v>
      </c>
      <c r="AM1" s="716"/>
      <c r="AN1" s="716"/>
      <c r="AO1" s="716"/>
      <c r="AP1" s="716"/>
      <c r="AQ1" s="716"/>
    </row>
    <row r="2" spans="1:70" s="540" customFormat="1" ht="17.25" customHeight="1">
      <c r="A2" s="549"/>
      <c r="B2" s="550" t="s">
        <v>5</v>
      </c>
      <c r="C2" s="550"/>
      <c r="D2" s="550" t="s">
        <v>5</v>
      </c>
      <c r="E2" s="1304" t="s">
        <v>6</v>
      </c>
      <c r="F2" s="1283"/>
      <c r="G2" s="1282"/>
      <c r="H2" s="758"/>
      <c r="I2" s="640"/>
      <c r="J2" s="640"/>
      <c r="K2" s="641"/>
      <c r="L2" s="642" t="s">
        <v>7</v>
      </c>
      <c r="M2" s="642" t="s">
        <v>8</v>
      </c>
      <c r="N2" s="642" t="s">
        <v>8</v>
      </c>
      <c r="O2" s="642" t="s">
        <v>9</v>
      </c>
      <c r="P2" s="642" t="s">
        <v>9</v>
      </c>
      <c r="Q2" s="642" t="s">
        <v>10</v>
      </c>
      <c r="R2" s="642" t="s">
        <v>11</v>
      </c>
      <c r="S2" s="642" t="s">
        <v>12</v>
      </c>
      <c r="T2" s="642" t="s">
        <v>13</v>
      </c>
      <c r="U2" s="642" t="s">
        <v>14</v>
      </c>
      <c r="V2" s="704" t="s">
        <v>14</v>
      </c>
      <c r="W2" s="802" t="s">
        <v>15</v>
      </c>
      <c r="X2" s="803" t="s">
        <v>16</v>
      </c>
      <c r="Y2" s="853" t="s">
        <v>17</v>
      </c>
      <c r="Z2" s="853" t="s">
        <v>18</v>
      </c>
      <c r="AA2" s="802" t="s">
        <v>7</v>
      </c>
      <c r="AB2" s="803" t="s">
        <v>8</v>
      </c>
      <c r="AC2" s="853" t="s">
        <v>9</v>
      </c>
      <c r="AD2" s="853" t="s">
        <v>19</v>
      </c>
      <c r="AE2" s="853" t="s">
        <v>20</v>
      </c>
      <c r="AF2" s="546"/>
      <c r="AG2" s="948">
        <f ca="1">IF($AH$1&gt;0.25,IF($AH$1&lt;0.75,TODAY(),IF($AH$1&gt;0.75,TODAY()-1)))</f>
        <v>46277</v>
      </c>
      <c r="AH2" s="949" t="s">
        <v>21</v>
      </c>
      <c r="AI2" s="949" t="s">
        <v>22</v>
      </c>
      <c r="AJ2" s="949" t="s">
        <v>23</v>
      </c>
      <c r="AK2" s="949" t="s">
        <v>24</v>
      </c>
      <c r="AL2" s="949" t="s">
        <v>25</v>
      </c>
      <c r="AM2" s="949" t="s">
        <v>26</v>
      </c>
      <c r="AN2" s="950" t="s">
        <v>27</v>
      </c>
      <c r="AO2" s="950"/>
      <c r="AP2" s="950" t="s">
        <v>28</v>
      </c>
      <c r="AQ2" s="950"/>
      <c r="AS2" s="540" t="s">
        <v>29</v>
      </c>
    </row>
    <row r="3" spans="1:70" s="540" customFormat="1" ht="17.25" customHeight="1">
      <c r="A3" s="552" t="s">
        <v>30</v>
      </c>
      <c r="B3" s="553" t="s">
        <v>31</v>
      </c>
      <c r="C3" s="553" t="s">
        <v>32</v>
      </c>
      <c r="D3" s="553" t="s">
        <v>33</v>
      </c>
      <c r="E3" s="1305" t="s">
        <v>34</v>
      </c>
      <c r="F3" s="1306"/>
      <c r="G3" s="1307"/>
      <c r="H3" s="643" t="s">
        <v>35</v>
      </c>
      <c r="I3" s="643"/>
      <c r="J3" s="643"/>
      <c r="K3" s="644"/>
      <c r="L3" s="645"/>
      <c r="M3" s="645" t="s">
        <v>36</v>
      </c>
      <c r="N3" s="645" t="s">
        <v>37</v>
      </c>
      <c r="O3" s="645" t="s">
        <v>36</v>
      </c>
      <c r="P3" s="645" t="s">
        <v>37</v>
      </c>
      <c r="Q3" s="645" t="s">
        <v>19</v>
      </c>
      <c r="R3" s="645" t="s">
        <v>38</v>
      </c>
      <c r="S3" s="645"/>
      <c r="T3" s="645"/>
      <c r="U3" s="645">
        <v>1</v>
      </c>
      <c r="V3" s="705">
        <v>2</v>
      </c>
      <c r="W3" s="802"/>
      <c r="X3" s="803"/>
      <c r="Y3" s="854"/>
      <c r="Z3" s="854"/>
      <c r="AA3" s="802"/>
      <c r="AB3" s="803"/>
      <c r="AC3" s="854"/>
      <c r="AD3" s="854"/>
      <c r="AE3" s="854"/>
      <c r="AF3" s="546"/>
      <c r="AG3" s="951" t="s">
        <v>39</v>
      </c>
      <c r="AH3" s="747">
        <v>300</v>
      </c>
      <c r="AI3" s="952">
        <v>3.7</v>
      </c>
      <c r="AJ3" s="747">
        <f>AI3*AH3</f>
        <v>1110</v>
      </c>
      <c r="AK3" s="748">
        <v>0.08</v>
      </c>
      <c r="AL3" s="747">
        <v>1400</v>
      </c>
      <c r="AM3" s="747">
        <f>AL3*AK3</f>
        <v>112</v>
      </c>
      <c r="AN3" s="749">
        <v>4400</v>
      </c>
      <c r="AO3" s="749"/>
      <c r="AP3" s="749">
        <v>18</v>
      </c>
      <c r="AQ3" s="753"/>
      <c r="AS3" s="953" t="s">
        <v>40</v>
      </c>
      <c r="AT3" s="953" t="s">
        <v>41</v>
      </c>
      <c r="AU3" s="954" t="s">
        <v>42</v>
      </c>
      <c r="AV3" s="1300" t="s">
        <v>21</v>
      </c>
      <c r="AW3" s="1298"/>
      <c r="AX3" s="1300" t="s">
        <v>23</v>
      </c>
      <c r="AY3" s="1298"/>
      <c r="AZ3" s="1298" t="s">
        <v>43</v>
      </c>
      <c r="BA3" s="1298"/>
      <c r="BB3" s="1300" t="s">
        <v>44</v>
      </c>
      <c r="BC3" s="1298"/>
      <c r="BD3" s="1299" t="s">
        <v>45</v>
      </c>
      <c r="BE3" s="1300"/>
      <c r="BF3" s="1299" t="s">
        <v>46</v>
      </c>
      <c r="BG3" s="1300"/>
      <c r="BH3" s="1298" t="s">
        <v>47</v>
      </c>
      <c r="BI3" s="1298"/>
      <c r="BJ3" s="1298" t="s">
        <v>48</v>
      </c>
      <c r="BK3" s="1299"/>
      <c r="BL3" s="1298" t="s">
        <v>49</v>
      </c>
      <c r="BM3" s="1298"/>
      <c r="BN3" s="1298"/>
      <c r="BO3" s="954" t="s">
        <v>50</v>
      </c>
      <c r="BP3" s="873" t="s">
        <v>51</v>
      </c>
      <c r="BQ3" s="1300" t="s">
        <v>42</v>
      </c>
      <c r="BR3" s="1298"/>
    </row>
    <row r="4" spans="1:70" s="540" customFormat="1" ht="17.25" customHeight="1">
      <c r="A4" s="555"/>
      <c r="B4" s="556"/>
      <c r="C4" s="556"/>
      <c r="D4" s="556"/>
      <c r="E4" s="955" t="s">
        <v>52</v>
      </c>
      <c r="F4" s="557" t="s">
        <v>40</v>
      </c>
      <c r="G4" s="726" t="s">
        <v>41</v>
      </c>
      <c r="H4" s="646"/>
      <c r="I4" s="646"/>
      <c r="J4" s="646"/>
      <c r="K4" s="647"/>
      <c r="L4" s="648" t="s">
        <v>53</v>
      </c>
      <c r="M4" s="648" t="s">
        <v>53</v>
      </c>
      <c r="N4" s="648" t="s">
        <v>53</v>
      </c>
      <c r="O4" s="648" t="s">
        <v>53</v>
      </c>
      <c r="P4" s="648" t="s">
        <v>53</v>
      </c>
      <c r="Q4" s="648" t="s">
        <v>54</v>
      </c>
      <c r="R4" s="648" t="s">
        <v>54</v>
      </c>
      <c r="S4" s="648" t="s">
        <v>54</v>
      </c>
      <c r="T4" s="648" t="s">
        <v>55</v>
      </c>
      <c r="U4" s="648" t="s">
        <v>55</v>
      </c>
      <c r="V4" s="706" t="s">
        <v>55</v>
      </c>
      <c r="W4" s="804" t="s">
        <v>55</v>
      </c>
      <c r="X4" s="805" t="s">
        <v>56</v>
      </c>
      <c r="Y4" s="805" t="s">
        <v>56</v>
      </c>
      <c r="Z4" s="805" t="s">
        <v>56</v>
      </c>
      <c r="AA4" s="804" t="s">
        <v>57</v>
      </c>
      <c r="AB4" s="805" t="s">
        <v>57</v>
      </c>
      <c r="AC4" s="805" t="s">
        <v>57</v>
      </c>
      <c r="AD4" s="805" t="s">
        <v>58</v>
      </c>
      <c r="AE4" s="805"/>
      <c r="AF4" s="546"/>
      <c r="AG4" s="951" t="s">
        <v>59</v>
      </c>
      <c r="AH4" s="747">
        <f>AH3</f>
        <v>300</v>
      </c>
      <c r="AI4" s="747">
        <f>AI3</f>
        <v>3.7</v>
      </c>
      <c r="AJ4" s="747">
        <f>AJ3</f>
        <v>1110</v>
      </c>
      <c r="AK4" s="748">
        <f>AK3</f>
        <v>0.08</v>
      </c>
      <c r="AL4" s="747">
        <f>AL3</f>
        <v>1400</v>
      </c>
      <c r="AM4" s="747">
        <f>AL4*AK4</f>
        <v>112</v>
      </c>
      <c r="AN4" s="749">
        <v>4200</v>
      </c>
      <c r="AO4" s="749"/>
      <c r="AP4" s="749">
        <v>18</v>
      </c>
      <c r="AQ4" s="753"/>
      <c r="AS4" s="869" t="s">
        <v>34</v>
      </c>
      <c r="AT4" s="869" t="s">
        <v>34</v>
      </c>
      <c r="AU4" s="870" t="s">
        <v>34</v>
      </c>
      <c r="AV4" s="956" t="s">
        <v>60</v>
      </c>
      <c r="AW4" s="954" t="s">
        <v>61</v>
      </c>
      <c r="AX4" s="956" t="s">
        <v>60</v>
      </c>
      <c r="AY4" s="954" t="s">
        <v>61</v>
      </c>
      <c r="AZ4" s="954" t="s">
        <v>60</v>
      </c>
      <c r="BA4" s="954" t="s">
        <v>61</v>
      </c>
      <c r="BB4" s="954" t="s">
        <v>60</v>
      </c>
      <c r="BC4" s="954" t="s">
        <v>61</v>
      </c>
      <c r="BD4" s="954" t="s">
        <v>60</v>
      </c>
      <c r="BE4" s="954" t="s">
        <v>61</v>
      </c>
      <c r="BF4" s="870" t="s">
        <v>58</v>
      </c>
      <c r="BG4" s="954" t="s">
        <v>62</v>
      </c>
      <c r="BH4" s="954" t="s">
        <v>58</v>
      </c>
      <c r="BI4" s="954" t="s">
        <v>62</v>
      </c>
      <c r="BJ4" s="954" t="s">
        <v>58</v>
      </c>
      <c r="BK4" s="954" t="s">
        <v>62</v>
      </c>
      <c r="BL4" s="956" t="s">
        <v>63</v>
      </c>
      <c r="BM4" s="954" t="s">
        <v>64</v>
      </c>
      <c r="BN4" s="953" t="s">
        <v>65</v>
      </c>
      <c r="BO4" s="869" t="s">
        <v>34</v>
      </c>
      <c r="BP4" s="869" t="s">
        <v>34</v>
      </c>
      <c r="BQ4" s="869" t="s">
        <v>34</v>
      </c>
      <c r="BR4" s="954" t="s">
        <v>66</v>
      </c>
    </row>
    <row r="5" spans="1:70" ht="20.25" customHeight="1">
      <c r="A5" s="609"/>
      <c r="B5" s="759">
        <v>56408503</v>
      </c>
      <c r="C5" s="957" t="s">
        <v>67</v>
      </c>
      <c r="D5" s="760" t="s">
        <v>68</v>
      </c>
      <c r="E5" s="761">
        <v>700</v>
      </c>
      <c r="F5" s="761">
        <v>775</v>
      </c>
      <c r="G5" s="762">
        <v>705</v>
      </c>
      <c r="H5" s="649" t="s">
        <v>69</v>
      </c>
      <c r="I5" s="649"/>
      <c r="J5" s="649"/>
      <c r="K5" s="650"/>
      <c r="L5" s="783"/>
      <c r="M5" s="783"/>
      <c r="N5" s="784"/>
      <c r="O5" s="783"/>
      <c r="P5" s="784"/>
      <c r="Q5" s="806"/>
      <c r="R5" s="807"/>
      <c r="S5" s="808"/>
      <c r="T5" s="807"/>
      <c r="U5" s="809"/>
      <c r="V5" s="710"/>
      <c r="W5" s="810"/>
      <c r="X5" s="811"/>
      <c r="Y5" s="855"/>
      <c r="Z5" s="855"/>
      <c r="AA5" s="810"/>
      <c r="AB5" s="811"/>
      <c r="AC5" s="855"/>
      <c r="AD5" s="855"/>
      <c r="AE5" s="855"/>
      <c r="AG5" s="699"/>
      <c r="AH5" s="949" t="s">
        <v>44</v>
      </c>
      <c r="AI5" s="949" t="s">
        <v>45</v>
      </c>
      <c r="AJ5" s="949" t="s">
        <v>46</v>
      </c>
      <c r="AK5" s="949" t="s">
        <v>26</v>
      </c>
      <c r="AL5" s="949" t="s">
        <v>33</v>
      </c>
      <c r="AM5" s="949" t="s">
        <v>27</v>
      </c>
      <c r="AN5" s="716"/>
      <c r="AO5" s="716"/>
      <c r="AP5" s="716"/>
      <c r="AQ5" s="716"/>
      <c r="AR5" s="871" t="s">
        <v>70</v>
      </c>
      <c r="AS5" s="958">
        <f>F5</f>
        <v>775</v>
      </c>
      <c r="AT5" s="958">
        <f>G5</f>
        <v>705</v>
      </c>
      <c r="AU5" s="958"/>
      <c r="AV5" s="959">
        <f>M5</f>
        <v>0</v>
      </c>
      <c r="AW5" s="958"/>
      <c r="AX5" s="959">
        <f>O5</f>
        <v>0</v>
      </c>
      <c r="AY5" s="958"/>
      <c r="AZ5" s="959">
        <f>L5</f>
        <v>0</v>
      </c>
      <c r="BA5" s="958"/>
      <c r="BB5" s="960">
        <f>N5</f>
        <v>0</v>
      </c>
      <c r="BC5" s="958"/>
      <c r="BD5" s="960">
        <f>P5</f>
        <v>0</v>
      </c>
      <c r="BE5" s="958"/>
      <c r="BF5" s="959">
        <f>S5</f>
        <v>0</v>
      </c>
      <c r="BG5" s="958"/>
      <c r="BH5" s="958">
        <f>Q5</f>
        <v>0</v>
      </c>
      <c r="BI5" s="958"/>
      <c r="BJ5" s="958">
        <f>R5</f>
        <v>0</v>
      </c>
      <c r="BK5" s="958"/>
      <c r="BL5" s="958">
        <f>T5</f>
        <v>0</v>
      </c>
      <c r="BM5" s="958"/>
      <c r="BN5" s="958">
        <f>U5</f>
        <v>0</v>
      </c>
      <c r="BO5" s="958">
        <f>E32</f>
        <v>710</v>
      </c>
      <c r="BP5" s="958">
        <f>F32</f>
        <v>708</v>
      </c>
      <c r="BQ5" s="958"/>
      <c r="BR5" s="958"/>
    </row>
    <row r="6" spans="1:70" ht="20.25" customHeight="1">
      <c r="A6" s="578">
        <v>1</v>
      </c>
      <c r="B6" s="961"/>
      <c r="C6" s="962"/>
      <c r="D6" s="760"/>
      <c r="E6" s="963"/>
      <c r="F6" s="963"/>
      <c r="G6" s="964"/>
      <c r="H6" s="965" t="s">
        <v>71</v>
      </c>
      <c r="I6" s="965"/>
      <c r="J6" s="965"/>
      <c r="K6" s="966"/>
      <c r="L6" s="653">
        <f>IF($F$10=0,0,L5*1000/Data!J2)</f>
        <v>0</v>
      </c>
      <c r="M6" s="653">
        <v>0</v>
      </c>
      <c r="N6" s="654">
        <f t="shared" ref="N6:S6" si="0">IF($F$10=0,0,N5*1000/$F$10)</f>
        <v>0</v>
      </c>
      <c r="O6" s="967">
        <f t="shared" si="0"/>
        <v>0</v>
      </c>
      <c r="P6" s="967">
        <f t="shared" si="0"/>
        <v>0</v>
      </c>
      <c r="Q6" s="812">
        <f t="shared" si="0"/>
        <v>0</v>
      </c>
      <c r="R6" s="653">
        <f t="shared" si="0"/>
        <v>0</v>
      </c>
      <c r="S6" s="653">
        <f t="shared" si="0"/>
        <v>0</v>
      </c>
      <c r="T6" s="713">
        <f>IF(T5=0,0,F10/T5)</f>
        <v>0</v>
      </c>
      <c r="U6" s="713">
        <f>IF(U5=0,0,Data!U1/U5)</f>
        <v>0</v>
      </c>
      <c r="V6" s="968">
        <f>IF(V5=0,0,Data!V1/V5)</f>
        <v>0</v>
      </c>
      <c r="W6" s="813">
        <f>IF(W5=0,0,Y11/W5)</f>
        <v>0</v>
      </c>
      <c r="X6" s="969">
        <f>IF(X5=0,0,Y11/X5)</f>
        <v>0</v>
      </c>
      <c r="Y6" s="970">
        <f>IF(Y5=0,0,Y11/Y5)</f>
        <v>0</v>
      </c>
      <c r="Z6" s="970">
        <f>IF(Z5=0,0,Y11/Z5)</f>
        <v>0</v>
      </c>
      <c r="AA6" s="856" t="e">
        <f>AA5*1000/Y11</f>
        <v>#DIV/0!</v>
      </c>
      <c r="AB6" s="971" t="e">
        <f>AB5*1000/Y11</f>
        <v>#DIV/0!</v>
      </c>
      <c r="AC6" s="972" t="e">
        <f>AC5*1000/Y11</f>
        <v>#DIV/0!</v>
      </c>
      <c r="AD6" s="972" t="e">
        <f>AD5*1000/Y11</f>
        <v>#DIV/0!</v>
      </c>
      <c r="AE6" s="973"/>
      <c r="AG6" s="949" t="s">
        <v>72</v>
      </c>
      <c r="AH6" s="952">
        <v>50</v>
      </c>
      <c r="AI6" s="952">
        <v>12.5</v>
      </c>
      <c r="AJ6" s="952">
        <v>0.24</v>
      </c>
      <c r="AK6" s="750">
        <v>20</v>
      </c>
      <c r="AL6" s="715">
        <v>6</v>
      </c>
      <c r="AM6" s="715">
        <v>18</v>
      </c>
      <c r="AN6" s="716"/>
      <c r="AO6" s="716"/>
      <c r="AP6" s="716"/>
      <c r="AQ6" s="716"/>
      <c r="AR6" s="871" t="s">
        <v>73</v>
      </c>
      <c r="AS6" s="958">
        <f>F11</f>
        <v>520</v>
      </c>
      <c r="AT6" s="958">
        <f>G11</f>
        <v>500</v>
      </c>
      <c r="AU6" s="958"/>
      <c r="AV6" s="959">
        <f>M11</f>
        <v>0</v>
      </c>
      <c r="AW6" s="958"/>
      <c r="AX6" s="959">
        <f>O11</f>
        <v>0</v>
      </c>
      <c r="AY6" s="958"/>
      <c r="AZ6" s="959">
        <f>L11</f>
        <v>0</v>
      </c>
      <c r="BA6" s="958"/>
      <c r="BB6" s="960">
        <f>N11</f>
        <v>0</v>
      </c>
      <c r="BC6" s="958"/>
      <c r="BD6" s="960">
        <f>P11</f>
        <v>0</v>
      </c>
      <c r="BE6" s="958"/>
      <c r="BF6" s="959">
        <f>S11</f>
        <v>0</v>
      </c>
      <c r="BG6" s="958"/>
      <c r="BH6" s="958">
        <f>Q11</f>
        <v>0</v>
      </c>
      <c r="BI6" s="958"/>
      <c r="BJ6" s="958">
        <f>R11</f>
        <v>0</v>
      </c>
      <c r="BK6" s="958"/>
      <c r="BL6" s="958">
        <f>T11</f>
        <v>0</v>
      </c>
      <c r="BM6" s="958"/>
      <c r="BN6" s="958">
        <f>U11</f>
        <v>0</v>
      </c>
      <c r="BO6" s="958">
        <f>E39</f>
        <v>500</v>
      </c>
      <c r="BP6" s="958">
        <f>F39</f>
        <v>488</v>
      </c>
      <c r="BQ6" s="958"/>
      <c r="BR6" s="958"/>
    </row>
    <row r="7" spans="1:70" ht="20.25" customHeight="1">
      <c r="A7" s="579"/>
      <c r="B7" s="961" t="str">
        <f>IF(ISBLANK(Data!F6),"",Data!F6)</f>
        <v/>
      </c>
      <c r="C7" s="962" t="str">
        <f>IF(B7=""," ",UPPER(LEFT(Data!G6,15)))</f>
        <v xml:space="preserve"> </v>
      </c>
      <c r="D7" s="974" t="str">
        <f>IF(ISBLANK(Data!H6),"",Data!H6)</f>
        <v/>
      </c>
      <c r="E7" s="963" t="str">
        <f>IF(ISBLANK(Data!I6),"",Data!I6)</f>
        <v/>
      </c>
      <c r="F7" s="963"/>
      <c r="G7" s="964"/>
      <c r="H7" s="763" t="s">
        <v>74</v>
      </c>
      <c r="I7" s="763"/>
      <c r="J7" s="763"/>
      <c r="K7" s="785"/>
      <c r="L7" s="653">
        <f>IF($G$10=0,0,L5*1000/Data!K2)</f>
        <v>0</v>
      </c>
      <c r="M7" s="653">
        <f t="shared" ref="M7:S7" si="1">IF($G$10=0,0,M5*1000/$G$10)</f>
        <v>0</v>
      </c>
      <c r="N7" s="653">
        <f t="shared" si="1"/>
        <v>0</v>
      </c>
      <c r="O7" s="653">
        <f t="shared" si="1"/>
        <v>0</v>
      </c>
      <c r="P7" s="653">
        <f t="shared" si="1"/>
        <v>0</v>
      </c>
      <c r="Q7" s="653">
        <f t="shared" si="1"/>
        <v>0</v>
      </c>
      <c r="R7" s="653">
        <f t="shared" si="1"/>
        <v>0</v>
      </c>
      <c r="S7" s="653">
        <f t="shared" si="1"/>
        <v>0</v>
      </c>
      <c r="T7" s="713">
        <f>IF(T5=0,0,G10/T5)</f>
        <v>0</v>
      </c>
      <c r="U7" s="713">
        <f>IF(U5=0,0,Data!X1/U5)</f>
        <v>0</v>
      </c>
      <c r="V7" s="814">
        <f>IF(V5=0,0,Data!Y1/V5)</f>
        <v>0</v>
      </c>
      <c r="W7" s="975">
        <f>IF(W5=0,0,Z11/W5)</f>
        <v>0</v>
      </c>
      <c r="X7" s="815">
        <f>IF(X5=0,0,Z11/X5)</f>
        <v>0</v>
      </c>
      <c r="Y7" s="815">
        <f>IF(Y5=0,0,Z11/Y5)</f>
        <v>0</v>
      </c>
      <c r="Z7" s="857">
        <f>IF(Z5=0,0,Z11/Z5)</f>
        <v>0</v>
      </c>
      <c r="AA7" s="976" t="e">
        <f>AA5*1000/Z11</f>
        <v>#DIV/0!</v>
      </c>
      <c r="AB7" s="858" t="e">
        <f>AB5*1000/Z11</f>
        <v>#DIV/0!</v>
      </c>
      <c r="AC7" s="858" t="e">
        <f>AC5*1000/Z11</f>
        <v>#DIV/0!</v>
      </c>
      <c r="AD7" s="858" t="e">
        <f>AD5*1000/Z11</f>
        <v>#DIV/0!</v>
      </c>
      <c r="AE7" s="859"/>
      <c r="AG7" s="699"/>
      <c r="AH7" s="949" t="s">
        <v>44</v>
      </c>
      <c r="AI7" s="949" t="s">
        <v>45</v>
      </c>
      <c r="AJ7" s="949" t="s">
        <v>46</v>
      </c>
      <c r="AK7" s="949" t="s">
        <v>26</v>
      </c>
      <c r="AL7" s="949" t="s">
        <v>33</v>
      </c>
      <c r="AM7" s="949" t="s">
        <v>27</v>
      </c>
      <c r="AN7" s="716"/>
      <c r="AO7" s="716"/>
      <c r="AP7" s="716"/>
      <c r="AQ7" s="716"/>
    </row>
    <row r="8" spans="1:70" ht="20.25" customHeight="1">
      <c r="A8" s="579"/>
      <c r="B8" s="961" t="str">
        <f>IF(ISBLANK(Data!F7),"",Data!F7)</f>
        <v/>
      </c>
      <c r="C8" s="962" t="str">
        <f>IF(B8=""," ",UPPER(LEFT(Data!G7,15)))</f>
        <v xml:space="preserve"> </v>
      </c>
      <c r="D8" s="974" t="str">
        <f>IF(ISBLANK(Data!H7),"",Data!H7)</f>
        <v/>
      </c>
      <c r="E8" s="963" t="str">
        <f>IF(ISBLANK(Data!I7),"",Data!I7)</f>
        <v/>
      </c>
      <c r="F8" s="963" t="str">
        <f>IF(ISBLANK(Data!J7),"",Data!J7)</f>
        <v/>
      </c>
      <c r="G8" s="964" t="str">
        <f>IF(ISBLANK(Data!K7),"",Data!K7)</f>
        <v/>
      </c>
      <c r="H8" s="763"/>
      <c r="I8" s="763"/>
      <c r="J8" s="763"/>
      <c r="K8" s="785"/>
      <c r="L8" s="786"/>
      <c r="M8" s="786"/>
      <c r="N8" s="786"/>
      <c r="O8" s="786"/>
      <c r="P8" s="786"/>
      <c r="Q8" s="786"/>
      <c r="R8" s="786"/>
      <c r="S8" s="786"/>
      <c r="T8" s="816"/>
      <c r="U8" s="816"/>
      <c r="V8" s="816"/>
      <c r="W8" s="817"/>
      <c r="X8" s="818"/>
      <c r="Y8" s="818"/>
      <c r="Z8" s="818"/>
      <c r="AA8" s="860"/>
      <c r="AB8" s="861"/>
      <c r="AC8" s="861"/>
      <c r="AD8" s="861"/>
      <c r="AE8" s="862"/>
      <c r="AG8" s="699"/>
      <c r="AH8" s="949"/>
      <c r="AI8" s="949"/>
      <c r="AJ8" s="949"/>
      <c r="AK8" s="867"/>
      <c r="AL8" s="867"/>
      <c r="AM8" s="867"/>
      <c r="AN8" s="716"/>
      <c r="AO8" s="716"/>
      <c r="AP8" s="716"/>
      <c r="AQ8" s="716"/>
    </row>
    <row r="9" spans="1:70" ht="20.25" customHeight="1">
      <c r="A9" s="579"/>
      <c r="B9" s="961" t="str">
        <f>IF(ISBLANK(Data!F8),"",Data!F8)</f>
        <v/>
      </c>
      <c r="C9" s="962" t="str">
        <f>IF(B9=""," ",UPPER(LEFT(Data!G8,15)))</f>
        <v xml:space="preserve"> </v>
      </c>
      <c r="D9" s="974" t="str">
        <f>IF(ISBLANK(Data!H8),"",Data!H8)</f>
        <v/>
      </c>
      <c r="E9" s="963" t="str">
        <f>IF(ISBLANK(Data!I8),"",Data!I8)</f>
        <v/>
      </c>
      <c r="F9" s="963" t="str">
        <f>IF(ISBLANK(Data!J8),"",Data!J8)</f>
        <v/>
      </c>
      <c r="G9" s="964" t="str">
        <f>IF(ISBLANK(Data!K8),"",Data!K8)</f>
        <v/>
      </c>
      <c r="H9" s="1295" t="s">
        <v>75</v>
      </c>
      <c r="I9" s="1295"/>
      <c r="J9" s="1295"/>
      <c r="K9" s="1296"/>
      <c r="L9" s="977" t="s">
        <v>76</v>
      </c>
      <c r="M9" s="978"/>
      <c r="N9" s="979" t="s">
        <v>20</v>
      </c>
      <c r="O9" s="980" t="s">
        <v>77</v>
      </c>
      <c r="P9" s="981"/>
      <c r="Q9" s="979" t="s">
        <v>20</v>
      </c>
      <c r="R9" s="979" t="s">
        <v>78</v>
      </c>
      <c r="S9" s="982">
        <v>1</v>
      </c>
      <c r="T9" s="979" t="s">
        <v>79</v>
      </c>
      <c r="U9" s="982">
        <f>IF(ISBLANK(Data!AH2),"",Data!AH2)</f>
        <v>0</v>
      </c>
      <c r="V9" s="983" t="s">
        <v>79</v>
      </c>
      <c r="AG9" s="699"/>
      <c r="AH9" s="949"/>
      <c r="AI9" s="949"/>
      <c r="AJ9" s="949"/>
      <c r="AK9" s="867"/>
      <c r="AL9" s="867"/>
      <c r="AM9" s="867"/>
      <c r="AN9" s="716"/>
      <c r="AO9" s="716"/>
      <c r="AP9" s="716"/>
      <c r="AQ9" s="716"/>
    </row>
    <row r="10" spans="1:70" ht="20.25" customHeight="1">
      <c r="A10" s="1290" t="s">
        <v>80</v>
      </c>
      <c r="B10" s="1291"/>
      <c r="C10" s="1291"/>
      <c r="D10" s="1292"/>
      <c r="E10" s="764">
        <f>SUM(E5:E9)</f>
        <v>700</v>
      </c>
      <c r="F10" s="764">
        <f>SUM(F5:F9)</f>
        <v>775</v>
      </c>
      <c r="G10" s="765">
        <f>SUM(G5:G9)</f>
        <v>705</v>
      </c>
      <c r="H10" s="1291"/>
      <c r="I10" s="1291"/>
      <c r="J10" s="1291"/>
      <c r="K10" s="1292"/>
      <c r="L10" s="628" t="s">
        <v>81</v>
      </c>
      <c r="M10" s="787"/>
      <c r="N10" s="542" t="s">
        <v>82</v>
      </c>
      <c r="O10" s="542" t="e">
        <f>F10/M10</f>
        <v>#DIV/0!</v>
      </c>
      <c r="P10" s="628" t="s">
        <v>83</v>
      </c>
      <c r="Q10" s="628" t="s">
        <v>84</v>
      </c>
      <c r="R10" s="542">
        <v>2</v>
      </c>
      <c r="S10" s="542" t="s">
        <v>82</v>
      </c>
      <c r="T10" s="542">
        <f>F10/R10</f>
        <v>387.5</v>
      </c>
      <c r="U10" s="628" t="s">
        <v>83</v>
      </c>
      <c r="V10" s="819"/>
      <c r="X10" s="820" t="s">
        <v>52</v>
      </c>
      <c r="Y10" s="863" t="s">
        <v>40</v>
      </c>
      <c r="Z10" s="863" t="s">
        <v>41</v>
      </c>
      <c r="AG10" s="949" t="s">
        <v>85</v>
      </c>
      <c r="AH10" s="952">
        <f>AH6/2</f>
        <v>25</v>
      </c>
      <c r="AI10" s="952">
        <f>AI6/2</f>
        <v>6.25</v>
      </c>
      <c r="AJ10" s="952">
        <f>AJ6/2</f>
        <v>0.12</v>
      </c>
      <c r="AK10" s="750">
        <v>20</v>
      </c>
      <c r="AL10" s="715">
        <v>6</v>
      </c>
      <c r="AM10" s="715">
        <v>18</v>
      </c>
      <c r="AN10" s="716"/>
      <c r="AO10" s="716"/>
      <c r="AP10" s="716"/>
      <c r="AQ10" s="716"/>
      <c r="AS10" s="540" t="s">
        <v>86</v>
      </c>
    </row>
    <row r="11" spans="1:70" ht="20.25" customHeight="1">
      <c r="A11" s="578" t="s">
        <v>5</v>
      </c>
      <c r="B11" s="759">
        <v>56408415</v>
      </c>
      <c r="C11" s="957" t="s">
        <v>87</v>
      </c>
      <c r="D11" s="766" t="s">
        <v>88</v>
      </c>
      <c r="E11" s="761">
        <v>500</v>
      </c>
      <c r="F11" s="761">
        <v>520</v>
      </c>
      <c r="G11" s="762">
        <v>500</v>
      </c>
      <c r="H11" s="767" t="s">
        <v>89</v>
      </c>
      <c r="I11" s="767"/>
      <c r="J11" s="767"/>
      <c r="K11" s="788"/>
      <c r="L11" s="783"/>
      <c r="M11" s="783"/>
      <c r="N11" s="784"/>
      <c r="O11" s="783"/>
      <c r="P11" s="784"/>
      <c r="Q11" s="806"/>
      <c r="R11" s="821"/>
      <c r="S11" s="808"/>
      <c r="T11" s="807"/>
      <c r="U11" s="809"/>
      <c r="V11" s="710"/>
      <c r="X11" s="822"/>
      <c r="Y11" s="864"/>
      <c r="Z11" s="865"/>
      <c r="AG11" s="699" t="s">
        <v>90</v>
      </c>
      <c r="AH11" s="699"/>
      <c r="AI11" s="699"/>
      <c r="AJ11" s="699"/>
      <c r="AK11" s="699"/>
      <c r="AL11" s="699"/>
      <c r="AM11" s="699"/>
      <c r="AN11" s="716"/>
      <c r="AO11" s="716"/>
      <c r="AP11" s="716"/>
      <c r="AQ11" s="716"/>
      <c r="AS11" s="545" t="s">
        <v>91</v>
      </c>
      <c r="AT11" s="545" t="s">
        <v>92</v>
      </c>
      <c r="AU11" s="545" t="s">
        <v>9</v>
      </c>
      <c r="AV11" s="545" t="s">
        <v>93</v>
      </c>
      <c r="AW11" s="545" t="s">
        <v>41</v>
      </c>
    </row>
    <row r="12" spans="1:70" ht="20.25" customHeight="1">
      <c r="A12" s="578">
        <v>2</v>
      </c>
      <c r="B12" s="961"/>
      <c r="C12" s="962"/>
      <c r="D12" s="974"/>
      <c r="E12" s="963"/>
      <c r="F12" s="963"/>
      <c r="G12" s="964"/>
      <c r="H12" s="965" t="s">
        <v>71</v>
      </c>
      <c r="I12" s="965"/>
      <c r="J12" s="965"/>
      <c r="K12" s="966"/>
      <c r="L12" s="653">
        <f>+L11*1000/F15</f>
        <v>0</v>
      </c>
      <c r="M12" s="653">
        <f>IF($F$15=0,0,M11*1000/$F$15)</f>
        <v>0</v>
      </c>
      <c r="N12" s="654">
        <f t="shared" ref="N12:S12" si="2">IF($F$15=0,0,N11*1000/$F$15)</f>
        <v>0</v>
      </c>
      <c r="O12" s="967">
        <f t="shared" si="2"/>
        <v>0</v>
      </c>
      <c r="P12" s="967">
        <f t="shared" si="2"/>
        <v>0</v>
      </c>
      <c r="Q12" s="812">
        <f t="shared" si="2"/>
        <v>0</v>
      </c>
      <c r="R12" s="653">
        <f t="shared" si="2"/>
        <v>0</v>
      </c>
      <c r="S12" s="653">
        <f t="shared" si="2"/>
        <v>0</v>
      </c>
      <c r="T12" s="713">
        <f>IF(T11=0,0,F15/T11)</f>
        <v>0</v>
      </c>
      <c r="U12" s="713">
        <f>IF(U11=0,0,Data!U9/U11)</f>
        <v>0</v>
      </c>
      <c r="V12" s="968">
        <f>IF(V11=0,0,Data!V9/V11)</f>
        <v>0</v>
      </c>
      <c r="AG12" s="714">
        <f>L5*$AI$3</f>
        <v>0</v>
      </c>
      <c r="AH12" s="699"/>
      <c r="AI12" s="699"/>
      <c r="AJ12" s="699"/>
      <c r="AK12" s="699"/>
      <c r="AL12" s="699"/>
      <c r="AM12" s="699"/>
      <c r="AN12" s="751"/>
      <c r="AO12" s="716"/>
      <c r="AP12" s="716"/>
      <c r="AQ12" s="716"/>
      <c r="AR12" s="871" t="s">
        <v>70</v>
      </c>
      <c r="AS12" s="824">
        <f>M5</f>
        <v>0</v>
      </c>
      <c r="AT12" s="824">
        <f>L5</f>
        <v>0</v>
      </c>
      <c r="AU12" s="824">
        <f>O5</f>
        <v>0</v>
      </c>
      <c r="AV12" s="545">
        <f>M9</f>
        <v>0</v>
      </c>
      <c r="AW12" s="545">
        <f>G10</f>
        <v>705</v>
      </c>
    </row>
    <row r="13" spans="1:70" ht="20.25" customHeight="1">
      <c r="A13" s="579"/>
      <c r="B13" s="961" t="str">
        <f>IF(ISBLANK(Data!F14),"",Data!F14)</f>
        <v/>
      </c>
      <c r="C13" s="962" t="str">
        <f>IF(B13=""," ",UPPER(LEFT(Data!G14,15)))</f>
        <v xml:space="preserve"> </v>
      </c>
      <c r="D13" s="974" t="str">
        <f>IF(ISBLANK(Data!H14),"",Data!H14)</f>
        <v/>
      </c>
      <c r="E13" s="963" t="str">
        <f>IF(ISBLANK(Data!I14),"",Data!I14)</f>
        <v/>
      </c>
      <c r="F13" s="963" t="str">
        <f>IF(ISBLANK(Data!J14),"",Data!J14)</f>
        <v/>
      </c>
      <c r="G13" s="964" t="str">
        <f>IF(ISBLANK(Data!K14),"",Data!K14)</f>
        <v/>
      </c>
      <c r="H13" s="965" t="s">
        <v>74</v>
      </c>
      <c r="I13" s="965"/>
      <c r="J13" s="965"/>
      <c r="K13" s="966"/>
      <c r="L13" s="653">
        <f>+L11*1000/G15</f>
        <v>0</v>
      </c>
      <c r="M13" s="653">
        <f t="shared" ref="M13:S13" si="3">IF($G$15=0,0,M11*1000/$G$15)</f>
        <v>0</v>
      </c>
      <c r="N13" s="653">
        <f t="shared" si="3"/>
        <v>0</v>
      </c>
      <c r="O13" s="653">
        <f t="shared" si="3"/>
        <v>0</v>
      </c>
      <c r="P13" s="653">
        <f t="shared" si="3"/>
        <v>0</v>
      </c>
      <c r="Q13" s="653">
        <f t="shared" si="3"/>
        <v>0</v>
      </c>
      <c r="R13" s="653">
        <f t="shared" si="3"/>
        <v>0</v>
      </c>
      <c r="S13" s="653">
        <f t="shared" si="3"/>
        <v>0</v>
      </c>
      <c r="T13" s="713">
        <f>IF(T11=0,0,G15/T11)</f>
        <v>0</v>
      </c>
      <c r="U13" s="713">
        <f>IF(U11=0,0,Data!X9/U11)</f>
        <v>0</v>
      </c>
      <c r="V13" s="814">
        <f>IF(V11=0,0,Data!Y9/V11)</f>
        <v>0</v>
      </c>
      <c r="X13" s="1289" t="s">
        <v>94</v>
      </c>
      <c r="Y13" s="1289"/>
      <c r="Z13" s="1289" t="s">
        <v>95</v>
      </c>
      <c r="AA13" s="1289"/>
      <c r="AB13" s="1289" t="s">
        <v>96</v>
      </c>
      <c r="AC13" s="1289"/>
      <c r="AD13" s="824"/>
      <c r="AE13" s="545"/>
      <c r="AG13" s="715" t="s">
        <v>5</v>
      </c>
      <c r="AH13" s="984"/>
      <c r="AI13" s="752" t="s">
        <v>97</v>
      </c>
      <c r="AJ13" s="699"/>
      <c r="AK13" s="699"/>
      <c r="AL13" s="699"/>
      <c r="AM13" s="699"/>
      <c r="AN13" s="751"/>
      <c r="AO13" s="716"/>
      <c r="AP13" s="716"/>
      <c r="AQ13" s="716"/>
      <c r="AR13" s="871" t="s">
        <v>73</v>
      </c>
      <c r="AS13" s="824">
        <f>M11</f>
        <v>0</v>
      </c>
      <c r="AT13" s="824">
        <f>L11</f>
        <v>0</v>
      </c>
      <c r="AU13" s="824">
        <f>O11</f>
        <v>0</v>
      </c>
      <c r="AV13" s="545">
        <f>M14</f>
        <v>0</v>
      </c>
      <c r="AW13" s="545">
        <f>G15</f>
        <v>500</v>
      </c>
    </row>
    <row r="14" spans="1:70" ht="20.25" customHeight="1">
      <c r="A14" s="579"/>
      <c r="B14" s="768" t="str">
        <f>IF(ISBLANK(Data!F15),"",Data!F15)</f>
        <v/>
      </c>
      <c r="C14" s="769" t="str">
        <f>IF(B14=""," ",UPPER(LEFT(Data!G15,15)))</f>
        <v xml:space="preserve"> </v>
      </c>
      <c r="D14" s="770" t="str">
        <f>IF(ISBLANK(Data!H15),"",Data!H15)</f>
        <v/>
      </c>
      <c r="E14" s="771" t="str">
        <f>IF(ISBLANK(Data!I15),"",Data!I15)</f>
        <v/>
      </c>
      <c r="F14" s="771" t="str">
        <f>IF(ISBLANK(Data!J15),"",Data!J15)</f>
        <v/>
      </c>
      <c r="G14" s="772" t="str">
        <f>IF(ISBLANK(Data!K15),"",Data!K15)</f>
        <v/>
      </c>
      <c r="H14" s="1295" t="s">
        <v>75</v>
      </c>
      <c r="I14" s="1295"/>
      <c r="J14" s="1295"/>
      <c r="K14" s="1296"/>
      <c r="L14" s="977" t="s">
        <v>76</v>
      </c>
      <c r="M14" s="978"/>
      <c r="N14" s="979" t="s">
        <v>20</v>
      </c>
      <c r="O14" s="980" t="s">
        <v>77</v>
      </c>
      <c r="P14" s="981">
        <f>IF(ISBLANK(Data!Y10),"",Data!Y10)</f>
        <v>0</v>
      </c>
      <c r="Q14" s="979" t="s">
        <v>20</v>
      </c>
      <c r="R14" s="979" t="s">
        <v>78</v>
      </c>
      <c r="S14" s="982">
        <v>1</v>
      </c>
      <c r="T14" s="979" t="s">
        <v>79</v>
      </c>
      <c r="U14" s="982">
        <f>IF(ISBLANK(Data!AH10),"",Data!AH10)</f>
        <v>0</v>
      </c>
      <c r="V14" s="983" t="s">
        <v>79</v>
      </c>
      <c r="X14" s="823">
        <v>2</v>
      </c>
      <c r="Y14" s="823">
        <v>7</v>
      </c>
      <c r="Z14" s="823">
        <v>0</v>
      </c>
      <c r="AA14" s="823">
        <v>5</v>
      </c>
      <c r="AB14" s="823">
        <v>6</v>
      </c>
      <c r="AC14" s="823">
        <v>0</v>
      </c>
      <c r="AG14" s="715"/>
      <c r="AH14" s="868"/>
      <c r="AI14" s="752"/>
      <c r="AJ14" s="699"/>
      <c r="AK14" s="699"/>
      <c r="AL14" s="699"/>
      <c r="AM14" s="699"/>
      <c r="AN14" s="751"/>
      <c r="AO14" s="716"/>
      <c r="AP14" s="716"/>
      <c r="AQ14" s="716"/>
      <c r="AU14" s="872"/>
      <c r="BA14" s="545"/>
      <c r="BB14" s="545"/>
    </row>
    <row r="15" spans="1:70" ht="20.25" customHeight="1">
      <c r="A15" s="1290" t="s">
        <v>98</v>
      </c>
      <c r="B15" s="1291"/>
      <c r="C15" s="1291"/>
      <c r="D15" s="1292"/>
      <c r="E15" s="764">
        <f>SUM(E11:E14)</f>
        <v>500</v>
      </c>
      <c r="F15" s="764">
        <f>SUM(F11:F14)</f>
        <v>520</v>
      </c>
      <c r="G15" s="773">
        <f>SUM(G11:G14)</f>
        <v>500</v>
      </c>
      <c r="H15" s="1297"/>
      <c r="I15" s="1291"/>
      <c r="J15" s="1291"/>
      <c r="K15" s="1292"/>
      <c r="L15" s="628" t="s">
        <v>81</v>
      </c>
      <c r="M15" s="787"/>
      <c r="N15" s="542" t="s">
        <v>82</v>
      </c>
      <c r="O15" s="542" t="e">
        <f>F15/M15</f>
        <v>#DIV/0!</v>
      </c>
      <c r="P15" s="628" t="s">
        <v>83</v>
      </c>
      <c r="Q15" s="628" t="s">
        <v>84</v>
      </c>
      <c r="R15" s="542"/>
      <c r="S15" s="628" t="s">
        <v>99</v>
      </c>
      <c r="T15" s="542">
        <f>IF(R15=0,0,F15/R15)</f>
        <v>0</v>
      </c>
      <c r="U15" s="628" t="s">
        <v>83</v>
      </c>
      <c r="V15" s="819"/>
      <c r="X15" s="824"/>
      <c r="Y15" s="824"/>
      <c r="Z15" s="824"/>
      <c r="AA15" s="545"/>
      <c r="AB15" s="545"/>
      <c r="AG15" s="716"/>
      <c r="AH15" s="716"/>
      <c r="AI15" s="716"/>
      <c r="AJ15" s="716"/>
      <c r="AK15" s="716"/>
      <c r="AL15" s="716"/>
      <c r="AM15" s="716"/>
      <c r="AN15" s="716"/>
      <c r="AO15" s="716"/>
      <c r="AP15" s="751"/>
      <c r="AQ15" s="716"/>
    </row>
    <row r="16" spans="1:70" ht="20.25" customHeight="1">
      <c r="A16" s="575" t="s">
        <v>5</v>
      </c>
      <c r="B16" s="561"/>
      <c r="C16" s="774"/>
      <c r="D16" s="766"/>
      <c r="E16" s="563"/>
      <c r="F16" s="563"/>
      <c r="G16" s="577"/>
      <c r="H16" s="775" t="s">
        <v>100</v>
      </c>
      <c r="I16" s="767"/>
      <c r="J16" s="767"/>
      <c r="K16" s="788"/>
      <c r="L16" s="783"/>
      <c r="M16" s="783"/>
      <c r="N16" s="784"/>
      <c r="O16" s="783"/>
      <c r="P16" s="784"/>
      <c r="Q16" s="806"/>
      <c r="R16" s="806"/>
      <c r="S16" s="808"/>
      <c r="T16" s="807"/>
      <c r="U16" s="809"/>
      <c r="V16" s="710"/>
      <c r="X16" s="985" t="s">
        <v>101</v>
      </c>
      <c r="Y16" s="985" t="s">
        <v>60</v>
      </c>
      <c r="Z16" s="985" t="s">
        <v>102</v>
      </c>
      <c r="AG16" s="699"/>
      <c r="AH16" s="699"/>
      <c r="AI16" s="699"/>
      <c r="AJ16" s="699"/>
      <c r="AK16" s="699"/>
      <c r="AL16" s="699"/>
      <c r="AM16" s="699"/>
      <c r="AN16" s="751"/>
      <c r="AO16" s="716"/>
      <c r="AP16" s="751"/>
      <c r="AQ16" s="716"/>
    </row>
    <row r="17" spans="1:43" ht="20.25" customHeight="1">
      <c r="A17" s="578">
        <v>3</v>
      </c>
      <c r="B17" s="571" t="str">
        <f>IF(ISBLANK(Data!F20),"",Data!F20)</f>
        <v/>
      </c>
      <c r="C17" s="776"/>
      <c r="D17" s="766"/>
      <c r="E17" s="568"/>
      <c r="F17" s="569"/>
      <c r="G17" s="570"/>
      <c r="H17" s="986" t="s">
        <v>71</v>
      </c>
      <c r="I17" s="965"/>
      <c r="J17" s="965"/>
      <c r="K17" s="966"/>
      <c r="L17" s="653" t="e">
        <f>+L16*1000/F19</f>
        <v>#DIV/0!</v>
      </c>
      <c r="M17" s="653">
        <f t="shared" ref="M17:R17" si="4">IF($F$19=0,0,M16*1000/$F$19)</f>
        <v>0</v>
      </c>
      <c r="N17" s="654">
        <f t="shared" si="4"/>
        <v>0</v>
      </c>
      <c r="O17" s="967">
        <f t="shared" si="4"/>
        <v>0</v>
      </c>
      <c r="P17" s="967">
        <f t="shared" si="4"/>
        <v>0</v>
      </c>
      <c r="Q17" s="812">
        <f t="shared" si="4"/>
        <v>0</v>
      </c>
      <c r="R17" s="653">
        <f t="shared" si="4"/>
        <v>0</v>
      </c>
      <c r="S17" s="653">
        <f>IF($F$19=0,0,S16*1000/$F$15)</f>
        <v>0</v>
      </c>
      <c r="T17" s="713">
        <f>IF(T16=0,0,F19/T16)</f>
        <v>0</v>
      </c>
      <c r="U17" s="713">
        <f>IF(U16=0,0,Data!U14/U16)</f>
        <v>0</v>
      </c>
      <c r="V17" s="968">
        <f>IF(V16=0,0,Data!V14/V16)</f>
        <v>0</v>
      </c>
      <c r="X17" s="987" t="s">
        <v>21</v>
      </c>
      <c r="Y17" s="988">
        <v>3</v>
      </c>
      <c r="Z17" s="989" t="s">
        <v>103</v>
      </c>
      <c r="AG17" s="699"/>
      <c r="AH17" s="699"/>
      <c r="AI17" s="699"/>
      <c r="AJ17" s="699"/>
      <c r="AK17" s="699"/>
      <c r="AL17" s="699"/>
      <c r="AM17" s="699"/>
      <c r="AN17" s="751"/>
      <c r="AO17" s="716"/>
      <c r="AP17" s="751"/>
      <c r="AQ17" s="716"/>
    </row>
    <row r="18" spans="1:43" ht="20.25" customHeight="1">
      <c r="A18" s="579"/>
      <c r="B18" s="571" t="str">
        <f>IF(ISBLANK(Data!F21),"",Data!F21)</f>
        <v/>
      </c>
      <c r="C18" s="776" t="str">
        <f>IF(B18=""," ",UPPER(LEFT(Data!G21,15)))</f>
        <v xml:space="preserve"> </v>
      </c>
      <c r="D18" s="766" t="str">
        <f>IF(ISBLANK(Data!H21),"",Data!H21)</f>
        <v/>
      </c>
      <c r="E18" s="568" t="str">
        <f>IF(ISBLANK(Data!I21),"",Data!I21)</f>
        <v/>
      </c>
      <c r="F18" s="569" t="str">
        <f>IF(ISBLANK(Data!J21),"",Data!J21)</f>
        <v/>
      </c>
      <c r="G18" s="570" t="str">
        <f>IF(ISBLANK(Data!K21),"",Data!K21)</f>
        <v/>
      </c>
      <c r="H18" s="986" t="s">
        <v>74</v>
      </c>
      <c r="I18" s="965"/>
      <c r="J18" s="965"/>
      <c r="K18" s="966"/>
      <c r="L18" s="653" t="e">
        <f>+L16*1000/G19</f>
        <v>#DIV/0!</v>
      </c>
      <c r="M18" s="653">
        <f t="shared" ref="M18:R18" si="5">IF($G$19=0,0,M16*1000/$G$19)</f>
        <v>0</v>
      </c>
      <c r="N18" s="653">
        <f t="shared" si="5"/>
        <v>0</v>
      </c>
      <c r="O18" s="653">
        <f t="shared" si="5"/>
        <v>0</v>
      </c>
      <c r="P18" s="653">
        <f t="shared" si="5"/>
        <v>0</v>
      </c>
      <c r="Q18" s="653">
        <f t="shared" si="5"/>
        <v>0</v>
      </c>
      <c r="R18" s="653">
        <f t="shared" si="5"/>
        <v>0</v>
      </c>
      <c r="S18" s="653">
        <f>IF($G$19=0,0,S16*1000/$G$15)</f>
        <v>0</v>
      </c>
      <c r="T18" s="713">
        <f>IF(T16=0,0,G19/T16)</f>
        <v>0</v>
      </c>
      <c r="U18" s="713">
        <f>IF(U16=0,0,Data!X14/U16)</f>
        <v>0</v>
      </c>
      <c r="V18" s="814">
        <f>IF(V16=0,0,Data!Y14/V16)</f>
        <v>0</v>
      </c>
      <c r="X18" s="987" t="s">
        <v>44</v>
      </c>
      <c r="Y18" s="988">
        <v>0</v>
      </c>
      <c r="Z18" s="989" t="s">
        <v>104</v>
      </c>
      <c r="AG18" s="699"/>
      <c r="AH18" s="990">
        <v>0.95833333333333304</v>
      </c>
      <c r="AI18" s="947">
        <v>0.75</v>
      </c>
      <c r="AJ18" s="947">
        <v>0.95833333333333304</v>
      </c>
      <c r="AK18" s="947">
        <v>0.25</v>
      </c>
      <c r="AL18" s="947">
        <v>0.35416666666666702</v>
      </c>
      <c r="AM18" s="947">
        <f ca="1">NOW()-ROUNDDOWN(NOW(),0)</f>
        <v>0.80654178241093177</v>
      </c>
      <c r="AN18" s="751"/>
      <c r="AO18" s="716"/>
      <c r="AP18" s="751"/>
      <c r="AQ18" s="716"/>
    </row>
    <row r="19" spans="1:43" ht="20.25" customHeight="1">
      <c r="A19" s="1290" t="s">
        <v>105</v>
      </c>
      <c r="B19" s="1293"/>
      <c r="C19" s="1293"/>
      <c r="D19" s="1294"/>
      <c r="E19" s="572">
        <f>SUM(E16:E18)</f>
        <v>0</v>
      </c>
      <c r="F19" s="572">
        <f>SUM(F16:F18)</f>
        <v>0</v>
      </c>
      <c r="G19" s="572">
        <f>SUM(G16:G18)</f>
        <v>0</v>
      </c>
      <c r="H19" s="574" t="s">
        <v>75</v>
      </c>
      <c r="I19" s="655"/>
      <c r="J19" s="655"/>
      <c r="K19" s="656"/>
      <c r="L19" s="991" t="s">
        <v>76</v>
      </c>
      <c r="M19" s="992"/>
      <c r="N19" s="993" t="s">
        <v>20</v>
      </c>
      <c r="O19" s="994" t="s">
        <v>77</v>
      </c>
      <c r="P19" s="995">
        <f>IF(ISBLANK(Data!Y17),"",Data!Y17)</f>
        <v>0</v>
      </c>
      <c r="Q19" s="993" t="s">
        <v>20</v>
      </c>
      <c r="R19" s="993" t="s">
        <v>78</v>
      </c>
      <c r="S19" s="992">
        <f>IF(ISBLANK(Data!W17),"",Data!W17)</f>
        <v>0</v>
      </c>
      <c r="T19" s="993" t="s">
        <v>79</v>
      </c>
      <c r="U19" s="992">
        <f>IF(ISBLANK(Data!AH17),"",Data!AH17)</f>
        <v>0</v>
      </c>
      <c r="V19" s="996" t="s">
        <v>79</v>
      </c>
      <c r="X19" s="987" t="s">
        <v>23</v>
      </c>
      <c r="Y19" s="988">
        <v>12</v>
      </c>
      <c r="Z19" s="989" t="s">
        <v>106</v>
      </c>
      <c r="AG19" s="716"/>
      <c r="AH19" s="946">
        <f t="shared" ref="AH19:AM19" si="6">AH18</f>
        <v>0.95833333333333304</v>
      </c>
      <c r="AI19" s="946">
        <f t="shared" si="6"/>
        <v>0.75</v>
      </c>
      <c r="AJ19" s="946">
        <f t="shared" si="6"/>
        <v>0.95833333333333304</v>
      </c>
      <c r="AK19" s="946">
        <f t="shared" si="6"/>
        <v>0.25</v>
      </c>
      <c r="AL19" s="946">
        <f t="shared" si="6"/>
        <v>0.35416666666666702</v>
      </c>
      <c r="AM19" s="946">
        <f t="shared" ca="1" si="6"/>
        <v>0.80654178241093177</v>
      </c>
      <c r="AN19" s="716"/>
      <c r="AO19" s="716"/>
      <c r="AP19" s="751"/>
      <c r="AQ19" s="716"/>
    </row>
    <row r="20" spans="1:43" ht="20.25" customHeight="1">
      <c r="A20" s="580"/>
      <c r="B20" s="581"/>
      <c r="C20" s="581"/>
      <c r="D20" s="582"/>
      <c r="E20" s="583"/>
      <c r="F20" s="584"/>
      <c r="G20" s="585"/>
      <c r="H20" s="564" t="s">
        <v>107</v>
      </c>
      <c r="I20" s="649"/>
      <c r="J20" s="649"/>
      <c r="K20" s="650"/>
      <c r="L20" s="657">
        <f t="shared" ref="L20:V20" si="7">SUM(L5,L11,L16)</f>
        <v>0</v>
      </c>
      <c r="M20" s="657">
        <f t="shared" si="7"/>
        <v>0</v>
      </c>
      <c r="N20" s="657">
        <f t="shared" si="7"/>
        <v>0</v>
      </c>
      <c r="O20" s="657">
        <f t="shared" si="7"/>
        <v>0</v>
      </c>
      <c r="P20" s="657">
        <f t="shared" si="7"/>
        <v>0</v>
      </c>
      <c r="Q20" s="825">
        <f t="shared" si="7"/>
        <v>0</v>
      </c>
      <c r="R20" s="826">
        <f t="shared" si="7"/>
        <v>0</v>
      </c>
      <c r="S20" s="718">
        <f t="shared" si="7"/>
        <v>0</v>
      </c>
      <c r="T20" s="827">
        <f t="shared" si="7"/>
        <v>0</v>
      </c>
      <c r="U20" s="825">
        <f t="shared" si="7"/>
        <v>0</v>
      </c>
      <c r="V20" s="720">
        <f t="shared" si="7"/>
        <v>0</v>
      </c>
      <c r="X20" s="987" t="s">
        <v>45</v>
      </c>
      <c r="Y20" s="988">
        <v>0</v>
      </c>
      <c r="Z20" s="988">
        <v>213</v>
      </c>
    </row>
    <row r="21" spans="1:43" ht="20.25" customHeight="1">
      <c r="A21" s="1278" t="s">
        <v>108</v>
      </c>
      <c r="B21" s="1279"/>
      <c r="C21" s="1279"/>
      <c r="D21" s="1280"/>
      <c r="E21" s="586">
        <f>E10+E15+E19</f>
        <v>1200</v>
      </c>
      <c r="F21" s="587">
        <f>F10+F15+F19</f>
        <v>1295</v>
      </c>
      <c r="G21" s="588">
        <f>G10+G15+G19</f>
        <v>1205</v>
      </c>
      <c r="H21" s="986" t="s">
        <v>71</v>
      </c>
      <c r="I21" s="965"/>
      <c r="J21" s="965"/>
      <c r="K21" s="966"/>
      <c r="L21" s="653">
        <f>IF($F$21=0,0,L20*1000/(Data!J2+Data!J10+Data!J17))</f>
        <v>0</v>
      </c>
      <c r="M21" s="653">
        <f t="shared" ref="M21:S21" si="8">IF($F$21=0,0,M20*1000/$F$21)</f>
        <v>0</v>
      </c>
      <c r="N21" s="653">
        <f t="shared" si="8"/>
        <v>0</v>
      </c>
      <c r="O21" s="658">
        <f t="shared" si="8"/>
        <v>0</v>
      </c>
      <c r="P21" s="658">
        <v>6</v>
      </c>
      <c r="Q21" s="653">
        <f t="shared" si="8"/>
        <v>0</v>
      </c>
      <c r="R21" s="653">
        <f t="shared" si="8"/>
        <v>0</v>
      </c>
      <c r="S21" s="653">
        <f t="shared" si="8"/>
        <v>0</v>
      </c>
      <c r="T21" s="828">
        <f>IF(T20=0,0,F21/T20)</f>
        <v>0</v>
      </c>
      <c r="U21" s="713">
        <f>IF(U20=0,0,(Data!U1+Data!U9+Data!U16)/U20)</f>
        <v>0</v>
      </c>
      <c r="V21" s="717">
        <f>IF(V20=0,0,(Data!V1+Data!V9+Data!V16)/V20)</f>
        <v>0</v>
      </c>
      <c r="X21" s="987" t="s">
        <v>92</v>
      </c>
      <c r="Y21" s="988">
        <v>4</v>
      </c>
      <c r="Z21" s="989" t="s">
        <v>109</v>
      </c>
    </row>
    <row r="22" spans="1:43" ht="20.25" customHeight="1">
      <c r="A22" s="589"/>
      <c r="B22" s="590"/>
      <c r="C22" s="591"/>
      <c r="D22" s="592"/>
      <c r="E22" s="593"/>
      <c r="F22" s="594"/>
      <c r="G22" s="595"/>
      <c r="H22" s="574" t="s">
        <v>74</v>
      </c>
      <c r="I22" s="655"/>
      <c r="J22" s="655"/>
      <c r="K22" s="656"/>
      <c r="L22" s="659">
        <f>IF($G$21=0,0,L20*1000/(Data!K2+Data!K10+Data!K17))</f>
        <v>0</v>
      </c>
      <c r="M22" s="659">
        <f t="shared" ref="M22:S22" si="9">IF($G$21=0,0,M20*1000/$G$21)</f>
        <v>0</v>
      </c>
      <c r="N22" s="659">
        <f t="shared" si="9"/>
        <v>0</v>
      </c>
      <c r="O22" s="660">
        <f t="shared" si="9"/>
        <v>0</v>
      </c>
      <c r="P22" s="660">
        <f t="shared" si="9"/>
        <v>0</v>
      </c>
      <c r="Q22" s="659">
        <f t="shared" si="9"/>
        <v>0</v>
      </c>
      <c r="R22" s="659">
        <f t="shared" si="9"/>
        <v>0</v>
      </c>
      <c r="S22" s="659">
        <f t="shared" si="9"/>
        <v>0</v>
      </c>
      <c r="T22" s="829">
        <f>IF(T20=0,0,G21/T20)</f>
        <v>0</v>
      </c>
      <c r="U22" s="722">
        <f>IF(U20=0,0,(Data!X1+Data!X9+Data!X16)/U20)</f>
        <v>0</v>
      </c>
      <c r="V22" s="723">
        <f>IF(V20=0,0,(Data!Y1+Data!Y9+Data!Y16)/V20)</f>
        <v>0</v>
      </c>
      <c r="X22" s="987" t="s">
        <v>110</v>
      </c>
      <c r="Y22" s="988">
        <v>1</v>
      </c>
      <c r="Z22" s="989" t="s">
        <v>111</v>
      </c>
      <c r="AA22" s="546">
        <f>+O20*5%</f>
        <v>0</v>
      </c>
    </row>
    <row r="23" spans="1:43" ht="8.25" customHeight="1">
      <c r="A23" s="596"/>
      <c r="B23" s="597"/>
      <c r="C23" s="596"/>
      <c r="D23" s="596"/>
      <c r="E23" s="596"/>
      <c r="F23" s="542"/>
      <c r="G23" s="542"/>
      <c r="H23" s="596"/>
      <c r="I23" s="596"/>
      <c r="J23" s="596"/>
      <c r="K23" s="596"/>
      <c r="L23" s="661"/>
      <c r="M23" s="661"/>
      <c r="N23" s="661"/>
      <c r="O23" s="662"/>
      <c r="P23" s="662"/>
      <c r="Q23" s="661"/>
      <c r="R23" s="661"/>
      <c r="S23" s="661"/>
      <c r="T23" s="724"/>
      <c r="U23" s="724"/>
      <c r="V23" s="724"/>
    </row>
    <row r="24" spans="1:43" s="541" customFormat="1" ht="20.25" customHeight="1">
      <c r="A24" s="598" t="s">
        <v>112</v>
      </c>
      <c r="B24" s="599"/>
      <c r="C24" s="600"/>
      <c r="D24" s="600"/>
      <c r="E24" s="600"/>
      <c r="F24" s="600"/>
      <c r="G24" s="601"/>
      <c r="H24" s="546"/>
      <c r="I24" s="877" t="s">
        <v>113</v>
      </c>
      <c r="J24" s="663"/>
      <c r="K24" s="664"/>
      <c r="L24" s="664"/>
      <c r="M24" s="664"/>
      <c r="N24" s="600"/>
      <c r="O24" s="600"/>
      <c r="P24" s="600"/>
      <c r="Q24" s="600"/>
      <c r="R24" s="1281" t="s">
        <v>114</v>
      </c>
      <c r="S24" s="1282"/>
      <c r="T24" s="1281" t="s">
        <v>75</v>
      </c>
      <c r="U24" s="1283"/>
      <c r="V24" s="1282"/>
      <c r="W24" s="830"/>
      <c r="X24" s="831" t="s">
        <v>115</v>
      </c>
      <c r="Y24" s="831"/>
      <c r="Z24" s="866"/>
      <c r="AA24" s="546">
        <f>+O20*35%</f>
        <v>0</v>
      </c>
      <c r="AB24" s="546"/>
      <c r="AC24" s="546"/>
      <c r="AD24" s="546"/>
      <c r="AE24" s="546"/>
      <c r="AF24" s="546"/>
    </row>
    <row r="25" spans="1:43" s="542" customFormat="1" ht="34.5" customHeight="1">
      <c r="A25" s="602" t="s">
        <v>30</v>
      </c>
      <c r="B25" s="603" t="s">
        <v>31</v>
      </c>
      <c r="C25" s="604" t="s">
        <v>32</v>
      </c>
      <c r="D25" s="604" t="s">
        <v>33</v>
      </c>
      <c r="E25" s="605" t="s">
        <v>116</v>
      </c>
      <c r="F25" s="606" t="s">
        <v>51</v>
      </c>
      <c r="G25" s="607" t="s">
        <v>117</v>
      </c>
      <c r="H25" s="608"/>
      <c r="I25" s="665" t="s">
        <v>42</v>
      </c>
      <c r="J25" s="789" t="s">
        <v>118</v>
      </c>
      <c r="K25" s="790" t="s">
        <v>119</v>
      </c>
      <c r="L25" s="789" t="s">
        <v>33</v>
      </c>
      <c r="M25" s="789" t="s">
        <v>120</v>
      </c>
      <c r="N25" s="789" t="s">
        <v>121</v>
      </c>
      <c r="O25" s="789" t="s">
        <v>122</v>
      </c>
      <c r="P25" s="789" t="s">
        <v>123</v>
      </c>
      <c r="Q25" s="832" t="s">
        <v>124</v>
      </c>
      <c r="R25" s="1284" t="s">
        <v>125</v>
      </c>
      <c r="S25" s="1285"/>
      <c r="T25" s="727"/>
      <c r="U25" s="728"/>
      <c r="V25" s="729"/>
      <c r="W25" s="1286" t="s">
        <v>126</v>
      </c>
      <c r="X25" s="1287"/>
      <c r="Y25" s="1287"/>
      <c r="Z25" s="1288"/>
    </row>
    <row r="26" spans="1:43" ht="20.25" customHeight="1">
      <c r="A26" s="609"/>
      <c r="B26" s="759">
        <v>56408303</v>
      </c>
      <c r="C26" s="957" t="s">
        <v>67</v>
      </c>
      <c r="D26" s="760" t="s">
        <v>127</v>
      </c>
      <c r="E26" s="777">
        <v>710</v>
      </c>
      <c r="F26" s="778">
        <v>708</v>
      </c>
      <c r="G26" s="611">
        <f t="shared" ref="G26:G32" si="10">IF(E26=0,"",(E26-F26)/E26)</f>
        <v>2.8169014084507044E-3</v>
      </c>
      <c r="H26" s="612"/>
      <c r="I26" s="791">
        <f>SUM(J26:Q26)</f>
        <v>0</v>
      </c>
      <c r="J26" s="792"/>
      <c r="K26" s="793"/>
      <c r="L26" s="793"/>
      <c r="M26" s="793"/>
      <c r="N26" s="793"/>
      <c r="O26" s="793"/>
      <c r="P26" s="793"/>
      <c r="Q26" s="833"/>
      <c r="R26" s="1267"/>
      <c r="S26" s="1268"/>
      <c r="T26" s="834"/>
      <c r="U26" s="835"/>
      <c r="V26" s="836"/>
      <c r="W26" s="837" t="s">
        <v>128</v>
      </c>
      <c r="X26" s="838"/>
      <c r="Y26" s="1272">
        <f>X26</f>
        <v>0</v>
      </c>
      <c r="Z26" s="1273"/>
      <c r="AA26" s="544"/>
      <c r="AB26" s="544"/>
      <c r="AC26" s="544"/>
      <c r="AD26" s="544"/>
      <c r="AE26" s="544"/>
      <c r="AF26" s="544"/>
    </row>
    <row r="27" spans="1:43" ht="20.25" customHeight="1">
      <c r="A27" s="609"/>
      <c r="B27" s="759"/>
      <c r="C27" s="957"/>
      <c r="D27" s="760"/>
      <c r="E27" s="761"/>
      <c r="F27" s="778"/>
      <c r="G27" s="611" t="str">
        <f t="shared" si="10"/>
        <v/>
      </c>
      <c r="H27" s="612"/>
      <c r="I27" s="791">
        <f t="shared" ref="I27:I42" si="11">SUM(J27:Q27)</f>
        <v>0</v>
      </c>
      <c r="J27" s="794"/>
      <c r="K27" s="795"/>
      <c r="L27" s="795"/>
      <c r="M27" s="795"/>
      <c r="N27" s="795"/>
      <c r="O27" s="795"/>
      <c r="P27" s="795"/>
      <c r="Q27" s="839"/>
      <c r="R27" s="1267"/>
      <c r="S27" s="1268"/>
      <c r="T27" s="840"/>
      <c r="U27" s="841"/>
      <c r="V27" s="842"/>
      <c r="W27" s="843" t="s">
        <v>129</v>
      </c>
      <c r="X27" s="997"/>
      <c r="Y27" s="1274" t="e">
        <f>+X26/X27</f>
        <v>#DIV/0!</v>
      </c>
      <c r="Z27" s="1275"/>
      <c r="AA27" s="544"/>
      <c r="AB27" s="544"/>
      <c r="AC27" s="544"/>
      <c r="AD27" s="544"/>
      <c r="AE27" s="544"/>
      <c r="AF27" s="544"/>
    </row>
    <row r="28" spans="1:43" ht="20.25" customHeight="1">
      <c r="A28" s="579"/>
      <c r="B28" s="759"/>
      <c r="C28" s="957"/>
      <c r="D28" s="760"/>
      <c r="E28" s="571"/>
      <c r="F28" s="779"/>
      <c r="G28" s="611" t="str">
        <f t="shared" si="10"/>
        <v/>
      </c>
      <c r="H28" s="612"/>
      <c r="I28" s="791">
        <f t="shared" si="11"/>
        <v>0</v>
      </c>
      <c r="J28" s="794"/>
      <c r="K28" s="795"/>
      <c r="L28" s="795"/>
      <c r="M28" s="795"/>
      <c r="N28" s="795"/>
      <c r="O28" s="795"/>
      <c r="P28" s="795"/>
      <c r="Q28" s="839"/>
      <c r="R28" s="1267"/>
      <c r="S28" s="1268"/>
      <c r="T28" s="840"/>
      <c r="U28" s="841"/>
      <c r="V28" s="842"/>
      <c r="W28" s="844" t="s">
        <v>51</v>
      </c>
      <c r="X28" s="845"/>
      <c r="Y28" s="1276" t="e">
        <f>+X26/X28</f>
        <v>#DIV/0!</v>
      </c>
      <c r="Z28" s="1277"/>
      <c r="AA28" s="544"/>
      <c r="AB28" s="544"/>
      <c r="AC28" s="544"/>
      <c r="AD28" s="544"/>
      <c r="AE28" s="544"/>
      <c r="AF28" s="544"/>
    </row>
    <row r="29" spans="1:43" ht="20.25" customHeight="1">
      <c r="A29" s="579">
        <v>1</v>
      </c>
      <c r="B29" s="571"/>
      <c r="C29" s="957"/>
      <c r="D29" s="780"/>
      <c r="E29" s="571"/>
      <c r="F29" s="779"/>
      <c r="G29" s="611" t="str">
        <f t="shared" si="10"/>
        <v/>
      </c>
      <c r="H29" s="612"/>
      <c r="I29" s="791">
        <f t="shared" si="11"/>
        <v>0</v>
      </c>
      <c r="J29" s="794"/>
      <c r="K29" s="795"/>
      <c r="L29" s="795"/>
      <c r="M29" s="795"/>
      <c r="N29" s="795"/>
      <c r="O29" s="795"/>
      <c r="P29" s="795"/>
      <c r="Q29" s="839"/>
      <c r="R29" s="1267"/>
      <c r="S29" s="1268"/>
      <c r="T29" s="840"/>
      <c r="U29" s="841"/>
      <c r="V29" s="842"/>
      <c r="W29" s="544"/>
      <c r="X29" s="544"/>
      <c r="Y29" s="544"/>
      <c r="Z29" s="544"/>
      <c r="AA29" s="544"/>
      <c r="AB29" s="544"/>
      <c r="AC29" s="544"/>
      <c r="AD29" s="544"/>
      <c r="AE29" s="544"/>
      <c r="AF29" s="544"/>
    </row>
    <row r="30" spans="1:43" ht="20.25" customHeight="1">
      <c r="A30" s="579"/>
      <c r="B30" s="571"/>
      <c r="C30" s="957"/>
      <c r="D30" s="780"/>
      <c r="E30" s="571"/>
      <c r="F30" s="779"/>
      <c r="G30" s="611" t="str">
        <f t="shared" si="10"/>
        <v/>
      </c>
      <c r="H30" s="612"/>
      <c r="I30" s="791">
        <f t="shared" si="11"/>
        <v>0</v>
      </c>
      <c r="J30" s="794"/>
      <c r="K30" s="795"/>
      <c r="L30" s="795"/>
      <c r="M30" s="795"/>
      <c r="N30" s="795"/>
      <c r="O30" s="795"/>
      <c r="P30" s="795"/>
      <c r="Q30" s="839"/>
      <c r="R30" s="734"/>
      <c r="S30" s="998"/>
      <c r="T30" s="840"/>
      <c r="U30" s="841"/>
      <c r="V30" s="842"/>
      <c r="W30" s="544"/>
      <c r="X30" s="544"/>
      <c r="Y30" s="544"/>
      <c r="Z30" s="544"/>
      <c r="AA30" s="544"/>
      <c r="AB30" s="544"/>
      <c r="AC30" s="544"/>
      <c r="AD30" s="544"/>
      <c r="AE30" s="544"/>
      <c r="AF30" s="544"/>
    </row>
    <row r="31" spans="1:43" ht="20.25" customHeight="1">
      <c r="A31" s="613"/>
      <c r="B31" s="571"/>
      <c r="C31" s="776"/>
      <c r="D31" s="780"/>
      <c r="E31" s="571"/>
      <c r="F31" s="779"/>
      <c r="G31" s="611" t="str">
        <f t="shared" si="10"/>
        <v/>
      </c>
      <c r="H31" s="612"/>
      <c r="I31" s="791">
        <f t="shared" si="11"/>
        <v>0</v>
      </c>
      <c r="J31" s="796"/>
      <c r="K31" s="796"/>
      <c r="L31" s="796"/>
      <c r="M31" s="796"/>
      <c r="N31" s="796"/>
      <c r="O31" s="796"/>
      <c r="P31" s="796"/>
      <c r="Q31" s="846"/>
      <c r="R31" s="734"/>
      <c r="S31" s="998"/>
      <c r="T31" s="840"/>
      <c r="U31" s="841"/>
      <c r="V31" s="842"/>
      <c r="W31" s="544"/>
      <c r="X31" s="544"/>
      <c r="Y31" s="544"/>
      <c r="Z31" s="544"/>
      <c r="AA31" s="544"/>
      <c r="AB31" s="544"/>
      <c r="AC31" s="544"/>
      <c r="AD31" s="544"/>
      <c r="AE31" s="544"/>
      <c r="AF31" s="544"/>
    </row>
    <row r="32" spans="1:43" ht="20.25" customHeight="1">
      <c r="A32" s="1269" t="s">
        <v>80</v>
      </c>
      <c r="B32" s="1270"/>
      <c r="C32" s="1270"/>
      <c r="D32" s="1271"/>
      <c r="E32" s="614">
        <f>SUM(E26:E31)</f>
        <v>710</v>
      </c>
      <c r="F32" s="614">
        <f>SUM(F26:F31)</f>
        <v>708</v>
      </c>
      <c r="G32" s="611">
        <f t="shared" si="10"/>
        <v>2.8169014084507044E-3</v>
      </c>
      <c r="H32" s="612"/>
      <c r="I32" s="791">
        <f t="shared" si="11"/>
        <v>0</v>
      </c>
      <c r="J32" s="797">
        <f>SUM(J26:J31)</f>
        <v>0</v>
      </c>
      <c r="K32" s="798">
        <f t="shared" ref="K32:Q32" si="12">SUM(K26:K31)</f>
        <v>0</v>
      </c>
      <c r="L32" s="798">
        <f t="shared" si="12"/>
        <v>0</v>
      </c>
      <c r="M32" s="798">
        <f t="shared" si="12"/>
        <v>0</v>
      </c>
      <c r="N32" s="798">
        <f t="shared" si="12"/>
        <v>0</v>
      </c>
      <c r="O32" s="798">
        <f t="shared" si="12"/>
        <v>0</v>
      </c>
      <c r="P32" s="798">
        <f t="shared" si="12"/>
        <v>0</v>
      </c>
      <c r="Q32" s="847">
        <f t="shared" si="12"/>
        <v>0</v>
      </c>
      <c r="R32" s="734"/>
      <c r="S32" s="998"/>
      <c r="T32" s="840"/>
      <c r="U32" s="841"/>
      <c r="V32" s="842"/>
      <c r="W32" s="544"/>
      <c r="X32" s="544"/>
      <c r="Y32" s="544"/>
      <c r="Z32" s="544"/>
      <c r="AA32" s="544"/>
      <c r="AB32" s="544"/>
      <c r="AC32" s="544"/>
      <c r="AD32" s="544"/>
      <c r="AE32" s="544"/>
      <c r="AF32" s="544"/>
    </row>
    <row r="33" spans="1:32" ht="20.25" customHeight="1">
      <c r="A33" s="609"/>
      <c r="B33" s="759">
        <v>56408414</v>
      </c>
      <c r="C33" s="957" t="s">
        <v>87</v>
      </c>
      <c r="D33" s="760" t="s">
        <v>130</v>
      </c>
      <c r="E33" s="762">
        <v>500</v>
      </c>
      <c r="F33" s="779">
        <v>488</v>
      </c>
      <c r="G33" s="611">
        <f t="shared" ref="G33:G42" si="13">IF(E33=0,"",(E33-F33)/E33)</f>
        <v>2.4E-2</v>
      </c>
      <c r="H33" s="612"/>
      <c r="I33" s="791">
        <f t="shared" si="11"/>
        <v>0</v>
      </c>
      <c r="J33" s="796"/>
      <c r="K33" s="796"/>
      <c r="L33" s="796"/>
      <c r="M33" s="796"/>
      <c r="N33" s="796"/>
      <c r="O33" s="796"/>
      <c r="P33" s="796"/>
      <c r="Q33" s="846"/>
      <c r="R33" s="1267"/>
      <c r="S33" s="1268"/>
      <c r="T33" s="840"/>
      <c r="U33" s="841"/>
      <c r="V33" s="842"/>
      <c r="W33" s="544"/>
      <c r="X33" s="544"/>
      <c r="Y33" s="544"/>
      <c r="Z33" s="544"/>
      <c r="AA33" s="544"/>
      <c r="AB33" s="544"/>
      <c r="AC33" s="544"/>
      <c r="AD33" s="544"/>
      <c r="AE33" s="544"/>
      <c r="AF33" s="544"/>
    </row>
    <row r="34" spans="1:32" ht="20.25" customHeight="1">
      <c r="A34" s="609"/>
      <c r="B34" s="759"/>
      <c r="C34" s="957"/>
      <c r="D34" s="766"/>
      <c r="E34" s="762"/>
      <c r="F34" s="779"/>
      <c r="G34" s="611" t="str">
        <f t="shared" si="13"/>
        <v/>
      </c>
      <c r="H34" s="612"/>
      <c r="I34" s="791">
        <f t="shared" si="11"/>
        <v>0</v>
      </c>
      <c r="J34" s="796"/>
      <c r="K34" s="796"/>
      <c r="L34" s="796"/>
      <c r="M34" s="796"/>
      <c r="N34" s="796"/>
      <c r="O34" s="796"/>
      <c r="P34" s="796"/>
      <c r="Q34" s="846"/>
      <c r="R34" s="1267"/>
      <c r="S34" s="1268"/>
      <c r="T34" s="840"/>
      <c r="U34" s="841"/>
      <c r="V34" s="842"/>
      <c r="W34" s="544"/>
      <c r="X34" s="544"/>
      <c r="Y34" s="544"/>
      <c r="Z34" s="544"/>
      <c r="AA34" s="544"/>
      <c r="AB34" s="544"/>
      <c r="AC34" s="544"/>
      <c r="AD34" s="544"/>
      <c r="AE34" s="544"/>
      <c r="AF34" s="544"/>
    </row>
    <row r="35" spans="1:32" ht="20.25" customHeight="1">
      <c r="A35" s="579">
        <v>2</v>
      </c>
      <c r="B35" s="571" t="str">
        <f>IF(ISBLANK(Data!E42),"",Data!E42)</f>
        <v/>
      </c>
      <c r="C35" s="776" t="str">
        <f>IF(B35=""," ",UPPER(LEFT(Data!F42,15)))</f>
        <v xml:space="preserve"> </v>
      </c>
      <c r="D35" s="781" t="str">
        <f>IF(ISBLANK(Data!G42),"",Data!G42)</f>
        <v/>
      </c>
      <c r="E35" s="571"/>
      <c r="F35" s="779"/>
      <c r="G35" s="611" t="str">
        <f t="shared" si="13"/>
        <v/>
      </c>
      <c r="H35" s="612"/>
      <c r="I35" s="791">
        <f t="shared" si="11"/>
        <v>0</v>
      </c>
      <c r="J35" s="796" t="str">
        <f>IF(ISBLANK(Data!J42),"",Data!J42)</f>
        <v/>
      </c>
      <c r="K35" s="796" t="str">
        <f>IF(ISBLANK(Data!K42),"",Data!K42)</f>
        <v/>
      </c>
      <c r="L35" s="796" t="str">
        <f>IF(ISBLANK(Data!L42),"",Data!L42)</f>
        <v/>
      </c>
      <c r="M35" s="796" t="str">
        <f>IF(ISBLANK(Data!M42),"",Data!M42)</f>
        <v/>
      </c>
      <c r="N35" s="796" t="str">
        <f>IF(ISBLANK(Data!N42),"",Data!N42)</f>
        <v/>
      </c>
      <c r="O35" s="796" t="str">
        <f>IF(ISBLANK(Data!O42),"",Data!O42)</f>
        <v/>
      </c>
      <c r="P35" s="796" t="str">
        <f>IF(ISBLANK(Data!P42),"",Data!P42)</f>
        <v/>
      </c>
      <c r="Q35" s="846" t="str">
        <f>IF(ISBLANK(Data!Q42),"",Data!Q42)</f>
        <v/>
      </c>
      <c r="R35" s="1267"/>
      <c r="S35" s="1268"/>
      <c r="T35" s="999"/>
      <c r="U35" s="841"/>
      <c r="V35" s="842"/>
      <c r="W35" s="544"/>
      <c r="X35" s="544"/>
      <c r="Y35" s="544"/>
      <c r="Z35" s="544"/>
      <c r="AA35" s="544"/>
      <c r="AB35" s="544"/>
      <c r="AC35" s="544"/>
      <c r="AD35" s="544"/>
      <c r="AE35" s="544"/>
      <c r="AF35" s="544"/>
    </row>
    <row r="36" spans="1:32" ht="20.25" customHeight="1">
      <c r="A36" s="579"/>
      <c r="B36" s="571" t="str">
        <f>IF(ISBLANK(Data!E43),"",Data!E43)</f>
        <v/>
      </c>
      <c r="C36" s="776" t="str">
        <f>IF(B36=""," ",UPPER(LEFT(Data!F43,15)))</f>
        <v xml:space="preserve"> </v>
      </c>
      <c r="D36" s="781" t="str">
        <f>IF(ISBLANK(Data!G43),"",Data!G43)</f>
        <v/>
      </c>
      <c r="E36" s="571"/>
      <c r="F36" s="779"/>
      <c r="G36" s="611" t="str">
        <f t="shared" si="13"/>
        <v/>
      </c>
      <c r="H36" s="612"/>
      <c r="I36" s="791">
        <f t="shared" si="11"/>
        <v>0</v>
      </c>
      <c r="J36" s="796" t="str">
        <f>IF(ISBLANK(Data!J43),"",Data!J43)</f>
        <v/>
      </c>
      <c r="K36" s="796" t="str">
        <f>IF(ISBLANK(Data!K43),"",Data!K43)</f>
        <v/>
      </c>
      <c r="L36" s="796" t="str">
        <f>IF(ISBLANK(Data!L43),"",Data!L43)</f>
        <v/>
      </c>
      <c r="M36" s="796" t="str">
        <f>IF(ISBLANK(Data!M43),"",Data!M43)</f>
        <v/>
      </c>
      <c r="N36" s="796" t="str">
        <f>IF(ISBLANK(Data!N43),"",Data!N43)</f>
        <v/>
      </c>
      <c r="O36" s="796" t="str">
        <f>IF(ISBLANK(Data!O43),"",Data!O43)</f>
        <v/>
      </c>
      <c r="P36" s="796" t="str">
        <f>IF(ISBLANK(Data!P43),"",Data!P43)</f>
        <v/>
      </c>
      <c r="Q36" s="846" t="str">
        <f>IF(ISBLANK(Data!Q43),"",Data!Q43)</f>
        <v/>
      </c>
      <c r="R36" s="734"/>
      <c r="S36" s="998"/>
      <c r="T36" s="840"/>
      <c r="U36" s="841"/>
      <c r="V36" s="842"/>
      <c r="W36" s="544"/>
      <c r="X36" s="544"/>
      <c r="Y36" s="544"/>
      <c r="Z36" s="544"/>
      <c r="AA36" s="544"/>
      <c r="AB36" s="544"/>
      <c r="AC36" s="544"/>
      <c r="AD36" s="544"/>
      <c r="AE36" s="544"/>
      <c r="AF36" s="544"/>
    </row>
    <row r="37" spans="1:32" ht="20.25" customHeight="1">
      <c r="A37" s="579"/>
      <c r="B37" s="571" t="str">
        <f>IF(ISBLANK(Data!E44),"",Data!E44)</f>
        <v/>
      </c>
      <c r="C37" s="776" t="str">
        <f>IF(B37=""," ",UPPER(LEFT(Data!F44,15)))</f>
        <v xml:space="preserve"> </v>
      </c>
      <c r="D37" s="781" t="str">
        <f>IF(ISBLANK(Data!G44),"",Data!G44)</f>
        <v/>
      </c>
      <c r="E37" s="571"/>
      <c r="F37" s="779"/>
      <c r="G37" s="611" t="str">
        <f t="shared" si="13"/>
        <v/>
      </c>
      <c r="H37" s="612"/>
      <c r="I37" s="791">
        <f t="shared" si="11"/>
        <v>0</v>
      </c>
      <c r="J37" s="796" t="str">
        <f>IF(ISBLANK(Data!J44),"",Data!J44)</f>
        <v/>
      </c>
      <c r="K37" s="796" t="str">
        <f>IF(ISBLANK(Data!K44),"",Data!K44)</f>
        <v/>
      </c>
      <c r="L37" s="796" t="str">
        <f>IF(ISBLANK(Data!L44),"",Data!L44)</f>
        <v/>
      </c>
      <c r="M37" s="796" t="str">
        <f>IF(ISBLANK(Data!M44),"",Data!M44)</f>
        <v/>
      </c>
      <c r="N37" s="796" t="str">
        <f>IF(ISBLANK(Data!N44),"",Data!N44)</f>
        <v/>
      </c>
      <c r="O37" s="796" t="str">
        <f>IF(ISBLANK(Data!O44),"",Data!O44)</f>
        <v/>
      </c>
      <c r="P37" s="796" t="str">
        <f>IF(ISBLANK(Data!P44),"",Data!P44)</f>
        <v/>
      </c>
      <c r="Q37" s="846" t="str">
        <f>IF(ISBLANK(Data!Q44),"",Data!Q44)</f>
        <v/>
      </c>
      <c r="R37" s="734"/>
      <c r="S37" s="998"/>
      <c r="T37" s="840"/>
      <c r="U37" s="841"/>
      <c r="V37" s="842"/>
      <c r="W37" s="544"/>
      <c r="X37" s="544"/>
      <c r="Y37" s="544"/>
      <c r="Z37" s="544"/>
      <c r="AA37" s="544"/>
      <c r="AB37" s="544"/>
      <c r="AC37" s="544"/>
      <c r="AD37" s="544"/>
      <c r="AE37" s="544"/>
      <c r="AF37" s="544"/>
    </row>
    <row r="38" spans="1:32" ht="20.25" customHeight="1">
      <c r="A38" s="613"/>
      <c r="B38" s="571" t="str">
        <f>IF(ISBLANK(Data!E45),"",Data!E45)</f>
        <v/>
      </c>
      <c r="C38" s="776" t="str">
        <f>IF(B38=""," ",UPPER(LEFT(Data!F45,15)))</f>
        <v xml:space="preserve"> </v>
      </c>
      <c r="D38" s="781" t="str">
        <f>IF(ISBLANK(Data!G45),"",Data!G45)</f>
        <v/>
      </c>
      <c r="E38" s="571"/>
      <c r="F38" s="779"/>
      <c r="G38" s="611" t="str">
        <f t="shared" si="13"/>
        <v/>
      </c>
      <c r="H38" s="612"/>
      <c r="I38" s="791">
        <f t="shared" si="11"/>
        <v>0</v>
      </c>
      <c r="J38" s="796" t="str">
        <f>IF(ISBLANK(Data!J45),"",Data!J45)</f>
        <v/>
      </c>
      <c r="K38" s="796" t="str">
        <f>IF(ISBLANK(Data!K45),"",Data!K45)</f>
        <v/>
      </c>
      <c r="L38" s="796" t="str">
        <f>IF(ISBLANK(Data!L45),"",Data!L45)</f>
        <v/>
      </c>
      <c r="M38" s="796" t="str">
        <f>IF(ISBLANK(Data!M45),"",Data!M45)</f>
        <v/>
      </c>
      <c r="N38" s="796" t="str">
        <f>IF(ISBLANK(Data!N45),"",Data!N45)</f>
        <v/>
      </c>
      <c r="O38" s="796" t="str">
        <f>IF(ISBLANK(Data!O45),"",Data!O45)</f>
        <v/>
      </c>
      <c r="P38" s="796" t="str">
        <f>IF(ISBLANK(Data!P45),"",Data!P45)</f>
        <v/>
      </c>
      <c r="Q38" s="846" t="str">
        <f>IF(ISBLANK(Data!Q45),"",Data!Q45)</f>
        <v/>
      </c>
      <c r="R38" s="734"/>
      <c r="S38" s="998"/>
      <c r="T38" s="840"/>
      <c r="U38" s="841"/>
      <c r="V38" s="842"/>
      <c r="W38" s="544"/>
      <c r="X38" s="544"/>
      <c r="Y38" s="544"/>
      <c r="Z38" s="544"/>
      <c r="AA38" s="544"/>
      <c r="AB38" s="544"/>
      <c r="AC38" s="544"/>
      <c r="AD38" s="544"/>
      <c r="AE38" s="544"/>
      <c r="AF38" s="544"/>
    </row>
    <row r="39" spans="1:32" ht="20.25" customHeight="1">
      <c r="A39" s="617" t="s">
        <v>98</v>
      </c>
      <c r="B39" s="618"/>
      <c r="C39" s="619"/>
      <c r="D39" s="1000"/>
      <c r="E39" s="614">
        <f>SUM(E33:E38)</f>
        <v>500</v>
      </c>
      <c r="F39" s="614">
        <f>SUM(F33:F38)</f>
        <v>488</v>
      </c>
      <c r="G39" s="611">
        <f t="shared" si="13"/>
        <v>2.4E-2</v>
      </c>
      <c r="H39" s="612"/>
      <c r="I39" s="799">
        <f t="shared" si="11"/>
        <v>0</v>
      </c>
      <c r="J39" s="797">
        <f>SUM(J33:J38)</f>
        <v>0</v>
      </c>
      <c r="K39" s="798">
        <f t="shared" ref="K39:Q39" si="14">SUM(K33:K38)</f>
        <v>0</v>
      </c>
      <c r="L39" s="798">
        <f t="shared" si="14"/>
        <v>0</v>
      </c>
      <c r="M39" s="798">
        <f t="shared" si="14"/>
        <v>0</v>
      </c>
      <c r="N39" s="798">
        <f t="shared" si="14"/>
        <v>0</v>
      </c>
      <c r="O39" s="798">
        <f t="shared" si="14"/>
        <v>0</v>
      </c>
      <c r="P39" s="798">
        <f t="shared" si="14"/>
        <v>0</v>
      </c>
      <c r="Q39" s="847">
        <f t="shared" si="14"/>
        <v>0</v>
      </c>
      <c r="R39" s="734"/>
      <c r="S39" s="998"/>
      <c r="T39" s="840"/>
      <c r="U39" s="841"/>
      <c r="V39" s="842"/>
      <c r="W39" s="544"/>
      <c r="X39" s="544"/>
      <c r="Y39" s="544"/>
      <c r="Z39" s="544"/>
      <c r="AA39" s="544"/>
      <c r="AB39" s="544"/>
      <c r="AC39" s="544"/>
      <c r="AD39" s="544"/>
      <c r="AE39" s="544"/>
      <c r="AF39" s="544"/>
    </row>
    <row r="40" spans="1:32" ht="18" customHeight="1">
      <c r="A40" s="579">
        <v>3</v>
      </c>
      <c r="B40" s="571" t="str">
        <f>IF(ISBLANK(Data!E54),"",Data!E54)</f>
        <v/>
      </c>
      <c r="C40" s="776" t="str">
        <f>IF(B40=""," ",UPPER(LEFT(Data!F54,5)))</f>
        <v xml:space="preserve"> </v>
      </c>
      <c r="D40" s="766" t="str">
        <f>IF(ISBLANK(Data!G54),"",Data!G54)</f>
        <v/>
      </c>
      <c r="E40" s="571">
        <f>IF(ISBLANK(Data!H54),0,Data!H54)</f>
        <v>0</v>
      </c>
      <c r="F40" s="779">
        <f>E40-I40</f>
        <v>0</v>
      </c>
      <c r="G40" s="611" t="str">
        <f t="shared" si="13"/>
        <v/>
      </c>
      <c r="H40" s="612"/>
      <c r="I40" s="791">
        <f t="shared" si="11"/>
        <v>0</v>
      </c>
      <c r="J40" s="796" t="str">
        <f>IF(ISBLANK(Data!J54),"",Data!J54)</f>
        <v/>
      </c>
      <c r="K40" s="796" t="str">
        <f>IF(ISBLANK(Data!K54),"",Data!K54)</f>
        <v/>
      </c>
      <c r="L40" s="796" t="str">
        <f>IF(ISBLANK(Data!L54),"",Data!L54)</f>
        <v/>
      </c>
      <c r="M40" s="796" t="str">
        <f>IF(ISBLANK(Data!M54),"",Data!M54)</f>
        <v/>
      </c>
      <c r="N40" s="796" t="str">
        <f>IF(ISBLANK(Data!N54),"",Data!N54)</f>
        <v/>
      </c>
      <c r="O40" s="796" t="str">
        <f>IF(ISBLANK(Data!O54),"",Data!O54)</f>
        <v/>
      </c>
      <c r="P40" s="796" t="str">
        <f>IF(ISBLANK(Data!P54),"",Data!P54)</f>
        <v/>
      </c>
      <c r="Q40" s="846" t="str">
        <f>IF(ISBLANK(Data!Q54),"",Data!Q54)</f>
        <v/>
      </c>
      <c r="R40" s="734"/>
      <c r="S40" s="998"/>
      <c r="T40" s="840"/>
      <c r="U40" s="841"/>
      <c r="V40" s="842"/>
      <c r="W40" s="544"/>
      <c r="X40" s="544"/>
      <c r="Y40" s="544"/>
      <c r="Z40" s="544"/>
      <c r="AA40" s="544"/>
      <c r="AB40" s="544"/>
      <c r="AC40" s="544"/>
      <c r="AD40" s="544"/>
      <c r="AE40" s="544"/>
      <c r="AF40" s="544"/>
    </row>
    <row r="41" spans="1:32" ht="20.25" customHeight="1">
      <c r="A41" s="617" t="s">
        <v>105</v>
      </c>
      <c r="B41" s="618"/>
      <c r="C41" s="619"/>
      <c r="D41" s="619"/>
      <c r="E41" s="614">
        <f>SUM(E40:E40)</f>
        <v>0</v>
      </c>
      <c r="F41" s="614">
        <f>SUM(F40:F40)</f>
        <v>0</v>
      </c>
      <c r="G41" s="611" t="str">
        <f t="shared" si="13"/>
        <v/>
      </c>
      <c r="H41" s="612"/>
      <c r="I41" s="799">
        <f t="shared" si="11"/>
        <v>0</v>
      </c>
      <c r="J41" s="614">
        <f t="shared" ref="J41:Q41" si="15">SUM(J40:J40)</f>
        <v>0</v>
      </c>
      <c r="K41" s="614">
        <f t="shared" si="15"/>
        <v>0</v>
      </c>
      <c r="L41" s="614">
        <f t="shared" si="15"/>
        <v>0</v>
      </c>
      <c r="M41" s="614">
        <f t="shared" si="15"/>
        <v>0</v>
      </c>
      <c r="N41" s="614">
        <f t="shared" si="15"/>
        <v>0</v>
      </c>
      <c r="O41" s="614">
        <f t="shared" si="15"/>
        <v>0</v>
      </c>
      <c r="P41" s="614">
        <f t="shared" si="15"/>
        <v>0</v>
      </c>
      <c r="Q41" s="848">
        <f t="shared" si="15"/>
        <v>0</v>
      </c>
      <c r="R41" s="734"/>
      <c r="S41" s="998"/>
      <c r="T41" s="840"/>
      <c r="U41" s="841"/>
      <c r="V41" s="842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</row>
    <row r="42" spans="1:32" s="543" customFormat="1" ht="20.25" customHeight="1">
      <c r="A42" s="589" t="s">
        <v>108</v>
      </c>
      <c r="B42" s="620"/>
      <c r="C42" s="620"/>
      <c r="D42" s="620"/>
      <c r="E42" s="621">
        <f>E32+E39+E41</f>
        <v>1210</v>
      </c>
      <c r="F42" s="621">
        <f>F32+F39+F41</f>
        <v>1196</v>
      </c>
      <c r="G42" s="622">
        <f t="shared" si="13"/>
        <v>1.1570247933884297E-2</v>
      </c>
      <c r="H42" s="623"/>
      <c r="I42" s="800">
        <f t="shared" si="11"/>
        <v>0</v>
      </c>
      <c r="J42" s="801">
        <f t="shared" ref="J42:Q42" si="16">SUM(J41,J39,J32)</f>
        <v>0</v>
      </c>
      <c r="K42" s="621">
        <f t="shared" si="16"/>
        <v>0</v>
      </c>
      <c r="L42" s="621">
        <f t="shared" si="16"/>
        <v>0</v>
      </c>
      <c r="M42" s="621">
        <f t="shared" si="16"/>
        <v>0</v>
      </c>
      <c r="N42" s="621">
        <f t="shared" si="16"/>
        <v>0</v>
      </c>
      <c r="O42" s="621">
        <f t="shared" si="16"/>
        <v>0</v>
      </c>
      <c r="P42" s="621">
        <f t="shared" si="16"/>
        <v>0</v>
      </c>
      <c r="Q42" s="849">
        <f t="shared" si="16"/>
        <v>0</v>
      </c>
      <c r="R42" s="738" t="s">
        <v>5</v>
      </c>
      <c r="S42" s="739" t="s">
        <v>5</v>
      </c>
      <c r="T42" s="850" t="s">
        <v>5</v>
      </c>
      <c r="U42" s="851" t="s">
        <v>5</v>
      </c>
      <c r="V42" s="852"/>
      <c r="W42" s="544"/>
      <c r="X42" s="544"/>
      <c r="Y42" s="544"/>
      <c r="Z42" s="544"/>
    </row>
    <row r="43" spans="1:32" ht="6.75" customHeight="1">
      <c r="V43" s="546"/>
      <c r="W43" s="543"/>
      <c r="X43" s="543"/>
      <c r="Y43" s="543"/>
      <c r="Z43" s="543"/>
      <c r="AA43" s="544"/>
      <c r="AB43" s="544"/>
      <c r="AC43" s="544"/>
      <c r="AD43" s="544"/>
      <c r="AE43" s="544"/>
      <c r="AF43" s="544"/>
    </row>
    <row r="44" spans="1:32" s="540" customFormat="1" ht="19.5" customHeight="1">
      <c r="A44" s="624" t="s">
        <v>131</v>
      </c>
      <c r="B44" s="625"/>
      <c r="C44" s="625"/>
      <c r="D44" s="626"/>
      <c r="E44" s="602" t="s">
        <v>132</v>
      </c>
      <c r="F44" s="627"/>
      <c r="G44" s="607"/>
      <c r="H44" s="608"/>
      <c r="I44" s="602" t="s">
        <v>133</v>
      </c>
      <c r="J44" s="627"/>
      <c r="K44" s="626"/>
      <c r="L44" s="677" t="s">
        <v>134</v>
      </c>
      <c r="M44" s="625"/>
      <c r="N44" s="625"/>
      <c r="O44" s="678" t="s">
        <v>5</v>
      </c>
      <c r="P44" s="602" t="s">
        <v>135</v>
      </c>
      <c r="Q44" s="627"/>
      <c r="R44" s="607"/>
      <c r="S44" s="602" t="s">
        <v>136</v>
      </c>
      <c r="T44" s="625"/>
      <c r="U44" s="625"/>
      <c r="V44" s="601"/>
      <c r="W44" s="544"/>
      <c r="X44" s="544"/>
      <c r="Y44" s="544"/>
      <c r="Z44" s="544"/>
    </row>
    <row r="45" spans="1:32" ht="6.75" customHeight="1">
      <c r="A45" s="628"/>
      <c r="B45" s="542"/>
      <c r="C45" s="542"/>
      <c r="D45" s="542"/>
      <c r="E45" s="542"/>
      <c r="F45" s="542"/>
      <c r="G45" s="542"/>
      <c r="H45" s="542"/>
      <c r="I45" s="542"/>
      <c r="J45" s="542"/>
      <c r="K45" s="542"/>
      <c r="L45" s="542"/>
      <c r="M45" s="542"/>
      <c r="N45" s="542"/>
      <c r="O45" s="542"/>
      <c r="P45" s="542"/>
      <c r="Q45" s="542"/>
      <c r="R45" s="542"/>
      <c r="S45" s="542"/>
      <c r="T45" s="542"/>
      <c r="U45" s="542"/>
      <c r="V45" s="542"/>
      <c r="W45" s="540"/>
      <c r="X45" s="540"/>
      <c r="Y45" s="540"/>
      <c r="Z45" s="540"/>
    </row>
    <row r="46" spans="1:32">
      <c r="A46" s="628" t="s">
        <v>137</v>
      </c>
      <c r="B46" s="542"/>
      <c r="C46" s="542"/>
      <c r="D46" s="542"/>
      <c r="E46" s="542"/>
      <c r="F46" s="542"/>
      <c r="G46" s="542"/>
      <c r="H46" s="542"/>
      <c r="I46" s="542"/>
      <c r="J46" s="542"/>
      <c r="K46" s="542"/>
      <c r="L46" s="542"/>
      <c r="M46" s="542"/>
      <c r="N46" s="542"/>
      <c r="O46" s="542"/>
      <c r="P46" s="542"/>
      <c r="Q46" s="542"/>
      <c r="R46" s="542"/>
      <c r="T46" s="986" t="s">
        <v>138</v>
      </c>
      <c r="U46" s="965"/>
      <c r="V46" s="966"/>
    </row>
    <row r="52" spans="8:32">
      <c r="H52" s="629"/>
      <c r="I52" s="679"/>
      <c r="J52" s="878" t="s">
        <v>139</v>
      </c>
      <c r="K52" s="680"/>
      <c r="L52" s="681" t="s">
        <v>8</v>
      </c>
      <c r="M52" s="681" t="s">
        <v>8</v>
      </c>
      <c r="N52" s="681" t="s">
        <v>9</v>
      </c>
      <c r="O52" s="681" t="s">
        <v>9</v>
      </c>
      <c r="P52" s="681" t="s">
        <v>10</v>
      </c>
      <c r="Q52" s="681" t="s">
        <v>140</v>
      </c>
      <c r="R52" s="681" t="s">
        <v>141</v>
      </c>
      <c r="S52" s="681" t="s">
        <v>13</v>
      </c>
      <c r="T52" s="681" t="s">
        <v>14</v>
      </c>
      <c r="U52" s="743" t="s">
        <v>14</v>
      </c>
      <c r="V52" s="699"/>
      <c r="AA52" s="715"/>
      <c r="AB52" s="715"/>
      <c r="AC52" s="715"/>
      <c r="AD52" s="715"/>
      <c r="AE52" s="715"/>
      <c r="AF52" s="715"/>
    </row>
    <row r="53" spans="8:32" ht="20.5">
      <c r="H53" s="630" t="s">
        <v>35</v>
      </c>
      <c r="I53" s="682"/>
      <c r="J53" s="682"/>
      <c r="K53" s="683"/>
      <c r="L53" s="681" t="s">
        <v>36</v>
      </c>
      <c r="M53" s="681" t="s">
        <v>37</v>
      </c>
      <c r="N53" s="681" t="s">
        <v>36</v>
      </c>
      <c r="O53" s="681" t="s">
        <v>37</v>
      </c>
      <c r="P53" s="681" t="s">
        <v>142</v>
      </c>
      <c r="Q53" s="681" t="s">
        <v>143</v>
      </c>
      <c r="R53" s="681"/>
      <c r="S53" s="681"/>
      <c r="T53" s="681"/>
      <c r="U53" s="743"/>
      <c r="V53" s="699"/>
      <c r="W53" s="715"/>
      <c r="X53" s="715"/>
      <c r="Y53" s="715"/>
      <c r="Z53" s="715"/>
      <c r="AA53" s="715"/>
      <c r="AB53" s="715"/>
      <c r="AC53" s="715"/>
      <c r="AD53" s="715"/>
      <c r="AE53" s="715"/>
      <c r="AF53" s="715"/>
    </row>
    <row r="54" spans="8:32" ht="20.5">
      <c r="H54" s="631"/>
      <c r="I54" s="684"/>
      <c r="J54" s="684"/>
      <c r="K54" s="685"/>
      <c r="L54" s="686" t="s">
        <v>53</v>
      </c>
      <c r="M54" s="686" t="s">
        <v>53</v>
      </c>
      <c r="N54" s="686" t="s">
        <v>53</v>
      </c>
      <c r="O54" s="686" t="s">
        <v>53</v>
      </c>
      <c r="P54" s="686" t="s">
        <v>54</v>
      </c>
      <c r="Q54" s="686" t="s">
        <v>54</v>
      </c>
      <c r="R54" s="686" t="s">
        <v>54</v>
      </c>
      <c r="S54" s="686" t="s">
        <v>55</v>
      </c>
      <c r="T54" s="686" t="s">
        <v>55</v>
      </c>
      <c r="U54" s="744" t="s">
        <v>55</v>
      </c>
      <c r="V54" s="699"/>
      <c r="W54" s="715"/>
      <c r="X54" s="715"/>
      <c r="Y54" s="715"/>
      <c r="Z54" s="715"/>
      <c r="AA54" s="699"/>
      <c r="AB54" s="699"/>
      <c r="AC54" s="699"/>
      <c r="AD54" s="699"/>
      <c r="AE54" s="699"/>
      <c r="AF54" s="699"/>
    </row>
    <row r="55" spans="8:32" ht="20">
      <c r="H55" s="632" t="s">
        <v>144</v>
      </c>
      <c r="I55" s="687"/>
      <c r="J55" s="687"/>
      <c r="K55" s="688"/>
      <c r="L55" s="689" t="e">
        <f>L19-$L$56</f>
        <v>#VALUE!</v>
      </c>
      <c r="M55" s="689" t="e">
        <f t="shared" ref="M55:U55" si="17">N19-M56</f>
        <v>#VALUE!</v>
      </c>
      <c r="N55" s="689" t="e">
        <f t="shared" si="17"/>
        <v>#VALUE!</v>
      </c>
      <c r="O55" s="689">
        <f t="shared" si="17"/>
        <v>-3.3000000000000002E-2</v>
      </c>
      <c r="P55" s="689" t="e">
        <f t="shared" si="17"/>
        <v>#VALUE!</v>
      </c>
      <c r="Q55" s="689" t="e">
        <f t="shared" si="17"/>
        <v>#VALUE!</v>
      </c>
      <c r="R55" s="689">
        <f t="shared" si="17"/>
        <v>-0.4</v>
      </c>
      <c r="S55" s="689" t="e">
        <f t="shared" si="17"/>
        <v>#VALUE!</v>
      </c>
      <c r="T55" s="689">
        <f t="shared" si="17"/>
        <v>-2500</v>
      </c>
      <c r="U55" s="689" t="e">
        <f t="shared" si="17"/>
        <v>#VALUE!</v>
      </c>
      <c r="V55" s="699"/>
      <c r="W55" s="699"/>
      <c r="X55" s="699"/>
      <c r="Y55" s="699"/>
      <c r="Z55" s="699"/>
      <c r="AA55" s="715"/>
      <c r="AB55" s="715"/>
      <c r="AC55" s="715"/>
      <c r="AD55" s="715"/>
      <c r="AE55" s="715"/>
      <c r="AF55" s="715"/>
    </row>
    <row r="56" spans="8:32" ht="20">
      <c r="H56" s="632" t="s">
        <v>145</v>
      </c>
      <c r="I56" s="687"/>
      <c r="J56" s="687"/>
      <c r="K56" s="688"/>
      <c r="L56" s="690">
        <v>0.92</v>
      </c>
      <c r="M56" s="690">
        <v>8.3000000000000004E-2</v>
      </c>
      <c r="N56" s="691">
        <v>0</v>
      </c>
      <c r="O56" s="691">
        <v>3.3000000000000002E-2</v>
      </c>
      <c r="P56" s="690">
        <v>5.5</v>
      </c>
      <c r="Q56" s="690">
        <v>11.5</v>
      </c>
      <c r="R56" s="690">
        <v>0.4</v>
      </c>
      <c r="S56" s="690">
        <v>600</v>
      </c>
      <c r="T56" s="690">
        <v>2500</v>
      </c>
      <c r="U56" s="745">
        <v>2500</v>
      </c>
      <c r="V56" s="699"/>
      <c r="W56" s="715"/>
      <c r="X56" s="715"/>
      <c r="Y56" s="715"/>
      <c r="Z56" s="715"/>
      <c r="AA56" s="746"/>
      <c r="AB56" s="746"/>
      <c r="AC56" s="746"/>
      <c r="AD56" s="746"/>
      <c r="AE56" s="746"/>
      <c r="AF56" s="746">
        <f>8*50/4500</f>
        <v>8.8888888888888892E-2</v>
      </c>
    </row>
    <row r="57" spans="8:32" ht="20.5">
      <c r="H57" s="633" t="s">
        <v>146</v>
      </c>
      <c r="I57" s="692"/>
      <c r="J57" s="693"/>
      <c r="K57" s="694">
        <v>2.5000000000000001E-2</v>
      </c>
      <c r="L57" s="695" t="str">
        <f>IF(C43-K57&gt;0,"REJECT  ( / ) สูง  (  ) ต่ำ กว่ามาตรฐาน","REJECT  (  ) สูง  ( / ) ต่ำ กว่ามาตรฐาน")</f>
        <v>REJECT  (  ) สูง  ( / ) ต่ำ กว่ามาตรฐาน</v>
      </c>
      <c r="M57" s="696"/>
      <c r="N57" s="696"/>
      <c r="O57" s="696"/>
      <c r="P57" s="697">
        <f>IF(G43&gt;K57,G43-K57,K57-G43)</f>
        <v>2.5000000000000001E-2</v>
      </c>
      <c r="Q57" s="716"/>
      <c r="R57" s="716"/>
      <c r="S57" s="716"/>
      <c r="T57" s="716"/>
      <c r="U57" s="716"/>
      <c r="V57" s="699"/>
      <c r="W57" s="746">
        <f>8*50/4500</f>
        <v>8.8888888888888892E-2</v>
      </c>
      <c r="X57" s="746"/>
      <c r="Y57" s="746"/>
      <c r="Z57" s="746"/>
      <c r="AA57" s="715"/>
      <c r="AB57" s="715"/>
      <c r="AC57" s="715"/>
      <c r="AD57" s="715"/>
      <c r="AE57" s="715"/>
      <c r="AF57" s="715"/>
    </row>
    <row r="58" spans="8:32">
      <c r="W58" s="715"/>
      <c r="X58" s="715"/>
      <c r="Y58" s="715"/>
      <c r="Z58" s="715"/>
    </row>
  </sheetData>
  <mergeCells count="38">
    <mergeCell ref="O1:P1"/>
    <mergeCell ref="W1:AE1"/>
    <mergeCell ref="E2:G2"/>
    <mergeCell ref="E3:G3"/>
    <mergeCell ref="AV3:AW3"/>
    <mergeCell ref="BH3:BI3"/>
    <mergeCell ref="BJ3:BK3"/>
    <mergeCell ref="BL3:BN3"/>
    <mergeCell ref="BQ3:BR3"/>
    <mergeCell ref="A10:D10"/>
    <mergeCell ref="H9:K10"/>
    <mergeCell ref="AX3:AY3"/>
    <mergeCell ref="AZ3:BA3"/>
    <mergeCell ref="BB3:BC3"/>
    <mergeCell ref="BD3:BE3"/>
    <mergeCell ref="BF3:BG3"/>
    <mergeCell ref="X13:Y13"/>
    <mergeCell ref="Z13:AA13"/>
    <mergeCell ref="AB13:AC13"/>
    <mergeCell ref="A15:D15"/>
    <mergeCell ref="A19:D19"/>
    <mergeCell ref="H14:K15"/>
    <mergeCell ref="A21:D21"/>
    <mergeCell ref="R24:S24"/>
    <mergeCell ref="T24:V24"/>
    <mergeCell ref="R25:S25"/>
    <mergeCell ref="W25:Z25"/>
    <mergeCell ref="R26:S26"/>
    <mergeCell ref="Y26:Z26"/>
    <mergeCell ref="R27:S27"/>
    <mergeCell ref="Y27:Z27"/>
    <mergeCell ref="R28:S28"/>
    <mergeCell ref="Y28:Z28"/>
    <mergeCell ref="R29:S29"/>
    <mergeCell ref="A32:D32"/>
    <mergeCell ref="R33:S33"/>
    <mergeCell ref="R34:S34"/>
    <mergeCell ref="R35:S35"/>
  </mergeCells>
  <printOptions horizontalCentered="1" verticalCentered="1"/>
  <pageMargins left="0" right="0" top="0.196850393700787" bottom="0" header="0" footer="0"/>
  <pageSetup paperSize="9" scale="65" orientation="landscape" blackAndWhite="1" verticalDpi="300"/>
  <headerFooter alignWithMargins="0"/>
  <colBreaks count="1" manualBreakCount="1">
    <brk id="31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0"/>
  <sheetViews>
    <sheetView topLeftCell="D1" zoomScale="80" zoomScaleNormal="80" workbookViewId="0">
      <selection activeCell="I6" sqref="I6"/>
    </sheetView>
  </sheetViews>
  <sheetFormatPr defaultColWidth="11" defaultRowHeight="24.5"/>
  <cols>
    <col min="1" max="1" width="6" style="544" customWidth="1"/>
    <col min="2" max="2" width="10.25" style="545" customWidth="1"/>
    <col min="3" max="3" width="5.33203125" style="545" customWidth="1"/>
    <col min="4" max="4" width="13.5" style="545" customWidth="1"/>
    <col min="5" max="5" width="8.25" style="545" customWidth="1"/>
    <col min="6" max="6" width="10.33203125" style="545" customWidth="1"/>
    <col min="7" max="7" width="8.5" style="545" customWidth="1"/>
    <col min="8" max="8" width="2.33203125" style="545" customWidth="1"/>
    <col min="9" max="9" width="9.58203125" style="545" customWidth="1"/>
    <col min="10" max="10" width="8.5" style="545" customWidth="1"/>
    <col min="11" max="11" width="9.5" style="545" customWidth="1"/>
    <col min="12" max="12" width="8.08203125" style="545" customWidth="1"/>
    <col min="13" max="13" width="8.5" style="545" customWidth="1"/>
    <col min="14" max="14" width="8.75" style="545" customWidth="1"/>
    <col min="15" max="15" width="8.58203125" style="545" customWidth="1"/>
    <col min="16" max="16" width="8.33203125" style="545" customWidth="1"/>
    <col min="17" max="17" width="8.5" style="545" customWidth="1"/>
    <col min="18" max="18" width="8.58203125" style="545" customWidth="1"/>
    <col min="19" max="19" width="8.08203125" style="545" customWidth="1"/>
    <col min="20" max="20" width="8" style="545" customWidth="1"/>
    <col min="21" max="22" width="8.75" style="545" customWidth="1"/>
    <col min="23" max="23" width="8.75" style="546" customWidth="1"/>
    <col min="24" max="16384" width="11" style="544"/>
  </cols>
  <sheetData>
    <row r="1" spans="1:34" ht="27" customHeight="1">
      <c r="A1" s="879" t="s">
        <v>147</v>
      </c>
      <c r="B1" s="547"/>
      <c r="F1" s="548"/>
      <c r="G1" s="548"/>
      <c r="H1" s="880" t="str">
        <f>IF(Data!$B$105=0,"",Data!$B$105)</f>
        <v>โรงงานนครปฐม ครอบชนผนัง</v>
      </c>
      <c r="I1" s="634"/>
      <c r="J1" s="635"/>
      <c r="K1" s="636" t="s">
        <v>1</v>
      </c>
      <c r="L1" s="876" t="str">
        <f>Data!D104</f>
        <v>17/38</v>
      </c>
      <c r="M1" s="546"/>
      <c r="N1" s="637" t="s">
        <v>2</v>
      </c>
      <c r="O1" s="638">
        <f>Data!B104</f>
        <v>43042</v>
      </c>
      <c r="P1" s="639"/>
      <c r="Q1" s="698" t="s">
        <v>3</v>
      </c>
      <c r="R1" s="699"/>
      <c r="S1" s="700"/>
      <c r="T1" s="701"/>
      <c r="U1" s="702"/>
      <c r="V1" s="703"/>
      <c r="X1" s="1001" t="str">
        <f>TEXT(U1,"ddmmyy")</f>
        <v>000100</v>
      </c>
      <c r="Y1" s="1002">
        <f ca="1">NOW()-ROUNDDOWN(NOW(),0)</f>
        <v>0.80654178241093177</v>
      </c>
      <c r="Z1" s="699"/>
      <c r="AA1" s="715" t="s">
        <v>5</v>
      </c>
      <c r="AB1" s="715" t="s">
        <v>5</v>
      </c>
      <c r="AC1" s="747" t="s">
        <v>5</v>
      </c>
      <c r="AD1" s="716"/>
      <c r="AE1" s="716"/>
      <c r="AF1" s="716"/>
      <c r="AG1" s="716"/>
      <c r="AH1" s="716"/>
    </row>
    <row r="2" spans="1:34" s="540" customFormat="1" ht="21" customHeight="1">
      <c r="A2" s="549"/>
      <c r="B2" s="550" t="s">
        <v>5</v>
      </c>
      <c r="C2" s="550"/>
      <c r="D2" s="550" t="s">
        <v>5</v>
      </c>
      <c r="E2" s="1311" t="s">
        <v>6</v>
      </c>
      <c r="F2" s="1312"/>
      <c r="G2" s="1313"/>
      <c r="H2" s="551"/>
      <c r="I2" s="640"/>
      <c r="J2" s="640"/>
      <c r="K2" s="641"/>
      <c r="L2" s="642" t="s">
        <v>7</v>
      </c>
      <c r="M2" s="642" t="s">
        <v>8</v>
      </c>
      <c r="N2" s="642" t="s">
        <v>8</v>
      </c>
      <c r="O2" s="642" t="s">
        <v>9</v>
      </c>
      <c r="P2" s="642" t="s">
        <v>9</v>
      </c>
      <c r="Q2" s="642" t="s">
        <v>10</v>
      </c>
      <c r="R2" s="642" t="s">
        <v>140</v>
      </c>
      <c r="S2" s="642" t="s">
        <v>141</v>
      </c>
      <c r="T2" s="642" t="s">
        <v>13</v>
      </c>
      <c r="U2" s="642" t="s">
        <v>14</v>
      </c>
      <c r="V2" s="704" t="s">
        <v>14</v>
      </c>
      <c r="W2" s="546"/>
      <c r="X2" s="1003">
        <f ca="1">IF($Y$1&gt;0.25,IF($Y$1&lt;0.75,TODAY(),IF($Y$1&gt;0.75,TODAY()-1)))</f>
        <v>46277</v>
      </c>
      <c r="Y2" s="1004" t="s">
        <v>21</v>
      </c>
      <c r="Z2" s="1004" t="s">
        <v>22</v>
      </c>
      <c r="AA2" s="1004" t="s">
        <v>23</v>
      </c>
      <c r="AB2" s="1004" t="s">
        <v>24</v>
      </c>
      <c r="AC2" s="1004" t="s">
        <v>25</v>
      </c>
      <c r="AD2" s="1004" t="s">
        <v>26</v>
      </c>
      <c r="AE2" s="1005" t="s">
        <v>27</v>
      </c>
      <c r="AF2" s="1005"/>
      <c r="AG2" s="1005" t="s">
        <v>28</v>
      </c>
      <c r="AH2" s="1005"/>
    </row>
    <row r="3" spans="1:34" s="540" customFormat="1" ht="21" customHeight="1">
      <c r="A3" s="552" t="s">
        <v>30</v>
      </c>
      <c r="B3" s="553" t="s">
        <v>31</v>
      </c>
      <c r="C3" s="553" t="s">
        <v>32</v>
      </c>
      <c r="D3" s="553" t="s">
        <v>33</v>
      </c>
      <c r="E3" s="1314" t="s">
        <v>34</v>
      </c>
      <c r="F3" s="1315"/>
      <c r="G3" s="1316"/>
      <c r="H3" s="554" t="s">
        <v>35</v>
      </c>
      <c r="I3" s="643"/>
      <c r="J3" s="643"/>
      <c r="K3" s="644"/>
      <c r="L3" s="645"/>
      <c r="M3" s="645" t="s">
        <v>36</v>
      </c>
      <c r="N3" s="645" t="s">
        <v>37</v>
      </c>
      <c r="O3" s="645" t="s">
        <v>36</v>
      </c>
      <c r="P3" s="645" t="s">
        <v>37</v>
      </c>
      <c r="Q3" s="645" t="s">
        <v>142</v>
      </c>
      <c r="R3" s="645" t="s">
        <v>143</v>
      </c>
      <c r="S3" s="645"/>
      <c r="T3" s="645"/>
      <c r="U3" s="645">
        <v>1</v>
      </c>
      <c r="V3" s="705">
        <v>2</v>
      </c>
      <c r="W3" s="546"/>
      <c r="X3" s="951" t="s">
        <v>39</v>
      </c>
      <c r="Y3" s="747">
        <v>300</v>
      </c>
      <c r="Z3" s="952">
        <v>3.7</v>
      </c>
      <c r="AA3" s="747">
        <f>Z3*Y3</f>
        <v>1110</v>
      </c>
      <c r="AB3" s="748">
        <v>0.08</v>
      </c>
      <c r="AC3" s="747">
        <v>1400</v>
      </c>
      <c r="AD3" s="747">
        <f>AC3*AB3</f>
        <v>112</v>
      </c>
      <c r="AE3" s="749">
        <v>4400</v>
      </c>
      <c r="AF3" s="749"/>
      <c r="AG3" s="749">
        <v>18</v>
      </c>
      <c r="AH3" s="753"/>
    </row>
    <row r="4" spans="1:34" s="540" customFormat="1" ht="21" customHeight="1">
      <c r="A4" s="555"/>
      <c r="B4" s="556"/>
      <c r="C4" s="556"/>
      <c r="D4" s="556"/>
      <c r="E4" s="556" t="s">
        <v>52</v>
      </c>
      <c r="F4" s="557" t="s">
        <v>40</v>
      </c>
      <c r="G4" s="558" t="s">
        <v>41</v>
      </c>
      <c r="H4" s="559"/>
      <c r="I4" s="646"/>
      <c r="J4" s="646"/>
      <c r="K4" s="647"/>
      <c r="L4" s="648" t="s">
        <v>53</v>
      </c>
      <c r="M4" s="648" t="s">
        <v>53</v>
      </c>
      <c r="N4" s="648" t="s">
        <v>53</v>
      </c>
      <c r="O4" s="648" t="s">
        <v>53</v>
      </c>
      <c r="P4" s="648" t="s">
        <v>53</v>
      </c>
      <c r="Q4" s="648" t="s">
        <v>54</v>
      </c>
      <c r="R4" s="648" t="s">
        <v>54</v>
      </c>
      <c r="S4" s="648" t="s">
        <v>54</v>
      </c>
      <c r="T4" s="648" t="s">
        <v>55</v>
      </c>
      <c r="U4" s="648" t="s">
        <v>55</v>
      </c>
      <c r="V4" s="706" t="s">
        <v>55</v>
      </c>
      <c r="W4" s="546"/>
      <c r="X4" s="951" t="s">
        <v>59</v>
      </c>
      <c r="Y4" s="747">
        <f>Y3</f>
        <v>300</v>
      </c>
      <c r="Z4" s="747">
        <f>Z3</f>
        <v>3.7</v>
      </c>
      <c r="AA4" s="747">
        <f>AA3</f>
        <v>1110</v>
      </c>
      <c r="AB4" s="748">
        <f>AB3</f>
        <v>0.08</v>
      </c>
      <c r="AC4" s="747">
        <f>AC3</f>
        <v>1400</v>
      </c>
      <c r="AD4" s="747">
        <f>AC4*AB4</f>
        <v>112</v>
      </c>
      <c r="AE4" s="749">
        <v>4200</v>
      </c>
      <c r="AF4" s="749"/>
      <c r="AG4" s="749">
        <v>18</v>
      </c>
      <c r="AH4" s="753"/>
    </row>
    <row r="5" spans="1:34" ht="22.5" customHeight="1">
      <c r="A5" s="560"/>
      <c r="B5" s="561"/>
      <c r="C5" s="562"/>
      <c r="D5" s="563"/>
      <c r="E5" s="563"/>
      <c r="F5" s="563"/>
      <c r="G5" s="563"/>
      <c r="H5" s="564" t="s">
        <v>69</v>
      </c>
      <c r="I5" s="649"/>
      <c r="J5" s="649"/>
      <c r="K5" s="650"/>
      <c r="L5" s="651"/>
      <c r="M5" s="652"/>
      <c r="N5" s="652"/>
      <c r="O5" s="652"/>
      <c r="P5" s="651"/>
      <c r="Q5" s="707"/>
      <c r="R5" s="707"/>
      <c r="S5" s="652"/>
      <c r="T5" s="708"/>
      <c r="U5" s="709"/>
      <c r="V5" s="710"/>
      <c r="X5" s="699"/>
      <c r="Y5" s="1004" t="s">
        <v>44</v>
      </c>
      <c r="Z5" s="1004" t="s">
        <v>45</v>
      </c>
      <c r="AA5" s="1004" t="s">
        <v>46</v>
      </c>
      <c r="AB5" s="1004" t="s">
        <v>26</v>
      </c>
      <c r="AC5" s="1004" t="s">
        <v>33</v>
      </c>
      <c r="AD5" s="1004" t="s">
        <v>27</v>
      </c>
      <c r="AE5" s="716"/>
      <c r="AF5" s="716"/>
      <c r="AG5" s="716"/>
      <c r="AH5" s="716"/>
    </row>
    <row r="6" spans="1:34" ht="22.5" customHeight="1">
      <c r="A6" s="565">
        <v>1</v>
      </c>
      <c r="B6" s="566"/>
      <c r="C6" s="567"/>
      <c r="D6" s="568"/>
      <c r="E6" s="568"/>
      <c r="F6" s="569"/>
      <c r="G6" s="570"/>
      <c r="H6" s="986" t="s">
        <v>71</v>
      </c>
      <c r="I6" s="965"/>
      <c r="J6" s="965"/>
      <c r="K6" s="966"/>
      <c r="L6" s="653">
        <f t="shared" ref="L6:S6" si="0">IF($F$8=0,0,L5*1000/$F$8)</f>
        <v>0</v>
      </c>
      <c r="M6" s="653">
        <f t="shared" si="0"/>
        <v>0</v>
      </c>
      <c r="N6" s="654">
        <f t="shared" si="0"/>
        <v>0</v>
      </c>
      <c r="O6" s="967">
        <f t="shared" si="0"/>
        <v>0</v>
      </c>
      <c r="P6" s="967">
        <f t="shared" si="0"/>
        <v>0</v>
      </c>
      <c r="Q6" s="711">
        <f t="shared" si="0"/>
        <v>0</v>
      </c>
      <c r="R6" s="712">
        <f t="shared" si="0"/>
        <v>0</v>
      </c>
      <c r="S6" s="712">
        <f t="shared" si="0"/>
        <v>0</v>
      </c>
      <c r="T6" s="713">
        <f>IF(T5=0,0,F8/T5)</f>
        <v>0</v>
      </c>
      <c r="U6" s="713">
        <f>IF(U5=0,0,Data!U1/U5)</f>
        <v>0</v>
      </c>
      <c r="V6" s="713">
        <f>IF(V5=0,0,Data!V1/V5)</f>
        <v>0</v>
      </c>
      <c r="X6" s="1004" t="s">
        <v>72</v>
      </c>
      <c r="Y6" s="952">
        <v>50</v>
      </c>
      <c r="Z6" s="952">
        <v>25</v>
      </c>
      <c r="AA6" s="952">
        <v>0.24</v>
      </c>
      <c r="AB6" s="750">
        <v>20</v>
      </c>
      <c r="AC6" s="715">
        <v>6</v>
      </c>
      <c r="AD6" s="715">
        <v>18</v>
      </c>
      <c r="AE6" s="716"/>
      <c r="AF6" s="716"/>
      <c r="AG6" s="716"/>
      <c r="AH6" s="716"/>
    </row>
    <row r="7" spans="1:34" ht="22.5" customHeight="1">
      <c r="A7" s="552"/>
      <c r="B7" s="571"/>
      <c r="C7" s="567"/>
      <c r="D7" s="568"/>
      <c r="E7" s="568"/>
      <c r="F7" s="569"/>
      <c r="G7" s="570"/>
      <c r="H7" s="986" t="s">
        <v>74</v>
      </c>
      <c r="I7" s="965"/>
      <c r="J7" s="965"/>
      <c r="K7" s="966"/>
      <c r="L7" s="653">
        <f t="shared" ref="L7:S7" si="1">IF($G$8=0,0,L5*1000/$G$8)</f>
        <v>0</v>
      </c>
      <c r="M7" s="653">
        <f t="shared" si="1"/>
        <v>0</v>
      </c>
      <c r="N7" s="653">
        <f t="shared" si="1"/>
        <v>0</v>
      </c>
      <c r="O7" s="653">
        <f t="shared" si="1"/>
        <v>0</v>
      </c>
      <c r="P7" s="653">
        <f t="shared" si="1"/>
        <v>0</v>
      </c>
      <c r="Q7" s="712">
        <f t="shared" si="1"/>
        <v>0</v>
      </c>
      <c r="R7" s="712">
        <f t="shared" si="1"/>
        <v>0</v>
      </c>
      <c r="S7" s="712">
        <f t="shared" si="1"/>
        <v>0</v>
      </c>
      <c r="T7" s="713">
        <f>IF(T5=0,0,G8/T5)</f>
        <v>0</v>
      </c>
      <c r="U7" s="713">
        <f>IF(U5=0,0,Data!X1/U5)</f>
        <v>0</v>
      </c>
      <c r="V7" s="713">
        <f>IF(V5=0,0,Data!Y1/V5)</f>
        <v>0</v>
      </c>
      <c r="X7" s="699"/>
      <c r="Y7" s="1004" t="s">
        <v>44</v>
      </c>
      <c r="Z7" s="1004" t="s">
        <v>45</v>
      </c>
      <c r="AA7" s="1004" t="s">
        <v>46</v>
      </c>
      <c r="AB7" s="1004" t="s">
        <v>26</v>
      </c>
      <c r="AC7" s="1004" t="s">
        <v>33</v>
      </c>
      <c r="AD7" s="1004" t="s">
        <v>27</v>
      </c>
      <c r="AE7" s="716"/>
      <c r="AF7" s="716"/>
      <c r="AG7" s="716"/>
      <c r="AH7" s="716"/>
    </row>
    <row r="8" spans="1:34" ht="22.5" customHeight="1">
      <c r="A8" s="1317" t="s">
        <v>80</v>
      </c>
      <c r="B8" s="1293"/>
      <c r="C8" s="1293"/>
      <c r="D8" s="1294"/>
      <c r="E8" s="572">
        <f>SUM(E5:E7)</f>
        <v>0</v>
      </c>
      <c r="F8" s="573">
        <f>SUM(F5:F7)</f>
        <v>0</v>
      </c>
      <c r="G8" s="573">
        <f>SUM(G5:G7)</f>
        <v>0</v>
      </c>
      <c r="H8" s="574" t="s">
        <v>75</v>
      </c>
      <c r="I8" s="655"/>
      <c r="J8" s="655"/>
      <c r="K8" s="656"/>
      <c r="L8" s="991" t="s">
        <v>76</v>
      </c>
      <c r="M8" s="992">
        <f>IF(ISBLANK(Data!X2),"",Data!X2)</f>
        <v>80</v>
      </c>
      <c r="N8" s="993" t="s">
        <v>20</v>
      </c>
      <c r="O8" s="994" t="s">
        <v>77</v>
      </c>
      <c r="P8" s="995">
        <f>IF(ISBLANK(Data!Y2),"",Data!Y2)</f>
        <v>0</v>
      </c>
      <c r="Q8" s="993" t="s">
        <v>20</v>
      </c>
      <c r="R8" s="993" t="s">
        <v>78</v>
      </c>
      <c r="S8" s="992">
        <f>IF(ISBLANK(Data!W2),"",Data!W2)</f>
        <v>0</v>
      </c>
      <c r="T8" s="993" t="s">
        <v>79</v>
      </c>
      <c r="U8" s="992">
        <f>IF(ISBLANK(Data!AH2),"",Data!AH2)</f>
        <v>0</v>
      </c>
      <c r="V8" s="996" t="s">
        <v>79</v>
      </c>
      <c r="X8" s="1004" t="s">
        <v>85</v>
      </c>
      <c r="Y8" s="952">
        <f>Y6/2</f>
        <v>25</v>
      </c>
      <c r="Z8" s="952">
        <f>Z6/2</f>
        <v>12.5</v>
      </c>
      <c r="AA8" s="952">
        <f>AA6/2</f>
        <v>0.12</v>
      </c>
      <c r="AB8" s="750">
        <v>20</v>
      </c>
      <c r="AC8" s="715">
        <v>6</v>
      </c>
      <c r="AD8" s="715">
        <v>18</v>
      </c>
      <c r="AE8" s="716"/>
      <c r="AF8" s="716"/>
      <c r="AG8" s="716"/>
      <c r="AH8" s="716"/>
    </row>
    <row r="9" spans="1:34" ht="22.5" customHeight="1">
      <c r="A9" s="575" t="s">
        <v>5</v>
      </c>
      <c r="B9" s="561"/>
      <c r="C9" s="576"/>
      <c r="D9" s="563"/>
      <c r="E9" s="563"/>
      <c r="F9" s="563"/>
      <c r="G9" s="577"/>
      <c r="H9" s="564" t="s">
        <v>89</v>
      </c>
      <c r="I9" s="649"/>
      <c r="J9" s="649"/>
      <c r="K9" s="650"/>
      <c r="L9" s="651"/>
      <c r="M9" s="652"/>
      <c r="N9" s="652"/>
      <c r="O9" s="652"/>
      <c r="P9" s="651"/>
      <c r="Q9" s="707"/>
      <c r="R9" s="707"/>
      <c r="S9" s="652"/>
      <c r="T9" s="707"/>
      <c r="U9" s="709"/>
      <c r="V9" s="710"/>
      <c r="X9" s="699" t="s">
        <v>90</v>
      </c>
      <c r="Y9" s="699"/>
      <c r="Z9" s="699"/>
      <c r="AA9" s="699"/>
      <c r="AB9" s="699"/>
      <c r="AC9" s="699"/>
      <c r="AD9" s="699"/>
      <c r="AE9" s="716"/>
      <c r="AF9" s="716"/>
      <c r="AG9" s="716"/>
      <c r="AH9" s="716"/>
    </row>
    <row r="10" spans="1:34" ht="22.5" customHeight="1">
      <c r="A10" s="578">
        <v>2</v>
      </c>
      <c r="B10" s="571"/>
      <c r="C10" s="567"/>
      <c r="D10" s="568"/>
      <c r="E10" s="568"/>
      <c r="F10" s="569"/>
      <c r="G10" s="570"/>
      <c r="H10" s="986" t="s">
        <v>71</v>
      </c>
      <c r="I10" s="965"/>
      <c r="J10" s="965"/>
      <c r="K10" s="966"/>
      <c r="L10" s="653">
        <f t="shared" ref="L10:S10" si="2">IF($F$12=0,0,L9*1000/$F$12)</f>
        <v>0</v>
      </c>
      <c r="M10" s="653">
        <f t="shared" si="2"/>
        <v>0</v>
      </c>
      <c r="N10" s="654">
        <f t="shared" si="2"/>
        <v>0</v>
      </c>
      <c r="O10" s="967">
        <f t="shared" si="2"/>
        <v>0</v>
      </c>
      <c r="P10" s="967">
        <f t="shared" si="2"/>
        <v>0</v>
      </c>
      <c r="Q10" s="711">
        <f t="shared" si="2"/>
        <v>0</v>
      </c>
      <c r="R10" s="712">
        <f t="shared" si="2"/>
        <v>0</v>
      </c>
      <c r="S10" s="712">
        <f t="shared" si="2"/>
        <v>0</v>
      </c>
      <c r="T10" s="713">
        <f>IF(T9=0,0,F12/T9)</f>
        <v>0</v>
      </c>
      <c r="U10" s="713">
        <f>IF(U9=0,0,Data!U9/U9)</f>
        <v>0</v>
      </c>
      <c r="V10" s="713">
        <f>IF(V9=0,0,Data!V9/V9)</f>
        <v>0</v>
      </c>
      <c r="X10" s="714">
        <f>L5*$Z$3</f>
        <v>0</v>
      </c>
      <c r="Y10" s="699"/>
      <c r="Z10" s="699"/>
      <c r="AA10" s="699"/>
      <c r="AB10" s="699"/>
      <c r="AC10" s="699"/>
      <c r="AD10" s="699"/>
      <c r="AE10" s="751"/>
      <c r="AF10" s="716"/>
      <c r="AG10" s="716"/>
      <c r="AH10" s="716"/>
    </row>
    <row r="11" spans="1:34" ht="22.5" customHeight="1">
      <c r="A11" s="579"/>
      <c r="B11" s="571"/>
      <c r="C11" s="567"/>
      <c r="D11" s="568"/>
      <c r="E11" s="568"/>
      <c r="F11" s="569"/>
      <c r="G11" s="570"/>
      <c r="H11" s="986" t="s">
        <v>74</v>
      </c>
      <c r="I11" s="965"/>
      <c r="J11" s="965"/>
      <c r="K11" s="966"/>
      <c r="L11" s="653">
        <f t="shared" ref="L11:S11" si="3">IF($G$12=0,0,L9*1000/$G$12)</f>
        <v>0</v>
      </c>
      <c r="M11" s="653">
        <f t="shared" si="3"/>
        <v>0</v>
      </c>
      <c r="N11" s="653">
        <f t="shared" si="3"/>
        <v>0</v>
      </c>
      <c r="O11" s="653">
        <f t="shared" si="3"/>
        <v>0</v>
      </c>
      <c r="P11" s="653">
        <f t="shared" si="3"/>
        <v>0</v>
      </c>
      <c r="Q11" s="712">
        <f t="shared" si="3"/>
        <v>0</v>
      </c>
      <c r="R11" s="712">
        <f t="shared" si="3"/>
        <v>0</v>
      </c>
      <c r="S11" s="712">
        <f t="shared" si="3"/>
        <v>0</v>
      </c>
      <c r="T11" s="713">
        <f>IF(T9=0,0,G12/T9)</f>
        <v>0</v>
      </c>
      <c r="U11" s="713">
        <f>IF(U9=0,0,Data!X9/U9)</f>
        <v>0</v>
      </c>
      <c r="V11" s="713">
        <f>IF(V9=0,0,Data!Y9/V9)</f>
        <v>0</v>
      </c>
      <c r="X11" s="715" t="s">
        <v>5</v>
      </c>
      <c r="Y11" s="984"/>
      <c r="Z11" s="752" t="s">
        <v>97</v>
      </c>
      <c r="AA11" s="699"/>
      <c r="AB11" s="699"/>
      <c r="AC11" s="699"/>
      <c r="AD11" s="699"/>
      <c r="AE11" s="751"/>
      <c r="AF11" s="716"/>
      <c r="AG11" s="716"/>
      <c r="AH11" s="716"/>
    </row>
    <row r="12" spans="1:34" ht="22.5" customHeight="1">
      <c r="A12" s="1317" t="s">
        <v>98</v>
      </c>
      <c r="B12" s="1293"/>
      <c r="C12" s="1293"/>
      <c r="D12" s="1294"/>
      <c r="E12" s="572">
        <f>SUM(E9:E11)</f>
        <v>0</v>
      </c>
      <c r="F12" s="572">
        <f>SUM(F9:F11)</f>
        <v>0</v>
      </c>
      <c r="G12" s="572">
        <f>SUM(G9:G11)</f>
        <v>0</v>
      </c>
      <c r="H12" s="574" t="s">
        <v>75</v>
      </c>
      <c r="I12" s="655"/>
      <c r="J12" s="655"/>
      <c r="K12" s="656"/>
      <c r="L12" s="991" t="s">
        <v>76</v>
      </c>
      <c r="M12" s="992">
        <f>IF(ISBLANK(Data!X10),"",Data!X10)</f>
        <v>0</v>
      </c>
      <c r="N12" s="993" t="s">
        <v>20</v>
      </c>
      <c r="O12" s="994" t="s">
        <v>77</v>
      </c>
      <c r="P12" s="995">
        <f>IF(ISBLANK(Data!Y10),"",Data!Y10)</f>
        <v>0</v>
      </c>
      <c r="Q12" s="993" t="s">
        <v>20</v>
      </c>
      <c r="R12" s="993" t="s">
        <v>78</v>
      </c>
      <c r="S12" s="992">
        <f>IF(ISBLANK(Data!W10),"",Data!W10)</f>
        <v>0</v>
      </c>
      <c r="T12" s="993" t="s">
        <v>79</v>
      </c>
      <c r="U12" s="992">
        <f>IF(ISBLANK(Data!AH10),"",Data!AH10)</f>
        <v>0</v>
      </c>
      <c r="V12" s="996" t="s">
        <v>79</v>
      </c>
      <c r="X12" s="716"/>
      <c r="Y12" s="716"/>
      <c r="Z12" s="716"/>
      <c r="AA12" s="716"/>
      <c r="AB12" s="716"/>
      <c r="AC12" s="716"/>
      <c r="AD12" s="716"/>
      <c r="AE12" s="716"/>
      <c r="AF12" s="716"/>
      <c r="AG12" s="751"/>
      <c r="AH12" s="716"/>
    </row>
    <row r="13" spans="1:34" ht="22.5" customHeight="1">
      <c r="A13" s="575" t="s">
        <v>5</v>
      </c>
      <c r="B13" s="561"/>
      <c r="C13" s="562"/>
      <c r="D13" s="568"/>
      <c r="E13" s="563"/>
      <c r="F13" s="563"/>
      <c r="G13" s="577"/>
      <c r="H13" s="564" t="s">
        <v>100</v>
      </c>
      <c r="I13" s="649"/>
      <c r="J13" s="649"/>
      <c r="K13" s="650"/>
      <c r="L13" s="651"/>
      <c r="M13" s="651"/>
      <c r="N13" s="651"/>
      <c r="O13" s="651"/>
      <c r="P13" s="651"/>
      <c r="Q13" s="707"/>
      <c r="R13" s="707"/>
      <c r="S13" s="652"/>
      <c r="T13" s="707"/>
      <c r="U13" s="709"/>
      <c r="V13" s="710"/>
      <c r="X13" s="699"/>
      <c r="Y13" s="699"/>
      <c r="Z13" s="699"/>
      <c r="AA13" s="699"/>
      <c r="AB13" s="699"/>
      <c r="AC13" s="699"/>
      <c r="AD13" s="699"/>
      <c r="AE13" s="751"/>
      <c r="AF13" s="716"/>
      <c r="AG13" s="751"/>
      <c r="AH13" s="716"/>
    </row>
    <row r="14" spans="1:34" ht="22.5" customHeight="1">
      <c r="A14" s="578">
        <v>3</v>
      </c>
      <c r="B14" s="571"/>
      <c r="C14" s="567"/>
      <c r="D14" s="568"/>
      <c r="E14" s="568"/>
      <c r="F14" s="569"/>
      <c r="G14" s="570"/>
      <c r="H14" s="986" t="s">
        <v>71</v>
      </c>
      <c r="I14" s="965"/>
      <c r="J14" s="965"/>
      <c r="K14" s="966"/>
      <c r="L14" s="653">
        <f t="shared" ref="L14:S14" si="4">IF($F$16=0,0,L13*1000/$F$16)</f>
        <v>0</v>
      </c>
      <c r="M14" s="653">
        <f t="shared" si="4"/>
        <v>0</v>
      </c>
      <c r="N14" s="654">
        <f t="shared" si="4"/>
        <v>0</v>
      </c>
      <c r="O14" s="967">
        <f t="shared" si="4"/>
        <v>0</v>
      </c>
      <c r="P14" s="967">
        <f t="shared" si="4"/>
        <v>0</v>
      </c>
      <c r="Q14" s="711">
        <f t="shared" si="4"/>
        <v>0</v>
      </c>
      <c r="R14" s="712">
        <f t="shared" si="4"/>
        <v>0</v>
      </c>
      <c r="S14" s="712">
        <f t="shared" si="4"/>
        <v>0</v>
      </c>
      <c r="T14" s="713">
        <f>IF(T13=0,0,F16/T13)</f>
        <v>0</v>
      </c>
      <c r="U14" s="713">
        <f>IF(U13=0,0,Data!U16/U13)</f>
        <v>0</v>
      </c>
      <c r="V14" s="717">
        <f>IF(V13=0,0,Data!V16/V13)</f>
        <v>0</v>
      </c>
      <c r="X14" s="699"/>
      <c r="Y14" s="699"/>
      <c r="Z14" s="699"/>
      <c r="AA14" s="699"/>
      <c r="AB14" s="699"/>
      <c r="AC14" s="699"/>
      <c r="AD14" s="699"/>
      <c r="AE14" s="751"/>
      <c r="AF14" s="716"/>
      <c r="AG14" s="751"/>
      <c r="AH14" s="716"/>
    </row>
    <row r="15" spans="1:34" ht="22.5" customHeight="1">
      <c r="A15" s="579"/>
      <c r="B15" s="571"/>
      <c r="C15" s="567"/>
      <c r="D15" s="568"/>
      <c r="E15" s="568"/>
      <c r="F15" s="569"/>
      <c r="G15" s="570"/>
      <c r="H15" s="986" t="s">
        <v>74</v>
      </c>
      <c r="I15" s="965"/>
      <c r="J15" s="965"/>
      <c r="K15" s="966"/>
      <c r="L15" s="653">
        <f t="shared" ref="L15:S15" si="5">IF($G$16=0,0,L13*1000/$G$16)</f>
        <v>0</v>
      </c>
      <c r="M15" s="653">
        <f t="shared" si="5"/>
        <v>0</v>
      </c>
      <c r="N15" s="653">
        <f t="shared" si="5"/>
        <v>0</v>
      </c>
      <c r="O15" s="653">
        <f t="shared" si="5"/>
        <v>0</v>
      </c>
      <c r="P15" s="653">
        <f t="shared" si="5"/>
        <v>0</v>
      </c>
      <c r="Q15" s="712">
        <f t="shared" si="5"/>
        <v>0</v>
      </c>
      <c r="R15" s="712">
        <f t="shared" si="5"/>
        <v>0</v>
      </c>
      <c r="S15" s="712">
        <f t="shared" si="5"/>
        <v>0</v>
      </c>
      <c r="T15" s="713">
        <f>IF(T13=0,0,G16/T13)</f>
        <v>0</v>
      </c>
      <c r="U15" s="713">
        <f>IF(U13=0,0,Data!X16/U13)</f>
        <v>0</v>
      </c>
      <c r="V15" s="717">
        <f>IF(V13=0,0,Data!Y16/V13)</f>
        <v>0</v>
      </c>
      <c r="X15" s="699"/>
      <c r="Y15" s="990">
        <v>0.95833333333333304</v>
      </c>
      <c r="Z15" s="1002">
        <v>0.75</v>
      </c>
      <c r="AA15" s="1002">
        <v>0.95833333333333304</v>
      </c>
      <c r="AB15" s="1002">
        <v>0.25</v>
      </c>
      <c r="AC15" s="1002">
        <v>0.35416666666666702</v>
      </c>
      <c r="AD15" s="1002">
        <f ca="1">NOW()-ROUNDDOWN(NOW(),0)</f>
        <v>0.80654178241093177</v>
      </c>
      <c r="AE15" s="751"/>
      <c r="AF15" s="716"/>
      <c r="AG15" s="751"/>
      <c r="AH15" s="716"/>
    </row>
    <row r="16" spans="1:34" ht="22.5" customHeight="1">
      <c r="A16" s="1317" t="s">
        <v>105</v>
      </c>
      <c r="B16" s="1293"/>
      <c r="C16" s="1293"/>
      <c r="D16" s="1294"/>
      <c r="E16" s="572">
        <f>SUM(E13:E15)</f>
        <v>0</v>
      </c>
      <c r="F16" s="572">
        <f>SUM(F13:F15)</f>
        <v>0</v>
      </c>
      <c r="G16" s="572">
        <f>SUM(G13:G15)</f>
        <v>0</v>
      </c>
      <c r="H16" s="574" t="s">
        <v>75</v>
      </c>
      <c r="I16" s="655"/>
      <c r="J16" s="655"/>
      <c r="K16" s="656"/>
      <c r="L16" s="991" t="s">
        <v>76</v>
      </c>
      <c r="M16" s="992">
        <f>IF(ISBLANK(Data!X17),"",Data!X17)</f>
        <v>0</v>
      </c>
      <c r="N16" s="993" t="s">
        <v>20</v>
      </c>
      <c r="O16" s="994" t="s">
        <v>77</v>
      </c>
      <c r="P16" s="995">
        <f>IF(ISBLANK(Data!Y17),"",Data!Y17)</f>
        <v>0</v>
      </c>
      <c r="Q16" s="993" t="s">
        <v>20</v>
      </c>
      <c r="R16" s="993" t="s">
        <v>78</v>
      </c>
      <c r="S16" s="992">
        <f>IF(ISBLANK(Data!W17),"",Data!W17)</f>
        <v>0</v>
      </c>
      <c r="T16" s="993" t="s">
        <v>79</v>
      </c>
      <c r="U16" s="992">
        <f>IF(ISBLANK(Data!AH17),"",Data!AH17)</f>
        <v>0</v>
      </c>
      <c r="V16" s="996" t="s">
        <v>79</v>
      </c>
      <c r="X16" s="716"/>
      <c r="Y16" s="1001">
        <f t="shared" ref="Y16:AD16" si="6">Y15</f>
        <v>0.95833333333333304</v>
      </c>
      <c r="Z16" s="1001">
        <f t="shared" si="6"/>
        <v>0.75</v>
      </c>
      <c r="AA16" s="1001">
        <f t="shared" si="6"/>
        <v>0.95833333333333304</v>
      </c>
      <c r="AB16" s="1001">
        <f t="shared" si="6"/>
        <v>0.25</v>
      </c>
      <c r="AC16" s="1001">
        <f t="shared" si="6"/>
        <v>0.35416666666666702</v>
      </c>
      <c r="AD16" s="1001">
        <f t="shared" ca="1" si="6"/>
        <v>0.80654178241093177</v>
      </c>
      <c r="AE16" s="716"/>
      <c r="AF16" s="716"/>
      <c r="AG16" s="751"/>
      <c r="AH16" s="716"/>
    </row>
    <row r="17" spans="1:23" ht="23.25" customHeight="1">
      <c r="A17" s="580"/>
      <c r="B17" s="581"/>
      <c r="C17" s="581"/>
      <c r="D17" s="582"/>
      <c r="E17" s="583"/>
      <c r="F17" s="584"/>
      <c r="G17" s="585"/>
      <c r="H17" s="564" t="s">
        <v>107</v>
      </c>
      <c r="I17" s="649"/>
      <c r="J17" s="649"/>
      <c r="K17" s="650"/>
      <c r="L17" s="657">
        <f t="shared" ref="L17:V17" si="7">SUM(L5,L9,L13)</f>
        <v>0</v>
      </c>
      <c r="M17" s="657">
        <f t="shared" si="7"/>
        <v>0</v>
      </c>
      <c r="N17" s="657">
        <f t="shared" si="7"/>
        <v>0</v>
      </c>
      <c r="O17" s="657">
        <f t="shared" si="7"/>
        <v>0</v>
      </c>
      <c r="P17" s="657">
        <f t="shared" si="7"/>
        <v>0</v>
      </c>
      <c r="Q17" s="718">
        <f t="shared" si="7"/>
        <v>0</v>
      </c>
      <c r="R17" s="718">
        <f t="shared" si="7"/>
        <v>0</v>
      </c>
      <c r="S17" s="718">
        <f t="shared" si="7"/>
        <v>0</v>
      </c>
      <c r="T17" s="719">
        <f t="shared" si="7"/>
        <v>0</v>
      </c>
      <c r="U17" s="719">
        <f t="shared" si="7"/>
        <v>0</v>
      </c>
      <c r="V17" s="720">
        <f t="shared" si="7"/>
        <v>0</v>
      </c>
    </row>
    <row r="18" spans="1:23" ht="23.25" customHeight="1">
      <c r="A18" s="1278" t="s">
        <v>108</v>
      </c>
      <c r="B18" s="1279"/>
      <c r="C18" s="1279"/>
      <c r="D18" s="1280"/>
      <c r="E18" s="586">
        <f>E8+E12+E16</f>
        <v>0</v>
      </c>
      <c r="F18" s="587">
        <f>F8+F12+F16</f>
        <v>0</v>
      </c>
      <c r="G18" s="588">
        <f>G8+G12+G16</f>
        <v>0</v>
      </c>
      <c r="H18" s="986" t="s">
        <v>71</v>
      </c>
      <c r="I18" s="965"/>
      <c r="J18" s="965"/>
      <c r="K18" s="966"/>
      <c r="L18" s="653">
        <f t="shared" ref="L18:S18" si="8">IF($F$18=0,0,L17*1000/$F$18)</f>
        <v>0</v>
      </c>
      <c r="M18" s="653">
        <f t="shared" si="8"/>
        <v>0</v>
      </c>
      <c r="N18" s="653">
        <f t="shared" si="8"/>
        <v>0</v>
      </c>
      <c r="O18" s="658">
        <f t="shared" si="8"/>
        <v>0</v>
      </c>
      <c r="P18" s="658">
        <f t="shared" si="8"/>
        <v>0</v>
      </c>
      <c r="Q18" s="712">
        <f t="shared" si="8"/>
        <v>0</v>
      </c>
      <c r="R18" s="712">
        <f t="shared" si="8"/>
        <v>0</v>
      </c>
      <c r="S18" s="712">
        <f t="shared" si="8"/>
        <v>0</v>
      </c>
      <c r="T18" s="713">
        <f>IF(T17=0,0,F18/T17)</f>
        <v>0</v>
      </c>
      <c r="U18" s="713">
        <f>IF(U17=0,0,(Data!U1+Data!U9+Data!U16)/U17)</f>
        <v>0</v>
      </c>
      <c r="V18" s="717">
        <f>IF(V17=0,0,(Data!V1+Data!V9+Data!V16)/V17)</f>
        <v>0</v>
      </c>
    </row>
    <row r="19" spans="1:23" ht="23.25" customHeight="1">
      <c r="A19" s="589"/>
      <c r="B19" s="590"/>
      <c r="C19" s="591"/>
      <c r="D19" s="592"/>
      <c r="E19" s="593"/>
      <c r="F19" s="594"/>
      <c r="G19" s="595"/>
      <c r="H19" s="574" t="s">
        <v>74</v>
      </c>
      <c r="I19" s="655"/>
      <c r="J19" s="655"/>
      <c r="K19" s="656"/>
      <c r="L19" s="659">
        <f t="shared" ref="L19:S19" si="9">IF($G$18=0,0,L17*1000/$G$18)</f>
        <v>0</v>
      </c>
      <c r="M19" s="659">
        <f t="shared" si="9"/>
        <v>0</v>
      </c>
      <c r="N19" s="659">
        <f t="shared" si="9"/>
        <v>0</v>
      </c>
      <c r="O19" s="660">
        <f t="shared" si="9"/>
        <v>0</v>
      </c>
      <c r="P19" s="660">
        <f t="shared" si="9"/>
        <v>0</v>
      </c>
      <c r="Q19" s="721">
        <f t="shared" si="9"/>
        <v>0</v>
      </c>
      <c r="R19" s="721">
        <f t="shared" si="9"/>
        <v>0</v>
      </c>
      <c r="S19" s="721">
        <f t="shared" si="9"/>
        <v>0</v>
      </c>
      <c r="T19" s="722">
        <f>IF(T17=0,0,G18/T17)</f>
        <v>0</v>
      </c>
      <c r="U19" s="722">
        <f>IF(U17=0,0,(Data!X1+Data!X9+Data!X16)/U17)</f>
        <v>0</v>
      </c>
      <c r="V19" s="723">
        <f>IF(V17=0,0,(Data!Y1+Data!Y9+Data!Y16)/V17)</f>
        <v>0</v>
      </c>
    </row>
    <row r="20" spans="1:23" ht="8.25" customHeight="1">
      <c r="A20" s="596"/>
      <c r="B20" s="597"/>
      <c r="C20" s="596"/>
      <c r="D20" s="596"/>
      <c r="E20" s="596"/>
      <c r="F20" s="542"/>
      <c r="G20" s="542"/>
      <c r="H20" s="596"/>
      <c r="I20" s="596"/>
      <c r="J20" s="596"/>
      <c r="K20" s="596"/>
      <c r="L20" s="661"/>
      <c r="M20" s="661"/>
      <c r="N20" s="661"/>
      <c r="O20" s="662"/>
      <c r="P20" s="662"/>
      <c r="Q20" s="661"/>
      <c r="R20" s="661"/>
      <c r="S20" s="661"/>
      <c r="T20" s="724"/>
      <c r="U20" s="724"/>
      <c r="V20" s="724"/>
    </row>
    <row r="21" spans="1:23" s="541" customFormat="1" ht="24" customHeight="1">
      <c r="A21" s="598" t="s">
        <v>148</v>
      </c>
      <c r="B21" s="599"/>
      <c r="C21" s="600"/>
      <c r="D21" s="600"/>
      <c r="E21" s="600"/>
      <c r="F21" s="600"/>
      <c r="G21" s="601"/>
      <c r="H21" s="546"/>
      <c r="I21" s="877" t="s">
        <v>149</v>
      </c>
      <c r="J21" s="663"/>
      <c r="K21" s="664"/>
      <c r="L21" s="664"/>
      <c r="M21" s="664"/>
      <c r="N21" s="600"/>
      <c r="O21" s="600"/>
      <c r="P21" s="600"/>
      <c r="Q21" s="600"/>
      <c r="R21" s="1281" t="s">
        <v>114</v>
      </c>
      <c r="S21" s="1282"/>
      <c r="T21" s="1281" t="s">
        <v>75</v>
      </c>
      <c r="U21" s="1283"/>
      <c r="V21" s="1282"/>
      <c r="W21" s="546"/>
    </row>
    <row r="22" spans="1:23" s="542" customFormat="1" ht="36" customHeight="1">
      <c r="A22" s="602" t="s">
        <v>30</v>
      </c>
      <c r="B22" s="603" t="s">
        <v>31</v>
      </c>
      <c r="C22" s="604" t="s">
        <v>32</v>
      </c>
      <c r="D22" s="604" t="s">
        <v>33</v>
      </c>
      <c r="E22" s="605" t="s">
        <v>116</v>
      </c>
      <c r="F22" s="606" t="s">
        <v>51</v>
      </c>
      <c r="G22" s="607" t="s">
        <v>117</v>
      </c>
      <c r="H22" s="608"/>
      <c r="I22" s="665" t="s">
        <v>42</v>
      </c>
      <c r="J22" s="604" t="s">
        <v>150</v>
      </c>
      <c r="K22" s="666" t="s">
        <v>151</v>
      </c>
      <c r="L22" s="604" t="s">
        <v>33</v>
      </c>
      <c r="M22" s="604" t="s">
        <v>120</v>
      </c>
      <c r="N22" s="881" t="s">
        <v>152</v>
      </c>
      <c r="O22" s="604" t="s">
        <v>121</v>
      </c>
      <c r="P22" s="882" t="s">
        <v>153</v>
      </c>
      <c r="Q22" s="725" t="s">
        <v>124</v>
      </c>
      <c r="R22" s="1284" t="s">
        <v>125</v>
      </c>
      <c r="S22" s="1285"/>
      <c r="T22" s="727"/>
      <c r="U22" s="728"/>
      <c r="V22" s="729"/>
    </row>
    <row r="23" spans="1:23" ht="22.5" customHeight="1">
      <c r="A23" s="609"/>
      <c r="B23" s="571" t="str">
        <f>IF(ISBLANK(Data!E33),"",Data!E33)</f>
        <v/>
      </c>
      <c r="C23" s="567" t="str">
        <f>IF(B23=""," ",UPPER(LEFT(Data!F33,3)))</f>
        <v xml:space="preserve"> </v>
      </c>
      <c r="D23" s="571" t="str">
        <f>IF(ISBLANK(Data!G33),"",Data!G33)</f>
        <v/>
      </c>
      <c r="E23" s="571">
        <f>IF(ISBLANK(Data!H33),0,Data!H33)</f>
        <v>0</v>
      </c>
      <c r="F23" s="610">
        <f>E23-I23</f>
        <v>0</v>
      </c>
      <c r="G23" s="611" t="str">
        <f t="shared" ref="G23:G35" si="10">IF(E23=0,"",(E23-F23)/E23)</f>
        <v/>
      </c>
      <c r="H23" s="612"/>
      <c r="I23" s="667">
        <f t="shared" ref="I23:I35" si="11">SUM(J23:Q23)</f>
        <v>0</v>
      </c>
      <c r="J23" s="668" t="str">
        <f>IF(ISBLANK(Data!J33),"",Data!J33)</f>
        <v/>
      </c>
      <c r="K23" s="668" t="str">
        <f>IF(ISBLANK(Data!K33),"",Data!K33)</f>
        <v/>
      </c>
      <c r="L23" s="668" t="str">
        <f>IF(ISBLANK(Data!L33),"",Data!L33)</f>
        <v/>
      </c>
      <c r="M23" s="668" t="str">
        <f>IF(ISBLANK(Data!M33),"",Data!M33)</f>
        <v/>
      </c>
      <c r="N23" s="668" t="str">
        <f>IF(ISBLANK(Data!N33),"",Data!N33)</f>
        <v/>
      </c>
      <c r="O23" s="668" t="str">
        <f>IF(ISBLANK(Data!O33),"",Data!O33)</f>
        <v/>
      </c>
      <c r="P23" s="668" t="str">
        <f>IF(ISBLANK(Data!P33),"",Data!P33)</f>
        <v/>
      </c>
      <c r="Q23" s="668" t="str">
        <f>IF(ISBLANK(Data!Q33),"",Data!Q33)</f>
        <v/>
      </c>
      <c r="R23" s="730" t="str">
        <f>IF(ISBLANK(Data!S33),"",Data!S33)</f>
        <v/>
      </c>
      <c r="S23" s="731"/>
      <c r="T23" s="732"/>
      <c r="U23" s="1006"/>
      <c r="V23" s="1007"/>
      <c r="W23" s="544"/>
    </row>
    <row r="24" spans="1:23" ht="22.5" customHeight="1">
      <c r="A24" s="579">
        <v>1</v>
      </c>
      <c r="B24" s="571" t="str">
        <f>IF(ISBLANK(Data!E36),"",Data!E36)</f>
        <v/>
      </c>
      <c r="C24" s="567" t="str">
        <f>IF(B24=""," ",UPPER(LEFT(Data!F36,3)))</f>
        <v xml:space="preserve"> </v>
      </c>
      <c r="D24" s="571" t="str">
        <f>IF(ISBLANK(Data!G36),"",Data!G36)</f>
        <v/>
      </c>
      <c r="E24" s="571">
        <f>IF(ISBLANK(Data!H36),0,Data!H36)</f>
        <v>0</v>
      </c>
      <c r="F24" s="610">
        <f>E24-I24</f>
        <v>0</v>
      </c>
      <c r="G24" s="611" t="str">
        <f t="shared" si="10"/>
        <v/>
      </c>
      <c r="H24" s="612"/>
      <c r="I24" s="667">
        <f t="shared" si="11"/>
        <v>0</v>
      </c>
      <c r="J24" s="669" t="str">
        <f>IF(ISBLANK(Data!J36),"",Data!J36)</f>
        <v/>
      </c>
      <c r="K24" s="669" t="str">
        <f>IF(ISBLANK(Data!K36),"",Data!K36)</f>
        <v/>
      </c>
      <c r="L24" s="669" t="str">
        <f>IF(ISBLANK(Data!L36),"",Data!L36)</f>
        <v/>
      </c>
      <c r="M24" s="669" t="str">
        <f>IF(ISBLANK(Data!M36),"",Data!M36)</f>
        <v/>
      </c>
      <c r="N24" s="669" t="str">
        <f>IF(ISBLANK(Data!N36),"",Data!N36)</f>
        <v/>
      </c>
      <c r="O24" s="669" t="str">
        <f>IF(ISBLANK(Data!O36),"",Data!O36)</f>
        <v/>
      </c>
      <c r="P24" s="669" t="str">
        <f>IF(ISBLANK(Data!P36),"",Data!P36)</f>
        <v/>
      </c>
      <c r="Q24" s="733" t="str">
        <f>IF(ISBLANK(Data!Q36),"",Data!Q36)</f>
        <v/>
      </c>
      <c r="R24" s="734" t="str">
        <f>IF(ISBLANK(Data!S36),"",Data!S36)</f>
        <v/>
      </c>
      <c r="S24" s="998"/>
      <c r="T24" s="732"/>
      <c r="U24" s="1006"/>
      <c r="V24" s="1007"/>
      <c r="W24" s="544"/>
    </row>
    <row r="25" spans="1:23" ht="22.5" customHeight="1">
      <c r="A25" s="613"/>
      <c r="B25" s="571" t="str">
        <f>IF(ISBLANK(Data!E37),"",Data!E37)</f>
        <v/>
      </c>
      <c r="C25" s="567" t="str">
        <f>IF(B25=""," ",UPPER(LEFT(Data!F37,3)))</f>
        <v xml:space="preserve"> </v>
      </c>
      <c r="D25" s="571" t="str">
        <f>IF(ISBLANK(Data!G37),"",Data!G37)</f>
        <v/>
      </c>
      <c r="E25" s="571">
        <f>IF(ISBLANK(Data!H37),0,Data!H37)</f>
        <v>0</v>
      </c>
      <c r="F25" s="610">
        <f>E25-I25</f>
        <v>0</v>
      </c>
      <c r="G25" s="611" t="str">
        <f t="shared" si="10"/>
        <v/>
      </c>
      <c r="H25" s="612"/>
      <c r="I25" s="667">
        <f t="shared" si="11"/>
        <v>0</v>
      </c>
      <c r="J25" s="669" t="str">
        <f>IF(ISBLANK(Data!J37),"",Data!J37)</f>
        <v/>
      </c>
      <c r="K25" s="669" t="str">
        <f>IF(ISBLANK(Data!K37),"",Data!K37)</f>
        <v/>
      </c>
      <c r="L25" s="669" t="str">
        <f>IF(ISBLANK(Data!L37),"",Data!L37)</f>
        <v/>
      </c>
      <c r="M25" s="669" t="str">
        <f>IF(ISBLANK(Data!M37),"",Data!M37)</f>
        <v/>
      </c>
      <c r="N25" s="669" t="str">
        <f>IF(ISBLANK(Data!N37),"",Data!N37)</f>
        <v/>
      </c>
      <c r="O25" s="669" t="str">
        <f>IF(ISBLANK(Data!O37),"",Data!O37)</f>
        <v/>
      </c>
      <c r="P25" s="669" t="str">
        <f>IF(ISBLANK(Data!P37),"",Data!P37)</f>
        <v/>
      </c>
      <c r="Q25" s="733" t="str">
        <f>IF(ISBLANK(Data!Q37),"",Data!Q37)</f>
        <v/>
      </c>
      <c r="R25" s="734" t="str">
        <f>IF(ISBLANK(Data!S37),"",Data!S37)</f>
        <v/>
      </c>
      <c r="S25" s="998"/>
      <c r="T25" s="732"/>
      <c r="U25" s="1006"/>
      <c r="V25" s="1007"/>
      <c r="W25" s="544"/>
    </row>
    <row r="26" spans="1:23" ht="22.5" customHeight="1">
      <c r="A26" s="1308" t="s">
        <v>80</v>
      </c>
      <c r="B26" s="1309"/>
      <c r="C26" s="1309"/>
      <c r="D26" s="1310"/>
      <c r="E26" s="614">
        <f>SUM(E23:E25)</f>
        <v>0</v>
      </c>
      <c r="F26" s="614">
        <f>SUM(F23:F25)</f>
        <v>0</v>
      </c>
      <c r="G26" s="611" t="str">
        <f t="shared" si="10"/>
        <v/>
      </c>
      <c r="H26" s="612"/>
      <c r="I26" s="667">
        <f t="shared" si="11"/>
        <v>0</v>
      </c>
      <c r="J26" s="670">
        <f t="shared" ref="J26:Q26" si="12">SUM(J23:J25)</f>
        <v>0</v>
      </c>
      <c r="K26" s="671">
        <f t="shared" si="12"/>
        <v>0</v>
      </c>
      <c r="L26" s="671">
        <f t="shared" si="12"/>
        <v>0</v>
      </c>
      <c r="M26" s="671">
        <f t="shared" si="12"/>
        <v>0</v>
      </c>
      <c r="N26" s="671">
        <f t="shared" si="12"/>
        <v>0</v>
      </c>
      <c r="O26" s="671">
        <f t="shared" si="12"/>
        <v>0</v>
      </c>
      <c r="P26" s="671">
        <f t="shared" si="12"/>
        <v>0</v>
      </c>
      <c r="Q26" s="735">
        <f t="shared" si="12"/>
        <v>0</v>
      </c>
      <c r="R26" s="734"/>
      <c r="S26" s="998"/>
      <c r="T26" s="732"/>
      <c r="U26" s="1006"/>
      <c r="V26" s="1007"/>
      <c r="W26" s="544"/>
    </row>
    <row r="27" spans="1:23" ht="22.5" customHeight="1">
      <c r="A27" s="609"/>
      <c r="B27" s="571" t="str">
        <f>IF(ISBLANK(Data!E48),"",Data!E48)</f>
        <v/>
      </c>
      <c r="C27" s="567" t="str">
        <f>IF(B27=""," ",UPPER(LEFT(Data!F48,3)))</f>
        <v xml:space="preserve"> </v>
      </c>
      <c r="D27" s="615" t="str">
        <f>IF(ISBLANK(Data!G48),"",Data!G48)</f>
        <v/>
      </c>
      <c r="E27" s="571">
        <f>IF(ISBLANK(Data!H48),0,Data!H48)</f>
        <v>0</v>
      </c>
      <c r="F27" s="610">
        <f>E27-I27</f>
        <v>0</v>
      </c>
      <c r="G27" s="611" t="str">
        <f t="shared" si="10"/>
        <v/>
      </c>
      <c r="H27" s="612"/>
      <c r="I27" s="667">
        <f t="shared" si="11"/>
        <v>0</v>
      </c>
      <c r="J27" s="669" t="str">
        <f>IF(ISBLANK(Data!J48),"",Data!J48)</f>
        <v/>
      </c>
      <c r="K27" s="669" t="str">
        <f>IF(ISBLANK(Data!K48),"",Data!K48)</f>
        <v/>
      </c>
      <c r="L27" s="669" t="str">
        <f>IF(ISBLANK(Data!L48),"",Data!L48)</f>
        <v/>
      </c>
      <c r="M27" s="669" t="str">
        <f>IF(ISBLANK(Data!M48),"",Data!M48)</f>
        <v/>
      </c>
      <c r="N27" s="669" t="str">
        <f>IF(ISBLANK(Data!N48),"",Data!N48)</f>
        <v/>
      </c>
      <c r="O27" s="669" t="str">
        <f>IF(ISBLANK(Data!O48),"",Data!O48)</f>
        <v/>
      </c>
      <c r="P27" s="669" t="str">
        <f>IF(ISBLANK(Data!P48),"",Data!P48)</f>
        <v/>
      </c>
      <c r="Q27" s="669" t="str">
        <f>IF(ISBLANK(Data!Q48),"",Data!Q48)</f>
        <v/>
      </c>
      <c r="R27" s="734" t="str">
        <f>IF(ISBLANK(Data!S48),"",Data!S48)</f>
        <v/>
      </c>
      <c r="S27" s="998"/>
      <c r="T27" s="732"/>
      <c r="U27" s="1006"/>
      <c r="V27" s="1007"/>
      <c r="W27" s="544"/>
    </row>
    <row r="28" spans="1:23" ht="22.5" customHeight="1">
      <c r="A28" s="579">
        <v>2</v>
      </c>
      <c r="B28" s="571" t="str">
        <f>IF(ISBLANK(Data!E49),"",Data!E49)</f>
        <v/>
      </c>
      <c r="C28" s="567" t="str">
        <f>IF(B28=""," ",UPPER(LEFT(Data!F49,3)))</f>
        <v xml:space="preserve"> </v>
      </c>
      <c r="D28" s="615" t="str">
        <f>IF(ISBLANK(Data!G49),"",Data!G49)</f>
        <v/>
      </c>
      <c r="E28" s="571">
        <f>IF(ISBLANK(Data!H49),0,Data!H49)</f>
        <v>0</v>
      </c>
      <c r="F28" s="610">
        <f>E28-I28</f>
        <v>0</v>
      </c>
      <c r="G28" s="611" t="str">
        <f t="shared" si="10"/>
        <v/>
      </c>
      <c r="H28" s="612"/>
      <c r="I28" s="667">
        <f t="shared" si="11"/>
        <v>0</v>
      </c>
      <c r="J28" s="669" t="str">
        <f>IF(ISBLANK(Data!J49),"",Data!J49)</f>
        <v/>
      </c>
      <c r="K28" s="669" t="str">
        <f>IF(ISBLANK(Data!K49),"",Data!K49)</f>
        <v/>
      </c>
      <c r="L28" s="669" t="str">
        <f>IF(ISBLANK(Data!L49),"",Data!L49)</f>
        <v/>
      </c>
      <c r="M28" s="669" t="str">
        <f>IF(ISBLANK(Data!M49),"",Data!M49)</f>
        <v/>
      </c>
      <c r="N28" s="669" t="str">
        <f>IF(ISBLANK(Data!N49),"",Data!N49)</f>
        <v/>
      </c>
      <c r="O28" s="669" t="str">
        <f>IF(ISBLANK(Data!O49),"",Data!O49)</f>
        <v/>
      </c>
      <c r="P28" s="669" t="str">
        <f>IF(ISBLANK(Data!P49),"",Data!P49)</f>
        <v/>
      </c>
      <c r="Q28" s="733" t="str">
        <f>IF(ISBLANK(Data!Q49),"",Data!Q49)</f>
        <v/>
      </c>
      <c r="R28" s="734" t="str">
        <f>IF(ISBLANK(Data!S49),"",Data!S49)</f>
        <v/>
      </c>
      <c r="S28" s="998"/>
      <c r="T28" s="732"/>
      <c r="U28" s="1006"/>
      <c r="V28" s="1007"/>
      <c r="W28" s="544"/>
    </row>
    <row r="29" spans="1:23" ht="22.5" customHeight="1">
      <c r="A29" s="613"/>
      <c r="B29" s="571" t="str">
        <f>IF(ISBLANK(Data!E50),"",Data!E50)</f>
        <v/>
      </c>
      <c r="C29" s="567" t="str">
        <f>IF(B29=""," ",UPPER(LEFT(Data!F50,3)))</f>
        <v xml:space="preserve"> </v>
      </c>
      <c r="D29" s="616" t="str">
        <f>IF(ISBLANK(Data!G50),"",Data!G50)</f>
        <v/>
      </c>
      <c r="E29" s="571">
        <f>IF(ISBLANK(Data!H50),0,Data!H50)</f>
        <v>0</v>
      </c>
      <c r="F29" s="610">
        <f>E29-I29</f>
        <v>0</v>
      </c>
      <c r="G29" s="611" t="str">
        <f t="shared" si="10"/>
        <v/>
      </c>
      <c r="H29" s="612"/>
      <c r="I29" s="667">
        <f t="shared" si="11"/>
        <v>0</v>
      </c>
      <c r="J29" s="669" t="str">
        <f>IF(ISBLANK(Data!J50),"",Data!J50)</f>
        <v/>
      </c>
      <c r="K29" s="669" t="str">
        <f>IF(ISBLANK(Data!K50),"",Data!K50)</f>
        <v/>
      </c>
      <c r="L29" s="669" t="str">
        <f>IF(ISBLANK(Data!L50),"",Data!L50)</f>
        <v/>
      </c>
      <c r="M29" s="669" t="str">
        <f>IF(ISBLANK(Data!M50),"",Data!M50)</f>
        <v/>
      </c>
      <c r="N29" s="669" t="str">
        <f>IF(ISBLANK(Data!N50),"",Data!N50)</f>
        <v/>
      </c>
      <c r="O29" s="669" t="str">
        <f>IF(ISBLANK(Data!O50),"",Data!O50)</f>
        <v/>
      </c>
      <c r="P29" s="669" t="str">
        <f>IF(ISBLANK(Data!P50),"",Data!P50)</f>
        <v/>
      </c>
      <c r="Q29" s="733" t="str">
        <f>IF(ISBLANK(Data!Q50),"",Data!Q50)</f>
        <v/>
      </c>
      <c r="R29" s="734" t="str">
        <f>IF(ISBLANK(Data!S50),"",Data!S50)</f>
        <v/>
      </c>
      <c r="S29" s="998"/>
      <c r="T29" s="732"/>
      <c r="U29" s="1006"/>
      <c r="V29" s="1007"/>
      <c r="W29" s="544"/>
    </row>
    <row r="30" spans="1:23" ht="22.5" customHeight="1">
      <c r="A30" s="617" t="s">
        <v>98</v>
      </c>
      <c r="B30" s="618"/>
      <c r="C30" s="619"/>
      <c r="D30" s="1000"/>
      <c r="E30" s="614">
        <f>SUM(E27:E29)</f>
        <v>0</v>
      </c>
      <c r="F30" s="614">
        <f>SUM(F27:F29)</f>
        <v>0</v>
      </c>
      <c r="G30" s="611" t="str">
        <f t="shared" si="10"/>
        <v/>
      </c>
      <c r="H30" s="612"/>
      <c r="I30" s="672">
        <f t="shared" si="11"/>
        <v>0</v>
      </c>
      <c r="J30" s="670">
        <f t="shared" ref="J30:Q30" si="13">SUM(J27:J29)</f>
        <v>0</v>
      </c>
      <c r="K30" s="671">
        <f t="shared" si="13"/>
        <v>0</v>
      </c>
      <c r="L30" s="671">
        <f t="shared" si="13"/>
        <v>0</v>
      </c>
      <c r="M30" s="671">
        <f t="shared" si="13"/>
        <v>0</v>
      </c>
      <c r="N30" s="671">
        <f t="shared" si="13"/>
        <v>0</v>
      </c>
      <c r="O30" s="671">
        <f t="shared" si="13"/>
        <v>0</v>
      </c>
      <c r="P30" s="671">
        <f t="shared" si="13"/>
        <v>0</v>
      </c>
      <c r="Q30" s="735">
        <f t="shared" si="13"/>
        <v>0</v>
      </c>
      <c r="R30" s="734"/>
      <c r="S30" s="998"/>
      <c r="T30" s="732"/>
      <c r="U30" s="1006"/>
      <c r="V30" s="1007"/>
      <c r="W30" s="544"/>
    </row>
    <row r="31" spans="1:23" ht="22.5" customHeight="1">
      <c r="A31" s="609"/>
      <c r="B31" s="571" t="str">
        <f>IF(ISBLANK(Data!E58),"",Data!E58)</f>
        <v/>
      </c>
      <c r="C31" s="567" t="str">
        <f>IF(B31=""," ",UPPER(LEFT(Data!F58,3)))</f>
        <v xml:space="preserve"> </v>
      </c>
      <c r="D31" s="569" t="str">
        <f>IF(ISBLANK(Data!G58),"",Data!G58)</f>
        <v/>
      </c>
      <c r="E31" s="571">
        <f>IF(ISBLANK(Data!H58),0,Data!H58)</f>
        <v>0</v>
      </c>
      <c r="F31" s="610">
        <f>E31-I31</f>
        <v>0</v>
      </c>
      <c r="G31" s="611" t="str">
        <f t="shared" si="10"/>
        <v/>
      </c>
      <c r="H31" s="612"/>
      <c r="I31" s="667">
        <f t="shared" si="11"/>
        <v>0</v>
      </c>
      <c r="J31" s="669" t="str">
        <f>IF(ISBLANK(Data!J58),"",Data!J58)</f>
        <v/>
      </c>
      <c r="K31" s="669" t="str">
        <f>IF(ISBLANK(Data!K58),"",Data!K58)</f>
        <v/>
      </c>
      <c r="L31" s="669" t="str">
        <f>IF(ISBLANK(Data!L58),"",Data!L58)</f>
        <v/>
      </c>
      <c r="M31" s="669" t="str">
        <f>IF(ISBLANK(Data!M58),"",Data!M58)</f>
        <v/>
      </c>
      <c r="N31" s="669" t="str">
        <f>IF(ISBLANK(Data!N58),"",Data!N58)</f>
        <v/>
      </c>
      <c r="O31" s="669" t="str">
        <f>IF(ISBLANK(Data!O58),"",Data!O58)</f>
        <v/>
      </c>
      <c r="P31" s="669" t="str">
        <f>IF(ISBLANK(Data!P58),"",Data!P58)</f>
        <v/>
      </c>
      <c r="Q31" s="669" t="str">
        <f>IF(ISBLANK(Data!Q58),"",Data!Q58)</f>
        <v/>
      </c>
      <c r="R31" s="734" t="str">
        <f>IF(ISBLANK(Data!S58),"",Data!S58)</f>
        <v/>
      </c>
      <c r="S31" s="998"/>
      <c r="T31" s="732"/>
      <c r="U31" s="1006"/>
      <c r="V31" s="1007"/>
      <c r="W31" s="544"/>
    </row>
    <row r="32" spans="1:23" ht="22.5" customHeight="1">
      <c r="A32" s="579">
        <v>3</v>
      </c>
      <c r="B32" s="571" t="str">
        <f>IF(ISBLANK(Data!E59),"",Data!E59)</f>
        <v/>
      </c>
      <c r="C32" s="567" t="str">
        <f>IF(B32=""," ",UPPER(LEFT(Data!F59,3)))</f>
        <v xml:space="preserve"> </v>
      </c>
      <c r="D32" s="569" t="str">
        <f>IF(ISBLANK(Data!G59),"",Data!G59)</f>
        <v/>
      </c>
      <c r="E32" s="571">
        <f>IF(ISBLANK(Data!H59),0,Data!H59)</f>
        <v>0</v>
      </c>
      <c r="F32" s="610">
        <f>E32-I32</f>
        <v>0</v>
      </c>
      <c r="G32" s="611" t="str">
        <f t="shared" si="10"/>
        <v/>
      </c>
      <c r="H32" s="612"/>
      <c r="I32" s="667">
        <f t="shared" si="11"/>
        <v>0</v>
      </c>
      <c r="J32" s="669" t="str">
        <f>IF(ISBLANK(Data!J59),"",Data!J59)</f>
        <v/>
      </c>
      <c r="K32" s="669" t="str">
        <f>IF(ISBLANK(Data!K59),"",Data!K59)</f>
        <v/>
      </c>
      <c r="L32" s="669" t="str">
        <f>IF(ISBLANK(Data!L59),"",Data!L59)</f>
        <v/>
      </c>
      <c r="M32" s="669" t="str">
        <f>IF(ISBLANK(Data!M59),"",Data!M59)</f>
        <v/>
      </c>
      <c r="N32" s="669" t="str">
        <f>IF(ISBLANK(Data!N59),"",Data!N59)</f>
        <v/>
      </c>
      <c r="O32" s="669" t="str">
        <f>IF(ISBLANK(Data!O59),"",Data!O59)</f>
        <v/>
      </c>
      <c r="P32" s="669" t="str">
        <f>IF(ISBLANK(Data!P59),"",Data!P59)</f>
        <v/>
      </c>
      <c r="Q32" s="733" t="str">
        <f>IF(ISBLANK(Data!Q59),"",Data!Q59)</f>
        <v/>
      </c>
      <c r="R32" s="734" t="str">
        <f>IF(ISBLANK(Data!S59),"",Data!S59)</f>
        <v/>
      </c>
      <c r="S32" s="998"/>
      <c r="T32" s="732"/>
      <c r="U32" s="1006"/>
      <c r="V32" s="1007"/>
      <c r="W32" s="544"/>
    </row>
    <row r="33" spans="1:23" ht="22.5" customHeight="1">
      <c r="A33" s="613"/>
      <c r="B33" s="571" t="str">
        <f>IF(ISBLANK(Data!E60),"",Data!E60)</f>
        <v/>
      </c>
      <c r="C33" s="567" t="str">
        <f>IF(B33=""," ",UPPER(LEFT(Data!F60,3)))</f>
        <v xml:space="preserve"> </v>
      </c>
      <c r="D33" s="569" t="str">
        <f>IF(ISBLANK(Data!G60),"",Data!G60)</f>
        <v/>
      </c>
      <c r="E33" s="571">
        <f>IF(ISBLANK(Data!H60),0,Data!H60)</f>
        <v>0</v>
      </c>
      <c r="F33" s="610">
        <f>E33-I33</f>
        <v>0</v>
      </c>
      <c r="G33" s="611" t="str">
        <f t="shared" si="10"/>
        <v/>
      </c>
      <c r="H33" s="612"/>
      <c r="I33" s="667">
        <f t="shared" si="11"/>
        <v>0</v>
      </c>
      <c r="J33" s="669" t="str">
        <f>IF(ISBLANK(Data!J60),"",Data!J60)</f>
        <v/>
      </c>
      <c r="K33" s="669" t="str">
        <f>IF(ISBLANK(Data!K60),"",Data!K60)</f>
        <v/>
      </c>
      <c r="L33" s="669" t="str">
        <f>IF(ISBLANK(Data!L60),"",Data!L60)</f>
        <v/>
      </c>
      <c r="M33" s="669" t="str">
        <f>IF(ISBLANK(Data!M60),"",Data!M60)</f>
        <v/>
      </c>
      <c r="N33" s="669" t="str">
        <f>IF(ISBLANK(Data!N60),"",Data!N60)</f>
        <v/>
      </c>
      <c r="O33" s="669" t="str">
        <f>IF(ISBLANK(Data!O60),"",Data!O60)</f>
        <v/>
      </c>
      <c r="P33" s="669" t="str">
        <f>IF(ISBLANK(Data!P60),"",Data!P60)</f>
        <v/>
      </c>
      <c r="Q33" s="733" t="str">
        <f>IF(ISBLANK(Data!Q60),"",Data!Q60)</f>
        <v/>
      </c>
      <c r="R33" s="734" t="str">
        <f>IF(ISBLANK(Data!S60),"",Data!S60)</f>
        <v/>
      </c>
      <c r="S33" s="998"/>
      <c r="T33" s="732"/>
      <c r="U33" s="1006"/>
      <c r="V33" s="1007"/>
      <c r="W33" s="544"/>
    </row>
    <row r="34" spans="1:23" ht="22.5" customHeight="1">
      <c r="A34" s="617" t="s">
        <v>105</v>
      </c>
      <c r="B34" s="618"/>
      <c r="C34" s="619"/>
      <c r="D34" s="619"/>
      <c r="E34" s="614">
        <f>SUM(E31:E33)</f>
        <v>0</v>
      </c>
      <c r="F34" s="614">
        <f>SUM(F31:F33)</f>
        <v>0</v>
      </c>
      <c r="G34" s="611" t="str">
        <f t="shared" si="10"/>
        <v/>
      </c>
      <c r="H34" s="612"/>
      <c r="I34" s="672">
        <f t="shared" si="11"/>
        <v>0</v>
      </c>
      <c r="J34" s="673">
        <f t="shared" ref="J34:Q34" si="14">SUM(J31:J33)</f>
        <v>0</v>
      </c>
      <c r="K34" s="673">
        <f t="shared" si="14"/>
        <v>0</v>
      </c>
      <c r="L34" s="673">
        <f t="shared" si="14"/>
        <v>0</v>
      </c>
      <c r="M34" s="673">
        <f t="shared" si="14"/>
        <v>0</v>
      </c>
      <c r="N34" s="673">
        <f t="shared" si="14"/>
        <v>0</v>
      </c>
      <c r="O34" s="673">
        <f t="shared" si="14"/>
        <v>0</v>
      </c>
      <c r="P34" s="673">
        <f t="shared" si="14"/>
        <v>0</v>
      </c>
      <c r="Q34" s="736">
        <f t="shared" si="14"/>
        <v>0</v>
      </c>
      <c r="R34" s="734"/>
      <c r="S34" s="998"/>
      <c r="T34" s="732"/>
      <c r="U34" s="1006"/>
      <c r="V34" s="1007"/>
      <c r="W34" s="544"/>
    </row>
    <row r="35" spans="1:23" s="543" customFormat="1" ht="23.25" customHeight="1">
      <c r="A35" s="589" t="s">
        <v>108</v>
      </c>
      <c r="B35" s="620"/>
      <c r="C35" s="620"/>
      <c r="D35" s="620"/>
      <c r="E35" s="621">
        <f>E26+E30+E34</f>
        <v>0</v>
      </c>
      <c r="F35" s="621">
        <f>F26+F30+F34</f>
        <v>0</v>
      </c>
      <c r="G35" s="622" t="str">
        <f t="shared" si="10"/>
        <v/>
      </c>
      <c r="H35" s="623"/>
      <c r="I35" s="674">
        <f t="shared" si="11"/>
        <v>0</v>
      </c>
      <c r="J35" s="675">
        <f t="shared" ref="J35:Q35" si="15">SUM(J34,J30,J26)</f>
        <v>0</v>
      </c>
      <c r="K35" s="676">
        <f t="shared" si="15"/>
        <v>0</v>
      </c>
      <c r="L35" s="676">
        <f t="shared" si="15"/>
        <v>0</v>
      </c>
      <c r="M35" s="676">
        <f t="shared" si="15"/>
        <v>0</v>
      </c>
      <c r="N35" s="676">
        <f t="shared" si="15"/>
        <v>0</v>
      </c>
      <c r="O35" s="676">
        <f t="shared" si="15"/>
        <v>0</v>
      </c>
      <c r="P35" s="676">
        <f t="shared" si="15"/>
        <v>0</v>
      </c>
      <c r="Q35" s="737">
        <f t="shared" si="15"/>
        <v>0</v>
      </c>
      <c r="R35" s="738" t="s">
        <v>5</v>
      </c>
      <c r="S35" s="739" t="s">
        <v>5</v>
      </c>
      <c r="T35" s="740" t="s">
        <v>5</v>
      </c>
      <c r="U35" s="741" t="s">
        <v>5</v>
      </c>
      <c r="V35" s="742"/>
    </row>
    <row r="36" spans="1:23" ht="6.75" customHeight="1">
      <c r="V36" s="546"/>
      <c r="W36" s="544"/>
    </row>
    <row r="37" spans="1:23" s="540" customFormat="1" ht="22.5" customHeight="1">
      <c r="A37" s="624" t="s">
        <v>131</v>
      </c>
      <c r="B37" s="625"/>
      <c r="C37" s="625"/>
      <c r="D37" s="626"/>
      <c r="E37" s="602" t="s">
        <v>132</v>
      </c>
      <c r="F37" s="627"/>
      <c r="G37" s="607"/>
      <c r="H37" s="608"/>
      <c r="I37" s="602" t="s">
        <v>133</v>
      </c>
      <c r="J37" s="627"/>
      <c r="K37" s="626"/>
      <c r="L37" s="677" t="s">
        <v>134</v>
      </c>
      <c r="M37" s="625"/>
      <c r="N37" s="625"/>
      <c r="O37" s="678" t="s">
        <v>5</v>
      </c>
      <c r="P37" s="602" t="s">
        <v>135</v>
      </c>
      <c r="Q37" s="627"/>
      <c r="R37" s="607"/>
      <c r="S37" s="602" t="s">
        <v>136</v>
      </c>
      <c r="T37" s="625"/>
      <c r="U37" s="625"/>
      <c r="V37" s="601"/>
    </row>
    <row r="38" spans="1:23" ht="6.75" customHeight="1">
      <c r="A38" s="628"/>
      <c r="B38" s="542"/>
      <c r="C38" s="542"/>
      <c r="D38" s="542"/>
      <c r="E38" s="542"/>
      <c r="F38" s="542"/>
      <c r="G38" s="542"/>
      <c r="H38" s="542"/>
      <c r="I38" s="542"/>
      <c r="J38" s="542"/>
      <c r="K38" s="542"/>
      <c r="L38" s="542"/>
      <c r="M38" s="542"/>
      <c r="N38" s="542"/>
      <c r="O38" s="542"/>
      <c r="P38" s="542"/>
      <c r="Q38" s="542"/>
      <c r="R38" s="542"/>
      <c r="S38" s="542"/>
      <c r="T38" s="542"/>
      <c r="U38" s="542"/>
      <c r="V38" s="542"/>
    </row>
    <row r="39" spans="1:23">
      <c r="A39" s="628" t="s">
        <v>137</v>
      </c>
      <c r="B39" s="542"/>
      <c r="C39" s="542"/>
      <c r="D39" s="542"/>
      <c r="E39" s="542"/>
      <c r="F39" s="542"/>
      <c r="G39" s="542"/>
      <c r="H39" s="542"/>
      <c r="I39" s="542"/>
      <c r="J39" s="542"/>
      <c r="K39" s="542"/>
      <c r="L39" s="542"/>
      <c r="M39" s="542"/>
      <c r="N39" s="542"/>
      <c r="O39" s="542"/>
      <c r="P39" s="542"/>
      <c r="Q39" s="542"/>
      <c r="R39" s="542"/>
      <c r="T39" s="986" t="s">
        <v>154</v>
      </c>
      <c r="U39" s="965"/>
      <c r="V39" s="966"/>
    </row>
    <row r="45" spans="1:23" ht="20.5">
      <c r="H45" s="629"/>
      <c r="I45" s="679"/>
      <c r="J45" s="878" t="s">
        <v>139</v>
      </c>
      <c r="K45" s="680"/>
      <c r="L45" s="681" t="s">
        <v>8</v>
      </c>
      <c r="M45" s="681" t="s">
        <v>8</v>
      </c>
      <c r="N45" s="681" t="s">
        <v>9</v>
      </c>
      <c r="O45" s="681" t="s">
        <v>9</v>
      </c>
      <c r="P45" s="681" t="s">
        <v>10</v>
      </c>
      <c r="Q45" s="681" t="s">
        <v>140</v>
      </c>
      <c r="R45" s="681" t="s">
        <v>141</v>
      </c>
      <c r="S45" s="681" t="s">
        <v>13</v>
      </c>
      <c r="T45" s="681" t="s">
        <v>14</v>
      </c>
      <c r="U45" s="743" t="s">
        <v>14</v>
      </c>
      <c r="V45" s="699"/>
      <c r="W45" s="715"/>
    </row>
    <row r="46" spans="1:23" ht="20.5">
      <c r="H46" s="630" t="s">
        <v>35</v>
      </c>
      <c r="I46" s="682"/>
      <c r="J46" s="682"/>
      <c r="K46" s="683"/>
      <c r="L46" s="681" t="s">
        <v>36</v>
      </c>
      <c r="M46" s="681" t="s">
        <v>37</v>
      </c>
      <c r="N46" s="681" t="s">
        <v>36</v>
      </c>
      <c r="O46" s="681" t="s">
        <v>37</v>
      </c>
      <c r="P46" s="681" t="s">
        <v>142</v>
      </c>
      <c r="Q46" s="681" t="s">
        <v>143</v>
      </c>
      <c r="R46" s="681"/>
      <c r="S46" s="681"/>
      <c r="T46" s="681"/>
      <c r="U46" s="743"/>
      <c r="V46" s="699"/>
      <c r="W46" s="715"/>
    </row>
    <row r="47" spans="1:23" ht="20.5">
      <c r="H47" s="631"/>
      <c r="I47" s="684"/>
      <c r="J47" s="684"/>
      <c r="K47" s="685"/>
      <c r="L47" s="686" t="s">
        <v>53</v>
      </c>
      <c r="M47" s="686" t="s">
        <v>53</v>
      </c>
      <c r="N47" s="686" t="s">
        <v>53</v>
      </c>
      <c r="O47" s="686" t="s">
        <v>53</v>
      </c>
      <c r="P47" s="686" t="s">
        <v>54</v>
      </c>
      <c r="Q47" s="686" t="s">
        <v>54</v>
      </c>
      <c r="R47" s="686" t="s">
        <v>54</v>
      </c>
      <c r="S47" s="686" t="s">
        <v>55</v>
      </c>
      <c r="T47" s="686" t="s">
        <v>55</v>
      </c>
      <c r="U47" s="744" t="s">
        <v>55</v>
      </c>
      <c r="V47" s="699"/>
      <c r="W47" s="699"/>
    </row>
    <row r="48" spans="1:23" ht="20">
      <c r="H48" s="632" t="s">
        <v>144</v>
      </c>
      <c r="I48" s="687"/>
      <c r="J48" s="687"/>
      <c r="K48" s="688"/>
      <c r="L48" s="689" t="e">
        <f>L16-$L$49</f>
        <v>#VALUE!</v>
      </c>
      <c r="M48" s="689" t="e">
        <f t="shared" ref="M48:U48" si="16">N16-M49</f>
        <v>#VALUE!</v>
      </c>
      <c r="N48" s="689" t="e">
        <f t="shared" si="16"/>
        <v>#VALUE!</v>
      </c>
      <c r="O48" s="689">
        <f t="shared" si="16"/>
        <v>-3.3000000000000002E-2</v>
      </c>
      <c r="P48" s="689" t="e">
        <f t="shared" si="16"/>
        <v>#VALUE!</v>
      </c>
      <c r="Q48" s="689" t="e">
        <f t="shared" si="16"/>
        <v>#VALUE!</v>
      </c>
      <c r="R48" s="689">
        <f t="shared" si="16"/>
        <v>-0.4</v>
      </c>
      <c r="S48" s="689" t="e">
        <f t="shared" si="16"/>
        <v>#VALUE!</v>
      </c>
      <c r="T48" s="689">
        <f t="shared" si="16"/>
        <v>-2500</v>
      </c>
      <c r="U48" s="689" t="e">
        <f t="shared" si="16"/>
        <v>#VALUE!</v>
      </c>
      <c r="V48" s="699"/>
      <c r="W48" s="715"/>
    </row>
    <row r="49" spans="8:23" ht="20">
      <c r="H49" s="632" t="s">
        <v>145</v>
      </c>
      <c r="I49" s="687"/>
      <c r="J49" s="687"/>
      <c r="K49" s="688"/>
      <c r="L49" s="690">
        <v>0.92</v>
      </c>
      <c r="M49" s="690">
        <v>8.3000000000000004E-2</v>
      </c>
      <c r="N49" s="691">
        <v>0</v>
      </c>
      <c r="O49" s="691">
        <v>3.3000000000000002E-2</v>
      </c>
      <c r="P49" s="690">
        <v>5.5</v>
      </c>
      <c r="Q49" s="690">
        <v>11.5</v>
      </c>
      <c r="R49" s="690">
        <v>0.4</v>
      </c>
      <c r="S49" s="690">
        <v>600</v>
      </c>
      <c r="T49" s="690">
        <v>2500</v>
      </c>
      <c r="U49" s="745">
        <v>2500</v>
      </c>
      <c r="V49" s="699"/>
      <c r="W49" s="746">
        <f>8*50/4500</f>
        <v>8.8888888888888892E-2</v>
      </c>
    </row>
    <row r="50" spans="8:23" ht="20.5">
      <c r="H50" s="633" t="s">
        <v>146</v>
      </c>
      <c r="I50" s="692"/>
      <c r="J50" s="693"/>
      <c r="K50" s="694">
        <v>2.5000000000000001E-2</v>
      </c>
      <c r="L50" s="695" t="str">
        <f>IF(C36-K50&gt;0,"REJECT  ( / ) สูง  (  ) ต่ำ กว่ามาตรฐาน","REJECT  (  ) สูง  ( / ) ต่ำ กว่ามาตรฐาน")</f>
        <v>REJECT  (  ) สูง  ( / ) ต่ำ กว่ามาตรฐาน</v>
      </c>
      <c r="M50" s="696"/>
      <c r="N50" s="696"/>
      <c r="O50" s="696"/>
      <c r="P50" s="697">
        <f>IF(G36&gt;K50,G36-K50,K50-G36)</f>
        <v>2.5000000000000001E-2</v>
      </c>
      <c r="Q50" s="716"/>
      <c r="R50" s="716"/>
      <c r="S50" s="716"/>
      <c r="T50" s="716"/>
      <c r="U50" s="716"/>
      <c r="V50" s="699"/>
      <c r="W50" s="715"/>
    </row>
  </sheetData>
  <mergeCells count="10">
    <mergeCell ref="E2:G2"/>
    <mergeCell ref="E3:G3"/>
    <mergeCell ref="A8:D8"/>
    <mergeCell ref="A12:D12"/>
    <mergeCell ref="A16:D16"/>
    <mergeCell ref="A18:D18"/>
    <mergeCell ref="R21:S21"/>
    <mergeCell ref="T21:V21"/>
    <mergeCell ref="R22:S22"/>
    <mergeCell ref="A26:D26"/>
  </mergeCells>
  <printOptions horizontalCentered="1" verticalCentered="1"/>
  <pageMargins left="0" right="0" top="0.196850393700787" bottom="0" header="0" footer="0"/>
  <pageSetup paperSize="9" scale="70" orientation="landscape" blackAndWhite="1" horizontalDpi="300" verticalDpi="300"/>
  <headerFooter alignWithMargins="0"/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48"/>
  <sheetViews>
    <sheetView topLeftCell="A16" zoomScale="80" zoomScaleNormal="80" workbookViewId="0">
      <selection activeCell="D35" sqref="D35"/>
    </sheetView>
  </sheetViews>
  <sheetFormatPr defaultColWidth="9.58203125" defaultRowHeight="24.5"/>
  <cols>
    <col min="1" max="1" width="6.5" style="289" customWidth="1"/>
    <col min="2" max="2" width="8.33203125" style="289" customWidth="1"/>
    <col min="3" max="3" width="8.58203125" style="289" customWidth="1"/>
    <col min="4" max="4" width="8.83203125" style="289" customWidth="1"/>
    <col min="5" max="6" width="6.33203125" style="290" customWidth="1"/>
    <col min="7" max="7" width="6.58203125" style="290" customWidth="1"/>
    <col min="8" max="8" width="6.33203125" style="290" customWidth="1"/>
    <col min="9" max="9" width="7.33203125" style="289" customWidth="1"/>
    <col min="10" max="10" width="13.83203125" style="289" customWidth="1"/>
    <col min="11" max="11" width="12.25" style="289" customWidth="1"/>
    <col min="12" max="12" width="7.58203125" style="290" customWidth="1"/>
    <col min="13" max="14" width="6.83203125" style="290" customWidth="1"/>
    <col min="15" max="15" width="8" style="291" customWidth="1"/>
    <col min="16" max="16384" width="9.58203125" style="289"/>
  </cols>
  <sheetData>
    <row r="1" spans="1:21" ht="28.5" customHeight="1">
      <c r="A1" s="292" t="s">
        <v>146</v>
      </c>
      <c r="B1" s="293"/>
      <c r="C1" s="293"/>
      <c r="D1" s="293"/>
      <c r="E1" s="1337" t="str">
        <f>รายงานการผลิต!F1</f>
        <v>โรงงานนครปฐม ครอบชนผนัง</v>
      </c>
      <c r="F1" s="1338"/>
      <c r="G1" s="1338"/>
      <c r="H1" s="1338"/>
      <c r="I1" s="1339"/>
      <c r="J1" s="883" t="s">
        <v>155</v>
      </c>
      <c r="K1" s="421">
        <v>34</v>
      </c>
      <c r="L1" s="422" t="s">
        <v>156</v>
      </c>
      <c r="M1" s="1340">
        <f>รายงานการผลิต!O1</f>
        <v>242754</v>
      </c>
      <c r="N1" s="1340"/>
      <c r="O1" s="1341"/>
    </row>
    <row r="2" spans="1:21" ht="21.75" customHeight="1">
      <c r="A2" s="294" t="s">
        <v>5</v>
      </c>
      <c r="B2" s="295" t="s">
        <v>157</v>
      </c>
      <c r="C2" s="296"/>
      <c r="D2" s="297" t="s">
        <v>157</v>
      </c>
      <c r="E2" s="298" t="s">
        <v>5</v>
      </c>
      <c r="F2" s="299" t="s">
        <v>158</v>
      </c>
      <c r="G2" s="299"/>
      <c r="H2" s="299"/>
      <c r="I2" s="423"/>
      <c r="J2" s="288"/>
      <c r="K2" s="324" t="s">
        <v>159</v>
      </c>
      <c r="L2" s="424"/>
      <c r="M2" s="424"/>
      <c r="N2" s="425"/>
      <c r="O2" s="426"/>
    </row>
    <row r="3" spans="1:21" ht="21.75" customHeight="1">
      <c r="A3" s="300" t="s">
        <v>160</v>
      </c>
      <c r="B3" s="297" t="s">
        <v>161</v>
      </c>
      <c r="C3" s="297" t="s">
        <v>162</v>
      </c>
      <c r="D3" s="297" t="s">
        <v>163</v>
      </c>
      <c r="E3" s="1008" t="s">
        <v>164</v>
      </c>
      <c r="F3" s="1009"/>
      <c r="G3" s="1009"/>
      <c r="H3" s="1342" t="s">
        <v>165</v>
      </c>
      <c r="I3" s="1343"/>
      <c r="J3" s="427" t="s">
        <v>166</v>
      </c>
      <c r="K3" s="428" t="s">
        <v>167</v>
      </c>
      <c r="L3" s="1344" t="s">
        <v>168</v>
      </c>
      <c r="M3" s="1345"/>
      <c r="N3" s="1345"/>
      <c r="O3" s="1346"/>
    </row>
    <row r="4" spans="1:21" s="287" customFormat="1" ht="24" customHeight="1">
      <c r="A4" s="301">
        <v>1</v>
      </c>
      <c r="B4" s="302">
        <f>IF(ISBLANK(Data!E65),"",Data!E65)</f>
        <v>0.33333333333333298</v>
      </c>
      <c r="C4" s="302">
        <f>IF(ISBLANK(Data!F65),"",Data!F65)</f>
        <v>0.66666666666666696</v>
      </c>
      <c r="D4" s="303">
        <f>IF(C4=0,0,IF(B4=0,0,IF(C4&gt;B4,C4*60/0.041666666667-B4*60/0.04166666667,0)))</f>
        <v>480.00000003072086</v>
      </c>
      <c r="E4" s="1331">
        <v>1997909</v>
      </c>
      <c r="F4" s="1347"/>
      <c r="G4" s="1348"/>
      <c r="H4" s="1331">
        <f>E4+J4</f>
        <v>1998684</v>
      </c>
      <c r="I4" s="1333"/>
      <c r="J4" s="429">
        <f>รายงานการผลิต!F10</f>
        <v>775</v>
      </c>
      <c r="K4" s="430">
        <f>รายงานการผลิต!G10</f>
        <v>705</v>
      </c>
      <c r="L4" s="1334">
        <f>J4-K4</f>
        <v>70</v>
      </c>
      <c r="M4" s="1335"/>
      <c r="N4" s="1335"/>
      <c r="O4" s="1336"/>
      <c r="P4" s="431">
        <f>D4+D5+D6</f>
        <v>480.00000003072086</v>
      </c>
    </row>
    <row r="5" spans="1:21" s="287" customFormat="1" ht="24" customHeight="1">
      <c r="A5" s="304">
        <v>2</v>
      </c>
      <c r="B5" s="302" t="str">
        <f>IF(ISBLANK(Data!E77),"",Data!E77)</f>
        <v/>
      </c>
      <c r="C5" s="302" t="str">
        <f>IF(ISBLANK(Data!F77),"",Data!F77)</f>
        <v/>
      </c>
      <c r="D5" s="303">
        <f>IF(C5="",0,IF(B5="",0,IF(C5&gt;B5,(C5-B5)*60/0.041666666667,(1-B5)*60/0.0416666666667+C5*60/0.041666666667)))</f>
        <v>0</v>
      </c>
      <c r="E5" s="1331">
        <v>0</v>
      </c>
      <c r="F5" s="1332"/>
      <c r="G5" s="1333"/>
      <c r="H5" s="1331">
        <f>E5+J5</f>
        <v>520</v>
      </c>
      <c r="I5" s="1333"/>
      <c r="J5" s="429">
        <f>รายงานการผลิต!F15</f>
        <v>520</v>
      </c>
      <c r="K5" s="432">
        <f>รายงานการผลิต!G15</f>
        <v>500</v>
      </c>
      <c r="L5" s="1334">
        <f>J5-K5</f>
        <v>20</v>
      </c>
      <c r="M5" s="1335"/>
      <c r="N5" s="1335"/>
      <c r="O5" s="1336"/>
    </row>
    <row r="6" spans="1:21" s="287" customFormat="1" ht="24" customHeight="1">
      <c r="A6" s="304">
        <v>3</v>
      </c>
      <c r="B6" s="305" t="str">
        <f>IF(ISBLANK(Data!E83),"",Data!E83)</f>
        <v/>
      </c>
      <c r="C6" s="306" t="str">
        <f>IF(ISBLANK(Data!F83),"",Data!F83)</f>
        <v/>
      </c>
      <c r="D6" s="307">
        <f>IF(C5="",0,IF(B5="",0,IF(C5&gt;B5,(C5-B5)*60/0.041666666667,(1-B5)*60/0.0416666666667+C5*60/0.041666666667)))</f>
        <v>0</v>
      </c>
      <c r="E6" s="1331">
        <v>0</v>
      </c>
      <c r="F6" s="1332"/>
      <c r="G6" s="1333"/>
      <c r="H6" s="1331">
        <f>E6+J6</f>
        <v>0</v>
      </c>
      <c r="I6" s="1333"/>
      <c r="J6" s="429">
        <f>รายงานการผลิต!F19</f>
        <v>0</v>
      </c>
      <c r="K6" s="1010">
        <f>รายงานการผลิต!G19</f>
        <v>0</v>
      </c>
      <c r="L6" s="1334">
        <f>J6-K6</f>
        <v>0</v>
      </c>
      <c r="M6" s="1335"/>
      <c r="N6" s="1335"/>
      <c r="O6" s="1336"/>
    </row>
    <row r="7" spans="1:21">
      <c r="A7" s="308" t="s">
        <v>169</v>
      </c>
      <c r="B7" s="309"/>
      <c r="C7" s="309"/>
      <c r="D7" s="309"/>
      <c r="E7" s="310" t="s">
        <v>170</v>
      </c>
      <c r="F7" s="310" t="s">
        <v>171</v>
      </c>
      <c r="G7" s="311" t="s">
        <v>172</v>
      </c>
      <c r="H7" s="310" t="s">
        <v>173</v>
      </c>
      <c r="I7" s="433" t="s">
        <v>174</v>
      </c>
      <c r="J7" s="309"/>
      <c r="K7" s="309"/>
      <c r="L7" s="434" t="s">
        <v>170</v>
      </c>
      <c r="M7" s="434" t="s">
        <v>171</v>
      </c>
      <c r="N7" s="434" t="s">
        <v>172</v>
      </c>
      <c r="O7" s="435" t="s">
        <v>173</v>
      </c>
      <c r="Q7" s="519" t="s">
        <v>175</v>
      </c>
      <c r="R7" s="520"/>
      <c r="S7" s="520"/>
      <c r="T7" s="520"/>
      <c r="U7" s="521"/>
    </row>
    <row r="8" spans="1:21" ht="24" customHeight="1">
      <c r="A8" s="308" t="s">
        <v>176</v>
      </c>
      <c r="B8" s="309"/>
      <c r="C8" s="309"/>
      <c r="D8" s="312" t="s">
        <v>5</v>
      </c>
      <c r="E8" s="313">
        <f>IF(ISBLANK(Data!H65),0,Data!H65)</f>
        <v>10</v>
      </c>
      <c r="F8" s="313">
        <f>IF(ISBLANK(Data!$H77),0,Data!$H77)</f>
        <v>0</v>
      </c>
      <c r="G8" s="1011">
        <f>IF(ISBLANK(Data!$H83),0,Data!$H83)</f>
        <v>0</v>
      </c>
      <c r="H8" s="314">
        <f>SUM(E8:G8)</f>
        <v>10</v>
      </c>
      <c r="I8" s="433" t="s">
        <v>177</v>
      </c>
      <c r="J8" s="309"/>
      <c r="K8" s="309"/>
      <c r="L8" s="436">
        <f>IF(ISBLANK(Data!T$65),0,Data!T$65)</f>
        <v>0</v>
      </c>
      <c r="M8" s="313">
        <f>IF(ISBLANK(Data!T$77),0,Data!T$77)</f>
        <v>0</v>
      </c>
      <c r="N8" s="437">
        <f>IF(ISBLANK(Data!T$83),0,Data!T$83)</f>
        <v>0</v>
      </c>
      <c r="O8" s="438">
        <f>SUM(L8:N8)</f>
        <v>0</v>
      </c>
      <c r="Q8" s="522" t="s">
        <v>178</v>
      </c>
      <c r="R8" s="523"/>
      <c r="S8" s="523"/>
      <c r="T8" s="523"/>
      <c r="U8" s="524"/>
    </row>
    <row r="9" spans="1:21" ht="24" customHeight="1">
      <c r="A9" s="308" t="s">
        <v>179</v>
      </c>
      <c r="B9" s="309"/>
      <c r="C9" s="309"/>
      <c r="D9" s="309" t="s">
        <v>5</v>
      </c>
      <c r="E9" s="313">
        <f>IF(ISBLANK(Data!I65),0,Data!I65)</f>
        <v>10</v>
      </c>
      <c r="F9" s="315">
        <f>IF(ISBLANK(Data!$I77),0,Data!$I77)</f>
        <v>0</v>
      </c>
      <c r="G9" s="1011">
        <f>IF(ISBLANK(Data!$I83),0,Data!$I83)</f>
        <v>0</v>
      </c>
      <c r="H9" s="314">
        <f>SUM(E9:G9)</f>
        <v>10</v>
      </c>
      <c r="I9" s="433" t="s">
        <v>180</v>
      </c>
      <c r="J9" s="309"/>
      <c r="K9" s="309"/>
      <c r="L9" s="313"/>
      <c r="M9" s="313"/>
      <c r="N9" s="437"/>
      <c r="O9" s="438">
        <f>SUM(L9:N9)</f>
        <v>0</v>
      </c>
      <c r="Q9" s="522" t="s">
        <v>181</v>
      </c>
      <c r="R9" s="523"/>
      <c r="S9" s="523"/>
      <c r="T9" s="523"/>
      <c r="U9" s="524"/>
    </row>
    <row r="10" spans="1:21" ht="24" customHeight="1">
      <c r="A10" s="308" t="s">
        <v>182</v>
      </c>
      <c r="B10" s="309"/>
      <c r="C10" s="309"/>
      <c r="D10" s="309"/>
      <c r="E10" s="313">
        <f>IF(ISBLANK(Data!J65),0,Data!J65)</f>
        <v>20</v>
      </c>
      <c r="F10" s="313">
        <f>IF(ISBLANK(Data!$J77),0,Data!$J77)</f>
        <v>0</v>
      </c>
      <c r="G10" s="1011">
        <f>IF(ISBLANK(Data!$J83),0,Data!$J83)</f>
        <v>0</v>
      </c>
      <c r="H10" s="314">
        <f>SUM(E10:G10)</f>
        <v>20</v>
      </c>
      <c r="I10" s="433" t="s">
        <v>5</v>
      </c>
      <c r="J10" s="309"/>
      <c r="K10" s="309"/>
      <c r="L10" s="313"/>
      <c r="M10" s="313"/>
      <c r="N10" s="437"/>
      <c r="O10" s="438">
        <f>SUM(L10:N10)</f>
        <v>0</v>
      </c>
      <c r="Q10" s="522" t="s">
        <v>183</v>
      </c>
      <c r="R10" s="523"/>
      <c r="S10" s="523"/>
      <c r="T10" s="523"/>
      <c r="U10" s="524"/>
    </row>
    <row r="11" spans="1:21" ht="24" customHeight="1">
      <c r="A11" s="308" t="s">
        <v>184</v>
      </c>
      <c r="B11" s="309"/>
      <c r="C11" s="309"/>
      <c r="D11" s="309"/>
      <c r="E11" s="313">
        <f>IF(ISBLANK(Data!K65),0,Data!K65)</f>
        <v>30</v>
      </c>
      <c r="F11" s="313">
        <f>IF(ISBLANK(Data!$K77),0,Data!$K77)</f>
        <v>0</v>
      </c>
      <c r="G11" s="1011">
        <f>IF(ISBLANK(Data!$K83),0,Data!$K83)</f>
        <v>0</v>
      </c>
      <c r="H11" s="314">
        <f>SUM(E11:G11)</f>
        <v>30</v>
      </c>
      <c r="I11" s="433" t="s">
        <v>5</v>
      </c>
      <c r="J11" s="309"/>
      <c r="K11" s="309"/>
      <c r="L11" s="313"/>
      <c r="M11" s="313"/>
      <c r="N11" s="437"/>
      <c r="O11" s="438">
        <f>SUM(L11:N11)</f>
        <v>0</v>
      </c>
      <c r="Q11" s="1318" t="s">
        <v>185</v>
      </c>
      <c r="R11" s="1319"/>
      <c r="S11" s="1319"/>
      <c r="T11" s="1319"/>
      <c r="U11" s="524"/>
    </row>
    <row r="12" spans="1:21" ht="24" customHeight="1">
      <c r="A12" s="316" t="s">
        <v>186</v>
      </c>
      <c r="B12" s="296"/>
      <c r="C12" s="296"/>
      <c r="D12" s="296"/>
      <c r="E12" s="314">
        <f>SUM(E8:E11)</f>
        <v>70</v>
      </c>
      <c r="F12" s="314">
        <f>SUM(F8:F11)</f>
        <v>0</v>
      </c>
      <c r="G12" s="317">
        <f>SUM(G8:G11)</f>
        <v>0</v>
      </c>
      <c r="H12" s="314">
        <f>SUM(E12:G12)</f>
        <v>70</v>
      </c>
      <c r="I12" s="884" t="s">
        <v>187</v>
      </c>
      <c r="J12" s="296"/>
      <c r="K12" s="296"/>
      <c r="L12" s="439">
        <f>SUM(L8:L11)</f>
        <v>0</v>
      </c>
      <c r="M12" s="439">
        <f>SUM(M8:M11)</f>
        <v>0</v>
      </c>
      <c r="N12" s="439">
        <f>SUM(N8:N11)</f>
        <v>0</v>
      </c>
      <c r="O12" s="438">
        <f>SUM(L12:N12)</f>
        <v>0</v>
      </c>
      <c r="Q12" s="522" t="s">
        <v>188</v>
      </c>
      <c r="R12" s="523"/>
      <c r="S12" s="523"/>
      <c r="T12" s="523"/>
      <c r="U12" s="524"/>
    </row>
    <row r="13" spans="1:21" ht="24" customHeight="1">
      <c r="A13" s="308" t="s">
        <v>189</v>
      </c>
      <c r="B13" s="309"/>
      <c r="C13" s="309"/>
      <c r="D13" s="309"/>
      <c r="E13" s="310" t="s">
        <v>170</v>
      </c>
      <c r="F13" s="310" t="s">
        <v>171</v>
      </c>
      <c r="G13" s="311" t="s">
        <v>172</v>
      </c>
      <c r="H13" s="318" t="s">
        <v>173</v>
      </c>
      <c r="I13" s="433" t="s">
        <v>190</v>
      </c>
      <c r="J13" s="309"/>
      <c r="K13" s="309"/>
      <c r="L13" s="434" t="s">
        <v>170</v>
      </c>
      <c r="M13" s="434" t="s">
        <v>171</v>
      </c>
      <c r="N13" s="434" t="s">
        <v>172</v>
      </c>
      <c r="O13" s="435" t="s">
        <v>173</v>
      </c>
      <c r="Q13" s="525" t="s">
        <v>191</v>
      </c>
      <c r="R13" s="526"/>
      <c r="S13" s="526"/>
      <c r="T13" s="526"/>
      <c r="U13" s="527"/>
    </row>
    <row r="14" spans="1:21" ht="24" customHeight="1">
      <c r="A14" s="308" t="s">
        <v>192</v>
      </c>
      <c r="B14" s="309"/>
      <c r="C14" s="309"/>
      <c r="D14" s="309"/>
      <c r="E14" s="313">
        <f>IF(ISBLANK(Data!L$65),0,Data!L$65)</f>
        <v>0</v>
      </c>
      <c r="F14" s="313">
        <f>IF(ISBLANK(Data!L$77),0,Data!L$77)</f>
        <v>0</v>
      </c>
      <c r="G14" s="315">
        <f>IF(ISBLANK(Data!L$83),0,Data!L$83)</f>
        <v>0</v>
      </c>
      <c r="H14" s="319">
        <f t="shared" ref="H14:H22" si="0">SUM(E14:G14)</f>
        <v>0</v>
      </c>
      <c r="I14" s="433" t="s">
        <v>193</v>
      </c>
      <c r="J14" s="309"/>
      <c r="K14" s="309"/>
      <c r="L14" s="313">
        <f>IF(ISBLANK(Data!U$65),0,Data!U$65)</f>
        <v>0</v>
      </c>
      <c r="M14" s="313">
        <f>IF(ISBLANK(Data!U$77),0,Data!U$77)</f>
        <v>0</v>
      </c>
      <c r="N14" s="315">
        <f>IF(ISBLANK(Data!U$83),0,Data!U$83)</f>
        <v>0</v>
      </c>
      <c r="O14" s="440">
        <f t="shared" ref="O14:O19" si="1">SUM(L14:N14)</f>
        <v>0</v>
      </c>
      <c r="Q14" s="528"/>
      <c r="R14" s="528"/>
      <c r="S14" s="528"/>
      <c r="T14" s="528"/>
      <c r="U14" s="528"/>
    </row>
    <row r="15" spans="1:21" ht="24" customHeight="1">
      <c r="A15" s="308" t="s">
        <v>194</v>
      </c>
      <c r="B15" s="309"/>
      <c r="C15" s="309"/>
      <c r="D15" s="309"/>
      <c r="E15" s="313">
        <f>IF(ISBLANK(Data!M$65),0,Data!M$65)</f>
        <v>0</v>
      </c>
      <c r="F15" s="313">
        <f>IF(ISBLANK(Data!M$77),0,Data!M$77)</f>
        <v>0</v>
      </c>
      <c r="G15" s="315">
        <f>IF(ISBLANK(Data!M$83),0,Data!M$83)</f>
        <v>0</v>
      </c>
      <c r="H15" s="319">
        <f t="shared" si="0"/>
        <v>0</v>
      </c>
      <c r="I15" s="433" t="s">
        <v>195</v>
      </c>
      <c r="J15" s="309"/>
      <c r="K15" s="309"/>
      <c r="L15" s="313">
        <f>IF(ISBLANK(Data!V$65),0,Data!V$65)</f>
        <v>0</v>
      </c>
      <c r="M15" s="313">
        <f>IF(ISBLANK(Data!V$77),0,Data!V$77)</f>
        <v>0</v>
      </c>
      <c r="N15" s="315">
        <f>IF(ISBLANK(Data!V$83),0,Data!V$83)</f>
        <v>0</v>
      </c>
      <c r="O15" s="440">
        <f t="shared" si="1"/>
        <v>0</v>
      </c>
      <c r="Q15" s="529" t="s">
        <v>196</v>
      </c>
      <c r="R15" s="530"/>
      <c r="S15" s="530"/>
      <c r="T15" s="530"/>
      <c r="U15" s="531"/>
    </row>
    <row r="16" spans="1:21" ht="24" customHeight="1">
      <c r="A16" s="308" t="s">
        <v>197</v>
      </c>
      <c r="B16" s="309"/>
      <c r="C16" s="309"/>
      <c r="D16" s="309"/>
      <c r="E16" s="313">
        <f>IF(ISBLANK(Data!N$65),0,Data!N$65)</f>
        <v>0</v>
      </c>
      <c r="F16" s="313">
        <f>IF(ISBLANK(Data!N$77),0,Data!N$77)</f>
        <v>0</v>
      </c>
      <c r="G16" s="315">
        <f>IF(ISBLANK(Data!N$83),0,Data!N$83)</f>
        <v>0</v>
      </c>
      <c r="H16" s="319">
        <f t="shared" si="0"/>
        <v>0</v>
      </c>
      <c r="I16" s="433" t="s">
        <v>198</v>
      </c>
      <c r="J16" s="309"/>
      <c r="K16" s="309"/>
      <c r="L16" s="313">
        <f>IF(ISBLANK(Data!W$65),0,Data!W$65)</f>
        <v>0</v>
      </c>
      <c r="M16" s="313">
        <f>IF(ISBLANK(Data!W$77),0,Data!W$77)</f>
        <v>0</v>
      </c>
      <c r="N16" s="315">
        <f>IF(ISBLANK(Data!W$83),0,Data!W$83)</f>
        <v>0</v>
      </c>
      <c r="O16" s="440">
        <f t="shared" si="1"/>
        <v>0</v>
      </c>
      <c r="Q16" s="532" t="s">
        <v>199</v>
      </c>
      <c r="R16" s="533"/>
      <c r="S16" s="533"/>
      <c r="T16" s="533"/>
      <c r="U16" s="534"/>
    </row>
    <row r="17" spans="1:21" ht="24" customHeight="1">
      <c r="A17" s="308" t="s">
        <v>200</v>
      </c>
      <c r="B17" s="309"/>
      <c r="C17" s="309"/>
      <c r="D17" s="309"/>
      <c r="E17" s="313">
        <f>IF(ISBLANK(Data!O$65),0,Data!O$65)</f>
        <v>0</v>
      </c>
      <c r="F17" s="313">
        <f>IF(ISBLANK(Data!O$77),0,Data!O$77)</f>
        <v>0</v>
      </c>
      <c r="G17" s="313">
        <f>IF(ISBLANK(Data!O$83),0,Data!O$83)</f>
        <v>0</v>
      </c>
      <c r="H17" s="319">
        <f t="shared" si="0"/>
        <v>0</v>
      </c>
      <c r="I17" s="433" t="s">
        <v>201</v>
      </c>
      <c r="J17" s="309"/>
      <c r="K17" s="309"/>
      <c r="L17" s="313">
        <f>IF(ISBLANK(Data!X$65),0,Data!X$65)</f>
        <v>0</v>
      </c>
      <c r="M17" s="313">
        <f>IF(ISBLANK(Data!X$77),0,Data!X$77)</f>
        <v>0</v>
      </c>
      <c r="N17" s="315">
        <f>IF(ISBLANK(Data!X$83),0,Data!X$83)</f>
        <v>0</v>
      </c>
      <c r="O17" s="440">
        <f t="shared" si="1"/>
        <v>0</v>
      </c>
      <c r="Q17" s="535" t="s">
        <v>202</v>
      </c>
      <c r="R17" s="536"/>
      <c r="S17" s="536"/>
      <c r="T17" s="536"/>
      <c r="U17" s="537"/>
    </row>
    <row r="18" spans="1:21" ht="24" customHeight="1">
      <c r="A18" s="308" t="s">
        <v>203</v>
      </c>
      <c r="B18" s="309"/>
      <c r="C18" s="309"/>
      <c r="D18" s="309"/>
      <c r="E18" s="320">
        <f>IF(ISBLANK(Data!P$65),0,Data!P$65)</f>
        <v>0</v>
      </c>
      <c r="F18" s="313">
        <f>IF(ISBLANK(Data!P$77),0,Data!P$77)</f>
        <v>0</v>
      </c>
      <c r="G18" s="313">
        <f>IF(ISBLANK(Data!P$83),0,Data!P$83)</f>
        <v>0</v>
      </c>
      <c r="H18" s="319">
        <f t="shared" si="0"/>
        <v>0</v>
      </c>
      <c r="I18" s="433" t="s">
        <v>204</v>
      </c>
      <c r="J18" s="309"/>
      <c r="K18" s="309"/>
      <c r="L18" s="313">
        <f>IF(ISBLANK(Data!Y$65),0,Data!Y$65)</f>
        <v>0</v>
      </c>
      <c r="M18" s="313">
        <f>IF(ISBLANK(Data!Y$77),0,Data!Y$77)</f>
        <v>0</v>
      </c>
      <c r="N18" s="315">
        <f>IF(ISBLANK(Data!Y$83),0,Data!Y$83)</f>
        <v>0</v>
      </c>
      <c r="O18" s="440">
        <f t="shared" si="1"/>
        <v>0</v>
      </c>
    </row>
    <row r="19" spans="1:21" ht="24" customHeight="1">
      <c r="A19" s="308" t="s">
        <v>205</v>
      </c>
      <c r="B19" s="309"/>
      <c r="C19" s="309"/>
      <c r="D19" s="309"/>
      <c r="E19" s="313">
        <f>IF(ISBLANK(Data!Q$65),0,Data!Q$65)</f>
        <v>0</v>
      </c>
      <c r="F19" s="313">
        <f>IF(ISBLANK(Data!Q$77),0,Data!Q$77)</f>
        <v>0</v>
      </c>
      <c r="G19" s="315">
        <f>IF(ISBLANK(Data!R$83),0,Data!R$83)</f>
        <v>0</v>
      </c>
      <c r="H19" s="319">
        <f t="shared" si="0"/>
        <v>0</v>
      </c>
      <c r="I19" s="441" t="s">
        <v>206</v>
      </c>
      <c r="J19" s="309"/>
      <c r="K19" s="309"/>
      <c r="L19" s="313">
        <f>IF(ISBLANK(Data!Z$65),0,Data!Z$65)</f>
        <v>0</v>
      </c>
      <c r="M19" s="313">
        <f>IF(ISBLANK(Data!Z77),0,Data!Z$77)</f>
        <v>0</v>
      </c>
      <c r="N19" s="315">
        <f>IF(ISBLANK(Data!Z$83),0,Data!Z$83)</f>
        <v>0</v>
      </c>
      <c r="O19" s="440">
        <f t="shared" si="1"/>
        <v>0</v>
      </c>
    </row>
    <row r="20" spans="1:21" ht="24" customHeight="1">
      <c r="A20" s="308" t="s">
        <v>207</v>
      </c>
      <c r="B20" s="309"/>
      <c r="C20" s="309"/>
      <c r="D20" s="309"/>
      <c r="E20" s="313">
        <f>IF(ISBLANK(Data!R$65),0,Data!R$65)</f>
        <v>0</v>
      </c>
      <c r="F20" s="313">
        <f>IF(ISBLANK(Data!R$77),0,Data!R$77)</f>
        <v>0</v>
      </c>
      <c r="G20" s="315">
        <f>IF(ISBLANK(Data!S$83),0,Data!S$83)</f>
        <v>0</v>
      </c>
      <c r="H20" s="319">
        <f t="shared" si="0"/>
        <v>0</v>
      </c>
      <c r="I20" s="442"/>
      <c r="J20" s="309"/>
      <c r="K20" s="309"/>
      <c r="L20" s="443"/>
      <c r="M20" s="443"/>
      <c r="N20" s="444"/>
      <c r="O20" s="440"/>
    </row>
    <row r="21" spans="1:21" ht="24" customHeight="1">
      <c r="A21" s="308"/>
      <c r="B21" s="309"/>
      <c r="C21" s="309"/>
      <c r="D21" s="309"/>
      <c r="E21" s="313">
        <f>IF(ISBLANK(Data!S$65),0,Data!S$65)</f>
        <v>0</v>
      </c>
      <c r="F21" s="313">
        <f>IF(ISBLANK(Data!S$77),0,Data!S$77)</f>
        <v>0</v>
      </c>
      <c r="G21" s="315">
        <f>IF(ISBLANK(Data!T$83),0,Data!T$83)</f>
        <v>0</v>
      </c>
      <c r="H21" s="319">
        <f t="shared" si="0"/>
        <v>0</v>
      </c>
      <c r="I21" s="433"/>
      <c r="J21" s="309"/>
      <c r="K21" s="309"/>
      <c r="L21" s="443"/>
      <c r="M21" s="443"/>
      <c r="N21" s="445"/>
      <c r="O21" s="440"/>
    </row>
    <row r="22" spans="1:21" ht="23.25" customHeight="1">
      <c r="A22" s="885" t="s">
        <v>208</v>
      </c>
      <c r="B22" s="321"/>
      <c r="C22" s="296"/>
      <c r="D22" s="296"/>
      <c r="E22" s="322">
        <f>SUM(E14:E21)</f>
        <v>0</v>
      </c>
      <c r="F22" s="322">
        <f>SUM(F14:F21)</f>
        <v>0</v>
      </c>
      <c r="G22" s="322">
        <f>SUM(G14:G21)</f>
        <v>0</v>
      </c>
      <c r="H22" s="323">
        <f t="shared" si="0"/>
        <v>0</v>
      </c>
      <c r="I22" s="296" t="s">
        <v>209</v>
      </c>
      <c r="J22" s="296"/>
      <c r="K22" s="296"/>
      <c r="L22" s="322">
        <f>SUM(L14:L19)</f>
        <v>0</v>
      </c>
      <c r="M22" s="322">
        <f>SUM(M14:M19)</f>
        <v>0</v>
      </c>
      <c r="N22" s="322">
        <f>SUM(N14:N19)</f>
        <v>0</v>
      </c>
      <c r="O22" s="440">
        <f>SUM(L22:N22)</f>
        <v>0</v>
      </c>
    </row>
    <row r="23" spans="1:21" ht="25" customHeight="1">
      <c r="A23" s="1320" t="s">
        <v>210</v>
      </c>
      <c r="B23" s="1321"/>
      <c r="C23" s="324" t="s">
        <v>211</v>
      </c>
      <c r="D23" s="1322" t="s">
        <v>212</v>
      </c>
      <c r="E23" s="1323"/>
      <c r="F23" s="1323"/>
      <c r="G23" s="1323"/>
      <c r="H23" s="1324"/>
      <c r="I23" s="446" t="s">
        <v>213</v>
      </c>
      <c r="J23" s="447" t="s">
        <v>214</v>
      </c>
      <c r="K23" s="1325" t="s">
        <v>215</v>
      </c>
      <c r="L23" s="1326"/>
      <c r="M23" s="1326"/>
      <c r="N23" s="1326"/>
      <c r="O23" s="1327"/>
    </row>
    <row r="24" spans="1:21" ht="18.75" customHeight="1">
      <c r="A24" s="325" t="str">
        <f>IF(ISBLANK(Data!E85),"",Data!E85)</f>
        <v/>
      </c>
      <c r="B24" s="1012" t="str">
        <f>IF(ISBLANK(Data!F85),"",Data!F85)</f>
        <v/>
      </c>
      <c r="C24" s="326">
        <f t="shared" ref="C24:C32" si="2">IF(B24="",0,IF(A24=0,0,IF(B24&gt;A24,(B24-A24)*60/0.041666666667,(1-A24)*60/0.04166666667+B24*60/0.0416666666667)))</f>
        <v>0</v>
      </c>
      <c r="D24" s="1013" t="str">
        <f>IF(ISBLANK(Data!H85),"",Data!H85)</f>
        <v/>
      </c>
      <c r="E24" s="1014"/>
      <c r="F24" s="1014"/>
      <c r="G24" s="1014"/>
      <c r="H24" s="1015"/>
      <c r="I24" s="1016" t="str">
        <f>IF(ISBLANK(Data!I85),"",Data!I85)</f>
        <v/>
      </c>
      <c r="J24" s="1017" t="str">
        <f>IF(ISBLANK(Data!J85),"",Data!J85)</f>
        <v/>
      </c>
      <c r="K24" s="1013" t="str">
        <f>IF(ISBLANK(Data!K85),"",Data!K85)</f>
        <v/>
      </c>
      <c r="L24" s="1018"/>
      <c r="M24" s="1019"/>
      <c r="N24" s="1019"/>
      <c r="O24" s="1020"/>
    </row>
    <row r="25" spans="1:21" ht="18.75" customHeight="1">
      <c r="A25" s="325" t="str">
        <f>IF(ISBLANK(Data!E86),"",Data!E86)</f>
        <v/>
      </c>
      <c r="B25" s="1012" t="str">
        <f>IF(ISBLANK(Data!F86),"",Data!F86)</f>
        <v/>
      </c>
      <c r="C25" s="327">
        <f t="shared" si="2"/>
        <v>0</v>
      </c>
      <c r="D25" s="1013" t="str">
        <f>IF(ISBLANK(Data!H86),"",Data!H86)</f>
        <v/>
      </c>
      <c r="E25" s="1014"/>
      <c r="F25" s="1014"/>
      <c r="G25" s="1014"/>
      <c r="H25" s="1015"/>
      <c r="I25" s="1016" t="str">
        <f>IF(ISBLANK(Data!I86),"",Data!I86)</f>
        <v/>
      </c>
      <c r="J25" s="1017" t="str">
        <f>IF(ISBLANK(Data!J86),"",Data!J86)</f>
        <v/>
      </c>
      <c r="K25" s="1013" t="str">
        <f>IF(ISBLANK(Data!K86),"",Data!K86)</f>
        <v/>
      </c>
      <c r="L25" s="1018"/>
      <c r="M25" s="1019"/>
      <c r="N25" s="1019"/>
      <c r="O25" s="1020"/>
      <c r="Q25" s="289" t="s">
        <v>216</v>
      </c>
    </row>
    <row r="26" spans="1:21" ht="18.75" customHeight="1">
      <c r="A26" s="325" t="str">
        <f>IF(ISBLANK(Data!E87),"",Data!E87)</f>
        <v/>
      </c>
      <c r="B26" s="1012" t="str">
        <f>IF(ISBLANK(Data!F87),"",Data!F87)</f>
        <v/>
      </c>
      <c r="C26" s="328">
        <f t="shared" si="2"/>
        <v>0</v>
      </c>
      <c r="D26" s="1013" t="str">
        <f>IF(ISBLANK(Data!H87),"",Data!H87)</f>
        <v/>
      </c>
      <c r="E26" s="1014"/>
      <c r="F26" s="1014"/>
      <c r="G26" s="1014"/>
      <c r="H26" s="1015"/>
      <c r="I26" s="1016" t="str">
        <f>IF(ISBLANK(Data!I87),"",Data!I87)</f>
        <v/>
      </c>
      <c r="J26" s="1017" t="str">
        <f>IF(ISBLANK(Data!J87),"",Data!J87)</f>
        <v/>
      </c>
      <c r="K26" s="1013" t="str">
        <f>IF(ISBLANK(Data!K87),"",Data!K87)</f>
        <v/>
      </c>
      <c r="L26" s="1018"/>
      <c r="M26" s="1019"/>
      <c r="N26" s="1019"/>
      <c r="O26" s="1020"/>
    </row>
    <row r="27" spans="1:21" ht="18.75" customHeight="1">
      <c r="A27" s="325" t="str">
        <f>IF(ISBLANK(Data!E91),"",Data!E91)</f>
        <v/>
      </c>
      <c r="B27" s="1012" t="str">
        <f>IF(ISBLANK(Data!F91),"",Data!F91)</f>
        <v/>
      </c>
      <c r="C27" s="328">
        <f t="shared" si="2"/>
        <v>0</v>
      </c>
      <c r="D27" s="1013" t="str">
        <f>IF(ISBLANK(Data!H91),"",Data!H91)</f>
        <v/>
      </c>
      <c r="E27" s="1014"/>
      <c r="F27" s="1014"/>
      <c r="G27" s="1014"/>
      <c r="H27" s="1015"/>
      <c r="I27" s="1016" t="str">
        <f>IF(ISBLANK(Data!I91),"",Data!I91)</f>
        <v/>
      </c>
      <c r="J27" s="1017" t="str">
        <f>IF(ISBLANK(Data!J91),"",Data!J91)</f>
        <v/>
      </c>
      <c r="K27" s="1013" t="str">
        <f>IF(ISBLANK(Data!K91),"",Data!K91)</f>
        <v/>
      </c>
      <c r="L27" s="1018"/>
      <c r="M27" s="1019"/>
      <c r="N27" s="1019"/>
      <c r="O27" s="1020"/>
    </row>
    <row r="28" spans="1:21" ht="18.75" customHeight="1">
      <c r="A28" s="329" t="str">
        <f>IF(ISBLANK(Data!E92),"",Data!E92)</f>
        <v/>
      </c>
      <c r="B28" s="1021" t="str">
        <f>IF(ISBLANK(Data!F92),"",Data!F92)</f>
        <v/>
      </c>
      <c r="C28" s="330">
        <f t="shared" si="2"/>
        <v>0</v>
      </c>
      <c r="D28" s="331" t="str">
        <f>IF(ISBLANK(Data!H92),"",Data!H92)</f>
        <v/>
      </c>
      <c r="E28" s="1014"/>
      <c r="F28" s="1014"/>
      <c r="G28" s="1014"/>
      <c r="H28" s="1022"/>
      <c r="I28" s="1016" t="str">
        <f>IF(ISBLANK(Data!I92),"",Data!I92)</f>
        <v/>
      </c>
      <c r="J28" s="1017" t="str">
        <f>IF(ISBLANK(Data!J92),"",Data!J92)</f>
        <v/>
      </c>
      <c r="K28" s="1013" t="str">
        <f>IF(ISBLANK(Data!K92),"",Data!K92)</f>
        <v/>
      </c>
      <c r="L28" s="1018"/>
      <c r="M28" s="1019"/>
      <c r="N28" s="1019"/>
      <c r="O28" s="1020"/>
      <c r="Q28" s="289" t="s">
        <v>217</v>
      </c>
    </row>
    <row r="29" spans="1:21" ht="18.75" customHeight="1">
      <c r="A29" s="332" t="e">
        <f>IF(ISBLANK(Data!#REF!),"",Data!#REF!)</f>
        <v>#REF!</v>
      </c>
      <c r="B29" s="333" t="e">
        <f>IF(ISBLANK(Data!#REF!),"",Data!#REF!)</f>
        <v>#REF!</v>
      </c>
      <c r="C29" s="334" t="e">
        <f t="shared" si="2"/>
        <v>#REF!</v>
      </c>
      <c r="D29" s="335" t="e">
        <f>IF(ISBLANK(Data!#REF!),"",Data!#REF!)</f>
        <v>#REF!</v>
      </c>
      <c r="E29" s="336"/>
      <c r="F29" s="336"/>
      <c r="G29" s="336"/>
      <c r="H29" s="337"/>
      <c r="I29" s="1016" t="e">
        <f>IF(ISBLANK(Data!#REF!),"",Data!#REF!)</f>
        <v>#REF!</v>
      </c>
      <c r="J29" s="448" t="e">
        <f>IF(ISBLANK(Data!#REF!),"",Data!#REF!)</f>
        <v>#REF!</v>
      </c>
      <c r="K29" s="449" t="e">
        <f>IF(ISBLANK(Data!#REF!),"",Data!#REF!)</f>
        <v>#REF!</v>
      </c>
      <c r="L29" s="450"/>
      <c r="M29" s="451"/>
      <c r="N29" s="451"/>
      <c r="O29" s="452"/>
    </row>
    <row r="30" spans="1:21" ht="18.75" customHeight="1">
      <c r="A30" s="329" t="str">
        <f>IF(ISBLANK(Data!E96),"",Data!E96)</f>
        <v/>
      </c>
      <c r="B30" s="1021" t="str">
        <f>IF(ISBLANK(Data!F96),"",Data!F96)</f>
        <v/>
      </c>
      <c r="C30" s="327">
        <f t="shared" si="2"/>
        <v>0</v>
      </c>
      <c r="D30" s="335" t="str">
        <f>IF(ISBLANK(Data!H96),"",Data!H96)</f>
        <v/>
      </c>
      <c r="E30" s="336"/>
      <c r="F30" s="1014"/>
      <c r="G30" s="1014"/>
      <c r="H30" s="1022"/>
      <c r="I30" s="1016" t="str">
        <f>IF(ISBLANK(Data!I96),"",Data!I96)</f>
        <v/>
      </c>
      <c r="J30" s="1023" t="str">
        <f>IF(ISBLANK(Data!J96),"",Data!J96)</f>
        <v/>
      </c>
      <c r="K30" s="1024" t="str">
        <f>IF(ISBLANK(Data!K96),"",Data!K96)</f>
        <v/>
      </c>
      <c r="L30" s="1018"/>
      <c r="M30" s="1019"/>
      <c r="N30" s="1019"/>
      <c r="O30" s="1020"/>
    </row>
    <row r="31" spans="1:21" ht="18.75" customHeight="1">
      <c r="A31" s="329" t="str">
        <f>IF(ISBLANK(Data!E97),"",Data!E97)</f>
        <v/>
      </c>
      <c r="B31" s="1021" t="str">
        <f>IF(ISBLANK(Data!F97),"",Data!F97)</f>
        <v/>
      </c>
      <c r="C31" s="327">
        <f t="shared" si="2"/>
        <v>0</v>
      </c>
      <c r="D31" s="1013" t="str">
        <f>IF(ISBLANK(Data!H97),"",Data!H97)</f>
        <v/>
      </c>
      <c r="E31" s="1014"/>
      <c r="F31" s="1014"/>
      <c r="G31" s="1014"/>
      <c r="H31" s="1022"/>
      <c r="I31" s="1016" t="str">
        <f>IF(ISBLANK(Data!I97),"",Data!I97)</f>
        <v/>
      </c>
      <c r="J31" s="1023" t="str">
        <f>IF(ISBLANK(Data!J97),"",Data!J97)</f>
        <v/>
      </c>
      <c r="K31" s="1024" t="str">
        <f>IF(ISBLANK(Data!K97),"",Data!K97)</f>
        <v/>
      </c>
      <c r="L31" s="1018"/>
      <c r="M31" s="1019"/>
      <c r="N31" s="1019"/>
      <c r="O31" s="1020"/>
      <c r="Q31" s="289" t="s">
        <v>218</v>
      </c>
    </row>
    <row r="32" spans="1:21" ht="18.75" customHeight="1">
      <c r="A32" s="338" t="e">
        <f>IF(ISBLANK(Data!#REF!),"",Data!#REF!)</f>
        <v>#REF!</v>
      </c>
      <c r="B32" s="339" t="e">
        <f>IF(ISBLANK(Data!#REF!),"",Data!#REF!)</f>
        <v>#REF!</v>
      </c>
      <c r="C32" s="340" t="e">
        <f t="shared" si="2"/>
        <v>#REF!</v>
      </c>
      <c r="D32" s="341" t="e">
        <f>IF(ISBLANK(Data!#REF!),"",Data!#REF!)</f>
        <v>#REF!</v>
      </c>
      <c r="E32" s="342"/>
      <c r="F32" s="342"/>
      <c r="G32" s="342"/>
      <c r="H32" s="343"/>
      <c r="I32" s="453" t="e">
        <f>IF(ISBLANK(Data!#REF!),"",Data!#REF!)</f>
        <v>#REF!</v>
      </c>
      <c r="J32" s="454" t="e">
        <f>IF(ISBLANK(Data!#REF!),"",Data!#REF!)</f>
        <v>#REF!</v>
      </c>
      <c r="K32" s="455" t="e">
        <f>IF(ISBLANK(Data!#REF!),"",Data!#REF!)</f>
        <v>#REF!</v>
      </c>
      <c r="L32" s="456"/>
      <c r="M32" s="457"/>
      <c r="N32" s="457"/>
      <c r="O32" s="458"/>
    </row>
    <row r="33" spans="1:18" ht="25" customHeight="1">
      <c r="A33" s="344" t="s">
        <v>219</v>
      </c>
      <c r="B33" s="345"/>
      <c r="C33" s="346" t="s">
        <v>220</v>
      </c>
      <c r="D33" s="347"/>
      <c r="E33" s="348"/>
      <c r="F33" s="349"/>
      <c r="G33" s="350"/>
      <c r="H33" s="350"/>
      <c r="I33" s="459" t="s">
        <v>221</v>
      </c>
      <c r="J33" s="415"/>
      <c r="K33" s="415"/>
      <c r="L33" s="460" t="s">
        <v>170</v>
      </c>
      <c r="M33" s="460" t="s">
        <v>171</v>
      </c>
      <c r="N33" s="460" t="s">
        <v>172</v>
      </c>
      <c r="O33" s="461" t="s">
        <v>173</v>
      </c>
    </row>
    <row r="34" spans="1:18" s="288" customFormat="1" ht="21.5">
      <c r="A34" s="886" t="s">
        <v>222</v>
      </c>
      <c r="B34" s="351" t="s">
        <v>223</v>
      </c>
      <c r="C34" s="352"/>
      <c r="D34" s="352"/>
      <c r="E34" s="353"/>
      <c r="F34" s="354" t="s">
        <v>224</v>
      </c>
      <c r="G34" s="355"/>
      <c r="H34" s="353"/>
      <c r="I34" s="352"/>
      <c r="J34" s="352"/>
      <c r="K34" s="352"/>
      <c r="L34" s="462">
        <f>D4-E12-L22</f>
        <v>410.00000003072086</v>
      </c>
      <c r="M34" s="463">
        <f>D5-F12-M22</f>
        <v>0</v>
      </c>
      <c r="N34" s="464">
        <f>D6-G12-N22</f>
        <v>0</v>
      </c>
      <c r="O34" s="465">
        <f>SUM(L34:N34)</f>
        <v>410.00000003072086</v>
      </c>
    </row>
    <row r="35" spans="1:18" s="288" customFormat="1" ht="21.5">
      <c r="A35" s="356" t="s">
        <v>225</v>
      </c>
      <c r="B35" s="357" t="s">
        <v>226</v>
      </c>
      <c r="C35" s="358"/>
      <c r="D35" s="358"/>
      <c r="E35" s="359"/>
      <c r="F35" s="360" t="s">
        <v>227</v>
      </c>
      <c r="G35" s="361"/>
      <c r="H35" s="359"/>
      <c r="I35" s="358"/>
      <c r="J35" s="358"/>
      <c r="K35" s="358"/>
      <c r="L35" s="466">
        <f>IF(L34=0,"0",L4/K1)</f>
        <v>2.0588235294117645</v>
      </c>
      <c r="M35" s="467" t="str">
        <f>IF(M34=0,"0",L5/K1)</f>
        <v>0</v>
      </c>
      <c r="N35" s="468" t="str">
        <f>IF(N34=0,"0",L6/K1)</f>
        <v>0</v>
      </c>
      <c r="O35" s="469">
        <f>SUM(L35:N35)</f>
        <v>2.0588235294117645</v>
      </c>
    </row>
    <row r="36" spans="1:18" s="288" customFormat="1" ht="21.5">
      <c r="A36" s="362" t="s">
        <v>228</v>
      </c>
      <c r="B36" s="363" t="s">
        <v>229</v>
      </c>
      <c r="C36" s="364"/>
      <c r="D36" s="364"/>
      <c r="E36" s="365"/>
      <c r="F36" s="366" t="s">
        <v>230</v>
      </c>
      <c r="G36" s="367"/>
      <c r="H36" s="365"/>
      <c r="I36" s="364"/>
      <c r="J36" s="364"/>
      <c r="K36" s="470" t="s">
        <v>5</v>
      </c>
      <c r="L36" s="471">
        <f>IF(L34=0,"0",K4/K1)</f>
        <v>20.735294117647058</v>
      </c>
      <c r="M36" s="472" t="str">
        <f>IF(M34=0,"0",K5/K1)</f>
        <v>0</v>
      </c>
      <c r="N36" s="473" t="str">
        <f>IF(N34=0,"0",K6/K1)</f>
        <v>0</v>
      </c>
      <c r="O36" s="474">
        <f>SUM(L36:N36)</f>
        <v>20.735294117647058</v>
      </c>
    </row>
    <row r="37" spans="1:18" s="288" customFormat="1" ht="21.5">
      <c r="A37" s="368" t="s">
        <v>231</v>
      </c>
      <c r="B37" s="369" t="s">
        <v>232</v>
      </c>
      <c r="C37" s="370"/>
      <c r="D37" s="370"/>
      <c r="E37" s="371"/>
      <c r="F37" s="372" t="s">
        <v>233</v>
      </c>
      <c r="G37" s="373"/>
      <c r="H37" s="373"/>
      <c r="I37" s="373"/>
      <c r="J37" s="373"/>
      <c r="K37" s="475" t="s">
        <v>5</v>
      </c>
      <c r="L37" s="476">
        <f>+E12/D4*100</f>
        <v>14.583333332399976</v>
      </c>
      <c r="M37" s="477">
        <f>IF(D5=0,0,+F12/D5*100)</f>
        <v>0</v>
      </c>
      <c r="N37" s="478">
        <f>IF(D6=0,0,+G12/D6*100)</f>
        <v>0</v>
      </c>
      <c r="O37" s="479">
        <f>H12/(D4+D5+D6)*100</f>
        <v>14.583333332399976</v>
      </c>
      <c r="P37" s="480"/>
      <c r="Q37" s="486"/>
    </row>
    <row r="38" spans="1:18" s="288" customFormat="1" ht="21.5">
      <c r="A38" s="374" t="s">
        <v>234</v>
      </c>
      <c r="B38" s="375" t="s">
        <v>235</v>
      </c>
      <c r="C38" s="376"/>
      <c r="D38" s="376"/>
      <c r="E38" s="377"/>
      <c r="F38" s="378" t="s">
        <v>236</v>
      </c>
      <c r="G38" s="379"/>
      <c r="H38" s="379"/>
      <c r="I38" s="379"/>
      <c r="J38" s="379"/>
      <c r="K38" s="481"/>
      <c r="L38" s="482">
        <f>+L22/D4*100</f>
        <v>0</v>
      </c>
      <c r="M38" s="483" t="str">
        <f>IF(D5=0,"0",+M22/D5*100)</f>
        <v>0</v>
      </c>
      <c r="N38" s="484">
        <f>IF(D6=0,0,+N22/D6*100)</f>
        <v>0</v>
      </c>
      <c r="O38" s="485">
        <f>O22/(D4+D5+D6)*100</f>
        <v>0</v>
      </c>
      <c r="P38" s="486"/>
      <c r="Q38" s="486" t="s">
        <v>237</v>
      </c>
      <c r="R38" s="538">
        <f>SUM(O37:O39)</f>
        <v>100</v>
      </c>
    </row>
    <row r="39" spans="1:18" s="288" customFormat="1" ht="21.5">
      <c r="A39" s="380" t="s">
        <v>238</v>
      </c>
      <c r="B39" s="381" t="s">
        <v>239</v>
      </c>
      <c r="C39" s="382"/>
      <c r="D39" s="382"/>
      <c r="E39" s="383"/>
      <c r="F39" s="384" t="s">
        <v>240</v>
      </c>
      <c r="G39" s="385"/>
      <c r="H39" s="385"/>
      <c r="I39" s="385"/>
      <c r="J39" s="385"/>
      <c r="K39" s="487" t="s">
        <v>5</v>
      </c>
      <c r="L39" s="488">
        <f>+L34/D4*100</f>
        <v>85.416666667600026</v>
      </c>
      <c r="M39" s="489">
        <f>IF(D5=0,0,+M34/D5*100)</f>
        <v>0</v>
      </c>
      <c r="N39" s="490">
        <f>IF(D6=0,0,+N34/D6*100)</f>
        <v>0</v>
      </c>
      <c r="O39" s="491">
        <f>O34/(D4+D5+D6)*100</f>
        <v>85.416666667600026</v>
      </c>
      <c r="P39" s="480"/>
      <c r="Q39" s="480">
        <f>SUM(L37:L39)</f>
        <v>100</v>
      </c>
    </row>
    <row r="40" spans="1:18" s="288" customFormat="1" ht="21.5">
      <c r="A40" s="386" t="s">
        <v>241</v>
      </c>
      <c r="B40" s="387" t="s">
        <v>242</v>
      </c>
      <c r="C40" s="388"/>
      <c r="D40" s="388"/>
      <c r="E40" s="389"/>
      <c r="F40" s="390" t="s">
        <v>243</v>
      </c>
      <c r="G40" s="391"/>
      <c r="H40" s="389"/>
      <c r="I40" s="388"/>
      <c r="J40" s="388"/>
      <c r="K40" s="492" t="s">
        <v>5</v>
      </c>
      <c r="L40" s="493">
        <f>+L35/L34*100</f>
        <v>0.5021520803067071</v>
      </c>
      <c r="M40" s="494">
        <f>IF(M34=0,0,+M35/M34*100)</f>
        <v>0</v>
      </c>
      <c r="N40" s="495">
        <f>IF(N34=0,0,+N35/N34*100)</f>
        <v>0</v>
      </c>
      <c r="O40" s="496">
        <f>O35/O34*100</f>
        <v>0.5021520803067071</v>
      </c>
      <c r="P40" s="480"/>
      <c r="Q40" s="486"/>
    </row>
    <row r="41" spans="1:18" s="288" customFormat="1" ht="21.5">
      <c r="A41" s="392" t="s">
        <v>244</v>
      </c>
      <c r="B41" s="393" t="s">
        <v>245</v>
      </c>
      <c r="C41" s="394"/>
      <c r="D41" s="394"/>
      <c r="E41" s="395"/>
      <c r="F41" s="396" t="s">
        <v>246</v>
      </c>
      <c r="G41" s="397"/>
      <c r="H41" s="395"/>
      <c r="I41" s="394"/>
      <c r="J41" s="394"/>
      <c r="K41" s="497" t="s">
        <v>5</v>
      </c>
      <c r="L41" s="498">
        <f>+E22/L34*100</f>
        <v>0</v>
      </c>
      <c r="M41" s="499">
        <f>IF(M34=0,0,+F22/M34*100)</f>
        <v>0</v>
      </c>
      <c r="N41" s="500">
        <f>IF(N34=0,0,+G22/N34*100)</f>
        <v>0</v>
      </c>
      <c r="O41" s="501">
        <f>H22/O34*100</f>
        <v>0</v>
      </c>
      <c r="P41" s="486"/>
      <c r="Q41" s="486" t="s">
        <v>237</v>
      </c>
      <c r="R41" s="538">
        <f>SUM(O40:O43)</f>
        <v>5.5595408891099716</v>
      </c>
    </row>
    <row r="42" spans="1:18" s="288" customFormat="1" ht="21.5">
      <c r="A42" s="392" t="s">
        <v>247</v>
      </c>
      <c r="B42" s="393" t="s">
        <v>248</v>
      </c>
      <c r="C42" s="394"/>
      <c r="D42" s="394"/>
      <c r="E42" s="397" t="s">
        <v>5</v>
      </c>
      <c r="F42" s="396" t="s">
        <v>249</v>
      </c>
      <c r="G42" s="397"/>
      <c r="H42" s="395"/>
      <c r="I42" s="394"/>
      <c r="J42" s="394"/>
      <c r="K42" s="497" t="s">
        <v>5</v>
      </c>
      <c r="L42" s="498">
        <f>+L12/L34*100</f>
        <v>0</v>
      </c>
      <c r="M42" s="499">
        <f>IF(M34=0,0,+M12/M34*100)</f>
        <v>0</v>
      </c>
      <c r="N42" s="500">
        <f>IF(N34=0,0,+N12/N34*100)</f>
        <v>0</v>
      </c>
      <c r="O42" s="502">
        <f>O12/O34*100</f>
        <v>0</v>
      </c>
      <c r="P42" s="480"/>
      <c r="Q42" s="480">
        <f>SUM(L40:L43)</f>
        <v>5.5595408891099716</v>
      </c>
    </row>
    <row r="43" spans="1:18" s="288" customFormat="1" ht="21.5">
      <c r="A43" s="398" t="s">
        <v>250</v>
      </c>
      <c r="B43" s="399" t="s">
        <v>251</v>
      </c>
      <c r="C43" s="400"/>
      <c r="D43" s="400"/>
      <c r="E43" s="401"/>
      <c r="F43" s="402" t="s">
        <v>252</v>
      </c>
      <c r="G43" s="403"/>
      <c r="H43" s="401"/>
      <c r="I43" s="400"/>
      <c r="J43" s="400"/>
      <c r="K43" s="503"/>
      <c r="L43" s="504">
        <f>+L36/L34*100</f>
        <v>5.0573888088032648</v>
      </c>
      <c r="M43" s="505">
        <f>IF(M34=0,0,+M36/M34*100)</f>
        <v>0</v>
      </c>
      <c r="N43" s="506">
        <f>IF(N34=0,0,+N36/N34*100)</f>
        <v>0</v>
      </c>
      <c r="O43" s="507">
        <f>O36/O34*100</f>
        <v>5.0573888088032648</v>
      </c>
      <c r="P43" s="480"/>
      <c r="Q43" s="480"/>
      <c r="R43" s="539"/>
    </row>
    <row r="44" spans="1:18" s="288" customFormat="1" ht="21.5">
      <c r="A44" s="404" t="s">
        <v>253</v>
      </c>
      <c r="B44" s="405" t="s">
        <v>254</v>
      </c>
      <c r="C44" s="406"/>
      <c r="D44" s="406"/>
      <c r="E44" s="407"/>
      <c r="F44" s="408" t="s">
        <v>255</v>
      </c>
      <c r="G44" s="409"/>
      <c r="H44" s="409"/>
      <c r="I44" s="409"/>
      <c r="J44" s="409"/>
      <c r="K44" s="508"/>
      <c r="L44" s="509">
        <f>IF(Data!H23=0,0,Data!I23/Data!H23*100)</f>
        <v>99.384126353431995</v>
      </c>
      <c r="M44" s="509">
        <f>IF(Data!H38=0,0,Data!I38/Data!H38*100)</f>
        <v>0</v>
      </c>
      <c r="N44" s="509">
        <f>IF(Data!H51=0,0,Data!I51/Data!H51*100)</f>
        <v>0</v>
      </c>
      <c r="O44" s="510">
        <f>IF(Data!H22=0,0,Data!I22/Data!H22*100)</f>
        <v>99.384126353431995</v>
      </c>
    </row>
    <row r="45" spans="1:18">
      <c r="A45" s="410" t="s">
        <v>256</v>
      </c>
      <c r="B45" s="1328" t="s">
        <v>257</v>
      </c>
      <c r="C45" s="1329"/>
      <c r="D45" s="1329"/>
      <c r="E45" s="1330"/>
      <c r="F45" s="411" t="s">
        <v>258</v>
      </c>
      <c r="G45" s="412"/>
      <c r="H45" s="412"/>
      <c r="I45" s="412"/>
      <c r="J45" s="412"/>
      <c r="K45" s="511"/>
      <c r="L45" s="512">
        <f>L39*L43*L44/10000</f>
        <v>4.293248105066497</v>
      </c>
      <c r="M45" s="513">
        <f>M39*M43*M44/10000</f>
        <v>0</v>
      </c>
      <c r="N45" s="514">
        <f>N39*N43*N44/10000</f>
        <v>0</v>
      </c>
      <c r="O45" s="515">
        <f>O39*O43*O44/10000</f>
        <v>4.293248105066497</v>
      </c>
    </row>
    <row r="46" spans="1:18" ht="21.75" customHeight="1">
      <c r="A46" s="413" t="s">
        <v>259</v>
      </c>
      <c r="B46" s="414"/>
      <c r="C46" s="415"/>
      <c r="D46" s="414"/>
      <c r="E46" s="416"/>
      <c r="F46" s="417" t="s">
        <v>260</v>
      </c>
      <c r="G46" s="418"/>
      <c r="H46" s="414"/>
      <c r="I46" s="516"/>
      <c r="J46" s="517"/>
      <c r="K46" s="887" t="s">
        <v>261</v>
      </c>
      <c r="L46" s="350"/>
      <c r="M46" s="350"/>
      <c r="N46" s="350"/>
      <c r="O46" s="518"/>
    </row>
    <row r="47" spans="1:18" ht="21.75" customHeight="1">
      <c r="A47" s="419" t="s">
        <v>262</v>
      </c>
      <c r="E47" s="290" t="s">
        <v>263</v>
      </c>
      <c r="H47" s="420"/>
      <c r="I47" s="287" t="s">
        <v>5</v>
      </c>
      <c r="J47" s="287" t="s">
        <v>5</v>
      </c>
      <c r="K47" s="287" t="s">
        <v>5</v>
      </c>
      <c r="L47" s="288"/>
      <c r="M47" s="288"/>
      <c r="N47" s="288"/>
      <c r="O47" s="288"/>
    </row>
    <row r="48" spans="1:18" ht="22" customHeight="1">
      <c r="A48" s="289" t="s">
        <v>264</v>
      </c>
      <c r="K48" s="1025" t="s">
        <v>265</v>
      </c>
      <c r="L48" s="1026"/>
      <c r="M48" s="1026"/>
      <c r="N48" s="1026"/>
      <c r="O48" s="1027"/>
    </row>
  </sheetData>
  <mergeCells count="18">
    <mergeCell ref="E1:I1"/>
    <mergeCell ref="M1:O1"/>
    <mergeCell ref="H3:I3"/>
    <mergeCell ref="L3:O3"/>
    <mergeCell ref="E4:G4"/>
    <mergeCell ref="H4:I4"/>
    <mergeCell ref="L4:O4"/>
    <mergeCell ref="E5:G5"/>
    <mergeCell ref="H5:I5"/>
    <mergeCell ref="L5:O5"/>
    <mergeCell ref="E6:G6"/>
    <mergeCell ref="H6:I6"/>
    <mergeCell ref="L6:O6"/>
    <mergeCell ref="Q11:T11"/>
    <mergeCell ref="A23:B23"/>
    <mergeCell ref="D23:H23"/>
    <mergeCell ref="K23:O23"/>
    <mergeCell ref="B45:E45"/>
  </mergeCells>
  <printOptions horizontalCentered="1" verticalCentered="1"/>
  <pageMargins left="0" right="0" top="0" bottom="0" header="0" footer="0"/>
  <pageSetup paperSize="9" scale="75" orientation="portrait" blackAndWhite="1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66FE-8DA3-4D57-B22A-C3016E366C03}">
  <sheetPr codeName="Sheet4">
    <tabColor rgb="FFFFFF00"/>
  </sheetPr>
  <dimension ref="A1:J33"/>
  <sheetViews>
    <sheetView workbookViewId="0">
      <selection activeCell="R15" sqref="R15"/>
    </sheetView>
  </sheetViews>
  <sheetFormatPr defaultRowHeight="24.5"/>
  <cols>
    <col min="1" max="5" width="5.33203125" customWidth="1"/>
  </cols>
  <sheetData>
    <row r="1" spans="1:10">
      <c r="A1" s="944"/>
      <c r="B1" s="944" t="s">
        <v>266</v>
      </c>
      <c r="C1" s="944" t="s">
        <v>267</v>
      </c>
      <c r="D1" s="944" t="s">
        <v>268</v>
      </c>
      <c r="E1" s="944" t="s">
        <v>269</v>
      </c>
      <c r="J1" s="941"/>
    </row>
    <row r="2" spans="1:10" ht="20.25" customHeight="1">
      <c r="A2" s="944">
        <v>1</v>
      </c>
      <c r="B2" s="945">
        <f>'1'!V$60</f>
        <v>93.022415039768617</v>
      </c>
      <c r="C2" s="945">
        <f>'1'!V$63</f>
        <v>46.884311439305613</v>
      </c>
      <c r="D2" s="945">
        <f>'1'!V$64</f>
        <v>94.160087122243397</v>
      </c>
      <c r="E2" s="945">
        <f>'1'!V$65</f>
        <v>41.06596231566629</v>
      </c>
      <c r="F2" s="942"/>
      <c r="G2" s="942"/>
      <c r="H2" s="942"/>
      <c r="I2" s="942"/>
      <c r="J2" s="942"/>
    </row>
    <row r="3" spans="1:10" ht="20.25" customHeight="1">
      <c r="A3" s="944">
        <v>2</v>
      </c>
      <c r="B3" s="945">
        <f>'2'!V$60</f>
        <v>0</v>
      </c>
      <c r="C3" s="945">
        <f>'2'!V$63</f>
        <v>0</v>
      </c>
      <c r="D3" s="945">
        <f>'2'!V$64</f>
        <v>0</v>
      </c>
      <c r="E3" s="945">
        <f>'2'!V$65</f>
        <v>0</v>
      </c>
    </row>
    <row r="4" spans="1:10" ht="20.25" customHeight="1">
      <c r="A4" s="944">
        <v>3</v>
      </c>
      <c r="B4" s="945" t="e">
        <f>'[3]3'!V$60</f>
        <v>#REF!</v>
      </c>
      <c r="C4" s="945" t="e">
        <f>'[3]3'!V$63</f>
        <v>#REF!</v>
      </c>
      <c r="D4" s="945" t="e">
        <f>'[3]3'!V$64</f>
        <v>#REF!</v>
      </c>
      <c r="E4" s="945" t="e">
        <f>'[3]3'!V$65</f>
        <v>#REF!</v>
      </c>
    </row>
    <row r="5" spans="1:10" ht="20.25" customHeight="1">
      <c r="A5" s="944">
        <v>4</v>
      </c>
      <c r="B5" s="945">
        <f>'4'!V$60</f>
        <v>97.022094140249763</v>
      </c>
      <c r="C5" s="945">
        <f>'4'!V$63</f>
        <v>63.158887317303162</v>
      </c>
      <c r="D5" s="945">
        <f>'4'!V$64</f>
        <v>87.458379578246394</v>
      </c>
      <c r="E5" s="945">
        <f>'4'!V$65</f>
        <v>53.59281152875846</v>
      </c>
    </row>
    <row r="6" spans="1:10" ht="20.25" customHeight="1">
      <c r="A6" s="944">
        <v>5</v>
      </c>
      <c r="B6" s="945">
        <f>'5'!V$61</f>
        <v>90.304382051954875</v>
      </c>
      <c r="C6" s="945">
        <f>'5'!V$64</f>
        <v>62.918301128383938</v>
      </c>
      <c r="D6" s="945">
        <f>'5'!V$65</f>
        <v>90.181247324104461</v>
      </c>
      <c r="E6" s="945">
        <f>'5'!V$66</f>
        <v>51.239165802272595</v>
      </c>
    </row>
    <row r="7" spans="1:10" ht="20.25" customHeight="1">
      <c r="A7" s="944">
        <v>6</v>
      </c>
      <c r="B7" s="945">
        <f>'6'!V$60</f>
        <v>88.447937131630653</v>
      </c>
      <c r="C7" s="945">
        <f>'6'!V$63</f>
        <v>76.29201836220939</v>
      </c>
      <c r="D7" s="945">
        <f>'6'!V$64</f>
        <v>89.2739559868307</v>
      </c>
      <c r="E7" s="945">
        <f>'6'!V$65</f>
        <v>60.240919612855514</v>
      </c>
    </row>
    <row r="8" spans="1:10" ht="20.25" customHeight="1">
      <c r="A8" s="944">
        <v>7</v>
      </c>
      <c r="B8" s="945">
        <f>'7'!V$66</f>
        <v>89.927679158448399</v>
      </c>
      <c r="C8" s="945">
        <f>'7'!V$69</f>
        <v>60.998196617439191</v>
      </c>
      <c r="D8" s="945">
        <f>'7'!V$70</f>
        <v>86.024450531097614</v>
      </c>
      <c r="E8" s="945">
        <f>'7'!V$71</f>
        <v>47.188077948572726</v>
      </c>
    </row>
    <row r="9" spans="1:10" ht="20.25" customHeight="1">
      <c r="A9" s="944">
        <v>8</v>
      </c>
      <c r="B9" s="945">
        <f>'8'!V$60</f>
        <v>91.838006230529587</v>
      </c>
      <c r="C9" s="945">
        <f>'8'!V$63</f>
        <v>57.473993668023518</v>
      </c>
      <c r="D9" s="945">
        <f>'8'!V$64</f>
        <v>87.977279899021781</v>
      </c>
      <c r="E9" s="945">
        <f>'8'!V$65</f>
        <v>46.43702115542343</v>
      </c>
    </row>
    <row r="10" spans="1:10" ht="20.25" customHeight="1">
      <c r="A10" s="944">
        <v>9</v>
      </c>
      <c r="B10" s="945">
        <f>'9'!V$60</f>
        <v>0</v>
      </c>
      <c r="C10" s="945">
        <f>'9'!V$63</f>
        <v>0</v>
      </c>
      <c r="D10" s="945">
        <f>'9'!V$64</f>
        <v>0</v>
      </c>
      <c r="E10" s="945">
        <f>'9'!V$65</f>
        <v>0</v>
      </c>
    </row>
    <row r="11" spans="1:10" ht="20.25" customHeight="1">
      <c r="A11" s="944">
        <v>10</v>
      </c>
      <c r="B11" s="945" t="e">
        <f>'[4]10'!V$60</f>
        <v>#REF!</v>
      </c>
      <c r="C11" s="945" t="e">
        <f>'[4]10'!V$63</f>
        <v>#REF!</v>
      </c>
      <c r="D11" s="945" t="e">
        <f>'[4]10'!V$64</f>
        <v>#REF!</v>
      </c>
      <c r="E11" s="945" t="e">
        <f>'[4]10'!V$65</f>
        <v>#REF!</v>
      </c>
    </row>
    <row r="12" spans="1:10" ht="20.25" customHeight="1">
      <c r="A12" s="944">
        <v>11</v>
      </c>
      <c r="B12" s="945">
        <f>'11'!V$60</f>
        <v>85.271218889597961</v>
      </c>
      <c r="C12" s="945">
        <f>'11'!V$63</f>
        <v>49.303996407723396</v>
      </c>
      <c r="D12" s="945">
        <f>'11'!V$64</f>
        <v>89.3952596723597</v>
      </c>
      <c r="E12" s="945">
        <f>'11'!V$65</f>
        <v>37.583661181972289</v>
      </c>
    </row>
    <row r="13" spans="1:10" ht="20.25" customHeight="1">
      <c r="A13" s="944">
        <v>12</v>
      </c>
      <c r="B13" s="945" t="e">
        <f>'[5]12'!V$60</f>
        <v>#REF!</v>
      </c>
      <c r="C13" s="945" t="e">
        <f>'[5]12'!V$63</f>
        <v>#REF!</v>
      </c>
      <c r="D13" s="945" t="e">
        <f>'[5]12'!V$64</f>
        <v>#REF!</v>
      </c>
      <c r="E13" s="945" t="e">
        <f>'[5]12'!V$65</f>
        <v>#REF!</v>
      </c>
    </row>
    <row r="14" spans="1:10" ht="20.25" customHeight="1">
      <c r="A14" s="944">
        <v>13</v>
      </c>
      <c r="B14" s="945">
        <f>'13'!V$65</f>
        <v>97.121266642677213</v>
      </c>
      <c r="C14" s="945">
        <f>'13'!V$68</f>
        <v>68.070478778148285</v>
      </c>
      <c r="D14" s="945">
        <f>'13'!V$69</f>
        <v>93.649865512805519</v>
      </c>
      <c r="E14" s="945">
        <f>'13'!V$70</f>
        <v>61.912779427221579</v>
      </c>
    </row>
    <row r="15" spans="1:10" ht="20.25" customHeight="1">
      <c r="A15" s="944">
        <v>14</v>
      </c>
      <c r="B15" s="945">
        <f>'14'!V$64</f>
        <v>93.230373230373232</v>
      </c>
      <c r="C15" s="945">
        <f>'14'!V$67</f>
        <v>69.156083195288048</v>
      </c>
      <c r="D15" s="945">
        <f>'14'!V$68</f>
        <v>90.408435495140694</v>
      </c>
      <c r="E15" s="945">
        <f>'14'!V$69</f>
        <v>58.290363666086201</v>
      </c>
    </row>
    <row r="16" spans="1:10" ht="20.25" customHeight="1">
      <c r="A16" s="944">
        <v>15</v>
      </c>
      <c r="B16" s="945">
        <f>'15'!V$60</f>
        <v>95.584212583040255</v>
      </c>
      <c r="C16" s="945">
        <f>'15'!V$63</f>
        <v>72.996729354047432</v>
      </c>
      <c r="D16" s="945">
        <f>'15'!V$64</f>
        <v>90.725663716814168</v>
      </c>
      <c r="E16" s="945">
        <f>'15'!V$65</f>
        <v>63.302333945436395</v>
      </c>
    </row>
    <row r="17" spans="1:5" ht="20.25" customHeight="1">
      <c r="A17" s="944">
        <v>16</v>
      </c>
      <c r="B17" s="945">
        <f>'16'!V$60</f>
        <v>0</v>
      </c>
      <c r="C17" s="945">
        <f>'16'!V$63</f>
        <v>0</v>
      </c>
      <c r="D17" s="945">
        <f>'16'!V$64</f>
        <v>0</v>
      </c>
      <c r="E17" s="945">
        <f>'16'!V$65</f>
        <v>0</v>
      </c>
    </row>
    <row r="18" spans="1:5" ht="20.25" customHeight="1">
      <c r="A18" s="944">
        <v>17</v>
      </c>
      <c r="B18" s="945" t="e">
        <f>'[6]17'!V$60</f>
        <v>#REF!</v>
      </c>
      <c r="C18" s="945" t="e">
        <f>'[6]17'!V$63</f>
        <v>#REF!</v>
      </c>
      <c r="D18" s="945" t="e">
        <f>'[6]17'!V$64</f>
        <v>#REF!</v>
      </c>
      <c r="E18" s="945" t="e">
        <f>'[6]17'!V$65</f>
        <v>#REF!</v>
      </c>
    </row>
    <row r="19" spans="1:5" ht="20.25" customHeight="1">
      <c r="A19" s="944">
        <v>18</v>
      </c>
      <c r="B19" s="945">
        <f>'18'!V$60</f>
        <v>91.957630443311103</v>
      </c>
      <c r="C19" s="945">
        <f>'18'!V$63</f>
        <v>68.003412969283275</v>
      </c>
      <c r="D19" s="945">
        <f>'18'!V$64</f>
        <v>90.453972257250953</v>
      </c>
      <c r="E19" s="945">
        <f>'18'!V$65</f>
        <v>56.564782965107113</v>
      </c>
    </row>
    <row r="20" spans="1:5" ht="20.25" customHeight="1">
      <c r="A20" s="944">
        <v>19</v>
      </c>
      <c r="B20" s="945">
        <f>'19'!V$60</f>
        <v>94.493016918360397</v>
      </c>
      <c r="C20" s="945">
        <f>'19'!V$63</f>
        <v>64.587839461667869</v>
      </c>
      <c r="D20" s="945">
        <f>'19'!V$64</f>
        <v>96.59158979273991</v>
      </c>
      <c r="E20" s="945">
        <f>'19'!V$65</f>
        <v>58.95081130191631</v>
      </c>
    </row>
    <row r="21" spans="1:5" ht="20.25" customHeight="1">
      <c r="A21" s="944">
        <v>20</v>
      </c>
      <c r="B21" s="945">
        <f>'20'!V$65</f>
        <v>96.390977443609032</v>
      </c>
      <c r="C21" s="945">
        <f>'20'!V$68</f>
        <v>66.666666666666657</v>
      </c>
      <c r="D21" s="945">
        <f>'20'!V$69</f>
        <v>89.14375766065487</v>
      </c>
      <c r="E21" s="945">
        <f>'20'!V$70</f>
        <v>57.284359559378217</v>
      </c>
    </row>
    <row r="22" spans="1:5" ht="20.25" customHeight="1">
      <c r="A22" s="944">
        <v>21</v>
      </c>
      <c r="B22" s="945">
        <f>'21'!V$62</f>
        <v>97.337110481586393</v>
      </c>
      <c r="C22" s="945">
        <f>'21'!V$65</f>
        <v>68.810632518432286</v>
      </c>
      <c r="D22" s="945">
        <f>'21'!V$66</f>
        <v>90.207300012717795</v>
      </c>
      <c r="E22" s="945">
        <f>'21'!V$67</f>
        <v>60.419299243645639</v>
      </c>
    </row>
    <row r="23" spans="1:5" ht="20.25" customHeight="1">
      <c r="A23" s="944">
        <v>22</v>
      </c>
      <c r="B23" s="945">
        <f>'22'!V$61</f>
        <v>91.025004139758238</v>
      </c>
      <c r="C23" s="945">
        <f>'22'!V$64</f>
        <v>72.736644230186158</v>
      </c>
      <c r="D23" s="945">
        <f>'22'!V$65</f>
        <v>0</v>
      </c>
      <c r="E23" s="945">
        <f>'22'!V$66</f>
        <v>0</v>
      </c>
    </row>
    <row r="24" spans="1:5" ht="20.25" customHeight="1">
      <c r="A24" s="944">
        <v>23</v>
      </c>
      <c r="B24" s="945" t="e">
        <f>'[7]23'!V$60</f>
        <v>#REF!</v>
      </c>
      <c r="C24" s="945" t="e">
        <f>'[7]23'!V$63</f>
        <v>#REF!</v>
      </c>
      <c r="D24" s="945" t="e">
        <f>'[7]23'!V$64</f>
        <v>#REF!</v>
      </c>
      <c r="E24" s="945" t="e">
        <f>'[7]23'!V$65</f>
        <v>#REF!</v>
      </c>
    </row>
    <row r="25" spans="1:5" ht="20.25" customHeight="1">
      <c r="A25" s="944">
        <v>24</v>
      </c>
      <c r="B25" s="945" t="e">
        <f>'[8]24'!V$60</f>
        <v>#REF!</v>
      </c>
      <c r="C25" s="945" t="e">
        <f>'[8]24'!V$63</f>
        <v>#REF!</v>
      </c>
      <c r="D25" s="945" t="e">
        <f>'[8]24'!V$64</f>
        <v>#REF!</v>
      </c>
      <c r="E25" s="945" t="e">
        <f>'[8]24'!V$65</f>
        <v>#REF!</v>
      </c>
    </row>
    <row r="26" spans="1:5" ht="20.25" customHeight="1">
      <c r="A26" s="944">
        <v>25</v>
      </c>
      <c r="B26" s="945">
        <f>'25'!V$68</f>
        <v>0</v>
      </c>
      <c r="C26" s="945">
        <f>'25'!V$71</f>
        <v>0</v>
      </c>
      <c r="D26" s="945">
        <f>'25'!V$72</f>
        <v>0</v>
      </c>
      <c r="E26" s="945">
        <f>'25'!V$73</f>
        <v>0</v>
      </c>
    </row>
    <row r="27" spans="1:5" ht="20.25" customHeight="1">
      <c r="A27" s="944">
        <v>26</v>
      </c>
      <c r="B27" s="945">
        <f>'26'!V$60</f>
        <v>0</v>
      </c>
      <c r="C27" s="945">
        <f>'26'!V$63</f>
        <v>0</v>
      </c>
      <c r="D27" s="945">
        <f>'26'!V$64</f>
        <v>0</v>
      </c>
      <c r="E27" s="945">
        <f>'26'!V$65</f>
        <v>0</v>
      </c>
    </row>
    <row r="28" spans="1:5" ht="20.25" customHeight="1">
      <c r="A28" s="944">
        <v>27</v>
      </c>
      <c r="B28" s="945">
        <f>'27'!V$65</f>
        <v>0</v>
      </c>
      <c r="C28" s="945">
        <f>'27'!V$68</f>
        <v>0</v>
      </c>
      <c r="D28" s="945">
        <f>'27'!V$69</f>
        <v>0</v>
      </c>
      <c r="E28" s="945">
        <f>'27'!V$70</f>
        <v>0</v>
      </c>
    </row>
    <row r="29" spans="1:5" ht="20.25" customHeight="1">
      <c r="A29" s="944">
        <v>28</v>
      </c>
      <c r="B29" s="945">
        <f>'28'!V$60</f>
        <v>0</v>
      </c>
      <c r="C29" s="945">
        <f>'28'!V$63</f>
        <v>0</v>
      </c>
      <c r="D29" s="945">
        <f>'28'!V$64</f>
        <v>0</v>
      </c>
      <c r="E29" s="945">
        <f>'28'!V$65</f>
        <v>0</v>
      </c>
    </row>
    <row r="30" spans="1:5" ht="20.25" customHeight="1">
      <c r="A30" s="944">
        <v>29</v>
      </c>
      <c r="B30" s="945">
        <f>'30'!V$60</f>
        <v>0</v>
      </c>
      <c r="C30" s="945">
        <f>'30'!V$63</f>
        <v>0</v>
      </c>
      <c r="D30" s="945">
        <f>'30'!V$64</f>
        <v>0</v>
      </c>
      <c r="E30" s="945">
        <f>'30'!V$65</f>
        <v>0</v>
      </c>
    </row>
    <row r="31" spans="1:5" ht="20.25" customHeight="1">
      <c r="A31" s="944">
        <v>30</v>
      </c>
      <c r="B31" s="945">
        <f>'29'!V$60</f>
        <v>0</v>
      </c>
      <c r="C31" s="945">
        <f>'29'!V$63</f>
        <v>0</v>
      </c>
      <c r="D31" s="945">
        <f>'29'!V$64</f>
        <v>0</v>
      </c>
      <c r="E31" s="945">
        <f>'29'!V$65</f>
        <v>0</v>
      </c>
    </row>
    <row r="32" spans="1:5" ht="20.25" customHeight="1">
      <c r="A32" s="944">
        <v>31</v>
      </c>
      <c r="B32" s="945">
        <f>'31'!V$60</f>
        <v>0</v>
      </c>
      <c r="C32" s="945">
        <f>'31'!V$63</f>
        <v>0</v>
      </c>
      <c r="D32" s="945">
        <f>'31'!V$64</f>
        <v>0</v>
      </c>
      <c r="E32" s="945">
        <f>'31'!V$65</f>
        <v>0</v>
      </c>
    </row>
    <row r="33" spans="1:5">
      <c r="A33" s="941" t="s">
        <v>352</v>
      </c>
      <c r="B33" s="942">
        <f>สรุป!L60</f>
        <v>92.815475815097443</v>
      </c>
      <c r="C33" s="942">
        <f>สรุป!L63</f>
        <v>64.128914632558192</v>
      </c>
      <c r="D33" s="942">
        <f>สรุป!L64</f>
        <v>91.424306773766659</v>
      </c>
      <c r="E33" s="942">
        <f>สรุป!L65</f>
        <v>54.41717109792107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342C-1692-4124-8C33-6A293A900F86}">
  <sheetPr codeName="Sheet5">
    <tabColor rgb="FFFF0000"/>
    <pageSetUpPr fitToPage="1"/>
  </sheetPr>
  <dimension ref="A1:IV122"/>
  <sheetViews>
    <sheetView showGridLines="0" tabSelected="1" topLeftCell="A22" zoomScale="87" zoomScaleNormal="87" zoomScaleSheetLayoutView="70" workbookViewId="0">
      <selection activeCell="R30" sqref="R30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4" width="8" style="136" bestFit="1" customWidth="1"/>
    <col min="5" max="5" width="9.33203125" style="136" customWidth="1"/>
    <col min="6" max="6" width="8.75" style="136" customWidth="1"/>
    <col min="7" max="7" width="9" style="136" customWidth="1"/>
    <col min="8" max="8" width="8.25" style="136" customWidth="1"/>
    <col min="9" max="9" width="7.75" style="136" customWidth="1"/>
    <col min="10" max="11" width="7.58203125" style="136" customWidth="1"/>
    <col min="12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271</v>
      </c>
      <c r="M1" s="1378" t="s">
        <v>272</v>
      </c>
      <c r="N1" s="1378"/>
      <c r="O1" s="191" t="s">
        <v>273</v>
      </c>
      <c r="P1" s="191"/>
      <c r="Q1" s="133"/>
      <c r="R1" s="133"/>
      <c r="S1" s="133"/>
      <c r="T1" s="220" t="s">
        <v>94</v>
      </c>
      <c r="U1" s="1379"/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276</v>
      </c>
      <c r="E3" s="1386"/>
      <c r="F3" s="1386"/>
      <c r="G3" s="1386"/>
      <c r="H3" s="1386"/>
      <c r="I3" s="1386"/>
      <c r="J3" s="1386"/>
      <c r="K3" s="1386"/>
      <c r="L3" s="1386"/>
      <c r="M3" s="926"/>
      <c r="N3" s="926"/>
      <c r="O3" s="926"/>
      <c r="P3" s="926"/>
      <c r="Q3" s="926"/>
      <c r="R3" s="926"/>
      <c r="S3" s="926"/>
      <c r="T3" s="926"/>
      <c r="U3" s="926"/>
      <c r="V3" s="1387"/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028"/>
      <c r="N4" s="1028"/>
      <c r="O4" s="1028"/>
      <c r="P4" s="1029"/>
      <c r="Q4" s="1029"/>
      <c r="R4" s="1029"/>
      <c r="S4" s="1029"/>
      <c r="T4" s="1029"/>
      <c r="U4" s="1029"/>
      <c r="V4" s="1387"/>
      <c r="W4" s="223"/>
      <c r="Z4" s="1030" t="s">
        <v>70</v>
      </c>
      <c r="AA4" s="256">
        <f>F14</f>
        <v>126856</v>
      </c>
      <c r="AB4" s="256">
        <f>L54</f>
        <v>117742</v>
      </c>
      <c r="AC4" s="256">
        <f>L55</f>
        <v>9057.6666666666661</v>
      </c>
      <c r="AD4" s="256">
        <f>L56</f>
        <v>75506.666666666672</v>
      </c>
      <c r="AE4" s="256">
        <f>L21</f>
        <v>4494</v>
      </c>
      <c r="AF4" s="256">
        <f>L26</f>
        <v>33177.666666666664</v>
      </c>
      <c r="AG4" s="256">
        <f>L28</f>
        <v>3652</v>
      </c>
      <c r="AH4" s="256">
        <f>L43</f>
        <v>78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028"/>
      <c r="N5" s="1028"/>
      <c r="O5" s="1034"/>
      <c r="P5" s="1029"/>
      <c r="Q5" s="1029"/>
      <c r="R5" s="1029"/>
      <c r="S5" s="1029"/>
      <c r="T5" s="1029"/>
      <c r="U5" s="1029"/>
      <c r="V5" s="1387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>
        <f>SUM('31:1'!F6,'31:1'!O6)</f>
        <v>18041</v>
      </c>
      <c r="G6" s="1365">
        <f>SUM('31:1'!G6:H6,'31:1'!P6:Q6)</f>
        <v>33155</v>
      </c>
      <c r="H6" s="1365"/>
      <c r="I6" s="1365">
        <f>SUM('31:1'!I6:J6,'31:1'!R6:S6)</f>
        <v>29211</v>
      </c>
      <c r="J6" s="1365"/>
      <c r="K6" s="1370">
        <f>G6-I6</f>
        <v>3944</v>
      </c>
      <c r="L6" s="1371"/>
      <c r="M6" s="1035"/>
      <c r="N6" s="1035"/>
      <c r="O6" s="1036"/>
      <c r="P6" s="1029"/>
      <c r="Q6" s="1029"/>
      <c r="R6" s="1037"/>
      <c r="S6" s="1029"/>
      <c r="T6" s="1029"/>
      <c r="U6" s="1029"/>
      <c r="V6" s="1028"/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>
        <f>SUM('31:1'!F7,'31:1'!O7)</f>
        <v>19666</v>
      </c>
      <c r="G7" s="1365">
        <f>SUM('31:1'!G7:H7,'31:1'!P7:Q7)</f>
        <v>36910</v>
      </c>
      <c r="H7" s="1365"/>
      <c r="I7" s="1365">
        <f>SUM('31:1'!I7:J7,'31:1'!R7:S7)</f>
        <v>33030</v>
      </c>
      <c r="J7" s="1365"/>
      <c r="K7" s="1368">
        <f>G7-I7</f>
        <v>3880</v>
      </c>
      <c r="L7" s="1369"/>
      <c r="M7" s="1035"/>
      <c r="N7" s="1035"/>
      <c r="O7" s="1036"/>
      <c r="P7" s="1029"/>
      <c r="Q7" s="1029"/>
      <c r="R7" s="1029"/>
      <c r="S7" s="1029"/>
      <c r="T7" s="1029"/>
      <c r="U7" s="1029"/>
      <c r="V7" s="1028"/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>
        <f>SUM('31:1'!F8,'31:1'!O8)</f>
        <v>18553</v>
      </c>
      <c r="G8" s="1365">
        <f>SUM('31:1'!G8:H8,'31:1'!P8:Q8)</f>
        <v>32466</v>
      </c>
      <c r="H8" s="1365"/>
      <c r="I8" s="1365">
        <f>SUM('31:1'!I8:J8,'31:1'!R8:S8)</f>
        <v>28597</v>
      </c>
      <c r="J8" s="1365"/>
      <c r="K8" s="1368">
        <f t="shared" ref="K8:K13" si="0">G8-I8</f>
        <v>3869</v>
      </c>
      <c r="L8" s="1369"/>
      <c r="M8" s="1035"/>
      <c r="N8" s="1035"/>
      <c r="O8" s="1036"/>
      <c r="P8" s="1029"/>
      <c r="Q8" s="1029"/>
      <c r="R8" s="1029"/>
      <c r="S8" s="1029"/>
      <c r="T8" s="1029"/>
      <c r="U8" s="1029"/>
      <c r="V8" s="1028"/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>
        <f>SUM('31:1'!F9,'31:1'!O9)</f>
        <v>15055</v>
      </c>
      <c r="G9" s="1365">
        <f>SUM('31:1'!G9:H9,'31:1'!P9:Q9)</f>
        <v>30482</v>
      </c>
      <c r="H9" s="1365"/>
      <c r="I9" s="1365">
        <f>SUM('31:1'!I9:J9,'31:1'!R9:S9)</f>
        <v>27157</v>
      </c>
      <c r="J9" s="1365"/>
      <c r="K9" s="1368">
        <f t="shared" si="0"/>
        <v>3325</v>
      </c>
      <c r="L9" s="1369"/>
      <c r="M9" s="1035"/>
      <c r="N9" s="1035"/>
      <c r="O9" s="1036"/>
      <c r="P9" s="1029"/>
      <c r="Q9" s="1029"/>
      <c r="R9" s="1029"/>
      <c r="S9" s="1029"/>
      <c r="T9" s="1029"/>
      <c r="U9" s="1029"/>
      <c r="V9" s="1028"/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>
        <f>SUM('31:1'!F10,'31:1'!O10)</f>
        <v>19680</v>
      </c>
      <c r="G10" s="1365">
        <f>SUM('31:1'!G10:H10,'31:1'!P10:Q10)</f>
        <v>43750</v>
      </c>
      <c r="H10" s="1365"/>
      <c r="I10" s="1365">
        <f>SUM('31:1'!I10:J10,'31:1'!R10:S10)</f>
        <v>38685</v>
      </c>
      <c r="J10" s="1365"/>
      <c r="K10" s="1368">
        <f t="shared" si="0"/>
        <v>5065</v>
      </c>
      <c r="L10" s="1369"/>
      <c r="M10" s="1035"/>
      <c r="N10" s="1035"/>
      <c r="O10" s="1036"/>
      <c r="P10" s="1029"/>
      <c r="Q10" s="1029"/>
      <c r="R10" s="1029"/>
      <c r="S10" s="1029"/>
      <c r="T10" s="1029"/>
      <c r="U10" s="1029"/>
      <c r="V10" s="1028"/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>
        <f>SUM('31:1'!F11,'31:1'!O11)</f>
        <v>17173</v>
      </c>
      <c r="G11" s="1365">
        <f>SUM('31:1'!G11:H11,'31:1'!P11:Q11)</f>
        <v>33010</v>
      </c>
      <c r="H11" s="1365"/>
      <c r="I11" s="1365">
        <f>SUM('31:1'!I11:J11,'31:1'!R11:S11)</f>
        <v>28705</v>
      </c>
      <c r="J11" s="1365"/>
      <c r="K11" s="1368">
        <f t="shared" si="0"/>
        <v>4305</v>
      </c>
      <c r="L11" s="1369"/>
      <c r="M11" s="1035"/>
      <c r="N11" s="1035"/>
      <c r="O11" s="1036"/>
      <c r="P11" s="1029"/>
      <c r="Q11" s="1029"/>
      <c r="R11" s="1029"/>
      <c r="S11" s="1029"/>
      <c r="T11" s="1029"/>
      <c r="U11" s="1029"/>
      <c r="V11" s="1028"/>
      <c r="W11" s="909"/>
    </row>
    <row r="12" spans="1:256" ht="18.75" customHeight="1">
      <c r="A12" s="142" t="s">
        <v>297</v>
      </c>
      <c r="B12" s="1038"/>
      <c r="C12" s="914">
        <v>3</v>
      </c>
      <c r="D12" s="145"/>
      <c r="E12" s="145"/>
      <c r="F12" s="146">
        <f>SUM('31:1'!F12,'31:1'!O12)</f>
        <v>18688</v>
      </c>
      <c r="G12" s="1365">
        <f>SUM('31:1'!G12:H12,'31:1'!P12:Q12)</f>
        <v>43920</v>
      </c>
      <c r="H12" s="1365"/>
      <c r="I12" s="1365">
        <f>SUM('31:1'!I12:J12,'31:1'!R12:S12)</f>
        <v>41135</v>
      </c>
      <c r="J12" s="1365"/>
      <c r="K12" s="1368">
        <f t="shared" si="0"/>
        <v>2785</v>
      </c>
      <c r="L12" s="1369"/>
      <c r="M12" s="1035"/>
      <c r="N12" s="1035"/>
      <c r="O12" s="1036"/>
      <c r="P12" s="1029"/>
      <c r="Q12" s="1029"/>
      <c r="R12" s="1029"/>
      <c r="S12" s="1029"/>
      <c r="T12" s="1029"/>
      <c r="U12" s="1029"/>
      <c r="V12" s="1028"/>
      <c r="W12" s="909"/>
    </row>
    <row r="13" spans="1:256" ht="18.75" customHeight="1" thickBot="1">
      <c r="A13" s="142" t="s">
        <v>298</v>
      </c>
      <c r="B13" s="1039"/>
      <c r="C13" s="915">
        <v>3</v>
      </c>
      <c r="D13" s="145"/>
      <c r="E13" s="145"/>
      <c r="F13" s="146">
        <f>SUM('31:1'!F13,'31:1'!O13)</f>
        <v>0</v>
      </c>
      <c r="G13" s="1365">
        <f>SUM('31:1'!G13:H13,'31:1'!P13:Q13)</f>
        <v>0</v>
      </c>
      <c r="H13" s="1365"/>
      <c r="I13" s="1365">
        <f>SUM('31:1'!I13:J13,'31:1'!R13:S13)</f>
        <v>0</v>
      </c>
      <c r="J13" s="1365"/>
      <c r="K13" s="1366">
        <f t="shared" si="0"/>
        <v>0</v>
      </c>
      <c r="L13" s="1367"/>
      <c r="M13" s="1035"/>
      <c r="N13" s="1035"/>
      <c r="O13" s="1036"/>
      <c r="P13" s="1029"/>
      <c r="Q13" s="1029"/>
      <c r="R13" s="1029"/>
      <c r="S13" s="1029"/>
      <c r="T13" s="1029"/>
      <c r="U13" s="1029"/>
      <c r="V13" s="1028"/>
      <c r="W13" s="909"/>
    </row>
    <row r="14" spans="1:256" ht="21.75" customHeight="1" thickBot="1">
      <c r="A14" s="1360" t="s">
        <v>173</v>
      </c>
      <c r="B14" s="1361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126856</v>
      </c>
      <c r="G14" s="1362">
        <f>SUM(G6:H13)</f>
        <v>253693</v>
      </c>
      <c r="H14" s="1363"/>
      <c r="I14" s="1362">
        <f>SUM(I6:I13)</f>
        <v>226520</v>
      </c>
      <c r="J14" s="1363"/>
      <c r="K14" s="1362">
        <f>SUM(K6:K13)</f>
        <v>27173</v>
      </c>
      <c r="L14" s="1364"/>
      <c r="M14" s="1040"/>
      <c r="N14" s="1040"/>
      <c r="O14" s="1036"/>
      <c r="P14" s="1041"/>
      <c r="Q14" s="1041"/>
      <c r="R14" s="1041"/>
      <c r="S14" s="1041"/>
      <c r="T14" s="1041"/>
      <c r="U14" s="1041"/>
      <c r="V14" s="1042"/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917" t="s">
        <v>173</v>
      </c>
      <c r="M15" s="1043"/>
      <c r="N15" s="1043"/>
      <c r="O15" s="1043"/>
      <c r="P15" s="1043"/>
      <c r="Q15" s="1043"/>
      <c r="R15" s="1043"/>
      <c r="S15" s="1043"/>
      <c r="T15" s="1043"/>
      <c r="U15" s="1036"/>
      <c r="V15" s="1043"/>
      <c r="W15" s="231"/>
      <c r="Z15" s="138">
        <v>2989</v>
      </c>
      <c r="AA15" s="138">
        <v>2954</v>
      </c>
    </row>
    <row r="16" spans="1:256" ht="18.75" customHeight="1" thickBot="1">
      <c r="A16" s="157" t="s">
        <v>308</v>
      </c>
      <c r="B16" s="158"/>
      <c r="C16" s="158"/>
      <c r="D16" s="159">
        <f>SUM('31:1'!D16,'31:1'!M16)</f>
        <v>0</v>
      </c>
      <c r="E16" s="159">
        <f>SUM('31:1'!E16,'31:1'!N16)</f>
        <v>0</v>
      </c>
      <c r="F16" s="159">
        <f>SUM('31:1'!F16,'31:1'!O16)</f>
        <v>0</v>
      </c>
      <c r="G16" s="159">
        <f>SUM('31:1'!G16,'31:1'!P16)</f>
        <v>0</v>
      </c>
      <c r="H16" s="159">
        <f>SUM('31:1'!H16,'31:1'!Q16)</f>
        <v>0</v>
      </c>
      <c r="I16" s="159">
        <f>SUM('31:1'!I16,'31:1'!R16)</f>
        <v>0</v>
      </c>
      <c r="J16" s="159">
        <f>SUM('31:1'!J16,'31:1'!S16)</f>
        <v>0</v>
      </c>
      <c r="K16" s="159">
        <f>SUM('31:1'!K16,'31:1'!T16)</f>
        <v>0</v>
      </c>
      <c r="L16" s="918">
        <f t="shared" ref="L16:L21" si="1">SUM(D16:K16)</f>
        <v>0</v>
      </c>
      <c r="M16" s="1034"/>
      <c r="N16" s="1034"/>
      <c r="O16" s="1034"/>
      <c r="P16" s="1034"/>
      <c r="Q16" s="1034"/>
      <c r="R16" s="1034"/>
      <c r="S16" s="1034"/>
      <c r="T16" s="1034"/>
      <c r="U16" s="1043"/>
      <c r="V16" s="1044"/>
      <c r="W16" s="233"/>
    </row>
    <row r="17" spans="1:29" ht="18.75" customHeight="1" thickBot="1">
      <c r="A17" s="1045" t="s">
        <v>179</v>
      </c>
      <c r="B17" s="1046"/>
      <c r="C17" s="1046"/>
      <c r="D17" s="159">
        <f>SUM('31:1'!D17,'31:1'!M17)</f>
        <v>250</v>
      </c>
      <c r="E17" s="159">
        <f>SUM('31:1'!E17,'31:1'!N17)</f>
        <v>250</v>
      </c>
      <c r="F17" s="159">
        <f>SUM('31:1'!F17,'31:1'!O17)</f>
        <v>220</v>
      </c>
      <c r="G17" s="159">
        <f>SUM('31:1'!G17,'31:1'!P17)</f>
        <v>130</v>
      </c>
      <c r="H17" s="159">
        <f>SUM('31:1'!H17,'31:1'!Q17)</f>
        <v>250</v>
      </c>
      <c r="I17" s="159">
        <f>SUM('31:1'!I17,'31:1'!R17)</f>
        <v>250</v>
      </c>
      <c r="J17" s="159">
        <f>SUM('31:1'!J17,'31:1'!S17)</f>
        <v>250</v>
      </c>
      <c r="K17" s="159">
        <f>SUM('31:1'!K17,'31:1'!T17)</f>
        <v>0</v>
      </c>
      <c r="L17" s="1047">
        <f t="shared" si="1"/>
        <v>1600</v>
      </c>
      <c r="M17" s="1034"/>
      <c r="N17" s="1034"/>
      <c r="O17" s="1034"/>
      <c r="P17" s="1034"/>
      <c r="Q17" s="1034"/>
      <c r="R17" s="1034"/>
      <c r="S17" s="1034"/>
      <c r="T17" s="1034"/>
      <c r="U17" s="1043"/>
      <c r="V17" s="1043"/>
      <c r="W17" s="234"/>
      <c r="Z17" s="138">
        <f>Z15-1000</f>
        <v>1989</v>
      </c>
      <c r="AA17" s="138">
        <f>AA15-1000</f>
        <v>1954</v>
      </c>
    </row>
    <row r="18" spans="1:29" ht="18.75" customHeight="1" thickBot="1">
      <c r="A18" s="1048" t="s">
        <v>309</v>
      </c>
      <c r="B18" s="1046"/>
      <c r="C18" s="1046"/>
      <c r="D18" s="159">
        <f>SUM('31:1'!D18,'31:1'!M18)</f>
        <v>0</v>
      </c>
      <c r="E18" s="159">
        <f>SUM('31:1'!E18,'31:1'!N18)</f>
        <v>0</v>
      </c>
      <c r="F18" s="159">
        <f>SUM('31:1'!F18,'31:1'!O18)</f>
        <v>0</v>
      </c>
      <c r="G18" s="159">
        <f>SUM('31:1'!G18,'31:1'!P18)</f>
        <v>60</v>
      </c>
      <c r="H18" s="159">
        <f>SUM('31:1'!H18,'31:1'!Q18)</f>
        <v>0</v>
      </c>
      <c r="I18" s="159">
        <f>SUM('31:1'!I18,'31:1'!R18)</f>
        <v>0</v>
      </c>
      <c r="J18" s="159">
        <f>SUM('31:1'!J18,'31:1'!S18)</f>
        <v>0</v>
      </c>
      <c r="K18" s="159">
        <f>SUM('31:1'!K18,'31:1'!T18)</f>
        <v>0</v>
      </c>
      <c r="L18" s="1047">
        <f t="shared" si="1"/>
        <v>60</v>
      </c>
      <c r="M18" s="1034"/>
      <c r="N18" s="1034"/>
      <c r="O18" s="1034"/>
      <c r="P18" s="1034"/>
      <c r="Q18" s="1034"/>
      <c r="R18" s="1034"/>
      <c r="S18" s="1034"/>
      <c r="T18" s="1034"/>
      <c r="U18" s="1043"/>
      <c r="V18" s="1043"/>
      <c r="W18" s="234"/>
    </row>
    <row r="19" spans="1:29" ht="18.75" customHeight="1" thickBot="1">
      <c r="A19" s="1048" t="s">
        <v>310</v>
      </c>
      <c r="B19" s="1046"/>
      <c r="C19" s="1046"/>
      <c r="D19" s="159">
        <f>SUM('31:1'!D19,'31:1'!M19)</f>
        <v>472</v>
      </c>
      <c r="E19" s="159">
        <f>SUM('31:1'!E19,'31:1'!N19)</f>
        <v>412</v>
      </c>
      <c r="F19" s="159">
        <f>SUM('31:1'!F19,'31:1'!O19)</f>
        <v>400</v>
      </c>
      <c r="G19" s="159">
        <f>SUM('31:1'!G19,'31:1'!P19)</f>
        <v>372</v>
      </c>
      <c r="H19" s="159">
        <f>SUM('31:1'!H19,'31:1'!Q19)</f>
        <v>337</v>
      </c>
      <c r="I19" s="159">
        <f>SUM('31:1'!I19,'31:1'!R19)</f>
        <v>352</v>
      </c>
      <c r="J19" s="159">
        <f>SUM('31:1'!J19,'31:1'!S19)</f>
        <v>489</v>
      </c>
      <c r="K19" s="159">
        <f>SUM('31:1'!K19,'31:1'!T19)</f>
        <v>0</v>
      </c>
      <c r="L19" s="1047">
        <f t="shared" si="1"/>
        <v>2834</v>
      </c>
      <c r="M19" s="1034"/>
      <c r="N19" s="1034"/>
      <c r="O19" s="1034"/>
      <c r="P19" s="1034"/>
      <c r="Q19" s="1034"/>
      <c r="R19" s="1034"/>
      <c r="S19" s="1034"/>
      <c r="T19" s="1034"/>
      <c r="U19" s="1043"/>
      <c r="V19" s="1043"/>
      <c r="W19" s="234"/>
    </row>
    <row r="20" spans="1:29" ht="18.75" customHeight="1" thickBot="1">
      <c r="A20" s="161" t="s">
        <v>311</v>
      </c>
      <c r="B20" s="162"/>
      <c r="C20" s="162"/>
      <c r="D20" s="159">
        <f>SUM('31:1'!D20,'31:1'!M20)</f>
        <v>0</v>
      </c>
      <c r="E20" s="159">
        <f>SUM('31:1'!E20,'31:1'!N20)</f>
        <v>0</v>
      </c>
      <c r="F20" s="159">
        <f>SUM('31:1'!F20,'31:1'!O20)</f>
        <v>0</v>
      </c>
      <c r="G20" s="159">
        <f>SUM('31:1'!G20,'31:1'!P20)</f>
        <v>0</v>
      </c>
      <c r="H20" s="159">
        <f>SUM('31:1'!H20,'31:1'!Q20)</f>
        <v>0</v>
      </c>
      <c r="I20" s="159">
        <f>SUM('31:1'!I20,'31:1'!R20)</f>
        <v>0</v>
      </c>
      <c r="J20" s="159">
        <f>SUM('31:1'!J20,'31:1'!S20)</f>
        <v>0</v>
      </c>
      <c r="K20" s="159">
        <f>SUM('31:1'!K20,'31:1'!T20)</f>
        <v>0</v>
      </c>
      <c r="L20" s="1049">
        <f t="shared" si="1"/>
        <v>0</v>
      </c>
      <c r="M20" s="1034"/>
      <c r="N20" s="1034"/>
      <c r="O20" s="1034"/>
      <c r="P20" s="1034"/>
      <c r="Q20" s="1034"/>
      <c r="R20" s="1034"/>
      <c r="S20" s="1034"/>
      <c r="T20" s="1034"/>
      <c r="U20" s="1043"/>
      <c r="V20" s="1043"/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2">SUM(D16:D20)</f>
        <v>722</v>
      </c>
      <c r="E21" s="165">
        <f t="shared" si="2"/>
        <v>662</v>
      </c>
      <c r="F21" s="165">
        <f t="shared" si="2"/>
        <v>620</v>
      </c>
      <c r="G21" s="165">
        <f t="shared" si="2"/>
        <v>562</v>
      </c>
      <c r="H21" s="165">
        <f t="shared" si="2"/>
        <v>587</v>
      </c>
      <c r="I21" s="165">
        <f t="shared" si="2"/>
        <v>602</v>
      </c>
      <c r="J21" s="165">
        <f t="shared" si="2"/>
        <v>739</v>
      </c>
      <c r="K21" s="165">
        <f t="shared" si="2"/>
        <v>0</v>
      </c>
      <c r="L21" s="919">
        <f t="shared" si="1"/>
        <v>4494</v>
      </c>
      <c r="M21" s="1043"/>
      <c r="N21" s="1043"/>
      <c r="O21" s="1043"/>
      <c r="P21" s="1043"/>
      <c r="Q21" s="1043"/>
      <c r="R21" s="1043"/>
      <c r="S21" s="1043"/>
      <c r="T21" s="1043"/>
      <c r="U21" s="1043"/>
      <c r="V21" s="1043"/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920" t="s">
        <v>173</v>
      </c>
      <c r="M22" s="1043"/>
      <c r="N22" s="1043"/>
      <c r="O22" s="1043"/>
      <c r="P22" s="1043"/>
      <c r="Q22" s="1043"/>
      <c r="R22" s="1043"/>
      <c r="S22" s="1043"/>
      <c r="T22" s="1043"/>
      <c r="U22" s="1043"/>
      <c r="V22" s="1043"/>
      <c r="W22" s="231"/>
      <c r="AC22" s="257"/>
    </row>
    <row r="23" spans="1:29" ht="18.75" customHeight="1" thickBot="1">
      <c r="A23" s="167" t="s">
        <v>192</v>
      </c>
      <c r="B23" s="168"/>
      <c r="C23" s="168"/>
      <c r="D23" s="159">
        <f>SUM('31:1'!D23,'31:1'!M23)</f>
        <v>378</v>
      </c>
      <c r="E23" s="159">
        <f>SUM('31:1'!E23,'31:1'!N23)</f>
        <v>71</v>
      </c>
      <c r="F23" s="159">
        <f>SUM('31:1'!F23,'31:1'!O23)</f>
        <v>266</v>
      </c>
      <c r="G23" s="159">
        <f>SUM('31:1'!G23,'31:1'!P23)</f>
        <v>237</v>
      </c>
      <c r="H23" s="159">
        <f>SUM('31:1'!H23,'31:1'!Q23)</f>
        <v>239</v>
      </c>
      <c r="I23" s="159">
        <f>SUM('31:1'!I23,'31:1'!R23)</f>
        <v>81</v>
      </c>
      <c r="J23" s="159">
        <f>SUM('31:1'!J23,'31:1'!S23)</f>
        <v>30</v>
      </c>
      <c r="K23" s="159">
        <f>SUM('31:1'!K23,'31:1'!T23)</f>
        <v>0</v>
      </c>
      <c r="L23" s="921">
        <f>SUM(D23:K23)</f>
        <v>1302</v>
      </c>
      <c r="M23" s="1034"/>
      <c r="N23" s="1034"/>
      <c r="O23" s="1034"/>
      <c r="P23" s="1034"/>
      <c r="Q23" s="1034"/>
      <c r="R23" s="1034"/>
      <c r="S23" s="1034"/>
      <c r="T23" s="1034"/>
      <c r="U23" s="1043"/>
      <c r="V23" s="1044"/>
      <c r="W23" s="233"/>
    </row>
    <row r="24" spans="1:29" ht="18.75" customHeight="1" thickBot="1">
      <c r="A24" s="1048" t="s">
        <v>314</v>
      </c>
      <c r="B24" s="1046"/>
      <c r="C24" s="1046"/>
      <c r="D24" s="159">
        <f>SUM('31:1'!D24,'31:1'!M24)</f>
        <v>3657</v>
      </c>
      <c r="E24" s="159">
        <f>SUM('31:1'!E24,'31:1'!N24)</f>
        <v>3434</v>
      </c>
      <c r="F24" s="159">
        <f>SUM('31:1'!F24,'31:1'!O24)</f>
        <v>3431</v>
      </c>
      <c r="G24" s="159">
        <f>SUM('31:1'!G24,'31:1'!P24)</f>
        <v>2490</v>
      </c>
      <c r="H24" s="159">
        <f>SUM('31:1'!H24,'31:1'!Q24)</f>
        <v>3053</v>
      </c>
      <c r="I24" s="159">
        <f>SUM('31:1'!I24,'31:1'!R24)</f>
        <v>2534</v>
      </c>
      <c r="J24" s="159">
        <f>SUM('31:1'!J24,'31:1'!S24)</f>
        <v>3136</v>
      </c>
      <c r="K24" s="159">
        <f>SUM('31:1'!K24,'31:1'!T24)</f>
        <v>0</v>
      </c>
      <c r="L24" s="1049">
        <f>SUM(D24:K24)</f>
        <v>21735</v>
      </c>
      <c r="M24" s="1050"/>
      <c r="N24" s="1050"/>
      <c r="O24" s="1050"/>
      <c r="P24" s="1050"/>
      <c r="Q24" s="1050"/>
      <c r="R24" s="1050"/>
      <c r="S24" s="1050"/>
      <c r="T24" s="1050"/>
      <c r="U24" s="1051"/>
      <c r="V24" s="1044"/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1575.3333333333321</v>
      </c>
      <c r="E25" s="171">
        <f>$F7-E$55-E$56-E$21-E$23-E$24-E$34-E$43</f>
        <v>2418.6666666666679</v>
      </c>
      <c r="F25" s="171">
        <f>$F8-F$55-F$56-F$21-F$23-F$24-F$34-F$43</f>
        <v>2749.9999999999982</v>
      </c>
      <c r="G25" s="171">
        <f>$F9-G$55-G$56-G$21-G$23-G$24-G$34-G$43</f>
        <v>1126.3333333333321</v>
      </c>
      <c r="H25" s="171">
        <f>$F10-H$55-H$56-H$21-H$23-H$24-H$34-H$43</f>
        <v>750.66666666666788</v>
      </c>
      <c r="I25" s="171">
        <f>$F11-I$55-I$56-I$21-I$23-I$24-I$34-I$43</f>
        <v>1720.6666666666661</v>
      </c>
      <c r="J25" s="171">
        <f>$F12-J$55-J$56-J$21-J$23-J$24-J$34-J$43</f>
        <v>-200.99999999999818</v>
      </c>
      <c r="K25" s="171">
        <f>$F13-K$55-K$56-K$21-K$23-K$24-K$34-K$43</f>
        <v>0</v>
      </c>
      <c r="L25" s="922">
        <f>SUM(D25:K25)</f>
        <v>10140.666666666666</v>
      </c>
      <c r="M25" s="1053"/>
      <c r="N25" s="1053"/>
      <c r="O25" s="1053"/>
      <c r="P25" s="1053"/>
      <c r="Q25" s="1053"/>
      <c r="R25" s="1053"/>
      <c r="S25" s="1053"/>
      <c r="T25" s="1053"/>
      <c r="U25" s="1051"/>
      <c r="V25" s="1044"/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5610.3333333333321</v>
      </c>
      <c r="E26" s="172">
        <f t="shared" ref="E26:K26" si="3">SUM(E23:E25)</f>
        <v>5923.6666666666679</v>
      </c>
      <c r="F26" s="172">
        <f t="shared" si="3"/>
        <v>6446.9999999999982</v>
      </c>
      <c r="G26" s="172">
        <f t="shared" si="3"/>
        <v>3853.3333333333321</v>
      </c>
      <c r="H26" s="172">
        <f t="shared" si="3"/>
        <v>4042.6666666666679</v>
      </c>
      <c r="I26" s="172">
        <f t="shared" si="3"/>
        <v>4335.6666666666661</v>
      </c>
      <c r="J26" s="172">
        <f t="shared" si="3"/>
        <v>2965.0000000000018</v>
      </c>
      <c r="K26" s="172">
        <f t="shared" si="3"/>
        <v>0</v>
      </c>
      <c r="L26" s="923">
        <f>SUM(D26:K26)</f>
        <v>33177.666666666664</v>
      </c>
      <c r="M26" s="1054"/>
      <c r="N26" s="1054"/>
      <c r="O26" s="1054"/>
      <c r="P26" s="1054"/>
      <c r="Q26" s="1054"/>
      <c r="R26" s="1054"/>
      <c r="S26" s="1054"/>
      <c r="T26" s="1054"/>
      <c r="U26" s="1051"/>
      <c r="V26" s="1044"/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920" t="s">
        <v>173</v>
      </c>
      <c r="M27" s="1043"/>
      <c r="N27" s="1043"/>
      <c r="O27" s="1043"/>
      <c r="P27" s="1043"/>
      <c r="Q27" s="1043"/>
      <c r="R27" s="1043"/>
      <c r="S27" s="1043"/>
      <c r="T27" s="1043"/>
      <c r="U27" s="1043"/>
      <c r="V27" s="1043"/>
      <c r="W27" s="231"/>
    </row>
    <row r="28" spans="1:29" ht="18.75" customHeight="1" thickBot="1">
      <c r="A28" s="157" t="s">
        <v>318</v>
      </c>
      <c r="B28" s="158"/>
      <c r="C28" s="158"/>
      <c r="D28" s="159">
        <f>SUM('31:1'!D28,'31:1'!M28)</f>
        <v>513</v>
      </c>
      <c r="E28" s="159">
        <f>SUM('31:1'!E28,'31:1'!N28)</f>
        <v>633</v>
      </c>
      <c r="F28" s="159">
        <f>SUM('31:1'!F28,'31:1'!O28)</f>
        <v>533</v>
      </c>
      <c r="G28" s="159">
        <f>SUM('31:1'!G28,'31:1'!P28)</f>
        <v>335</v>
      </c>
      <c r="H28" s="159">
        <f>SUM('31:1'!H28,'31:1'!Q28)</f>
        <v>323</v>
      </c>
      <c r="I28" s="159">
        <f>SUM('31:1'!I28,'31:1'!R28)</f>
        <v>1115</v>
      </c>
      <c r="J28" s="159">
        <f>SUM('31:1'!J28,'31:1'!S28)</f>
        <v>200</v>
      </c>
      <c r="K28" s="159">
        <f>SUM('31:1'!K28,'31:1'!T28)</f>
        <v>0</v>
      </c>
      <c r="L28" s="918">
        <f t="shared" ref="L28:L34" si="4">SUM(D28:K28)</f>
        <v>3652</v>
      </c>
      <c r="M28" s="1034"/>
      <c r="N28" s="1034"/>
      <c r="O28" s="1034"/>
      <c r="P28" s="1034"/>
      <c r="Q28" s="1034"/>
      <c r="R28" s="1034"/>
      <c r="S28" s="1034"/>
      <c r="T28" s="1034"/>
      <c r="U28" s="1043"/>
      <c r="V28" s="1043"/>
      <c r="W28" s="234"/>
    </row>
    <row r="29" spans="1:29" ht="18.75" customHeight="1" thickBot="1">
      <c r="A29" s="167" t="s">
        <v>319</v>
      </c>
      <c r="B29" s="168"/>
      <c r="C29" s="168"/>
      <c r="D29" s="159">
        <f>SUM('31:1'!D29,'31:1'!M29)</f>
        <v>0</v>
      </c>
      <c r="E29" s="159">
        <f>SUM('31:1'!E29,'31:1'!N29)</f>
        <v>0</v>
      </c>
      <c r="F29" s="159">
        <f>SUM('31:1'!F29,'31:1'!O29)</f>
        <v>0</v>
      </c>
      <c r="G29" s="159">
        <f>SUM('31:1'!G29,'31:1'!P29)</f>
        <v>0</v>
      </c>
      <c r="H29" s="159">
        <f>SUM('31:1'!H29,'31:1'!Q29)</f>
        <v>0</v>
      </c>
      <c r="I29" s="159">
        <f>SUM('31:1'!I29,'31:1'!R29)</f>
        <v>0</v>
      </c>
      <c r="J29" s="159">
        <f>SUM('31:1'!J29,'31:1'!S29)</f>
        <v>0</v>
      </c>
      <c r="K29" s="159">
        <f>SUM('31:1'!K29,'31:1'!T29)</f>
        <v>0</v>
      </c>
      <c r="L29" s="1047">
        <f t="shared" si="4"/>
        <v>0</v>
      </c>
      <c r="M29" s="1034"/>
      <c r="N29" s="1034"/>
      <c r="O29" s="1034"/>
      <c r="P29" s="1034"/>
      <c r="Q29" s="1034"/>
      <c r="R29" s="1034"/>
      <c r="S29" s="1034"/>
      <c r="T29" s="1034"/>
      <c r="U29" s="1043"/>
      <c r="V29" s="1044"/>
      <c r="W29" s="233"/>
    </row>
    <row r="30" spans="1:29" ht="18.75" customHeight="1" thickBot="1">
      <c r="A30" s="1048" t="s">
        <v>320</v>
      </c>
      <c r="B30" s="1046"/>
      <c r="C30" s="1046"/>
      <c r="D30" s="159">
        <f>SUM('31:1'!D30,'31:1'!M30)</f>
        <v>131</v>
      </c>
      <c r="E30" s="159">
        <f>SUM('31:1'!E30,'31:1'!N30)</f>
        <v>131</v>
      </c>
      <c r="F30" s="159">
        <f>SUM('31:1'!F30,'31:1'!O30)</f>
        <v>131</v>
      </c>
      <c r="G30" s="159">
        <f>SUM('31:1'!G30,'31:1'!P30)</f>
        <v>131</v>
      </c>
      <c r="H30" s="159">
        <f>SUM('31:1'!H30,'31:1'!Q30)</f>
        <v>131</v>
      </c>
      <c r="I30" s="159">
        <f>SUM('31:1'!I30,'31:1'!R30)</f>
        <v>104</v>
      </c>
      <c r="J30" s="159">
        <f>SUM('31:1'!J30,'31:1'!S30)</f>
        <v>131</v>
      </c>
      <c r="K30" s="159">
        <f>SUM('31:1'!K30,'31:1'!T30)</f>
        <v>0</v>
      </c>
      <c r="L30" s="1047">
        <f t="shared" si="4"/>
        <v>890</v>
      </c>
      <c r="M30" s="1034"/>
      <c r="N30" s="1034"/>
      <c r="O30" s="1034"/>
      <c r="P30" s="1034"/>
      <c r="Q30" s="1034"/>
      <c r="R30" s="1034"/>
      <c r="S30" s="1034"/>
      <c r="T30" s="1034"/>
      <c r="U30" s="1043"/>
      <c r="V30" s="1044"/>
      <c r="W30" s="233"/>
    </row>
    <row r="31" spans="1:29" ht="18.75" customHeight="1" thickBot="1">
      <c r="A31" s="1048" t="s">
        <v>321</v>
      </c>
      <c r="B31" s="1046"/>
      <c r="C31" s="1046"/>
      <c r="D31" s="159">
        <f>SUM('31:1'!D31,'31:1'!M31)</f>
        <v>0</v>
      </c>
      <c r="E31" s="159">
        <f>SUM('31:1'!E31,'31:1'!N31)</f>
        <v>0</v>
      </c>
      <c r="F31" s="159">
        <f>SUM('31:1'!F31,'31:1'!O31)</f>
        <v>0</v>
      </c>
      <c r="G31" s="159">
        <f>SUM('31:1'!G31,'31:1'!P31)</f>
        <v>0</v>
      </c>
      <c r="H31" s="159">
        <f>SUM('31:1'!H31,'31:1'!Q31)</f>
        <v>0</v>
      </c>
      <c r="I31" s="159">
        <f>SUM('31:1'!I31,'31:1'!R31)</f>
        <v>0</v>
      </c>
      <c r="J31" s="159">
        <f>SUM('31:1'!J31,'31:1'!S31)</f>
        <v>0</v>
      </c>
      <c r="K31" s="159">
        <f>SUM('31:1'!K31,'31:1'!T31)</f>
        <v>0</v>
      </c>
      <c r="L31" s="1047">
        <f t="shared" si="4"/>
        <v>0</v>
      </c>
      <c r="M31" s="1034"/>
      <c r="N31" s="1034"/>
      <c r="O31" s="1034"/>
      <c r="P31" s="1034"/>
      <c r="Q31" s="1034"/>
      <c r="R31" s="1034"/>
      <c r="S31" s="1034"/>
      <c r="T31" s="1034"/>
      <c r="U31" s="1043"/>
      <c r="V31" s="1044"/>
      <c r="W31" s="233"/>
    </row>
    <row r="32" spans="1:29" ht="18.75" customHeight="1" thickBot="1">
      <c r="A32" s="173" t="s">
        <v>322</v>
      </c>
      <c r="B32" s="174"/>
      <c r="C32" s="174"/>
      <c r="D32" s="159">
        <f>SUM('31:1'!D32,'31:1'!M32)</f>
        <v>0</v>
      </c>
      <c r="E32" s="159">
        <f>SUM('31:1'!E32,'31:1'!N32)</f>
        <v>0</v>
      </c>
      <c r="F32" s="159">
        <f>SUM('31:1'!F32,'31:1'!O32)</f>
        <v>0</v>
      </c>
      <c r="G32" s="159">
        <f>SUM('31:1'!G32,'31:1'!P32)</f>
        <v>0</v>
      </c>
      <c r="H32" s="159">
        <f>SUM('31:1'!H32,'31:1'!Q32)</f>
        <v>0</v>
      </c>
      <c r="I32" s="159">
        <f>SUM('31:1'!I32,'31:1'!R32)</f>
        <v>0</v>
      </c>
      <c r="J32" s="159">
        <f>SUM('31:1'!J32,'31:1'!S32)</f>
        <v>0</v>
      </c>
      <c r="K32" s="159">
        <f>SUM('31:1'!K32,'31:1'!T32)</f>
        <v>0</v>
      </c>
      <c r="L32" s="1047">
        <f t="shared" si="4"/>
        <v>0</v>
      </c>
      <c r="M32" s="1034"/>
      <c r="N32" s="1034"/>
      <c r="O32" s="1034"/>
      <c r="P32" s="1034"/>
      <c r="Q32" s="1034"/>
      <c r="R32" s="1034"/>
      <c r="S32" s="1034"/>
      <c r="T32" s="1034"/>
      <c r="U32" s="1043"/>
      <c r="V32" s="1044"/>
      <c r="W32" s="233"/>
    </row>
    <row r="33" spans="1:23" ht="18.75" customHeight="1" thickBot="1">
      <c r="A33" s="1055" t="s">
        <v>323</v>
      </c>
      <c r="B33" s="1056"/>
      <c r="C33" s="1056"/>
      <c r="D33" s="159">
        <f>SUM('31:1'!D33,'31:1'!M33)</f>
        <v>0</v>
      </c>
      <c r="E33" s="159">
        <f>SUM('31:1'!E33,'31:1'!N33)</f>
        <v>0</v>
      </c>
      <c r="F33" s="159">
        <f>SUM('31:1'!F33,'31:1'!O33)</f>
        <v>0</v>
      </c>
      <c r="G33" s="159">
        <f>SUM('31:1'!G33,'31:1'!P33)</f>
        <v>0</v>
      </c>
      <c r="H33" s="159">
        <f>SUM('31:1'!H33,'31:1'!Q33)</f>
        <v>0</v>
      </c>
      <c r="I33" s="159">
        <f>SUM('31:1'!I33,'31:1'!R33)</f>
        <v>0</v>
      </c>
      <c r="J33" s="159">
        <f>SUM('31:1'!J33,'31:1'!S33)</f>
        <v>0</v>
      </c>
      <c r="K33" s="159">
        <f>SUM('31:1'!K33,'31:1'!T33)</f>
        <v>0</v>
      </c>
      <c r="L33" s="1049">
        <f t="shared" si="4"/>
        <v>0</v>
      </c>
      <c r="M33" s="1034"/>
      <c r="N33" s="1034"/>
      <c r="O33" s="1034"/>
      <c r="P33" s="1034"/>
      <c r="Q33" s="1034"/>
      <c r="R33" s="1034"/>
      <c r="S33" s="1034"/>
      <c r="T33" s="1034"/>
      <c r="U33" s="1043"/>
      <c r="V33" s="1044"/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5">SUM(D28:D33)</f>
        <v>644</v>
      </c>
      <c r="E34" s="175">
        <f t="shared" si="5"/>
        <v>764</v>
      </c>
      <c r="F34" s="176">
        <f t="shared" si="5"/>
        <v>664</v>
      </c>
      <c r="G34" s="176">
        <f t="shared" si="5"/>
        <v>466</v>
      </c>
      <c r="H34" s="176">
        <f t="shared" si="5"/>
        <v>454</v>
      </c>
      <c r="I34" s="176">
        <f t="shared" si="5"/>
        <v>1219</v>
      </c>
      <c r="J34" s="176">
        <f t="shared" si="5"/>
        <v>331</v>
      </c>
      <c r="K34" s="176">
        <f t="shared" si="5"/>
        <v>0</v>
      </c>
      <c r="L34" s="924">
        <f t="shared" si="4"/>
        <v>4542</v>
      </c>
      <c r="M34" s="1054"/>
      <c r="N34" s="1054"/>
      <c r="O34" s="1054"/>
      <c r="P34" s="1054"/>
      <c r="Q34" s="1054"/>
      <c r="R34" s="1054"/>
      <c r="S34" s="1054"/>
      <c r="T34" s="1054"/>
      <c r="U34" s="1051"/>
      <c r="V34" s="1044"/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920" t="s">
        <v>173</v>
      </c>
      <c r="M35" s="1043"/>
      <c r="N35" s="1043"/>
      <c r="O35" s="1043"/>
      <c r="P35" s="1043"/>
      <c r="Q35" s="1043"/>
      <c r="R35" s="1043"/>
      <c r="S35" s="1043"/>
      <c r="T35" s="1043"/>
      <c r="U35" s="1043"/>
      <c r="V35" s="1043"/>
      <c r="W35" s="231"/>
    </row>
    <row r="36" spans="1:23" ht="18.75" customHeight="1" thickBot="1">
      <c r="A36" s="157" t="s">
        <v>193</v>
      </c>
      <c r="B36" s="158"/>
      <c r="C36" s="158"/>
      <c r="D36" s="159">
        <f>SUM('31:1'!D36,'31:1'!M36)</f>
        <v>0</v>
      </c>
      <c r="E36" s="159">
        <f>SUM('31:1'!E36,'31:1'!N36)</f>
        <v>0</v>
      </c>
      <c r="F36" s="159">
        <f>SUM('31:1'!F36,'31:1'!O36)</f>
        <v>0</v>
      </c>
      <c r="G36" s="159">
        <f>SUM('31:1'!G36,'31:1'!P36)</f>
        <v>0</v>
      </c>
      <c r="H36" s="159">
        <f>SUM('31:1'!H36,'31:1'!Q36)</f>
        <v>0</v>
      </c>
      <c r="I36" s="159">
        <f>SUM('31:1'!I36,'31:1'!R36)</f>
        <v>0</v>
      </c>
      <c r="J36" s="159">
        <f>SUM('31:1'!J36,'31:1'!S36)</f>
        <v>0</v>
      </c>
      <c r="K36" s="159">
        <f>SUM('31:1'!K36,'31:1'!T36)</f>
        <v>0</v>
      </c>
      <c r="L36" s="918">
        <f t="shared" ref="L36:L43" si="6">SUM(D36:K36)</f>
        <v>0</v>
      </c>
      <c r="M36" s="1034"/>
      <c r="N36" s="1034"/>
      <c r="O36" s="1034"/>
      <c r="P36" s="1034"/>
      <c r="Q36" s="1034"/>
      <c r="R36" s="1034"/>
      <c r="S36" s="1034"/>
      <c r="T36" s="1034"/>
      <c r="U36" s="1043"/>
      <c r="V36" s="1043"/>
      <c r="W36" s="234"/>
    </row>
    <row r="37" spans="1:23" ht="18.75" customHeight="1" thickBot="1">
      <c r="A37" s="1048" t="s">
        <v>195</v>
      </c>
      <c r="B37" s="1046"/>
      <c r="C37" s="1046"/>
      <c r="D37" s="159">
        <f>SUM('31:1'!D37,'31:1'!M37)</f>
        <v>0</v>
      </c>
      <c r="E37" s="159">
        <f>SUM('31:1'!E37,'31:1'!N37)</f>
        <v>0</v>
      </c>
      <c r="F37" s="159">
        <f>SUM('31:1'!F37,'31:1'!O37)</f>
        <v>0</v>
      </c>
      <c r="G37" s="159">
        <f>SUM('31:1'!G37,'31:1'!P37)</f>
        <v>0</v>
      </c>
      <c r="H37" s="159">
        <f>SUM('31:1'!H37,'31:1'!Q37)</f>
        <v>0</v>
      </c>
      <c r="I37" s="159">
        <f>SUM('31:1'!I37,'31:1'!R37)</f>
        <v>0</v>
      </c>
      <c r="J37" s="159">
        <f>SUM('31:1'!J37,'31:1'!S37)</f>
        <v>0</v>
      </c>
      <c r="K37" s="159">
        <f>SUM('31:1'!K37,'31:1'!T37)</f>
        <v>0</v>
      </c>
      <c r="L37" s="1057">
        <f t="shared" si="6"/>
        <v>0</v>
      </c>
      <c r="M37" s="1034"/>
      <c r="N37" s="1034"/>
      <c r="O37" s="1034"/>
      <c r="P37" s="1034"/>
      <c r="Q37" s="1034"/>
      <c r="R37" s="1034"/>
      <c r="S37" s="1034"/>
      <c r="T37" s="1034"/>
      <c r="U37" s="1043"/>
      <c r="V37" s="1043"/>
      <c r="W37" s="234"/>
    </row>
    <row r="38" spans="1:23" ht="18.75" customHeight="1" thickBot="1">
      <c r="A38" s="1048" t="s">
        <v>198</v>
      </c>
      <c r="B38" s="1046"/>
      <c r="C38" s="1046"/>
      <c r="D38" s="159">
        <f>SUM('31:1'!D38,'31:1'!M38)</f>
        <v>0</v>
      </c>
      <c r="E38" s="159">
        <f>SUM('31:1'!E38,'31:1'!N38)</f>
        <v>0</v>
      </c>
      <c r="F38" s="159">
        <f>SUM('31:1'!F38,'31:1'!O38)</f>
        <v>0</v>
      </c>
      <c r="G38" s="159">
        <f>SUM('31:1'!G38,'31:1'!P38)</f>
        <v>0</v>
      </c>
      <c r="H38" s="159">
        <f>SUM('31:1'!H38,'31:1'!Q38)</f>
        <v>0</v>
      </c>
      <c r="I38" s="159">
        <f>SUM('31:1'!I38,'31:1'!R38)</f>
        <v>0</v>
      </c>
      <c r="J38" s="159">
        <f>SUM('31:1'!J38,'31:1'!S38)</f>
        <v>0</v>
      </c>
      <c r="K38" s="159">
        <f>SUM('31:1'!K38,'31:1'!T38)</f>
        <v>0</v>
      </c>
      <c r="L38" s="1057">
        <f t="shared" si="6"/>
        <v>0</v>
      </c>
      <c r="M38" s="1034"/>
      <c r="N38" s="1034"/>
      <c r="O38" s="1034"/>
      <c r="P38" s="1034"/>
      <c r="Q38" s="1034"/>
      <c r="R38" s="1034"/>
      <c r="S38" s="1034"/>
      <c r="T38" s="1034"/>
      <c r="U38" s="1043"/>
      <c r="V38" s="1043"/>
      <c r="W38" s="234"/>
    </row>
    <row r="39" spans="1:23" ht="18.75" customHeight="1" thickBot="1">
      <c r="A39" s="1048" t="s">
        <v>326</v>
      </c>
      <c r="B39" s="1046"/>
      <c r="C39" s="1046"/>
      <c r="D39" s="159">
        <f>SUM('31:1'!D39,'31:1'!M39)</f>
        <v>0</v>
      </c>
      <c r="E39" s="159">
        <f>SUM('31:1'!E39,'31:1'!N39)</f>
        <v>0</v>
      </c>
      <c r="F39" s="159">
        <f>SUM('31:1'!F39,'31:1'!O39)</f>
        <v>0</v>
      </c>
      <c r="G39" s="159">
        <f>SUM('31:1'!G39,'31:1'!P39)</f>
        <v>0</v>
      </c>
      <c r="H39" s="159">
        <f>SUM('31:1'!H39,'31:1'!Q39)</f>
        <v>0</v>
      </c>
      <c r="I39" s="159">
        <f>SUM('31:1'!I39,'31:1'!R39)</f>
        <v>0</v>
      </c>
      <c r="J39" s="159">
        <f>SUM('31:1'!J39,'31:1'!S39)</f>
        <v>0</v>
      </c>
      <c r="K39" s="159">
        <f>SUM('31:1'!K39,'31:1'!T39)</f>
        <v>0</v>
      </c>
      <c r="L39" s="1057">
        <f t="shared" si="6"/>
        <v>0</v>
      </c>
      <c r="M39" s="1034"/>
      <c r="N39" s="1034"/>
      <c r="O39" s="1034"/>
      <c r="P39" s="1034"/>
      <c r="Q39" s="1034"/>
      <c r="R39" s="1034"/>
      <c r="S39" s="1034"/>
      <c r="T39" s="1034"/>
      <c r="U39" s="1043"/>
      <c r="V39" s="1043"/>
      <c r="W39" s="234"/>
    </row>
    <row r="40" spans="1:23" ht="18.75" customHeight="1" thickBot="1">
      <c r="A40" s="1048" t="s">
        <v>327</v>
      </c>
      <c r="B40" s="1046"/>
      <c r="C40" s="1046"/>
      <c r="D40" s="159">
        <f>SUM('31:1'!D40,'31:1'!M40)</f>
        <v>13</v>
      </c>
      <c r="E40" s="159">
        <f>SUM('31:1'!E40,'31:1'!N40)</f>
        <v>13</v>
      </c>
      <c r="F40" s="159">
        <f>SUM('31:1'!F40,'31:1'!O40)</f>
        <v>0</v>
      </c>
      <c r="G40" s="159">
        <f>SUM('31:1'!G40,'31:1'!P40)</f>
        <v>13</v>
      </c>
      <c r="H40" s="159">
        <f>SUM('31:1'!H40,'31:1'!Q40)</f>
        <v>13</v>
      </c>
      <c r="I40" s="159">
        <f>SUM('31:1'!I40,'31:1'!R40)</f>
        <v>13</v>
      </c>
      <c r="J40" s="159">
        <f>SUM('31:1'!J40,'31:1'!S40)</f>
        <v>13</v>
      </c>
      <c r="K40" s="159">
        <f>SUM('31:1'!K40,'31:1'!T40)</f>
        <v>0</v>
      </c>
      <c r="L40" s="1057">
        <f t="shared" si="6"/>
        <v>78</v>
      </c>
      <c r="M40" s="1034"/>
      <c r="N40" s="1034"/>
      <c r="O40" s="1034"/>
      <c r="P40" s="1034"/>
      <c r="Q40" s="1034"/>
      <c r="R40" s="1034"/>
      <c r="S40" s="1034"/>
      <c r="T40" s="1034"/>
      <c r="U40" s="1043"/>
      <c r="V40" s="1043"/>
      <c r="W40" s="234"/>
    </row>
    <row r="41" spans="1:23" ht="18.75" customHeight="1" thickBot="1">
      <c r="A41" s="1048" t="s">
        <v>328</v>
      </c>
      <c r="B41" s="1046"/>
      <c r="C41" s="1046"/>
      <c r="D41" s="159">
        <f>SUM('31:1'!D41,'31:1'!M41)</f>
        <v>0</v>
      </c>
      <c r="E41" s="159">
        <f>SUM('31:1'!E41,'31:1'!N41)</f>
        <v>0</v>
      </c>
      <c r="F41" s="159">
        <f>SUM('31:1'!F41,'31:1'!O41)</f>
        <v>0</v>
      </c>
      <c r="G41" s="159">
        <f>SUM('31:1'!G41,'31:1'!P41)</f>
        <v>0</v>
      </c>
      <c r="H41" s="159">
        <f>SUM('31:1'!H41,'31:1'!Q41)</f>
        <v>0</v>
      </c>
      <c r="I41" s="159">
        <f>SUM('31:1'!I41,'31:1'!R41)</f>
        <v>0</v>
      </c>
      <c r="J41" s="159">
        <f>SUM('31:1'!J41,'31:1'!S41)</f>
        <v>0</v>
      </c>
      <c r="K41" s="159">
        <f>SUM('31:1'!K41,'31:1'!T41)</f>
        <v>0</v>
      </c>
      <c r="L41" s="1057">
        <f t="shared" si="6"/>
        <v>0</v>
      </c>
      <c r="M41" s="1034"/>
      <c r="N41" s="1034"/>
      <c r="O41" s="1034"/>
      <c r="P41" s="1034"/>
      <c r="Q41" s="1034"/>
      <c r="R41" s="1034"/>
      <c r="S41" s="1034"/>
      <c r="T41" s="1034"/>
      <c r="U41" s="1043"/>
      <c r="V41" s="1043"/>
      <c r="W41" s="234"/>
    </row>
    <row r="42" spans="1:23" ht="18.75" customHeight="1" thickBot="1">
      <c r="A42" s="1048" t="s">
        <v>329</v>
      </c>
      <c r="B42" s="1046"/>
      <c r="C42" s="1046"/>
      <c r="D42" s="159">
        <f>SUM('31:1'!D42,'31:1'!M42)</f>
        <v>0</v>
      </c>
      <c r="E42" s="159">
        <f>SUM('31:1'!E42,'31:1'!N42)</f>
        <v>0</v>
      </c>
      <c r="F42" s="159">
        <f>SUM('31:1'!F42,'31:1'!O42)</f>
        <v>0</v>
      </c>
      <c r="G42" s="159">
        <f>SUM('31:1'!G42,'31:1'!P42)</f>
        <v>0</v>
      </c>
      <c r="H42" s="159">
        <f>SUM('31:1'!H42,'31:1'!Q42)</f>
        <v>0</v>
      </c>
      <c r="I42" s="159">
        <f>SUM('31:1'!I42,'31:1'!R42)</f>
        <v>0</v>
      </c>
      <c r="J42" s="159">
        <f>SUM('31:1'!J42,'31:1'!S42)</f>
        <v>0</v>
      </c>
      <c r="K42" s="159">
        <f>SUM('31:1'!K42,'31:1'!T42)</f>
        <v>0</v>
      </c>
      <c r="L42" s="1057">
        <f t="shared" si="6"/>
        <v>0</v>
      </c>
      <c r="M42" s="1034"/>
      <c r="N42" s="1034"/>
      <c r="O42" s="1034"/>
      <c r="P42" s="1034"/>
      <c r="Q42" s="1034"/>
      <c r="R42" s="1034"/>
      <c r="S42" s="1034"/>
      <c r="T42" s="1034"/>
      <c r="U42" s="1043"/>
      <c r="V42" s="1043"/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7">SUM(D36:D42)</f>
        <v>13</v>
      </c>
      <c r="E43" s="177">
        <f t="shared" si="7"/>
        <v>13</v>
      </c>
      <c r="F43" s="177">
        <f t="shared" si="7"/>
        <v>0</v>
      </c>
      <c r="G43" s="177">
        <f t="shared" si="7"/>
        <v>13</v>
      </c>
      <c r="H43" s="177">
        <f t="shared" si="7"/>
        <v>13</v>
      </c>
      <c r="I43" s="177">
        <f t="shared" si="7"/>
        <v>13</v>
      </c>
      <c r="J43" s="177">
        <f t="shared" si="7"/>
        <v>13</v>
      </c>
      <c r="K43" s="177">
        <f t="shared" si="7"/>
        <v>0</v>
      </c>
      <c r="L43" s="924">
        <f t="shared" si="6"/>
        <v>78</v>
      </c>
      <c r="M43" s="1034"/>
      <c r="N43" s="1034"/>
      <c r="O43" s="1034"/>
      <c r="P43" s="1034"/>
      <c r="Q43" s="1034"/>
      <c r="R43" s="1034"/>
      <c r="S43" s="1034"/>
      <c r="T43" s="1034"/>
      <c r="U43" s="1043"/>
      <c r="V43" s="1044"/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925" t="s">
        <v>335</v>
      </c>
      <c r="N44" s="141" t="s">
        <v>336</v>
      </c>
      <c r="O44" s="141"/>
      <c r="P44" s="141"/>
      <c r="Q44" s="141"/>
      <c r="R44" s="141"/>
      <c r="S44" s="141"/>
      <c r="T44" s="141"/>
      <c r="U44" s="141"/>
      <c r="V44" s="933"/>
      <c r="W44" s="249"/>
    </row>
    <row r="45" spans="1:23" ht="15.75" customHeight="1">
      <c r="A45" s="1058"/>
      <c r="B45" s="1039"/>
      <c r="C45" s="1038">
        <f>SUM('31:1'!C45)</f>
        <v>815</v>
      </c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>
        <f>SUM('31:1'!C46)</f>
        <v>165</v>
      </c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58"/>
      <c r="B47" s="1066"/>
      <c r="C47" s="1038">
        <f>SUM('31:1'!C47)</f>
        <v>673</v>
      </c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038">
        <f>SUM('31:1'!C48)</f>
        <v>403</v>
      </c>
      <c r="D48" s="1349"/>
      <c r="E48" s="1350"/>
      <c r="F48" s="1350"/>
      <c r="G48" s="1350"/>
      <c r="H48" s="1350"/>
      <c r="I48" s="1350"/>
      <c r="J48" s="1351"/>
      <c r="K48" s="1071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038">
        <f>SUM('31:1'!C49)</f>
        <v>289</v>
      </c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038">
        <f>SUM('31:1'!C50)</f>
        <v>60</v>
      </c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038">
        <f>SUM('31:1'!C51)</f>
        <v>80</v>
      </c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038">
        <f>SUM('31:1'!C52)</f>
        <v>30</v>
      </c>
      <c r="D52" s="1082"/>
      <c r="E52" s="1083"/>
      <c r="F52" s="1083"/>
      <c r="G52" s="1083"/>
      <c r="H52" s="1083"/>
      <c r="I52" s="1083"/>
      <c r="J52" s="1083"/>
      <c r="K52" s="1084"/>
      <c r="L52" s="1084"/>
      <c r="M52" s="929"/>
      <c r="N52" s="930"/>
      <c r="O52" s="931"/>
      <c r="P52" s="932"/>
      <c r="Q52" s="932"/>
      <c r="R52" s="932"/>
      <c r="S52" s="932"/>
      <c r="T52" s="932"/>
      <c r="U52" s="932"/>
      <c r="V52" s="934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920" t="s">
        <v>173</v>
      </c>
      <c r="M53" s="1043"/>
      <c r="N53" s="1043"/>
      <c r="O53" s="1043"/>
      <c r="P53" s="1043"/>
      <c r="Q53" s="1043"/>
      <c r="R53" s="1043"/>
      <c r="S53" s="1043"/>
      <c r="T53" s="1043"/>
      <c r="U53" s="1043"/>
      <c r="V53" s="1043"/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16662</v>
      </c>
      <c r="E54" s="187">
        <f>$F7-E$21-E$43-E$34</f>
        <v>18227</v>
      </c>
      <c r="F54" s="187">
        <f>$F8-F$21-F$43-F$34</f>
        <v>17269</v>
      </c>
      <c r="G54" s="187">
        <f>$F9-G$21-G$43-G$34</f>
        <v>14014</v>
      </c>
      <c r="H54" s="187">
        <f>$F10-H$21-H$43-H$34</f>
        <v>18626</v>
      </c>
      <c r="I54" s="187">
        <f>$F11-I$21-I$43-I$34</f>
        <v>15339</v>
      </c>
      <c r="J54" s="187">
        <f>$F12-J$21-J$43-J$34</f>
        <v>17605</v>
      </c>
      <c r="K54" s="187">
        <f>$F13-K$21-K$43-K$34</f>
        <v>0</v>
      </c>
      <c r="L54" s="918">
        <f>SUM(D54:K54)</f>
        <v>117742</v>
      </c>
      <c r="M54" s="1054"/>
      <c r="N54" s="1054"/>
      <c r="O54" s="1054"/>
      <c r="P54" s="1054"/>
      <c r="Q54" s="1054"/>
      <c r="R54" s="1054"/>
      <c r="S54" s="1054"/>
      <c r="T54" s="1054"/>
      <c r="U54" s="1043"/>
      <c r="V54" s="1044"/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1314.6666666666667</v>
      </c>
      <c r="E55" s="1087">
        <f>$K7/$C7</f>
        <v>1293.3333333333333</v>
      </c>
      <c r="F55" s="1087">
        <f>$K8/$C8</f>
        <v>1289.6666666666667</v>
      </c>
      <c r="G55" s="1087">
        <f>$K9/$C9</f>
        <v>1108.3333333333333</v>
      </c>
      <c r="H55" s="1087">
        <f>$K10/$C10</f>
        <v>1688.3333333333333</v>
      </c>
      <c r="I55" s="1087">
        <f>$K11/$C11</f>
        <v>1435</v>
      </c>
      <c r="J55" s="1087">
        <f>$K12/$C12</f>
        <v>928.33333333333337</v>
      </c>
      <c r="K55" s="1087">
        <f>$K13/$C13</f>
        <v>0</v>
      </c>
      <c r="L55" s="1047">
        <f>SUM(D55:K55)</f>
        <v>9057.6666666666661</v>
      </c>
      <c r="M55" s="1050"/>
      <c r="N55" s="1050"/>
      <c r="O55" s="1050"/>
      <c r="P55" s="1050"/>
      <c r="Q55" s="1050"/>
      <c r="R55" s="1050"/>
      <c r="S55" s="1050"/>
      <c r="T55" s="1050"/>
      <c r="U55" s="1044"/>
      <c r="V55" s="1044"/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9737</v>
      </c>
      <c r="E56" s="1087">
        <f>$I7/$C7</f>
        <v>11010</v>
      </c>
      <c r="F56" s="1087">
        <f>$I8/$C8</f>
        <v>9532.3333333333339</v>
      </c>
      <c r="G56" s="1087">
        <f>$I9/$C9</f>
        <v>9052.3333333333339</v>
      </c>
      <c r="H56" s="1087">
        <f>$I10/$C10</f>
        <v>12895</v>
      </c>
      <c r="I56" s="1087">
        <f>$I11/$C11</f>
        <v>9568.3333333333339</v>
      </c>
      <c r="J56" s="1087">
        <f>$I12/$C12</f>
        <v>13711.666666666666</v>
      </c>
      <c r="K56" s="1087">
        <f>$I13/$C13</f>
        <v>0</v>
      </c>
      <c r="L56" s="1049">
        <f>SUM(D56:K56)</f>
        <v>75506.666666666672</v>
      </c>
      <c r="M56" s="1050"/>
      <c r="N56" s="1050"/>
      <c r="O56" s="1050"/>
      <c r="P56" s="1050"/>
      <c r="Q56" s="1050"/>
      <c r="R56" s="1050"/>
      <c r="S56" s="1050"/>
      <c r="T56" s="1050"/>
      <c r="U56" s="1044"/>
      <c r="V56" s="1044"/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4.0019954547974059</v>
      </c>
      <c r="E57" s="188">
        <f>IF(F7=0,0,E21/F7*100)</f>
        <v>3.3662158039255567</v>
      </c>
      <c r="F57" s="188">
        <f>IF(F8=0,0,F21/F8*100)</f>
        <v>3.3417776100900123</v>
      </c>
      <c r="G57" s="188">
        <f>IF(F9=0,0,G21/F9*100)</f>
        <v>3.7329790767186983</v>
      </c>
      <c r="H57" s="188">
        <f>IF(F10=0,0,H21/F10*100)</f>
        <v>2.9827235772357725</v>
      </c>
      <c r="I57" s="188">
        <f>IF(F11=0,0,I21/F11*100)</f>
        <v>3.5055028242007804</v>
      </c>
      <c r="J57" s="188">
        <f>IF(F12=0,0,J21/F12*100)</f>
        <v>3.9544092465753424</v>
      </c>
      <c r="K57" s="188">
        <f>IF(F13=0,0,K21/F13*100)</f>
        <v>0</v>
      </c>
      <c r="L57" s="927">
        <f>IF(F14=0,0,L21/F14*100)</f>
        <v>3.5425994828782241</v>
      </c>
      <c r="M57" s="1053"/>
      <c r="N57" s="1053"/>
      <c r="O57" s="1053"/>
      <c r="P57" s="1053"/>
      <c r="Q57" s="1053"/>
      <c r="R57" s="1053"/>
      <c r="S57" s="1053"/>
      <c r="T57" s="1053"/>
      <c r="U57" s="1089"/>
      <c r="V57" s="1089"/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3.569646915359459</v>
      </c>
      <c r="E58" s="1090">
        <f>IF(F7=0,0,E34/F7*100)</f>
        <v>3.8848774534729991</v>
      </c>
      <c r="F58" s="1090">
        <f>IF(F8=0,0,F34/F8*100)</f>
        <v>3.5789360211286585</v>
      </c>
      <c r="G58" s="1090">
        <f>IF(F9=0,0,G34/F9*100)</f>
        <v>3.0953171703752904</v>
      </c>
      <c r="H58" s="1090">
        <f>IF(F10=0,0,H34/F10*100)</f>
        <v>2.3069105691056908</v>
      </c>
      <c r="I58" s="1090">
        <f>IF(F11=0,0,I34/F11*100)</f>
        <v>7.0983520642869626</v>
      </c>
      <c r="J58" s="1090">
        <f>IF(F12=0,0,J34/F12*100)</f>
        <v>1.7711900684931507</v>
      </c>
      <c r="K58" s="1090">
        <f>IF(F13=0,0,K34/F13*100)</f>
        <v>0</v>
      </c>
      <c r="L58" s="1091">
        <f>IF(F14=0,0,L34/F14*100)</f>
        <v>3.5804376616005551</v>
      </c>
      <c r="M58" s="1053"/>
      <c r="N58" s="1053"/>
      <c r="O58" s="1053"/>
      <c r="P58" s="1053"/>
      <c r="Q58" s="1053"/>
      <c r="R58" s="1053"/>
      <c r="S58" s="1053"/>
      <c r="T58" s="1053"/>
      <c r="U58" s="1089"/>
      <c r="V58" s="1089"/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7.205808990632448E-2</v>
      </c>
      <c r="E59" s="1090">
        <f>IF(F7=0,0,E43/F7*100)</f>
        <v>6.6103935726634797E-2</v>
      </c>
      <c r="F59" s="1090">
        <f>IF(F8=0,0,F43/F8*100)</f>
        <v>0</v>
      </c>
      <c r="G59" s="1090">
        <f>IF(F9=0,0,G43/F9*100)</f>
        <v>8.6350049817336433E-2</v>
      </c>
      <c r="H59" s="1090">
        <f>IF(F10=0,0,H43/F10*100)</f>
        <v>6.605691056910569E-2</v>
      </c>
      <c r="I59" s="1090">
        <f>IF(F11=0,0,I43/F11*100)</f>
        <v>7.5700227100681305E-2</v>
      </c>
      <c r="J59" s="1090">
        <f>IF(F12=0,0,J43/F12*100)</f>
        <v>6.9563356164383555E-2</v>
      </c>
      <c r="K59" s="1090">
        <f>IF(F13=0,0,K43/F13*100)</f>
        <v>0</v>
      </c>
      <c r="L59" s="1091">
        <f>IF(F14=0,0,L43/F14*100)</f>
        <v>6.1487040423787602E-2</v>
      </c>
      <c r="M59" s="1053"/>
      <c r="N59" s="1053"/>
      <c r="O59" s="1053"/>
      <c r="P59" s="1053"/>
      <c r="Q59" s="1053"/>
      <c r="R59" s="1053"/>
      <c r="S59" s="1053"/>
      <c r="T59" s="1053"/>
      <c r="U59" s="1089"/>
      <c r="V59" s="1089"/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92.356299539936813</v>
      </c>
      <c r="E60" s="1093">
        <f>IF(F7=0,0,E54/F7*100)</f>
        <v>92.682802806874804</v>
      </c>
      <c r="F60" s="1093">
        <f>IF(F8=0,0,F54/F8*100)</f>
        <v>93.079286368781339</v>
      </c>
      <c r="G60" s="1093">
        <f>IF(F9=0,0,G54/F9*100)</f>
        <v>93.085353703088686</v>
      </c>
      <c r="H60" s="1093">
        <f>IF(F10=0,0,H54/F10*100)</f>
        <v>94.644308943089428</v>
      </c>
      <c r="I60" s="1093">
        <f>IF(F11=0,0,I54/F11*100)</f>
        <v>89.320444884411572</v>
      </c>
      <c r="J60" s="1093">
        <f>IF(F12=0,0,J54/F12*100)</f>
        <v>94.204837328767127</v>
      </c>
      <c r="K60" s="1093">
        <f>IF(F13=0,0,K54/F13*100)</f>
        <v>0</v>
      </c>
      <c r="L60" s="1094">
        <f>IF(F14=0,0,L54/F14*100)</f>
        <v>92.815475815097443</v>
      </c>
      <c r="M60" s="1053"/>
      <c r="N60" s="1053"/>
      <c r="O60" s="1053"/>
      <c r="P60" s="1053"/>
      <c r="Q60" s="1053"/>
      <c r="R60" s="1053"/>
      <c r="S60" s="1053"/>
      <c r="T60" s="1053"/>
      <c r="U60" s="1089"/>
      <c r="V60" s="1089"/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7.8902092585924066</v>
      </c>
      <c r="E61" s="188">
        <f>IF(E54=0,0,E55/E54*100)</f>
        <v>7.0957005175472281</v>
      </c>
      <c r="F61" s="188">
        <f t="shared" ref="F61:L61" si="8">IF(F54=0,0,F55/F54*100)</f>
        <v>7.4681027660354786</v>
      </c>
      <c r="G61" s="188">
        <f t="shared" si="8"/>
        <v>7.9087579087579085</v>
      </c>
      <c r="H61" s="188">
        <f t="shared" si="8"/>
        <v>9.064390278821719</v>
      </c>
      <c r="I61" s="188">
        <f t="shared" si="8"/>
        <v>9.3552382815046613</v>
      </c>
      <c r="J61" s="188">
        <f t="shared" si="8"/>
        <v>5.2731231657673012</v>
      </c>
      <c r="K61" s="188">
        <f t="shared" si="8"/>
        <v>0</v>
      </c>
      <c r="L61" s="927">
        <f t="shared" si="8"/>
        <v>7.6928085701505537</v>
      </c>
      <c r="M61" s="1053"/>
      <c r="N61" s="1053"/>
      <c r="O61" s="1053"/>
      <c r="P61" s="1053"/>
      <c r="Q61" s="1053"/>
      <c r="R61" s="1053"/>
      <c r="S61" s="1053"/>
      <c r="T61" s="1053"/>
      <c r="U61" s="1089"/>
      <c r="V61" s="1089"/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L62" si="9">IF(D54=0,0,D26/D54*100)</f>
        <v>33.671427999839949</v>
      </c>
      <c r="E62" s="1090">
        <f t="shared" si="9"/>
        <v>32.49940564364222</v>
      </c>
      <c r="F62" s="1090">
        <f t="shared" si="9"/>
        <v>37.332792865828928</v>
      </c>
      <c r="G62" s="1090">
        <f t="shared" si="9"/>
        <v>27.496313210598917</v>
      </c>
      <c r="H62" s="1090">
        <f t="shared" si="9"/>
        <v>21.704427502773907</v>
      </c>
      <c r="I62" s="1090">
        <f t="shared" si="9"/>
        <v>28.2656409587761</v>
      </c>
      <c r="J62" s="1090">
        <f t="shared" si="9"/>
        <v>16.841806305026992</v>
      </c>
      <c r="K62" s="1090">
        <f t="shared" si="9"/>
        <v>0</v>
      </c>
      <c r="L62" s="1091">
        <f t="shared" si="9"/>
        <v>28.17827679729125</v>
      </c>
      <c r="M62" s="1053"/>
      <c r="N62" s="1053"/>
      <c r="O62" s="1053"/>
      <c r="P62" s="1053"/>
      <c r="Q62" s="1053"/>
      <c r="R62" s="1053"/>
      <c r="S62" s="1053"/>
      <c r="T62" s="1053"/>
      <c r="U62" s="1089"/>
      <c r="V62" s="1089"/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L63" si="10">IF(D54=0,0,D56/D54*100)</f>
        <v>58.438362741567637</v>
      </c>
      <c r="E63" s="1095">
        <f t="shared" si="10"/>
        <v>60.404893838810558</v>
      </c>
      <c r="F63" s="1095">
        <f t="shared" si="10"/>
        <v>55.199104368135586</v>
      </c>
      <c r="G63" s="1095">
        <f t="shared" si="10"/>
        <v>64.594928880643167</v>
      </c>
      <c r="H63" s="1095">
        <f t="shared" si="10"/>
        <v>69.231182218404385</v>
      </c>
      <c r="I63" s="1095">
        <f t="shared" si="10"/>
        <v>62.379120759719243</v>
      </c>
      <c r="J63" s="1095">
        <f t="shared" si="10"/>
        <v>77.88507052920572</v>
      </c>
      <c r="K63" s="1095">
        <f t="shared" si="10"/>
        <v>0</v>
      </c>
      <c r="L63" s="1094">
        <f t="shared" si="10"/>
        <v>64.128914632558192</v>
      </c>
      <c r="M63" s="1053"/>
      <c r="N63" s="1053"/>
      <c r="O63" s="1053"/>
      <c r="P63" s="1053"/>
      <c r="Q63" s="1053"/>
      <c r="R63" s="1053"/>
      <c r="S63" s="1053"/>
      <c r="T63" s="1053"/>
      <c r="U63" s="1089"/>
      <c r="V63" s="1089"/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91.424306773766659</v>
      </c>
      <c r="E64" s="190">
        <f>IF(E74=0,0,D74/E74*100)</f>
        <v>91.424306773766659</v>
      </c>
      <c r="F64" s="190">
        <f>IF(E74=0,0,D74/E74*100)</f>
        <v>91.424306773766659</v>
      </c>
      <c r="G64" s="190">
        <f>IF(E74=0,0,D74/E74*100)</f>
        <v>91.424306773766659</v>
      </c>
      <c r="H64" s="190">
        <f>IF(E74=0,0,D74/E74*100)</f>
        <v>91.424306773766659</v>
      </c>
      <c r="I64" s="190">
        <f>IF(E74=0,0,D74/E74*100)</f>
        <v>91.424306773766659</v>
      </c>
      <c r="J64" s="190">
        <f>IF(E74=0,0,D74/E74*100)</f>
        <v>91.424306773766659</v>
      </c>
      <c r="K64" s="190">
        <f>IF(E74=0,0,D74/E74*100)</f>
        <v>91.424306773766659</v>
      </c>
      <c r="L64" s="928">
        <f>IF(E74=0,0,D74/E74*100)</f>
        <v>91.424306773766659</v>
      </c>
      <c r="M64" s="1053"/>
      <c r="N64" s="1053"/>
      <c r="O64" s="1053"/>
      <c r="P64" s="1053"/>
      <c r="Q64" s="1053"/>
      <c r="R64" s="1053"/>
      <c r="S64" s="1053"/>
      <c r="T64" s="1053"/>
      <c r="U64" s="1089"/>
      <c r="V64" s="1089"/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L65" si="11">(D60*D63*D64)/10000</f>
        <v>49.343078269284739</v>
      </c>
      <c r="E65" s="190">
        <f t="shared" si="11"/>
        <v>51.183851193896615</v>
      </c>
      <c r="F65" s="190">
        <f t="shared" si="11"/>
        <v>46.97283279989589</v>
      </c>
      <c r="G65" s="190">
        <f t="shared" si="11"/>
        <v>54.971989351382305</v>
      </c>
      <c r="H65" s="190">
        <f t="shared" si="11"/>
        <v>59.904290439416727</v>
      </c>
      <c r="I65" s="190">
        <f t="shared" si="11"/>
        <v>50.939162754342519</v>
      </c>
      <c r="J65" s="190">
        <f t="shared" si="11"/>
        <v>67.079388897311844</v>
      </c>
      <c r="K65" s="190">
        <f t="shared" si="11"/>
        <v>0</v>
      </c>
      <c r="L65" s="928">
        <f t="shared" si="11"/>
        <v>54.41717109792107</v>
      </c>
      <c r="M65" s="1053"/>
      <c r="N65" s="1053"/>
      <c r="O65" s="1053"/>
      <c r="P65" s="1053"/>
      <c r="Q65" s="1053"/>
      <c r="R65" s="1053"/>
      <c r="S65" s="1053"/>
      <c r="T65" s="1053"/>
      <c r="U65" s="1089"/>
      <c r="V65" s="1089"/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352</v>
      </c>
      <c r="E72" s="260"/>
      <c r="F72" s="260"/>
      <c r="G72" s="260"/>
      <c r="H72" s="260"/>
      <c r="I72" s="260"/>
      <c r="J72" s="260"/>
      <c r="K72" s="260"/>
      <c r="L72" s="260"/>
      <c r="M72" s="935"/>
      <c r="N72" s="936"/>
      <c r="O72" s="937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935"/>
      <c r="N73" s="935"/>
      <c r="O73" s="937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f>SUM('31:1'!D74,'31:1'!M74)</f>
        <v>118826</v>
      </c>
      <c r="E74" s="1099">
        <f>SUM('31:1'!E74,'31:1'!N74)</f>
        <v>129972</v>
      </c>
      <c r="F74" s="916">
        <f>IF(E74=0,"",(E74-D74)/E74)</f>
        <v>8.5756932262333427E-2</v>
      </c>
      <c r="G74" s="260"/>
      <c r="H74" s="260"/>
      <c r="I74" s="260"/>
      <c r="J74" s="260"/>
      <c r="K74" s="260"/>
      <c r="L74" s="260"/>
      <c r="M74" s="938"/>
      <c r="N74" s="938"/>
      <c r="O74" s="937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937"/>
      <c r="N75" s="937"/>
      <c r="O75" s="937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935"/>
      <c r="N76" s="936"/>
      <c r="O76" s="936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935"/>
      <c r="N77" s="935"/>
      <c r="O77" s="936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939"/>
      <c r="N78" s="939"/>
      <c r="O78" s="94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sheetProtection selectLockedCells="1" selectUnlockedCells="1"/>
  <mergeCells count="49">
    <mergeCell ref="M1:N1"/>
    <mergeCell ref="U1:V1"/>
    <mergeCell ref="A3:B3"/>
    <mergeCell ref="C3:C5"/>
    <mergeCell ref="D3:L3"/>
    <mergeCell ref="V3:V5"/>
    <mergeCell ref="A4:A5"/>
    <mergeCell ref="B4:B5"/>
    <mergeCell ref="G4:H4"/>
    <mergeCell ref="G6:H6"/>
    <mergeCell ref="I6:J6"/>
    <mergeCell ref="K6:L6"/>
    <mergeCell ref="I4:J4"/>
    <mergeCell ref="K4:L4"/>
    <mergeCell ref="G5:H5"/>
    <mergeCell ref="I5:J5"/>
    <mergeCell ref="K5:L5"/>
    <mergeCell ref="G8:H8"/>
    <mergeCell ref="I8:J8"/>
    <mergeCell ref="K8:L8"/>
    <mergeCell ref="G7:H7"/>
    <mergeCell ref="I7:J7"/>
    <mergeCell ref="K7:L7"/>
    <mergeCell ref="G10:H10"/>
    <mergeCell ref="I10:J10"/>
    <mergeCell ref="K10:L10"/>
    <mergeCell ref="G9:H9"/>
    <mergeCell ref="I9:J9"/>
    <mergeCell ref="K9:L9"/>
    <mergeCell ref="G12:H12"/>
    <mergeCell ref="I12:J12"/>
    <mergeCell ref="K12:L12"/>
    <mergeCell ref="G11:H11"/>
    <mergeCell ref="I11:J11"/>
    <mergeCell ref="K11:L11"/>
    <mergeCell ref="A14:B14"/>
    <mergeCell ref="G14:H14"/>
    <mergeCell ref="I14:J14"/>
    <mergeCell ref="K14:L14"/>
    <mergeCell ref="G13:H13"/>
    <mergeCell ref="I13:J13"/>
    <mergeCell ref="K13:L13"/>
    <mergeCell ref="D48:J48"/>
    <mergeCell ref="A67:B67"/>
    <mergeCell ref="D45:J45"/>
    <mergeCell ref="D46:J46"/>
    <mergeCell ref="N46:V46"/>
    <mergeCell ref="D47:J47"/>
    <mergeCell ref="N47:V47"/>
  </mergeCells>
  <printOptions horizontalCentered="1" verticalCentered="1"/>
  <pageMargins left="0" right="0" top="0.43307086614173201" bottom="0" header="0" footer="0"/>
  <pageSetup paperSize="9" scale="75" orientation="landscape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C637-9772-4294-ADFE-D2F987A12525}">
  <sheetPr codeName="Sheet6">
    <tabColor theme="0" tint="-0.14999847407452621"/>
    <pageSetUpPr fitToPage="1"/>
  </sheetPr>
  <dimension ref="A1:IV122"/>
  <sheetViews>
    <sheetView showGridLines="0" topLeftCell="A7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1" width="10.75" style="136" customWidth="1"/>
    <col min="12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ref="K8:K13" si="2">G8-I8</f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2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2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1039"/>
      <c r="C13" s="915">
        <v>3</v>
      </c>
      <c r="D13" s="145"/>
      <c r="E13" s="145"/>
      <c r="F13" s="146"/>
      <c r="G13" s="1400"/>
      <c r="H13" s="1400"/>
      <c r="I13" s="1400"/>
      <c r="J13" s="1400"/>
      <c r="K13" s="1366">
        <f t="shared" si="2"/>
        <v>0</v>
      </c>
      <c r="L13" s="1401"/>
      <c r="M13" s="145"/>
      <c r="N13" s="145"/>
      <c r="O13" s="195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361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59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59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59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58"/>
      <c r="B47" s="1066"/>
      <c r="C47" s="1059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71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123"/>
      <c r="D50" s="1077"/>
      <c r="E50" s="1063"/>
      <c r="F50" s="1063"/>
      <c r="G50" s="1063"/>
      <c r="H50" s="1063"/>
      <c r="I50" s="1063"/>
      <c r="J50" s="1063"/>
      <c r="K50" s="1071"/>
      <c r="L50" s="1069"/>
      <c r="M50" s="1072"/>
      <c r="N50" s="107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3"/>
      <c r="D51" s="1077"/>
      <c r="E51" s="1063"/>
      <c r="F51" s="1063"/>
      <c r="G51" s="1063"/>
      <c r="H51" s="1063"/>
      <c r="I51" s="1063"/>
      <c r="J51" s="1063"/>
      <c r="K51" s="1071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190"/>
      <c r="B52" s="1191"/>
      <c r="C52" s="1125"/>
      <c r="D52" s="1193"/>
      <c r="E52" s="1083"/>
      <c r="F52" s="1083"/>
      <c r="G52" s="1083"/>
      <c r="H52" s="1083"/>
      <c r="I52" s="1083"/>
      <c r="J52" s="1083"/>
      <c r="K52" s="1192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52D8-4D7F-4298-9DF6-A4A3B6FB630E}">
  <sheetPr codeName="Sheet8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7" width="8" style="136" customWidth="1"/>
    <col min="8" max="9" width="6.83203125" style="136" customWidth="1"/>
    <col min="10" max="10" width="8.33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ref="K8:K13" si="2">G8-I8</f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2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2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1039"/>
      <c r="C13" s="915">
        <v>3</v>
      </c>
      <c r="D13" s="145"/>
      <c r="E13" s="145"/>
      <c r="F13" s="146"/>
      <c r="G13" s="1400"/>
      <c r="H13" s="1400"/>
      <c r="I13" s="1400"/>
      <c r="J13" s="1400"/>
      <c r="K13" s="1366">
        <f t="shared" si="2"/>
        <v>0</v>
      </c>
      <c r="L13" s="1401"/>
      <c r="M13" s="145"/>
      <c r="N13" s="145"/>
      <c r="O13" s="195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361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8"/>
      <c r="O24" s="1119"/>
      <c r="P24" s="1118"/>
      <c r="Q24" s="1118"/>
      <c r="R24" s="1119"/>
      <c r="S24" s="1118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$F8-F$55-F$56-F$21-F$23-G$24-F$34-F$43</f>
        <v>0</v>
      </c>
      <c r="G25" s="171">
        <f>$F8-G$55-G$56-G$21-G$23-H$24-G$34-G$43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/>
      <c r="B45" s="1066"/>
      <c r="C45" s="1252"/>
      <c r="D45" s="1423"/>
      <c r="E45" s="1358"/>
      <c r="F45" s="1358"/>
      <c r="G45" s="1358"/>
      <c r="H45" s="1358"/>
      <c r="I45" s="1358"/>
      <c r="J45" s="1424"/>
      <c r="K45" s="1059"/>
      <c r="L45" s="1069"/>
      <c r="M45" s="1070"/>
      <c r="N45" s="1349"/>
      <c r="O45" s="1358"/>
      <c r="P45" s="1358"/>
      <c r="Q45" s="1358"/>
      <c r="R45" s="1358"/>
      <c r="S45" s="1358"/>
      <c r="T45" s="1358"/>
      <c r="U45" s="1358"/>
      <c r="V45" s="1359"/>
      <c r="W45" s="250"/>
    </row>
    <row r="46" spans="1:23" ht="15.75" customHeight="1">
      <c r="A46" s="1058"/>
      <c r="B46" s="1039"/>
      <c r="C46" s="1252"/>
      <c r="D46" s="1423"/>
      <c r="E46" s="1358"/>
      <c r="F46" s="1358"/>
      <c r="G46" s="1358"/>
      <c r="H46" s="1358"/>
      <c r="I46" s="1358"/>
      <c r="J46" s="1424"/>
      <c r="K46" s="1059"/>
      <c r="L46" s="1060"/>
      <c r="M46" s="1060"/>
      <c r="N46" s="1061"/>
      <c r="O46" s="1062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/>
      <c r="B47" s="1039"/>
      <c r="C47" s="1252"/>
      <c r="D47" s="1423"/>
      <c r="E47" s="1358"/>
      <c r="F47" s="1358"/>
      <c r="G47" s="1358"/>
      <c r="H47" s="1358"/>
      <c r="I47" s="1358"/>
      <c r="J47" s="1424"/>
      <c r="K47" s="1059"/>
      <c r="L47" s="1065"/>
      <c r="M47" s="1065"/>
      <c r="N47" s="1353"/>
      <c r="O47" s="1354"/>
      <c r="P47" s="1354"/>
      <c r="Q47" s="1354"/>
      <c r="R47" s="1354"/>
      <c r="S47" s="1354"/>
      <c r="T47" s="1354"/>
      <c r="U47" s="1354"/>
      <c r="V47" s="1355"/>
      <c r="W47" s="250"/>
    </row>
    <row r="48" spans="1:23" ht="15" customHeight="1">
      <c r="A48" s="1058"/>
      <c r="B48" s="1039"/>
      <c r="C48" s="125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254"/>
      <c r="D49" s="1349"/>
      <c r="E49" s="1350"/>
      <c r="F49" s="1350"/>
      <c r="G49" s="1350"/>
      <c r="H49" s="1350"/>
      <c r="I49" s="1350"/>
      <c r="J49" s="1351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253"/>
      <c r="D50" s="1077"/>
      <c r="E50" s="1063"/>
      <c r="F50" s="1063"/>
      <c r="G50" s="1063"/>
      <c r="H50" s="1063"/>
      <c r="I50" s="1063"/>
      <c r="J50" s="1063"/>
      <c r="K50" s="105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3"/>
      <c r="D51" s="1077"/>
      <c r="E51" s="1063"/>
      <c r="F51" s="1063"/>
      <c r="G51" s="1063"/>
      <c r="H51" s="1063"/>
      <c r="I51" s="1063"/>
      <c r="J51" s="1063"/>
      <c r="K51" s="1071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190"/>
      <c r="B52" s="1191"/>
      <c r="C52" s="1125"/>
      <c r="D52" s="1193"/>
      <c r="E52" s="1083"/>
      <c r="F52" s="1083"/>
      <c r="G52" s="1083"/>
      <c r="H52" s="1083"/>
      <c r="I52" s="1083"/>
      <c r="J52" s="1083"/>
      <c r="K52" s="1192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4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8:J48"/>
    <mergeCell ref="A67:B67"/>
    <mergeCell ref="T14:U14"/>
    <mergeCell ref="D46:J46"/>
    <mergeCell ref="D47:J47"/>
    <mergeCell ref="N47:V47"/>
    <mergeCell ref="D45:J45"/>
    <mergeCell ref="N45:V45"/>
    <mergeCell ref="A14:B14"/>
    <mergeCell ref="G14:H14"/>
    <mergeCell ref="I14:J14"/>
    <mergeCell ref="K14:L14"/>
    <mergeCell ref="P14:Q14"/>
    <mergeCell ref="R14:S14"/>
    <mergeCell ref="D49:J49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13DD-5E08-42BE-94B5-0EA641882B1C}">
  <sheetPr codeName="Sheet7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46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46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ref="K8:K13" si="2">G8-I8</f>
        <v>0</v>
      </c>
      <c r="L8" s="1397"/>
      <c r="M8" s="145"/>
      <c r="N8" s="145"/>
      <c r="O8" s="146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2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2"/>
        <v>0</v>
      </c>
      <c r="L10" s="1397"/>
      <c r="M10" s="145"/>
      <c r="N10" s="145"/>
      <c r="O10" s="146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46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/>
      <c r="N12" s="145"/>
      <c r="O12" s="146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1039"/>
      <c r="C13" s="915">
        <v>3</v>
      </c>
      <c r="D13" s="145"/>
      <c r="E13" s="145"/>
      <c r="F13" s="146"/>
      <c r="G13" s="1400"/>
      <c r="H13" s="1400"/>
      <c r="I13" s="1400"/>
      <c r="J13" s="1400"/>
      <c r="K13" s="1366">
        <f t="shared" si="2"/>
        <v>0</v>
      </c>
      <c r="L13" s="1401"/>
      <c r="M13" s="145"/>
      <c r="N13" s="145"/>
      <c r="O13" s="195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361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59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8"/>
      <c r="O24" s="1119"/>
      <c r="P24" s="1118"/>
      <c r="Q24" s="1118"/>
      <c r="R24" s="1119"/>
      <c r="S24" s="1118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/>
      <c r="B45" s="1076"/>
      <c r="C45" s="1124"/>
      <c r="D45" s="1077"/>
      <c r="E45" s="1063"/>
      <c r="F45" s="1063"/>
      <c r="G45" s="1063"/>
      <c r="H45" s="1063"/>
      <c r="I45" s="1063"/>
      <c r="J45" s="1063"/>
      <c r="K45" s="1071"/>
      <c r="L45" s="1069"/>
      <c r="M45" s="1070"/>
      <c r="N45" s="1073"/>
      <c r="O45" s="1074"/>
      <c r="P45" s="1063"/>
      <c r="Q45" s="1063"/>
      <c r="R45" s="1063"/>
      <c r="S45" s="1063"/>
      <c r="T45" s="1063"/>
      <c r="U45" s="1063"/>
      <c r="V45" s="1064"/>
      <c r="W45" s="250"/>
    </row>
    <row r="46" spans="1:23" ht="15.7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71"/>
      <c r="L46" s="1060"/>
      <c r="M46" s="1060"/>
      <c r="N46" s="1061"/>
      <c r="O46" s="1062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/>
      <c r="B47" s="1039"/>
      <c r="C47" s="1038"/>
      <c r="D47" s="1349"/>
      <c r="E47" s="1350"/>
      <c r="F47" s="1350"/>
      <c r="G47" s="1350"/>
      <c r="H47" s="1350"/>
      <c r="I47" s="1350"/>
      <c r="J47" s="1351"/>
      <c r="K47" s="1071"/>
      <c r="L47" s="1065"/>
      <c r="M47" s="1065"/>
      <c r="N47" s="1425"/>
      <c r="O47" s="1350"/>
      <c r="P47" s="1350"/>
      <c r="Q47" s="1350"/>
      <c r="R47" s="1350"/>
      <c r="S47" s="1350"/>
      <c r="T47" s="1350"/>
      <c r="U47" s="1350"/>
      <c r="V47" s="1426"/>
      <c r="W47" s="250"/>
    </row>
    <row r="48" spans="1:23" ht="15" customHeight="1">
      <c r="A48" s="1058"/>
      <c r="B48" s="1066"/>
      <c r="C48" s="1070"/>
      <c r="D48" s="1356"/>
      <c r="E48" s="1357"/>
      <c r="F48" s="1357"/>
      <c r="G48" s="1357"/>
      <c r="H48" s="1357"/>
      <c r="I48" s="1357"/>
      <c r="J48" s="1357"/>
      <c r="K48" s="1071"/>
      <c r="L48" s="1069"/>
      <c r="M48" s="1070"/>
      <c r="N48" s="1349"/>
      <c r="O48" s="1358"/>
      <c r="P48" s="1358"/>
      <c r="Q48" s="1358"/>
      <c r="R48" s="1358"/>
      <c r="S48" s="1358"/>
      <c r="T48" s="1358"/>
      <c r="U48" s="1358"/>
      <c r="V48" s="1359"/>
      <c r="W48" s="250"/>
    </row>
    <row r="49" spans="1:25" ht="15" customHeight="1">
      <c r="A49" s="1058"/>
      <c r="B49" s="1039"/>
      <c r="C49" s="1123"/>
      <c r="D49" s="1349"/>
      <c r="E49" s="1350"/>
      <c r="F49" s="1350"/>
      <c r="G49" s="1350"/>
      <c r="H49" s="1350"/>
      <c r="I49" s="1350"/>
      <c r="J49" s="1351"/>
      <c r="K49" s="1071"/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9:J49"/>
    <mergeCell ref="A67:B67"/>
    <mergeCell ref="T14:U14"/>
    <mergeCell ref="D46:J46"/>
    <mergeCell ref="D47:J47"/>
    <mergeCell ref="N47:V47"/>
    <mergeCell ref="D48:J48"/>
    <mergeCell ref="N48:V48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DFA5-B796-48C1-82E7-00B93160DEFE}">
  <sheetPr codeName="Sheet9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1" width="11.08203125" style="136" customWidth="1"/>
    <col min="12" max="12" width="6.83203125" style="136" customWidth="1"/>
    <col min="13" max="13" width="8.58203125" style="136" customWidth="1"/>
    <col min="14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46"/>
      <c r="P6" s="1365"/>
      <c r="Q6" s="1365"/>
      <c r="R6" s="1405"/>
      <c r="S6" s="1406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46"/>
      <c r="P7" s="1403"/>
      <c r="Q7" s="1404"/>
      <c r="R7" s="1403"/>
      <c r="S7" s="1404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46"/>
      <c r="P8" s="1403"/>
      <c r="Q8" s="1404"/>
      <c r="R8" s="1403"/>
      <c r="S8" s="1404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46"/>
      <c r="P9" s="1403"/>
      <c r="Q9" s="1404"/>
      <c r="R9" s="1403"/>
      <c r="S9" s="1404"/>
      <c r="T9" s="1427">
        <f>P9-R9</f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46"/>
      <c r="P10" s="1403"/>
      <c r="Q10" s="1404"/>
      <c r="R10" s="1396"/>
      <c r="S10" s="1396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46"/>
      <c r="P11" s="1396"/>
      <c r="Q11" s="1396"/>
      <c r="R11" s="1396"/>
      <c r="S11" s="1396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46"/>
      <c r="P12" s="1396"/>
      <c r="Q12" s="1396"/>
      <c r="R12" s="1396"/>
      <c r="S12" s="1396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70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9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59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59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39"/>
      <c r="B47" s="1039"/>
      <c r="C47" s="1059"/>
      <c r="D47" s="1349"/>
      <c r="E47" s="1350"/>
      <c r="F47" s="1350"/>
      <c r="G47" s="1350"/>
      <c r="H47" s="1350"/>
      <c r="I47" s="1350"/>
      <c r="J47" s="1351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66"/>
      <c r="C48" s="1070"/>
      <c r="D48" s="1349"/>
      <c r="E48" s="1358"/>
      <c r="F48" s="1358"/>
      <c r="G48" s="1358"/>
      <c r="H48" s="1358"/>
      <c r="I48" s="1358"/>
      <c r="J48" s="1429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5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5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59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78" orientation="landscape" verticalDpi="36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3FCC-027C-431A-93AA-BFF5B42027E5}">
  <sheetPr codeName="Sheet16">
    <tabColor theme="0" tint="-0.14999847407452621"/>
    <pageSetUpPr fitToPage="1"/>
  </sheetPr>
  <dimension ref="A1:IV127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2" width="6.83203125" style="136" customWidth="1"/>
    <col min="13" max="13" width="8.58203125" style="136" customWidth="1"/>
    <col min="14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L59</f>
        <v>0</v>
      </c>
      <c r="AC4" s="256">
        <f>L60</f>
        <v>0</v>
      </c>
      <c r="AD4" s="256">
        <f>L61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U59</f>
        <v>0</v>
      </c>
      <c r="AC5" s="256">
        <f>U60</f>
        <v>0</v>
      </c>
      <c r="AD5" s="256">
        <f>U61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2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251"/>
      <c r="O24" s="1119"/>
      <c r="P24" s="1119"/>
      <c r="Q24" s="1119"/>
      <c r="R24" s="1119"/>
      <c r="S24" s="1251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$F6-D$60-D$61-D$21-D$23-D$24-D$34-D$43</f>
        <v>0</v>
      </c>
      <c r="E25" s="171">
        <f>$F7-E$60-E$61-E$21-E$23-E$24-E$34-E$43</f>
        <v>0</v>
      </c>
      <c r="F25" s="171">
        <f>$F8-F$60-F$61-F$21-F$23-F$24-F$34-F$43</f>
        <v>0</v>
      </c>
      <c r="G25" s="171">
        <f>$F9-G$60-G$61-G$21-G$23-G$24-G$34-G$43</f>
        <v>0</v>
      </c>
      <c r="H25" s="171">
        <f>$F10-H$60-H$61-H$21-H$23-H$24-H$34-H$43</f>
        <v>0</v>
      </c>
      <c r="I25" s="171">
        <f>$F11-I$60-I$61-I$21-I$23-I$24-I$34-I$43</f>
        <v>0</v>
      </c>
      <c r="J25" s="171">
        <f>$F12-J$60-J$61-J$21-J$23-J$24-J$34-J$43</f>
        <v>0</v>
      </c>
      <c r="K25" s="171">
        <f>$F13-K$60-K$61-K$21-K$23-K$24-K$34-K$43</f>
        <v>0</v>
      </c>
      <c r="L25" s="209">
        <f>SUM(D25:K25)</f>
        <v>0</v>
      </c>
      <c r="M25" s="171">
        <f>$O6-M$60-M$61-M$21-M$23-M$24-M$34-M$43</f>
        <v>0</v>
      </c>
      <c r="N25" s="171">
        <f>$O7-N$60-N$61-N$21-N$23-N$24-N$34-N$43</f>
        <v>0</v>
      </c>
      <c r="O25" s="171">
        <f>$O8-O$60-O$61-O$21-O$23-O$24-O$34-O$43</f>
        <v>0</v>
      </c>
      <c r="P25" s="171">
        <f>$O9-P$60-P$61-P$21-P$23-P$24-P$34-P$43</f>
        <v>0</v>
      </c>
      <c r="Q25" s="171">
        <f>$O10-Q$60-Q$61-Q$21-Q$23-Q$24-Q$34-Q$43</f>
        <v>0</v>
      </c>
      <c r="R25" s="171">
        <f>$O11-R$60-R$61-R$21-R$23-R$24-R$34-R$43</f>
        <v>0</v>
      </c>
      <c r="S25" s="171">
        <f>$O12-S$60-S$61-S$21-S$23-S$24-S$34-S$43</f>
        <v>0</v>
      </c>
      <c r="T25" s="171">
        <f>$O13-T$60-T$61-T$21-T$23-T$24-T$34-T$43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39"/>
      <c r="B45" s="1039"/>
      <c r="C45" s="1059"/>
      <c r="D45" s="1349"/>
      <c r="E45" s="1350"/>
      <c r="F45" s="1350"/>
      <c r="G45" s="1350"/>
      <c r="H45" s="1350"/>
      <c r="I45" s="1350"/>
      <c r="J45" s="1351"/>
      <c r="K45" s="1059"/>
      <c r="L45" s="1069"/>
      <c r="M45" s="1070"/>
      <c r="N45" s="1349"/>
      <c r="O45" s="1358"/>
      <c r="P45" s="1358"/>
      <c r="Q45" s="1358"/>
      <c r="R45" s="1358"/>
      <c r="S45" s="1358"/>
      <c r="T45" s="1358"/>
      <c r="U45" s="1358"/>
      <c r="V45" s="1359"/>
      <c r="W45" s="250"/>
    </row>
    <row r="46" spans="1:23" ht="15.75" customHeight="1">
      <c r="A46" s="1058"/>
      <c r="B46" s="1066"/>
      <c r="C46" s="1059"/>
      <c r="D46" s="1349"/>
      <c r="E46" s="1350"/>
      <c r="F46" s="1350"/>
      <c r="G46" s="1350"/>
      <c r="H46" s="1350"/>
      <c r="I46" s="1350"/>
      <c r="J46" s="1351"/>
      <c r="K46" s="1059"/>
      <c r="L46" s="1060"/>
      <c r="M46" s="1060"/>
      <c r="N46" s="1061"/>
      <c r="O46" s="1062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/>
      <c r="B47" s="1039"/>
      <c r="C47" s="1059"/>
      <c r="D47" s="1349"/>
      <c r="E47" s="1350"/>
      <c r="F47" s="1350"/>
      <c r="G47" s="1350"/>
      <c r="H47" s="1350"/>
      <c r="I47" s="1350"/>
      <c r="J47" s="1351"/>
      <c r="K47" s="1059"/>
      <c r="L47" s="1065"/>
      <c r="M47" s="1065"/>
      <c r="N47" s="1349"/>
      <c r="O47" s="1350"/>
      <c r="P47" s="1350"/>
      <c r="Q47" s="1350"/>
      <c r="R47" s="1350"/>
      <c r="S47" s="1350"/>
      <c r="T47" s="1350"/>
      <c r="U47" s="1350"/>
      <c r="V47" s="1426"/>
      <c r="W47" s="250"/>
    </row>
    <row r="48" spans="1:23" ht="15" customHeight="1">
      <c r="A48" s="1058"/>
      <c r="B48" s="1066"/>
      <c r="C48" s="1070"/>
      <c r="D48" s="1349"/>
      <c r="E48" s="1358"/>
      <c r="F48" s="1358"/>
      <c r="G48" s="1358"/>
      <c r="H48" s="1358"/>
      <c r="I48" s="1358"/>
      <c r="J48" s="1429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123"/>
      <c r="D50" s="1079"/>
      <c r="E50" s="1063"/>
      <c r="F50" s="1063"/>
      <c r="G50" s="1063"/>
      <c r="H50" s="1063"/>
      <c r="I50" s="1063"/>
      <c r="J50" s="1063"/>
      <c r="K50" s="105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3"/>
      <c r="D51" s="1079"/>
      <c r="E51" s="1063"/>
      <c r="F51" s="1063"/>
      <c r="G51" s="1063"/>
      <c r="H51" s="1063"/>
      <c r="I51" s="1063"/>
      <c r="J51" s="1063"/>
      <c r="K51" s="105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>
      <c r="A52" s="1231"/>
      <c r="B52" s="1232"/>
      <c r="C52" s="1196"/>
      <c r="D52" s="1197"/>
      <c r="E52" s="932"/>
      <c r="F52" s="932"/>
      <c r="G52" s="932"/>
      <c r="H52" s="932"/>
      <c r="I52" s="932"/>
      <c r="J52" s="932"/>
      <c r="K52" s="1069"/>
      <c r="L52" s="1198"/>
      <c r="M52" s="929"/>
      <c r="N52" s="1199"/>
      <c r="O52" s="931"/>
      <c r="P52" s="932"/>
      <c r="Q52" s="932"/>
      <c r="R52" s="932"/>
      <c r="S52" s="932"/>
      <c r="T52" s="932"/>
      <c r="U52" s="932"/>
      <c r="V52" s="934"/>
      <c r="W52" s="250"/>
    </row>
    <row r="53" spans="1:25" ht="15" customHeight="1">
      <c r="A53" s="1194"/>
      <c r="B53" s="1195"/>
      <c r="C53" s="1196"/>
      <c r="D53" s="1197"/>
      <c r="E53" s="932"/>
      <c r="F53" s="932"/>
      <c r="G53" s="932"/>
      <c r="H53" s="932"/>
      <c r="I53" s="932"/>
      <c r="J53" s="932"/>
      <c r="K53" s="1224"/>
      <c r="L53" s="1198"/>
      <c r="M53" s="929"/>
      <c r="N53" s="1199"/>
      <c r="O53" s="931"/>
      <c r="P53" s="932"/>
      <c r="Q53" s="932"/>
      <c r="R53" s="932"/>
      <c r="S53" s="932"/>
      <c r="T53" s="932"/>
      <c r="U53" s="932"/>
      <c r="V53" s="934"/>
      <c r="W53" s="250"/>
    </row>
    <row r="54" spans="1:25" ht="15" customHeight="1">
      <c r="A54" s="1231"/>
      <c r="B54" s="1232"/>
      <c r="C54" s="1196"/>
      <c r="D54" s="1234"/>
      <c r="E54" s="932"/>
      <c r="F54" s="932"/>
      <c r="G54" s="932"/>
      <c r="H54" s="932"/>
      <c r="I54" s="932"/>
      <c r="J54" s="932"/>
      <c r="K54" s="1223"/>
      <c r="L54" s="1198"/>
      <c r="M54" s="929"/>
      <c r="N54" s="1199"/>
      <c r="O54" s="931"/>
      <c r="P54" s="932"/>
      <c r="Q54" s="932"/>
      <c r="R54" s="932"/>
      <c r="S54" s="932"/>
      <c r="T54" s="932"/>
      <c r="U54" s="932"/>
      <c r="V54" s="934"/>
      <c r="W54" s="250"/>
    </row>
    <row r="55" spans="1:25" ht="15" customHeight="1">
      <c r="A55" s="1231"/>
      <c r="B55" s="1232"/>
      <c r="C55" s="1196"/>
      <c r="D55" s="1234"/>
      <c r="E55" s="932"/>
      <c r="F55" s="932"/>
      <c r="G55" s="932"/>
      <c r="H55" s="932"/>
      <c r="I55" s="932"/>
      <c r="J55" s="932"/>
      <c r="K55" s="1071"/>
      <c r="L55" s="1198"/>
      <c r="M55" s="929"/>
      <c r="N55" s="1199"/>
      <c r="O55" s="931"/>
      <c r="P55" s="932"/>
      <c r="Q55" s="932"/>
      <c r="R55" s="932"/>
      <c r="S55" s="932"/>
      <c r="T55" s="932"/>
      <c r="U55" s="932"/>
      <c r="V55" s="934"/>
      <c r="W55" s="250"/>
    </row>
    <row r="56" spans="1:25" ht="15" customHeight="1">
      <c r="A56" s="1231"/>
      <c r="B56" s="1232"/>
      <c r="C56" s="1196"/>
      <c r="D56" s="1234"/>
      <c r="E56" s="932"/>
      <c r="F56" s="932"/>
      <c r="G56" s="932"/>
      <c r="H56" s="932"/>
      <c r="I56" s="932"/>
      <c r="J56" s="932"/>
      <c r="K56" s="1223"/>
      <c r="L56" s="1198"/>
      <c r="M56" s="929"/>
      <c r="N56" s="1199"/>
      <c r="O56" s="931"/>
      <c r="P56" s="932"/>
      <c r="Q56" s="932"/>
      <c r="R56" s="932"/>
      <c r="S56" s="932"/>
      <c r="T56" s="932"/>
      <c r="U56" s="932"/>
      <c r="V56" s="934"/>
      <c r="W56" s="250"/>
    </row>
    <row r="57" spans="1:25" ht="15" customHeight="1" thickBot="1">
      <c r="A57" s="1080"/>
      <c r="B57" s="1081"/>
      <c r="C57" s="1125"/>
      <c r="D57" s="1082"/>
      <c r="E57" s="1083"/>
      <c r="F57" s="1083"/>
      <c r="G57" s="1083"/>
      <c r="H57" s="1083"/>
      <c r="I57" s="1083"/>
      <c r="J57" s="1083"/>
      <c r="K57" s="1233"/>
      <c r="L57" s="1084"/>
      <c r="M57" s="1126"/>
      <c r="N57" s="216"/>
      <c r="O57" s="1127"/>
      <c r="P57" s="1083"/>
      <c r="Q57" s="1083"/>
      <c r="R57" s="1083"/>
      <c r="S57" s="1083"/>
      <c r="T57" s="1083"/>
      <c r="U57" s="1083"/>
      <c r="V57" s="1128"/>
      <c r="W57" s="250"/>
    </row>
    <row r="58" spans="1:25" ht="18" customHeight="1" thickBot="1">
      <c r="A58" s="183" t="s">
        <v>337</v>
      </c>
      <c r="B58" s="184" t="s">
        <v>338</v>
      </c>
      <c r="C58" s="184"/>
      <c r="D58" s="166" t="s">
        <v>300</v>
      </c>
      <c r="E58" s="166" t="s">
        <v>301</v>
      </c>
      <c r="F58" s="166" t="s">
        <v>302</v>
      </c>
      <c r="G58" s="166" t="s">
        <v>303</v>
      </c>
      <c r="H58" s="166" t="s">
        <v>304</v>
      </c>
      <c r="I58" s="166" t="s">
        <v>305</v>
      </c>
      <c r="J58" s="166" t="s">
        <v>306</v>
      </c>
      <c r="K58" s="166" t="s">
        <v>307</v>
      </c>
      <c r="L58" s="207" t="s">
        <v>173</v>
      </c>
      <c r="M58" s="166" t="s">
        <v>300</v>
      </c>
      <c r="N58" s="166" t="s">
        <v>301</v>
      </c>
      <c r="O58" s="166" t="s">
        <v>302</v>
      </c>
      <c r="P58" s="166" t="s">
        <v>303</v>
      </c>
      <c r="Q58" s="166" t="s">
        <v>304</v>
      </c>
      <c r="R58" s="166" t="s">
        <v>305</v>
      </c>
      <c r="S58" s="166" t="s">
        <v>306</v>
      </c>
      <c r="T58" s="166" t="s">
        <v>307</v>
      </c>
      <c r="U58" s="166" t="s">
        <v>173</v>
      </c>
      <c r="V58" s="207" t="s">
        <v>367</v>
      </c>
      <c r="W58" s="231"/>
    </row>
    <row r="59" spans="1:25" ht="18" customHeight="1">
      <c r="A59" s="185">
        <v>1</v>
      </c>
      <c r="B59" s="186" t="s">
        <v>223</v>
      </c>
      <c r="C59" s="158"/>
      <c r="D59" s="187">
        <f>$F6-D$21-D$43-D$34</f>
        <v>0</v>
      </c>
      <c r="E59" s="187">
        <f>$F7-E$21-E$43-E$34</f>
        <v>0</v>
      </c>
      <c r="F59" s="187">
        <f>$F8-F$21-F$43-F$34</f>
        <v>0</v>
      </c>
      <c r="G59" s="187">
        <f>$F9-G$21-G$43-G$34</f>
        <v>0</v>
      </c>
      <c r="H59" s="187">
        <f>$F10-H$21-H$43-H$34</f>
        <v>0</v>
      </c>
      <c r="I59" s="187">
        <f>$F11-I$21-I$43-I$34</f>
        <v>0</v>
      </c>
      <c r="J59" s="187">
        <f>$F12-J$21-J$43-J$34</f>
        <v>0</v>
      </c>
      <c r="K59" s="187">
        <f>$F13-K$21-K$43-K$34</f>
        <v>0</v>
      </c>
      <c r="L59" s="202">
        <f>SUM(D59:K59)</f>
        <v>0</v>
      </c>
      <c r="M59" s="187">
        <f>O6-M21-M43-M34</f>
        <v>0</v>
      </c>
      <c r="N59" s="187">
        <f>O7-N21-N43-N34</f>
        <v>0</v>
      </c>
      <c r="O59" s="187">
        <f>O8-O21-O43-O34</f>
        <v>0</v>
      </c>
      <c r="P59" s="187">
        <f>O9-P21-P43-P34</f>
        <v>0</v>
      </c>
      <c r="Q59" s="187">
        <f>O10-Q21-Q43-Q34</f>
        <v>0</v>
      </c>
      <c r="R59" s="187">
        <f>O11-R21-R43-R34</f>
        <v>0</v>
      </c>
      <c r="S59" s="187">
        <f>O12-S21-S43-S34</f>
        <v>0</v>
      </c>
      <c r="T59" s="187">
        <f>O13-T21-T43-T34</f>
        <v>0</v>
      </c>
      <c r="U59" s="242">
        <f>SUM(M59:T59)</f>
        <v>0</v>
      </c>
      <c r="V59" s="202">
        <f>L59+U59</f>
        <v>0</v>
      </c>
      <c r="W59" s="233"/>
    </row>
    <row r="60" spans="1:25" ht="18" customHeight="1">
      <c r="A60" s="1085">
        <v>2</v>
      </c>
      <c r="B60" s="1086" t="s">
        <v>339</v>
      </c>
      <c r="C60" s="1046"/>
      <c r="D60" s="1087">
        <f>$K6/$C6</f>
        <v>0</v>
      </c>
      <c r="E60" s="1087">
        <f>$K7/$C7</f>
        <v>0</v>
      </c>
      <c r="F60" s="1087">
        <f>$K8/$C8</f>
        <v>0</v>
      </c>
      <c r="G60" s="1087">
        <f>$K9/$C9</f>
        <v>0</v>
      </c>
      <c r="H60" s="1087">
        <f>$K10/$C10</f>
        <v>0</v>
      </c>
      <c r="I60" s="1087">
        <f>$K11/$C11</f>
        <v>0</v>
      </c>
      <c r="J60" s="1087">
        <f>$K12/$C12</f>
        <v>0</v>
      </c>
      <c r="K60" s="1087">
        <f>$K13/$C13</f>
        <v>0</v>
      </c>
      <c r="L60" s="1112">
        <f>SUM(D60:K60)</f>
        <v>0</v>
      </c>
      <c r="M60" s="1087">
        <f>T6/C6</f>
        <v>0</v>
      </c>
      <c r="N60" s="1087">
        <f>T7/C7</f>
        <v>0</v>
      </c>
      <c r="O60" s="1087">
        <f>$T$8/$C$8</f>
        <v>0</v>
      </c>
      <c r="P60" s="1087">
        <f>$T$9/$C$9</f>
        <v>0</v>
      </c>
      <c r="Q60" s="1087">
        <f>$T$10/$C$10</f>
        <v>0</v>
      </c>
      <c r="R60" s="1087">
        <f>$T$11/$C$11</f>
        <v>0</v>
      </c>
      <c r="S60" s="1087">
        <f>$T$12/$C$12</f>
        <v>0</v>
      </c>
      <c r="T60" s="1087">
        <f>$T$13/$C$13</f>
        <v>0</v>
      </c>
      <c r="U60" s="1129">
        <f>SUM(M60:T60)</f>
        <v>0</v>
      </c>
      <c r="V60" s="1112">
        <f>L60+U60</f>
        <v>0</v>
      </c>
      <c r="W60" s="233"/>
    </row>
    <row r="61" spans="1:25" ht="18" customHeight="1" thickBot="1">
      <c r="A61" s="1031">
        <v>3</v>
      </c>
      <c r="B61" s="1088" t="s">
        <v>340</v>
      </c>
      <c r="C61" s="1056"/>
      <c r="D61" s="1087">
        <f>$I6/$C6</f>
        <v>0</v>
      </c>
      <c r="E61" s="1087">
        <f>$I7/$C7</f>
        <v>0</v>
      </c>
      <c r="F61" s="1087">
        <f>$I8/$C8</f>
        <v>0</v>
      </c>
      <c r="G61" s="1087">
        <f>$I9/$C9</f>
        <v>0</v>
      </c>
      <c r="H61" s="1087">
        <f>$I10/$C10</f>
        <v>0</v>
      </c>
      <c r="I61" s="1087">
        <f>$I11/$C11</f>
        <v>0</v>
      </c>
      <c r="J61" s="1087">
        <f>$I12/$C12</f>
        <v>0</v>
      </c>
      <c r="K61" s="1087">
        <f>$I13/$C13</f>
        <v>0</v>
      </c>
      <c r="L61" s="1115">
        <f>SUM(D61:K61)</f>
        <v>0</v>
      </c>
      <c r="M61" s="1130">
        <f>R6/C6</f>
        <v>0</v>
      </c>
      <c r="N61" s="1130">
        <f>R7/C7</f>
        <v>0</v>
      </c>
      <c r="O61" s="1130">
        <f>R8/C8</f>
        <v>0</v>
      </c>
      <c r="P61" s="1130">
        <f>R9/C9</f>
        <v>0</v>
      </c>
      <c r="Q61" s="1130">
        <f>R10/C10</f>
        <v>0</v>
      </c>
      <c r="R61" s="1130">
        <f>R11/C11</f>
        <v>0</v>
      </c>
      <c r="S61" s="1130">
        <f>R12/C12</f>
        <v>0</v>
      </c>
      <c r="T61" s="1130">
        <f>R13/C13</f>
        <v>0</v>
      </c>
      <c r="U61" s="1131">
        <f>SUM(M61:T61)</f>
        <v>0</v>
      </c>
      <c r="V61" s="1115">
        <f>L61+U61</f>
        <v>0</v>
      </c>
      <c r="W61" s="233"/>
    </row>
    <row r="62" spans="1:25" ht="18" customHeight="1">
      <c r="A62" s="185">
        <v>4</v>
      </c>
      <c r="B62" s="186" t="s">
        <v>341</v>
      </c>
      <c r="C62" s="158"/>
      <c r="D62" s="188">
        <f>IF(F6=0,0,D21/F6*100)</f>
        <v>0</v>
      </c>
      <c r="E62" s="188">
        <f>IF(F7=0,0,E21/F7*100)</f>
        <v>0</v>
      </c>
      <c r="F62" s="188">
        <f>IF(F8=0,0,F21/F8*100)</f>
        <v>0</v>
      </c>
      <c r="G62" s="188">
        <f>IF(F9=0,0,G21/F9*100)</f>
        <v>0</v>
      </c>
      <c r="H62" s="188">
        <f>IF(F10=0,0,H21/F10*100)</f>
        <v>0</v>
      </c>
      <c r="I62" s="188">
        <f>IF(F11=0,0,I21/F11*100)</f>
        <v>0</v>
      </c>
      <c r="J62" s="188">
        <f>IF(F12=0,0,J21/F12*100)</f>
        <v>0</v>
      </c>
      <c r="K62" s="188">
        <f>IF(F13=0,0,K21/F13*100)</f>
        <v>0</v>
      </c>
      <c r="L62" s="217">
        <f>IF(F14=0,0,L21/F14*100)</f>
        <v>0</v>
      </c>
      <c r="M62" s="188">
        <f>IF(O6=0,0,M21/O6*100)</f>
        <v>0</v>
      </c>
      <c r="N62" s="188">
        <f>IF(O7=0,0,N21/O7*100)</f>
        <v>0</v>
      </c>
      <c r="O62" s="188">
        <f>IF(O8=0,0,O21/O8*100)</f>
        <v>0</v>
      </c>
      <c r="P62" s="188">
        <f>IF(O9=0,0,P21/O9*100)</f>
        <v>0</v>
      </c>
      <c r="Q62" s="188">
        <f>IF(O10=0,0,Q21/O10*100)</f>
        <v>0</v>
      </c>
      <c r="R62" s="188">
        <f>IF(O11=0,0,R21/O11*100)</f>
        <v>0</v>
      </c>
      <c r="S62" s="188">
        <f>IF(O12=0,0,S21/O12*100)</f>
        <v>0</v>
      </c>
      <c r="T62" s="188">
        <f>IF(O13=0,0,T21/O13*100)</f>
        <v>0</v>
      </c>
      <c r="U62" s="251">
        <f>IF(O14=0,0,U21/O14*100)</f>
        <v>0</v>
      </c>
      <c r="V62" s="217">
        <f>IF((F14+O14)=0,0,V21/(F14+O14)*100)</f>
        <v>0</v>
      </c>
      <c r="W62" s="252"/>
    </row>
    <row r="63" spans="1:25" ht="18" customHeight="1">
      <c r="A63" s="1085">
        <v>5</v>
      </c>
      <c r="B63" s="1086" t="s">
        <v>342</v>
      </c>
      <c r="C63" s="1046"/>
      <c r="D63" s="1090">
        <f>IF(F6=0,0,D34/F6*100)</f>
        <v>0</v>
      </c>
      <c r="E63" s="1090">
        <f>IF(F7=0,0,E34/F7*100)</f>
        <v>0</v>
      </c>
      <c r="F63" s="1090">
        <f>IF(F8=0,0,F34/F8*100)</f>
        <v>0</v>
      </c>
      <c r="G63" s="1090">
        <f>IF(F9=0,0,G34/F9*100)</f>
        <v>0</v>
      </c>
      <c r="H63" s="1090">
        <f>IF(F10=0,0,H34/F10*100)</f>
        <v>0</v>
      </c>
      <c r="I63" s="1090">
        <f>IF(F11=0,0,I34/F11*100)</f>
        <v>0</v>
      </c>
      <c r="J63" s="1090">
        <f>IF(F12=0,0,J34/F12*100)</f>
        <v>0</v>
      </c>
      <c r="K63" s="1090">
        <f>IF(F13=0,0,K34/F13*100)</f>
        <v>0</v>
      </c>
      <c r="L63" s="1132">
        <f>IF(F14=0,0,L34/F14*100)</f>
        <v>0</v>
      </c>
      <c r="M63" s="1090">
        <f>IF(O6=0,0,M34/O6*100)</f>
        <v>0</v>
      </c>
      <c r="N63" s="1090">
        <f>IF(O7=0,0,N34/O7*100)</f>
        <v>0</v>
      </c>
      <c r="O63" s="1090">
        <f>IF(O8=0,0,O34/O8*100)</f>
        <v>0</v>
      </c>
      <c r="P63" s="1090">
        <f>IF(O9=0,0,P34/O9*100)</f>
        <v>0</v>
      </c>
      <c r="Q63" s="1090">
        <f>IF(O10=0,0,Q34/O10*100)</f>
        <v>0</v>
      </c>
      <c r="R63" s="1090">
        <f>IF(O11=0,0,R34/O11*100)</f>
        <v>0</v>
      </c>
      <c r="S63" s="1090">
        <f>IF(O12=0,0,S34/O12*100)</f>
        <v>0</v>
      </c>
      <c r="T63" s="1090">
        <f>IF(O13=0,0,T34/O13*100)</f>
        <v>0</v>
      </c>
      <c r="U63" s="1133">
        <f>IF(O14=0,0,U34/O14*100)</f>
        <v>0</v>
      </c>
      <c r="V63" s="1132">
        <f>IF((F14+O14)=0,0,V34/(F14+O14)*100)</f>
        <v>0</v>
      </c>
      <c r="W63" s="252"/>
      <c r="Y63" s="258">
        <f>SUM(V62:V65)</f>
        <v>0</v>
      </c>
    </row>
    <row r="64" spans="1:25" ht="18" customHeight="1">
      <c r="A64" s="1085">
        <v>6</v>
      </c>
      <c r="B64" s="1086" t="s">
        <v>343</v>
      </c>
      <c r="C64" s="1046"/>
      <c r="D64" s="1090">
        <f>IF(F6=0,0,D43/F6*100)</f>
        <v>0</v>
      </c>
      <c r="E64" s="1090">
        <f>IF(F7=0,0,E43/F7*100)</f>
        <v>0</v>
      </c>
      <c r="F64" s="1090">
        <f>IF(F8=0,0,F43/F8*100)</f>
        <v>0</v>
      </c>
      <c r="G64" s="1090">
        <f>IF(F9=0,0,G43/F9*100)</f>
        <v>0</v>
      </c>
      <c r="H64" s="1090">
        <f>IF(F10=0,0,H43/F10*100)</f>
        <v>0</v>
      </c>
      <c r="I64" s="1090">
        <f>IF(F11=0,0,I43/F11*100)</f>
        <v>0</v>
      </c>
      <c r="J64" s="1090">
        <f>IF(F12=0,0,J43/F12*100)</f>
        <v>0</v>
      </c>
      <c r="K64" s="1090">
        <f>IF(F13=0,0,K43/F13*100)</f>
        <v>0</v>
      </c>
      <c r="L64" s="1132">
        <f>IF(F14=0,0,L43/F14*100)</f>
        <v>0</v>
      </c>
      <c r="M64" s="1090">
        <f>IF(O6=0,0,M43/O6*100)</f>
        <v>0</v>
      </c>
      <c r="N64" s="1090">
        <f>IF(O7=0,0,N43/O7*100)</f>
        <v>0</v>
      </c>
      <c r="O64" s="1090">
        <f>IF(O8=0,0,O43/O8*100)</f>
        <v>0</v>
      </c>
      <c r="P64" s="1090">
        <f>IF(O9=0,0,P43/O9*100)</f>
        <v>0</v>
      </c>
      <c r="Q64" s="1090">
        <f>IF(O10=0,0,Q43/O10*100)</f>
        <v>0</v>
      </c>
      <c r="R64" s="1090">
        <f>IF(O11=0,0,R43/O11*100)</f>
        <v>0</v>
      </c>
      <c r="S64" s="1090">
        <f>IF(O12=0,0,S43/O12*100)</f>
        <v>0</v>
      </c>
      <c r="T64" s="1090">
        <f>IF(O13=0,0,T43/O13*100)</f>
        <v>0</v>
      </c>
      <c r="U64" s="1133">
        <f>IF(O14=0,0,U43/O14*100)</f>
        <v>0</v>
      </c>
      <c r="V64" s="1132">
        <f>IF((F14+O14)=0,0,V43/(F14+O14)*100)</f>
        <v>0</v>
      </c>
      <c r="W64" s="252"/>
    </row>
    <row r="65" spans="1:25" ht="18" customHeight="1" thickBot="1">
      <c r="A65" s="1031">
        <v>7</v>
      </c>
      <c r="B65" s="1092" t="s">
        <v>344</v>
      </c>
      <c r="C65" s="1056"/>
      <c r="D65" s="1093">
        <f>IF(F6=0,0,D59/F6*100)</f>
        <v>0</v>
      </c>
      <c r="E65" s="1093">
        <f>IF(F7=0,0,E59/F7*100)</f>
        <v>0</v>
      </c>
      <c r="F65" s="1093">
        <f>IF(F8=0,0,F59/F8*100)</f>
        <v>0</v>
      </c>
      <c r="G65" s="1093">
        <f>IF(F9=0,0,G59/F9*100)</f>
        <v>0</v>
      </c>
      <c r="H65" s="1093">
        <f>IF(F10=0,0,H59/F10*100)</f>
        <v>0</v>
      </c>
      <c r="I65" s="1093">
        <f>IF(F11=0,0,I59/F11*100)</f>
        <v>0</v>
      </c>
      <c r="J65" s="1093">
        <f>IF(F12=0,0,J59/F12*100)</f>
        <v>0</v>
      </c>
      <c r="K65" s="1093">
        <f>IF(F13=0,0,K59/F13*100)</f>
        <v>0</v>
      </c>
      <c r="L65" s="1134">
        <f>IF(F14=0,0,L59/F14*100)</f>
        <v>0</v>
      </c>
      <c r="M65" s="1095">
        <f>IF(O6=0,0,M59/O6*100)</f>
        <v>0</v>
      </c>
      <c r="N65" s="1095">
        <f>IF(O7=0,0,N59/O7*100)</f>
        <v>0</v>
      </c>
      <c r="O65" s="1095">
        <f>IF(O8=0,0,O59/O8*100)</f>
        <v>0</v>
      </c>
      <c r="P65" s="1095">
        <f>IF(O9=0,0,P59/O9*100)</f>
        <v>0</v>
      </c>
      <c r="Q65" s="1095">
        <f>IF(O10=0,0,Q59/O10*100)</f>
        <v>0</v>
      </c>
      <c r="R65" s="1095">
        <f>IF(O11=0,0,R59/O11*100)</f>
        <v>0</v>
      </c>
      <c r="S65" s="1095">
        <f>IF(O12=0,0,S59/O12*100)</f>
        <v>0</v>
      </c>
      <c r="T65" s="1095">
        <f>IF(O13=0,0,T59/O13*100)</f>
        <v>0</v>
      </c>
      <c r="U65" s="1093">
        <f>IF(O14=0,0,U59/O14*100)</f>
        <v>0</v>
      </c>
      <c r="V65" s="1134">
        <f>IF((F14+O14)=0,0,V59/(F14+O14)*100)</f>
        <v>0</v>
      </c>
      <c r="W65" s="252"/>
    </row>
    <row r="66" spans="1:25" ht="18" customHeight="1">
      <c r="A66" s="185">
        <v>8</v>
      </c>
      <c r="B66" s="186" t="s">
        <v>345</v>
      </c>
      <c r="C66" s="158"/>
      <c r="D66" s="188">
        <f>IF(D59=0,0,D60/D59*100)</f>
        <v>0</v>
      </c>
      <c r="E66" s="188">
        <f>IF(E59=0,0,E60/E59*100)</f>
        <v>0</v>
      </c>
      <c r="F66" s="188">
        <f t="shared" ref="F66:V66" si="19">IF(F59=0,0,F60/F59*100)</f>
        <v>0</v>
      </c>
      <c r="G66" s="188">
        <f t="shared" si="19"/>
        <v>0</v>
      </c>
      <c r="H66" s="188">
        <f t="shared" si="19"/>
        <v>0</v>
      </c>
      <c r="I66" s="188">
        <f t="shared" si="19"/>
        <v>0</v>
      </c>
      <c r="J66" s="188">
        <f t="shared" si="19"/>
        <v>0</v>
      </c>
      <c r="K66" s="188">
        <f t="shared" si="19"/>
        <v>0</v>
      </c>
      <c r="L66" s="217">
        <f t="shared" si="19"/>
        <v>0</v>
      </c>
      <c r="M66" s="188">
        <f t="shared" si="19"/>
        <v>0</v>
      </c>
      <c r="N66" s="188">
        <f t="shared" si="19"/>
        <v>0</v>
      </c>
      <c r="O66" s="188">
        <f t="shared" si="19"/>
        <v>0</v>
      </c>
      <c r="P66" s="188">
        <f t="shared" si="19"/>
        <v>0</v>
      </c>
      <c r="Q66" s="188">
        <f t="shared" si="19"/>
        <v>0</v>
      </c>
      <c r="R66" s="188">
        <f t="shared" si="19"/>
        <v>0</v>
      </c>
      <c r="S66" s="188">
        <f t="shared" si="19"/>
        <v>0</v>
      </c>
      <c r="T66" s="188">
        <f t="shared" si="19"/>
        <v>0</v>
      </c>
      <c r="U66" s="251">
        <f t="shared" si="19"/>
        <v>0</v>
      </c>
      <c r="V66" s="217">
        <f t="shared" si="19"/>
        <v>0</v>
      </c>
      <c r="W66" s="252"/>
    </row>
    <row r="67" spans="1:25" ht="18" customHeight="1">
      <c r="A67" s="1085">
        <v>9</v>
      </c>
      <c r="B67" s="1086" t="s">
        <v>346</v>
      </c>
      <c r="C67" s="1046"/>
      <c r="D67" s="1090">
        <f t="shared" ref="D67:V67" si="20">IF(D59=0,0,D26/D59*100)</f>
        <v>0</v>
      </c>
      <c r="E67" s="1090">
        <f t="shared" si="20"/>
        <v>0</v>
      </c>
      <c r="F67" s="1090">
        <f t="shared" si="20"/>
        <v>0</v>
      </c>
      <c r="G67" s="1090">
        <f t="shared" si="20"/>
        <v>0</v>
      </c>
      <c r="H67" s="1090">
        <f t="shared" si="20"/>
        <v>0</v>
      </c>
      <c r="I67" s="1090">
        <f t="shared" si="20"/>
        <v>0</v>
      </c>
      <c r="J67" s="1090">
        <f t="shared" si="20"/>
        <v>0</v>
      </c>
      <c r="K67" s="1090">
        <f t="shared" si="20"/>
        <v>0</v>
      </c>
      <c r="L67" s="1132">
        <f t="shared" si="20"/>
        <v>0</v>
      </c>
      <c r="M67" s="1090">
        <f t="shared" si="20"/>
        <v>0</v>
      </c>
      <c r="N67" s="1090">
        <f t="shared" si="20"/>
        <v>0</v>
      </c>
      <c r="O67" s="1090">
        <f t="shared" si="20"/>
        <v>0</v>
      </c>
      <c r="P67" s="1090">
        <f t="shared" si="20"/>
        <v>0</v>
      </c>
      <c r="Q67" s="1090">
        <f t="shared" si="20"/>
        <v>0</v>
      </c>
      <c r="R67" s="1090">
        <f t="shared" si="20"/>
        <v>0</v>
      </c>
      <c r="S67" s="1090">
        <f t="shared" si="20"/>
        <v>0</v>
      </c>
      <c r="T67" s="1090">
        <f t="shared" si="20"/>
        <v>0</v>
      </c>
      <c r="U67" s="1133">
        <f t="shared" si="20"/>
        <v>0</v>
      </c>
      <c r="V67" s="1132">
        <f t="shared" si="20"/>
        <v>0</v>
      </c>
      <c r="W67" s="252"/>
      <c r="Y67" s="258">
        <f>SUM(V66:V68)</f>
        <v>0</v>
      </c>
    </row>
    <row r="68" spans="1:25" ht="18" customHeight="1" thickBot="1">
      <c r="A68" s="1031">
        <v>10</v>
      </c>
      <c r="B68" s="1092" t="s">
        <v>347</v>
      </c>
      <c r="C68" s="1056"/>
      <c r="D68" s="1095">
        <f t="shared" ref="D68:V68" si="21">IF(D59=0,0,D61/D59*100)</f>
        <v>0</v>
      </c>
      <c r="E68" s="1095">
        <f t="shared" si="21"/>
        <v>0</v>
      </c>
      <c r="F68" s="1095">
        <f t="shared" si="21"/>
        <v>0</v>
      </c>
      <c r="G68" s="1095">
        <f t="shared" si="21"/>
        <v>0</v>
      </c>
      <c r="H68" s="1095">
        <f t="shared" si="21"/>
        <v>0</v>
      </c>
      <c r="I68" s="1095">
        <f t="shared" si="21"/>
        <v>0</v>
      </c>
      <c r="J68" s="1095">
        <f t="shared" si="21"/>
        <v>0</v>
      </c>
      <c r="K68" s="1095">
        <f t="shared" si="21"/>
        <v>0</v>
      </c>
      <c r="L68" s="1134">
        <f t="shared" si="21"/>
        <v>0</v>
      </c>
      <c r="M68" s="1095">
        <f t="shared" si="21"/>
        <v>0</v>
      </c>
      <c r="N68" s="1095">
        <f t="shared" si="21"/>
        <v>0</v>
      </c>
      <c r="O68" s="1095">
        <f t="shared" si="21"/>
        <v>0</v>
      </c>
      <c r="P68" s="1095">
        <f t="shared" si="21"/>
        <v>0</v>
      </c>
      <c r="Q68" s="1095">
        <f t="shared" si="21"/>
        <v>0</v>
      </c>
      <c r="R68" s="1095">
        <f t="shared" si="21"/>
        <v>0</v>
      </c>
      <c r="S68" s="1095">
        <f t="shared" si="21"/>
        <v>0</v>
      </c>
      <c r="T68" s="1095">
        <f t="shared" si="21"/>
        <v>0</v>
      </c>
      <c r="U68" s="1093">
        <f t="shared" si="21"/>
        <v>0</v>
      </c>
      <c r="V68" s="1134">
        <f t="shared" si="21"/>
        <v>0</v>
      </c>
      <c r="W68" s="252"/>
    </row>
    <row r="69" spans="1:25" ht="18" customHeight="1" thickBot="1">
      <c r="A69" s="183">
        <v>11</v>
      </c>
      <c r="B69" s="189" t="s">
        <v>254</v>
      </c>
      <c r="C69" s="155"/>
      <c r="D69" s="190">
        <f>IF(E79=0,0,D79/E79*100)</f>
        <v>0</v>
      </c>
      <c r="E69" s="190">
        <f>IF(E79=0,0,D79/E79*100)</f>
        <v>0</v>
      </c>
      <c r="F69" s="190">
        <f>IF(E79=0,0,D79/E79*100)</f>
        <v>0</v>
      </c>
      <c r="G69" s="190">
        <f>IF(E79=0,0,D79/E79*100)</f>
        <v>0</v>
      </c>
      <c r="H69" s="190">
        <f>IF(E79=0,0,D79/E79*100)</f>
        <v>0</v>
      </c>
      <c r="I69" s="190">
        <f>IF(E79=0,0,D79/E79*100)</f>
        <v>0</v>
      </c>
      <c r="J69" s="190">
        <f>IF(E79=0,0,D79/E79*100)</f>
        <v>0</v>
      </c>
      <c r="K69" s="190">
        <f>IF(E79=0,0,D79/E79*100)</f>
        <v>0</v>
      </c>
      <c r="L69" s="218">
        <f>IF(E79=0,0,D79/E79*100)</f>
        <v>0</v>
      </c>
      <c r="M69" s="219">
        <f>IF(N79=0,0,M79/N79*100)</f>
        <v>0</v>
      </c>
      <c r="N69" s="219">
        <f>IF(N79=0,0,M79/N79*100)</f>
        <v>0</v>
      </c>
      <c r="O69" s="219">
        <f>IF(N79=0,0,M79/N79*100)</f>
        <v>0</v>
      </c>
      <c r="P69" s="219">
        <f>IF(N79=0,0,M79/N79*100)</f>
        <v>0</v>
      </c>
      <c r="Q69" s="219">
        <f>IF(N79=0,0,M79/N79*100)</f>
        <v>0</v>
      </c>
      <c r="R69" s="219">
        <f>IF(N79=0,0,M79/N79*100)</f>
        <v>0</v>
      </c>
      <c r="S69" s="219">
        <f>IF(N79=0,0,M79/N79*100)</f>
        <v>0</v>
      </c>
      <c r="T69" s="219">
        <f>IF(N79=0,0,M79/N79*100)</f>
        <v>0</v>
      </c>
      <c r="U69" s="190">
        <f>IF(N79=0,0,M79/N79*100)</f>
        <v>0</v>
      </c>
      <c r="V69" s="218">
        <f>IF(N83=0,0,M83/N83*100)</f>
        <v>0</v>
      </c>
      <c r="W69" s="252"/>
    </row>
    <row r="70" spans="1:25" ht="18" customHeight="1" thickBot="1">
      <c r="A70" s="183">
        <v>12</v>
      </c>
      <c r="B70" s="189" t="s">
        <v>348</v>
      </c>
      <c r="C70" s="155"/>
      <c r="D70" s="190">
        <f t="shared" ref="D70:T70" si="22">(D65*D68*D69)/10000</f>
        <v>0</v>
      </c>
      <c r="E70" s="190">
        <f t="shared" si="22"/>
        <v>0</v>
      </c>
      <c r="F70" s="190">
        <f t="shared" si="22"/>
        <v>0</v>
      </c>
      <c r="G70" s="190">
        <f t="shared" si="22"/>
        <v>0</v>
      </c>
      <c r="H70" s="190">
        <f t="shared" si="22"/>
        <v>0</v>
      </c>
      <c r="I70" s="190">
        <f t="shared" si="22"/>
        <v>0</v>
      </c>
      <c r="J70" s="190">
        <f t="shared" si="22"/>
        <v>0</v>
      </c>
      <c r="K70" s="190">
        <f t="shared" si="22"/>
        <v>0</v>
      </c>
      <c r="L70" s="190">
        <f t="shared" si="22"/>
        <v>0</v>
      </c>
      <c r="M70" s="219">
        <f t="shared" si="22"/>
        <v>0</v>
      </c>
      <c r="N70" s="219">
        <f t="shared" si="22"/>
        <v>0</v>
      </c>
      <c r="O70" s="219">
        <f t="shared" si="22"/>
        <v>0</v>
      </c>
      <c r="P70" s="219">
        <f t="shared" si="22"/>
        <v>0</v>
      </c>
      <c r="Q70" s="219">
        <f t="shared" si="22"/>
        <v>0</v>
      </c>
      <c r="R70" s="219">
        <f t="shared" si="22"/>
        <v>0</v>
      </c>
      <c r="S70" s="219">
        <f t="shared" si="22"/>
        <v>0</v>
      </c>
      <c r="T70" s="219">
        <f t="shared" si="22"/>
        <v>0</v>
      </c>
      <c r="U70" s="190">
        <f>IF(10000=0,0,(U65*U68*U69)/10000)</f>
        <v>0</v>
      </c>
      <c r="V70" s="218">
        <f>IF(10000=0,0,(V65*V68*V69)/10000)</f>
        <v>0</v>
      </c>
      <c r="W70" s="252"/>
    </row>
    <row r="71" spans="1:25" ht="12.75" customHeight="1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5" ht="18" customHeight="1">
      <c r="A72" s="1352" t="s">
        <v>349</v>
      </c>
      <c r="B72" s="1352"/>
      <c r="C72" s="261" t="s">
        <v>350</v>
      </c>
      <c r="D72" s="260"/>
      <c r="E72" s="260"/>
      <c r="F72" s="260"/>
      <c r="G72" s="262" t="s">
        <v>263</v>
      </c>
      <c r="H72" s="262"/>
      <c r="I72" s="262"/>
      <c r="J72" s="262"/>
      <c r="K72" s="260"/>
      <c r="L72" s="260"/>
      <c r="M72" s="260"/>
      <c r="N72" s="262"/>
      <c r="O72" s="260"/>
      <c r="P72" s="262" t="s">
        <v>351</v>
      </c>
      <c r="Q72" s="262"/>
      <c r="R72" s="262"/>
      <c r="S72" s="262"/>
      <c r="T72" s="260"/>
      <c r="U72" s="260"/>
      <c r="V72" s="260"/>
      <c r="W72" s="284"/>
    </row>
    <row r="73" spans="1:25" ht="3.75" customHeight="1">
      <c r="D73" s="263"/>
      <c r="E73" s="263"/>
      <c r="G73" s="263"/>
      <c r="H73" s="263"/>
      <c r="I73" s="263"/>
      <c r="J73" s="263"/>
      <c r="K73" s="263"/>
      <c r="L73" s="263"/>
      <c r="M73" s="262"/>
      <c r="N73" s="263"/>
      <c r="O73" s="263"/>
      <c r="P73" s="280"/>
      <c r="Q73" s="280"/>
      <c r="R73" s="280"/>
      <c r="S73" s="280"/>
      <c r="T73" s="280"/>
      <c r="U73" s="260"/>
      <c r="V73" s="260"/>
      <c r="W73" s="284"/>
    </row>
    <row r="74" spans="1:25" ht="16.5" customHeight="1">
      <c r="B74" s="261"/>
      <c r="C74" s="261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0"/>
      <c r="V74" s="260"/>
      <c r="W74" s="284"/>
    </row>
    <row r="75" spans="1:25">
      <c r="A75" s="259"/>
      <c r="B75" s="259"/>
      <c r="C75" s="259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5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A77" s="259"/>
      <c r="B77" s="259"/>
      <c r="C77" s="259"/>
      <c r="D77" s="1096" t="s">
        <v>70</v>
      </c>
      <c r="E77" s="260"/>
      <c r="F77" s="260"/>
      <c r="G77" s="260"/>
      <c r="H77" s="260"/>
      <c r="I77" s="260"/>
      <c r="J77" s="260"/>
      <c r="K77" s="260"/>
      <c r="L77" s="260"/>
      <c r="M77" s="1096" t="s">
        <v>73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5">
      <c r="B78" s="259"/>
      <c r="C78" s="1097"/>
      <c r="D78" s="1098" t="s">
        <v>51</v>
      </c>
      <c r="E78" s="1098" t="s">
        <v>50</v>
      </c>
      <c r="F78" s="260"/>
      <c r="G78" s="260"/>
      <c r="H78" s="260"/>
      <c r="I78" s="260"/>
      <c r="J78" s="260"/>
      <c r="K78" s="260"/>
      <c r="M78" s="1098" t="s">
        <v>51</v>
      </c>
      <c r="N78" s="1098" t="s">
        <v>50</v>
      </c>
      <c r="O78" s="260"/>
      <c r="P78" s="260"/>
      <c r="Q78" s="260"/>
      <c r="R78" s="260"/>
      <c r="S78" s="260"/>
      <c r="T78" s="260"/>
      <c r="U78" s="260"/>
    </row>
    <row r="79" spans="1:25">
      <c r="A79" s="259"/>
      <c r="B79" s="259"/>
      <c r="C79" s="259"/>
      <c r="D79" s="1099"/>
      <c r="E79" s="1099"/>
      <c r="F79" s="264" t="e">
        <f>8/E79</f>
        <v>#DIV/0!</v>
      </c>
      <c r="G79" s="260"/>
      <c r="H79" s="260"/>
      <c r="I79" s="260"/>
      <c r="J79" s="260"/>
      <c r="K79" s="260"/>
      <c r="L79" s="260"/>
      <c r="M79" s="1099"/>
      <c r="N79" s="1099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912"/>
      <c r="E80" s="265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5"/>
      <c r="E81" s="265"/>
      <c r="F81" s="260"/>
      <c r="G81" s="260"/>
      <c r="H81" s="260"/>
      <c r="I81" s="260"/>
      <c r="J81" s="260"/>
      <c r="K81" s="260"/>
      <c r="L81" s="260"/>
      <c r="M81" s="1096" t="s">
        <v>368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098" t="s">
        <v>51</v>
      </c>
      <c r="N82" s="1098" t="s">
        <v>50</v>
      </c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1135">
        <f>D79+M79</f>
        <v>0</v>
      </c>
      <c r="N83" s="1135">
        <f>E79+N79</f>
        <v>0</v>
      </c>
      <c r="O83" s="281" t="e">
        <f>M83/N83</f>
        <v>#DIV/0!</v>
      </c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 ht="28" thickBot="1">
      <c r="A85" s="259"/>
      <c r="B85" s="259"/>
      <c r="C85" s="259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 ht="28" thickBot="1">
      <c r="A86" s="266" t="s">
        <v>353</v>
      </c>
      <c r="B86" s="267"/>
      <c r="C86" s="268"/>
      <c r="D86" s="269"/>
      <c r="E86" s="270" t="s">
        <v>354</v>
      </c>
      <c r="F86" s="270"/>
      <c r="G86" s="270"/>
      <c r="H86" s="270"/>
      <c r="I86" s="270"/>
      <c r="J86" s="270"/>
      <c r="K86" s="270"/>
      <c r="L86" s="282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271">
        <v>1</v>
      </c>
      <c r="B87" s="272" t="s">
        <v>223</v>
      </c>
      <c r="C87" s="273"/>
      <c r="D87" s="274"/>
      <c r="E87" s="275" t="s">
        <v>355</v>
      </c>
      <c r="F87" s="275"/>
      <c r="G87" s="275"/>
      <c r="H87" s="275"/>
      <c r="I87" s="275"/>
      <c r="J87" s="275"/>
      <c r="K87" s="275"/>
      <c r="L87" s="28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2</v>
      </c>
      <c r="B88" s="1101" t="s">
        <v>339</v>
      </c>
      <c r="C88" s="1102"/>
      <c r="D88" s="1103"/>
      <c r="E88" s="1104" t="s">
        <v>227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3</v>
      </c>
      <c r="B89" s="1101" t="s">
        <v>340</v>
      </c>
      <c r="C89" s="1102"/>
      <c r="D89" s="1103"/>
      <c r="E89" s="1104" t="s">
        <v>230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4</v>
      </c>
      <c r="B90" s="1101" t="s">
        <v>356</v>
      </c>
      <c r="C90" s="1102"/>
      <c r="D90" s="1103"/>
      <c r="E90" s="1104" t="s">
        <v>357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5</v>
      </c>
      <c r="B91" s="1101" t="s">
        <v>358</v>
      </c>
      <c r="C91" s="1102"/>
      <c r="D91" s="1103"/>
      <c r="E91" s="1104" t="s">
        <v>359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6</v>
      </c>
      <c r="B92" s="1101" t="s">
        <v>360</v>
      </c>
      <c r="C92" s="1102"/>
      <c r="D92" s="1103"/>
      <c r="E92" s="1104" t="s">
        <v>236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7</v>
      </c>
      <c r="B93" s="1101" t="s">
        <v>344</v>
      </c>
      <c r="C93" s="1102"/>
      <c r="D93" s="1103"/>
      <c r="E93" s="1104" t="s">
        <v>240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8</v>
      </c>
      <c r="B94" s="1101" t="s">
        <v>361</v>
      </c>
      <c r="C94" s="1102"/>
      <c r="D94" s="1103"/>
      <c r="E94" s="1104" t="s">
        <v>243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9</v>
      </c>
      <c r="B95" s="1101" t="s">
        <v>362</v>
      </c>
      <c r="C95" s="1102"/>
      <c r="D95" s="1103"/>
      <c r="E95" s="1104" t="s">
        <v>246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10</v>
      </c>
      <c r="B96" s="1101" t="s">
        <v>347</v>
      </c>
      <c r="C96" s="1102"/>
      <c r="D96" s="1103"/>
      <c r="E96" s="1104" t="s">
        <v>363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>
      <c r="A97" s="1100">
        <v>11</v>
      </c>
      <c r="B97" s="1105" t="s">
        <v>254</v>
      </c>
      <c r="C97" s="1102"/>
      <c r="D97" s="1103"/>
      <c r="E97" s="1104" t="s">
        <v>364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 ht="28" thickBot="1">
      <c r="A98" s="1106">
        <v>12</v>
      </c>
      <c r="B98" s="1107" t="s">
        <v>348</v>
      </c>
      <c r="C98" s="276"/>
      <c r="D98" s="277"/>
      <c r="E98" s="1108" t="s">
        <v>365</v>
      </c>
      <c r="F98" s="1108"/>
      <c r="G98" s="1108"/>
      <c r="H98" s="1108"/>
      <c r="I98" s="1108"/>
      <c r="J98" s="1108"/>
      <c r="K98" s="1108"/>
      <c r="L98" s="1109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34" s="134" customFormat="1">
      <c r="D114" s="278"/>
      <c r="E114" s="278"/>
      <c r="F114" s="278"/>
      <c r="G114" s="279"/>
      <c r="H114" s="279"/>
      <c r="I114" s="279"/>
      <c r="J114" s="279"/>
      <c r="K114" s="279"/>
      <c r="L114" s="278"/>
      <c r="M114" s="278"/>
      <c r="N114" s="278"/>
      <c r="O114" s="278"/>
      <c r="P114" s="279"/>
      <c r="Q114" s="279"/>
      <c r="R114" s="279"/>
      <c r="S114" s="279"/>
      <c r="T114" s="279"/>
      <c r="U114" s="279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 s="134" customFormat="1"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 s="134" customFormat="1"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85"/>
      <c r="Z117" s="286"/>
      <c r="AA117" s="286"/>
      <c r="AB117" s="286"/>
      <c r="AC117" s="286"/>
      <c r="AD117" s="286"/>
      <c r="AE117" s="286"/>
      <c r="AF117" s="286"/>
      <c r="AG117" s="286"/>
      <c r="AH117" s="286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  <row r="127" spans="1:34">
      <c r="A127" s="259"/>
      <c r="B127" s="259"/>
      <c r="C127" s="259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84"/>
    </row>
  </sheetData>
  <mergeCells count="83">
    <mergeCell ref="D48:J48"/>
    <mergeCell ref="A72:B72"/>
    <mergeCell ref="T14:U14"/>
    <mergeCell ref="D46:J46"/>
    <mergeCell ref="D47:J47"/>
    <mergeCell ref="N47:V47"/>
    <mergeCell ref="D45:J45"/>
    <mergeCell ref="N45:V45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FCF6-2786-46D4-B140-F9E9F0FE2E46}">
  <sheetPr codeName="Sheet17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2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76"/>
      <c r="C48" s="1124"/>
      <c r="D48" s="1077"/>
      <c r="E48" s="1063"/>
      <c r="F48" s="1063"/>
      <c r="G48" s="1063"/>
      <c r="H48" s="1063"/>
      <c r="I48" s="1063"/>
      <c r="J48" s="1063"/>
      <c r="K48" s="1071"/>
      <c r="L48" s="1069"/>
      <c r="M48" s="1070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39"/>
      <c r="C49" s="1123"/>
      <c r="D49" s="1349"/>
      <c r="E49" s="1350"/>
      <c r="F49" s="1350"/>
      <c r="G49" s="1350"/>
      <c r="H49" s="1350"/>
      <c r="I49" s="1350"/>
      <c r="J49" s="1351"/>
      <c r="K49" s="1059"/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9:J49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0CA2-4106-4363-A19B-3593137FD8AE}">
  <sheetPr codeName="Sheet18">
    <tabColor theme="0" tint="-0.14999847407452621"/>
    <pageSetUpPr fitToPage="1"/>
  </sheetPr>
  <dimension ref="A1:IV130"/>
  <sheetViews>
    <sheetView showGridLines="0" zoomScale="86" zoomScaleNormal="86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9.83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L62</f>
        <v>0</v>
      </c>
      <c r="AC4" s="256">
        <f>L63</f>
        <v>0</v>
      </c>
      <c r="AD4" s="256">
        <f>L64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U62</f>
        <v>0</v>
      </c>
      <c r="AC5" s="256">
        <f>U63</f>
        <v>0</v>
      </c>
      <c r="AD5" s="256">
        <f>U64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2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251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$F6-D$63-D$64-D$21-D$23-D$24-D$34-D$43</f>
        <v>0</v>
      </c>
      <c r="E25" s="171">
        <f>$F7-E$63-E$64-E$21-E$23-E$24-E$34-E$43</f>
        <v>0</v>
      </c>
      <c r="F25" s="171">
        <f>$F8-F$63-F$64-F$21-F$23-F$24-F$34-F$43</f>
        <v>0</v>
      </c>
      <c r="G25" s="171">
        <f>$F9-G$63-G$64-G$21-G$23-G$24-G$34-G$43</f>
        <v>0</v>
      </c>
      <c r="H25" s="171">
        <f>$F10-H$63-H$64-H$21-H$23-H$24-H$34-H$43</f>
        <v>0</v>
      </c>
      <c r="I25" s="171">
        <f>$F11-I$63-I$64-I$21-I$23-I$24-I$34-I$43</f>
        <v>0</v>
      </c>
      <c r="J25" s="171">
        <f>$F12-J$63-J$64-J$21-J$23-J$24-J$34-J$43</f>
        <v>0</v>
      </c>
      <c r="K25" s="171">
        <f>$F13-K$63-K$64-K$21-K$23-K$24-K$34-K$43</f>
        <v>0</v>
      </c>
      <c r="L25" s="209">
        <f>SUM(D25:K25)</f>
        <v>0</v>
      </c>
      <c r="M25" s="171">
        <f>$O6-M$63-M$64-M$21-M$23-M$24-M$34-M$43</f>
        <v>0</v>
      </c>
      <c r="N25" s="171">
        <f>$O7-N$63-N$64-N$21-N$23-N$24-N$34-N$43</f>
        <v>0</v>
      </c>
      <c r="O25" s="171">
        <f>$O8-O$63-O$64-O$21-O$23-O$24-O$34-O$43</f>
        <v>0</v>
      </c>
      <c r="P25" s="171">
        <f>$O9-P$63-P$64-P$21-P$23-P$24-P$34-P$43</f>
        <v>0</v>
      </c>
      <c r="Q25" s="171">
        <f>$O10-Q$63-Q$64-Q$21-Q$23-Q$24-Q$34-Q$43</f>
        <v>0</v>
      </c>
      <c r="R25" s="171">
        <f>$O11-R$63-R$64-R$21-R$23-R$24-R$34-R$43</f>
        <v>0</v>
      </c>
      <c r="S25" s="171">
        <f>$O12-S$63-S$64-S$21-S$23-S$24-S$34-S$43</f>
        <v>0</v>
      </c>
      <c r="T25" s="171">
        <f>$O13-T$63-T$64-T$21-T$23-T$24-T$34-T$43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/>
      <c r="B45" s="1066"/>
      <c r="C45" s="1070"/>
      <c r="D45" s="1356"/>
      <c r="E45" s="1357"/>
      <c r="F45" s="1357"/>
      <c r="G45" s="1357"/>
      <c r="H45" s="1357"/>
      <c r="I45" s="1357"/>
      <c r="J45" s="1357"/>
      <c r="K45" s="1059"/>
      <c r="L45" s="1069"/>
      <c r="M45" s="1070"/>
      <c r="N45" s="1349"/>
      <c r="O45" s="1358"/>
      <c r="P45" s="1358"/>
      <c r="Q45" s="1358"/>
      <c r="R45" s="1358"/>
      <c r="S45" s="1358"/>
      <c r="T45" s="1358"/>
      <c r="U45" s="1358"/>
      <c r="V45" s="1359"/>
      <c r="W45" s="250"/>
    </row>
    <row r="46" spans="1:23" ht="15" customHeight="1">
      <c r="A46" s="1058"/>
      <c r="B46" s="1039"/>
      <c r="C46" s="1123"/>
      <c r="D46" s="1349"/>
      <c r="E46" s="1350"/>
      <c r="F46" s="1350"/>
      <c r="G46" s="1350"/>
      <c r="H46" s="1350"/>
      <c r="I46" s="1350"/>
      <c r="J46" s="1351"/>
      <c r="K46" s="1059"/>
      <c r="L46" s="1069"/>
      <c r="M46" s="1072"/>
      <c r="N46" s="107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.75" customHeight="1">
      <c r="A47" s="1058"/>
      <c r="B47" s="1039"/>
      <c r="C47" s="1038"/>
      <c r="D47" s="1349"/>
      <c r="E47" s="1350"/>
      <c r="F47" s="1350"/>
      <c r="G47" s="1350"/>
      <c r="H47" s="1350"/>
      <c r="I47" s="1350"/>
      <c r="J47" s="1351"/>
      <c r="K47" s="1059"/>
      <c r="L47" s="1060"/>
      <c r="M47" s="1060"/>
      <c r="N47" s="1073"/>
      <c r="O47" s="1062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/>
      <c r="B48" s="1039"/>
      <c r="C48" s="1038"/>
      <c r="D48" s="1349"/>
      <c r="E48" s="1350"/>
      <c r="F48" s="1350"/>
      <c r="G48" s="1350"/>
      <c r="H48" s="1350"/>
      <c r="I48" s="1350"/>
      <c r="J48" s="1351"/>
      <c r="K48" s="1059"/>
      <c r="L48" s="1065"/>
      <c r="M48" s="1065"/>
      <c r="N48" s="1349"/>
      <c r="O48" s="1350"/>
      <c r="P48" s="1350"/>
      <c r="Q48" s="1350"/>
      <c r="R48" s="1350"/>
      <c r="S48" s="1350"/>
      <c r="T48" s="1350"/>
      <c r="U48" s="1350"/>
      <c r="V48" s="1426"/>
      <c r="W48" s="250"/>
    </row>
    <row r="49" spans="1:23" ht="15" customHeight="1">
      <c r="A49" s="1058"/>
      <c r="B49" s="1039"/>
      <c r="C49" s="1123"/>
      <c r="D49" s="1349"/>
      <c r="E49" s="1350"/>
      <c r="F49" s="1350"/>
      <c r="G49" s="1350"/>
      <c r="H49" s="1350"/>
      <c r="I49" s="1350"/>
      <c r="J49" s="1351"/>
      <c r="K49" s="1059"/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3" ht="15" customHeight="1">
      <c r="A50" s="1058"/>
      <c r="B50" s="1076"/>
      <c r="C50" s="1124"/>
      <c r="D50" s="1077"/>
      <c r="E50" s="1063"/>
      <c r="F50" s="1063"/>
      <c r="G50" s="1063"/>
      <c r="H50" s="1063"/>
      <c r="I50" s="1063"/>
      <c r="J50" s="1063"/>
      <c r="K50" s="1059"/>
      <c r="L50" s="1069"/>
      <c r="M50" s="1070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3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59"/>
      <c r="L51" s="1069"/>
      <c r="M51" s="107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3" ht="15" customHeight="1">
      <c r="A52" s="1058"/>
      <c r="B52" s="1230"/>
      <c r="C52" s="1227"/>
      <c r="D52" s="1239"/>
      <c r="E52" s="1063"/>
      <c r="F52" s="1063"/>
      <c r="G52" s="1063"/>
      <c r="H52" s="1063"/>
      <c r="I52" s="1063"/>
      <c r="J52" s="1063"/>
      <c r="K52" s="1059"/>
      <c r="L52" s="1069"/>
      <c r="M52" s="1072"/>
      <c r="N52" s="1063"/>
      <c r="O52" s="1074"/>
      <c r="P52" s="1063"/>
      <c r="Q52" s="1063"/>
      <c r="R52" s="1063"/>
      <c r="S52" s="1063"/>
      <c r="T52" s="1063"/>
      <c r="U52" s="1063"/>
      <c r="V52" s="1228"/>
      <c r="W52" s="250"/>
    </row>
    <row r="53" spans="1:23" ht="15" customHeight="1">
      <c r="A53" s="1058"/>
      <c r="B53" s="1230"/>
      <c r="C53" s="1227"/>
      <c r="D53" s="1239"/>
      <c r="E53" s="1063"/>
      <c r="F53" s="1063"/>
      <c r="G53" s="1063"/>
      <c r="H53" s="1063"/>
      <c r="I53" s="1063"/>
      <c r="J53" s="1063"/>
      <c r="K53" s="1059"/>
      <c r="L53" s="1069"/>
      <c r="M53" s="1072"/>
      <c r="N53" s="1063"/>
      <c r="O53" s="1074"/>
      <c r="P53" s="1063"/>
      <c r="Q53" s="1063"/>
      <c r="R53" s="1063"/>
      <c r="S53" s="1063"/>
      <c r="T53" s="1063"/>
      <c r="U53" s="1063"/>
      <c r="V53" s="1228"/>
      <c r="W53" s="250"/>
    </row>
    <row r="54" spans="1:23" ht="15" customHeight="1">
      <c r="A54" s="1058"/>
      <c r="B54" s="1076"/>
      <c r="C54" s="1123"/>
      <c r="D54" s="1079"/>
      <c r="E54" s="1063"/>
      <c r="F54" s="1063"/>
      <c r="G54" s="1063"/>
      <c r="H54" s="1063"/>
      <c r="I54" s="1063"/>
      <c r="J54" s="1063"/>
      <c r="K54" s="1059"/>
      <c r="L54" s="1069"/>
      <c r="M54" s="1062"/>
      <c r="N54" s="1063"/>
      <c r="O54" s="1074"/>
      <c r="P54" s="1063"/>
      <c r="Q54" s="1063"/>
      <c r="R54" s="1063"/>
      <c r="S54" s="1063"/>
      <c r="T54" s="1063"/>
      <c r="U54" s="1063"/>
      <c r="V54" s="1064"/>
      <c r="W54" s="250"/>
    </row>
    <row r="55" spans="1:23" ht="15" customHeight="1">
      <c r="A55" s="1231"/>
      <c r="B55" s="1232"/>
      <c r="C55" s="1196"/>
      <c r="D55" s="1197"/>
      <c r="E55" s="932"/>
      <c r="F55" s="932"/>
      <c r="G55" s="932"/>
      <c r="H55" s="932"/>
      <c r="I55" s="932"/>
      <c r="J55" s="932"/>
      <c r="K55" s="1198"/>
      <c r="L55" s="1198"/>
      <c r="M55" s="929"/>
      <c r="N55" s="1239"/>
      <c r="O55" s="1074"/>
      <c r="P55" s="932"/>
      <c r="Q55" s="932"/>
      <c r="R55" s="932"/>
      <c r="S55" s="932"/>
      <c r="T55" s="932"/>
      <c r="U55" s="932"/>
      <c r="V55" s="934"/>
      <c r="W55" s="250"/>
    </row>
    <row r="56" spans="1:23" ht="15" customHeight="1">
      <c r="A56" s="1231"/>
      <c r="B56" s="1232"/>
      <c r="C56" s="1196"/>
      <c r="D56" s="1197"/>
      <c r="E56" s="932"/>
      <c r="F56" s="932"/>
      <c r="G56" s="932"/>
      <c r="H56" s="932"/>
      <c r="I56" s="932"/>
      <c r="J56" s="932"/>
      <c r="K56" s="1198"/>
      <c r="L56" s="1198"/>
      <c r="M56" s="929"/>
      <c r="N56" s="1239"/>
      <c r="O56" s="1074"/>
      <c r="P56" s="932"/>
      <c r="Q56" s="932"/>
      <c r="R56" s="932"/>
      <c r="S56" s="932"/>
      <c r="T56" s="932"/>
      <c r="U56" s="932"/>
      <c r="V56" s="934"/>
      <c r="W56" s="250"/>
    </row>
    <row r="57" spans="1:23" ht="15" customHeight="1">
      <c r="A57" s="1231"/>
      <c r="B57" s="1232"/>
      <c r="C57" s="1196"/>
      <c r="D57" s="1197"/>
      <c r="E57" s="932"/>
      <c r="F57" s="932"/>
      <c r="G57" s="932"/>
      <c r="H57" s="932"/>
      <c r="I57" s="932"/>
      <c r="J57" s="932"/>
      <c r="K57" s="1198"/>
      <c r="L57" s="1198"/>
      <c r="M57" s="929"/>
      <c r="N57" s="1239"/>
      <c r="O57" s="1074"/>
      <c r="P57" s="932"/>
      <c r="Q57" s="932"/>
      <c r="R57" s="932"/>
      <c r="S57" s="932"/>
      <c r="T57" s="932"/>
      <c r="U57" s="932"/>
      <c r="V57" s="934"/>
      <c r="W57" s="250"/>
    </row>
    <row r="58" spans="1:23" ht="15" customHeight="1">
      <c r="A58" s="1231"/>
      <c r="B58" s="1232"/>
      <c r="C58" s="1196"/>
      <c r="D58" s="1349"/>
      <c r="E58" s="1350"/>
      <c r="F58" s="1350"/>
      <c r="G58" s="1350"/>
      <c r="H58" s="1350"/>
      <c r="I58" s="1350"/>
      <c r="J58" s="1351"/>
      <c r="K58" s="1198"/>
      <c r="L58" s="1198"/>
      <c r="M58" s="929"/>
      <c r="N58" s="1239"/>
      <c r="O58" s="1074"/>
      <c r="P58" s="932"/>
      <c r="Q58" s="932"/>
      <c r="R58" s="932"/>
      <c r="S58" s="932"/>
      <c r="T58" s="932"/>
      <c r="U58" s="932"/>
      <c r="V58" s="934"/>
      <c r="W58" s="250"/>
    </row>
    <row r="59" spans="1:23" ht="15" customHeight="1">
      <c r="A59" s="1231"/>
      <c r="B59" s="1232"/>
      <c r="C59" s="1196"/>
      <c r="D59" s="1197"/>
      <c r="E59" s="932"/>
      <c r="F59" s="932"/>
      <c r="G59" s="932"/>
      <c r="H59" s="932"/>
      <c r="I59" s="932"/>
      <c r="J59" s="932"/>
      <c r="K59" s="1198"/>
      <c r="L59" s="1198"/>
      <c r="M59" s="929"/>
      <c r="N59" s="1239"/>
      <c r="O59" s="1074"/>
      <c r="P59" s="932"/>
      <c r="Q59" s="932"/>
      <c r="R59" s="932"/>
      <c r="S59" s="932"/>
      <c r="T59" s="932"/>
      <c r="U59" s="932"/>
      <c r="V59" s="934"/>
      <c r="W59" s="250"/>
    </row>
    <row r="60" spans="1:23" ht="15" customHeight="1" thickBot="1">
      <c r="A60" s="1190"/>
      <c r="B60" s="1191"/>
      <c r="C60" s="1125"/>
      <c r="D60" s="1082"/>
      <c r="E60" s="1083"/>
      <c r="F60" s="1083"/>
      <c r="G60" s="1083"/>
      <c r="H60" s="1083"/>
      <c r="I60" s="1083"/>
      <c r="J60" s="1083"/>
      <c r="K60" s="1198"/>
      <c r="L60" s="1084"/>
      <c r="M60" s="1126"/>
      <c r="N60" s="216"/>
      <c r="O60" s="1246"/>
      <c r="P60" s="1083"/>
      <c r="Q60" s="1083"/>
      <c r="R60" s="1083"/>
      <c r="S60" s="1083"/>
      <c r="T60" s="1083"/>
      <c r="U60" s="1083"/>
      <c r="V60" s="1128"/>
      <c r="W60" s="250"/>
    </row>
    <row r="61" spans="1:23" ht="18" customHeight="1" thickBot="1">
      <c r="A61" s="183" t="s">
        <v>337</v>
      </c>
      <c r="B61" s="184" t="s">
        <v>338</v>
      </c>
      <c r="C61" s="184"/>
      <c r="D61" s="166" t="s">
        <v>300</v>
      </c>
      <c r="E61" s="166" t="s">
        <v>301</v>
      </c>
      <c r="F61" s="166" t="s">
        <v>302</v>
      </c>
      <c r="G61" s="166" t="s">
        <v>303</v>
      </c>
      <c r="H61" s="166" t="s">
        <v>304</v>
      </c>
      <c r="I61" s="166" t="s">
        <v>305</v>
      </c>
      <c r="J61" s="166" t="s">
        <v>306</v>
      </c>
      <c r="K61" s="166" t="s">
        <v>307</v>
      </c>
      <c r="L61" s="207" t="s">
        <v>173</v>
      </c>
      <c r="M61" s="166" t="s">
        <v>300</v>
      </c>
      <c r="N61" s="166" t="s">
        <v>301</v>
      </c>
      <c r="O61" s="166" t="s">
        <v>302</v>
      </c>
      <c r="P61" s="166" t="s">
        <v>303</v>
      </c>
      <c r="Q61" s="166" t="s">
        <v>304</v>
      </c>
      <c r="R61" s="166" t="s">
        <v>305</v>
      </c>
      <c r="S61" s="166" t="s">
        <v>306</v>
      </c>
      <c r="T61" s="166" t="s">
        <v>307</v>
      </c>
      <c r="U61" s="166" t="s">
        <v>173</v>
      </c>
      <c r="V61" s="207" t="s">
        <v>367</v>
      </c>
      <c r="W61" s="231"/>
    </row>
    <row r="62" spans="1:23" ht="18" customHeight="1">
      <c r="A62" s="185">
        <v>1</v>
      </c>
      <c r="B62" s="186" t="s">
        <v>223</v>
      </c>
      <c r="C62" s="158"/>
      <c r="D62" s="187">
        <f>$F6-D$21-D$43-D$34</f>
        <v>0</v>
      </c>
      <c r="E62" s="187">
        <f>$F7-E$21-E$43-E$34</f>
        <v>0</v>
      </c>
      <c r="F62" s="187">
        <f>$F8-F$21-F$43-F$34</f>
        <v>0</v>
      </c>
      <c r="G62" s="187">
        <f>$F9-G$21-G$43-G$34</f>
        <v>0</v>
      </c>
      <c r="H62" s="187">
        <f>$F10-H$21-H$43-H$34</f>
        <v>0</v>
      </c>
      <c r="I62" s="187">
        <f>$F11-I$21-I$43-I$34</f>
        <v>0</v>
      </c>
      <c r="J62" s="187">
        <f>$F12-J$21-J$43-J$34</f>
        <v>0</v>
      </c>
      <c r="K62" s="187">
        <f>$F13-K$21-K$43-K$34</f>
        <v>0</v>
      </c>
      <c r="L62" s="202">
        <f>SUM(D62:K62)</f>
        <v>0</v>
      </c>
      <c r="M62" s="187">
        <f>O6-M21-M43-M34</f>
        <v>0</v>
      </c>
      <c r="N62" s="187">
        <f>O7-N21-N43-N34</f>
        <v>0</v>
      </c>
      <c r="O62" s="187">
        <f>O8-O21-O43-O34</f>
        <v>0</v>
      </c>
      <c r="P62" s="187">
        <f>O9-P21-P43-P34</f>
        <v>0</v>
      </c>
      <c r="Q62" s="187">
        <f>O10-Q21-Q43-Q34</f>
        <v>0</v>
      </c>
      <c r="R62" s="187">
        <f>O11-R21-R43-R34</f>
        <v>0</v>
      </c>
      <c r="S62" s="187">
        <f>O12-S21-S43-S34</f>
        <v>0</v>
      </c>
      <c r="T62" s="187">
        <f>O13-T21-T43-T34</f>
        <v>0</v>
      </c>
      <c r="U62" s="242">
        <f>SUM(M62:T62)</f>
        <v>0</v>
      </c>
      <c r="V62" s="202">
        <f>L62+U62</f>
        <v>0</v>
      </c>
      <c r="W62" s="233"/>
    </row>
    <row r="63" spans="1:23" ht="18" customHeight="1">
      <c r="A63" s="1085">
        <v>2</v>
      </c>
      <c r="B63" s="1086" t="s">
        <v>339</v>
      </c>
      <c r="C63" s="1046"/>
      <c r="D63" s="1087">
        <f>$K6/$C6</f>
        <v>0</v>
      </c>
      <c r="E63" s="1087">
        <f>$K7/$C7</f>
        <v>0</v>
      </c>
      <c r="F63" s="1087">
        <f>$K8/$C8</f>
        <v>0</v>
      </c>
      <c r="G63" s="1087">
        <f>$K9/$C9</f>
        <v>0</v>
      </c>
      <c r="H63" s="1087">
        <f>$K10/$C10</f>
        <v>0</v>
      </c>
      <c r="I63" s="1087">
        <f>$K11/$C11</f>
        <v>0</v>
      </c>
      <c r="J63" s="1087">
        <f>$K12/$C12</f>
        <v>0</v>
      </c>
      <c r="K63" s="1087">
        <f>$K13/$C13</f>
        <v>0</v>
      </c>
      <c r="L63" s="1112">
        <f>SUM(D63:K63)</f>
        <v>0</v>
      </c>
      <c r="M63" s="1087">
        <f>T6/C6</f>
        <v>0</v>
      </c>
      <c r="N63" s="1087">
        <f>T7/C7</f>
        <v>0</v>
      </c>
      <c r="O63" s="1087">
        <f>$T$8/$C$8</f>
        <v>0</v>
      </c>
      <c r="P63" s="1087">
        <f>$T$9/$C$9</f>
        <v>0</v>
      </c>
      <c r="Q63" s="1087">
        <f>$T$10/$C$10</f>
        <v>0</v>
      </c>
      <c r="R63" s="1087">
        <f>$T$11/$C$11</f>
        <v>0</v>
      </c>
      <c r="S63" s="1087">
        <f>$T$12/$C$12</f>
        <v>0</v>
      </c>
      <c r="T63" s="1087">
        <f>$T$13/$C$13</f>
        <v>0</v>
      </c>
      <c r="U63" s="1129">
        <f>SUM(M63:T63)</f>
        <v>0</v>
      </c>
      <c r="V63" s="1112">
        <f>L63+U63</f>
        <v>0</v>
      </c>
      <c r="W63" s="233"/>
    </row>
    <row r="64" spans="1:23" ht="18" customHeight="1" thickBot="1">
      <c r="A64" s="1031">
        <v>3</v>
      </c>
      <c r="B64" s="1088" t="s">
        <v>340</v>
      </c>
      <c r="C64" s="1056"/>
      <c r="D64" s="1087">
        <f>$I6/$C6</f>
        <v>0</v>
      </c>
      <c r="E64" s="1087">
        <f>$I7/$C7</f>
        <v>0</v>
      </c>
      <c r="F64" s="1087">
        <f>$I8/$C8</f>
        <v>0</v>
      </c>
      <c r="G64" s="1087">
        <f>$I9/$C9</f>
        <v>0</v>
      </c>
      <c r="H64" s="1087">
        <f>$I10/$C10</f>
        <v>0</v>
      </c>
      <c r="I64" s="1087">
        <f>$I11/$C11</f>
        <v>0</v>
      </c>
      <c r="J64" s="1087">
        <f>$I12/$C12</f>
        <v>0</v>
      </c>
      <c r="K64" s="1087">
        <f>$I13/$C13</f>
        <v>0</v>
      </c>
      <c r="L64" s="1115">
        <f>SUM(D64:K64)</f>
        <v>0</v>
      </c>
      <c r="M64" s="1130">
        <f>R6/C6</f>
        <v>0</v>
      </c>
      <c r="N64" s="1130">
        <f>R7/C7</f>
        <v>0</v>
      </c>
      <c r="O64" s="1130">
        <f>R8/C8</f>
        <v>0</v>
      </c>
      <c r="P64" s="1130">
        <f>R9/C9</f>
        <v>0</v>
      </c>
      <c r="Q64" s="1130">
        <f>R10/C10</f>
        <v>0</v>
      </c>
      <c r="R64" s="1130">
        <f>R11/C11</f>
        <v>0</v>
      </c>
      <c r="S64" s="1130">
        <f>R12/C12</f>
        <v>0</v>
      </c>
      <c r="T64" s="1130">
        <f>R13/C13</f>
        <v>0</v>
      </c>
      <c r="U64" s="1131">
        <f>SUM(M64:T64)</f>
        <v>0</v>
      </c>
      <c r="V64" s="1115">
        <f>L64+U64</f>
        <v>0</v>
      </c>
      <c r="W64" s="233"/>
    </row>
    <row r="65" spans="1:25" ht="18" customHeight="1">
      <c r="A65" s="185">
        <v>4</v>
      </c>
      <c r="B65" s="186" t="s">
        <v>341</v>
      </c>
      <c r="C65" s="158"/>
      <c r="D65" s="188">
        <f>IF(F6=0,0,D21/F6*100)</f>
        <v>0</v>
      </c>
      <c r="E65" s="188">
        <f>IF(F7=0,0,E21/F7*100)</f>
        <v>0</v>
      </c>
      <c r="F65" s="188">
        <f>IF(F8=0,0,F21/F8*100)</f>
        <v>0</v>
      </c>
      <c r="G65" s="188">
        <f>IF(F9=0,0,G21/F9*100)</f>
        <v>0</v>
      </c>
      <c r="H65" s="188">
        <f>IF(F10=0,0,H21/F10*100)</f>
        <v>0</v>
      </c>
      <c r="I65" s="188">
        <f>IF(F11=0,0,I21/F11*100)</f>
        <v>0</v>
      </c>
      <c r="J65" s="188">
        <f>IF(F12=0,0,J21/F12*100)</f>
        <v>0</v>
      </c>
      <c r="K65" s="188">
        <f>IF(F13=0,0,K21/F13*100)</f>
        <v>0</v>
      </c>
      <c r="L65" s="217">
        <f>IF(F14=0,0,L21/F14*100)</f>
        <v>0</v>
      </c>
      <c r="M65" s="188">
        <f>IF(O6=0,0,M21/O6*100)</f>
        <v>0</v>
      </c>
      <c r="N65" s="188">
        <f>IF(O7=0,0,N21/O7*100)</f>
        <v>0</v>
      </c>
      <c r="O65" s="188">
        <f>IF(O8=0,0,O21/O8*100)</f>
        <v>0</v>
      </c>
      <c r="P65" s="188">
        <f>IF(O9=0,0,P21/O9*100)</f>
        <v>0</v>
      </c>
      <c r="Q65" s="188">
        <f>IF(O10=0,0,Q21/O10*100)</f>
        <v>0</v>
      </c>
      <c r="R65" s="188">
        <f>IF(O11=0,0,R21/O11*100)</f>
        <v>0</v>
      </c>
      <c r="S65" s="188">
        <f>IF(O12=0,0,S21/O12*100)</f>
        <v>0</v>
      </c>
      <c r="T65" s="188">
        <f>IF(O13=0,0,T21/O13*100)</f>
        <v>0</v>
      </c>
      <c r="U65" s="251">
        <f>IF(O14=0,0,U21/O14*100)</f>
        <v>0</v>
      </c>
      <c r="V65" s="217">
        <f>IF((F14+O14)=0,0,V21/(F14+O14)*100)</f>
        <v>0</v>
      </c>
      <c r="W65" s="252"/>
    </row>
    <row r="66" spans="1:25" ht="18" customHeight="1">
      <c r="A66" s="1085">
        <v>5</v>
      </c>
      <c r="B66" s="1086" t="s">
        <v>342</v>
      </c>
      <c r="C66" s="1046"/>
      <c r="D66" s="1090">
        <f>IF(F6=0,0,D34/F6*100)</f>
        <v>0</v>
      </c>
      <c r="E66" s="1090">
        <f>IF(F7=0,0,E34/F7*100)</f>
        <v>0</v>
      </c>
      <c r="F66" s="1090">
        <f>IF(F8=0,0,F34/F8*100)</f>
        <v>0</v>
      </c>
      <c r="G66" s="1090">
        <f>IF(F9=0,0,G34/F9*100)</f>
        <v>0</v>
      </c>
      <c r="H66" s="1090">
        <f>IF(F10=0,0,H34/F10*100)</f>
        <v>0</v>
      </c>
      <c r="I66" s="1090">
        <f>IF(F11=0,0,I34/F11*100)</f>
        <v>0</v>
      </c>
      <c r="J66" s="1090">
        <f>IF(F12=0,0,J34/F12*100)</f>
        <v>0</v>
      </c>
      <c r="K66" s="1090">
        <f>IF(F13=0,0,K34/F13*100)</f>
        <v>0</v>
      </c>
      <c r="L66" s="1132">
        <f>IF(F14=0,0,L34/F14*100)</f>
        <v>0</v>
      </c>
      <c r="M66" s="1090">
        <f>IF(O6=0,0,M34/O6*100)</f>
        <v>0</v>
      </c>
      <c r="N66" s="1090">
        <f>IF(O7=0,0,N34/O7*100)</f>
        <v>0</v>
      </c>
      <c r="O66" s="1090">
        <f>IF(O8=0,0,O34/O8*100)</f>
        <v>0</v>
      </c>
      <c r="P66" s="1090">
        <f>IF(O9=0,0,P34/O9*100)</f>
        <v>0</v>
      </c>
      <c r="Q66" s="1090">
        <f>IF(O10=0,0,Q34/O10*100)</f>
        <v>0</v>
      </c>
      <c r="R66" s="1090">
        <f>IF(O11=0,0,R34/O11*100)</f>
        <v>0</v>
      </c>
      <c r="S66" s="1090">
        <f>IF(O12=0,0,S34/O12*100)</f>
        <v>0</v>
      </c>
      <c r="T66" s="1090">
        <f>IF(O13=0,0,T34/O13*100)</f>
        <v>0</v>
      </c>
      <c r="U66" s="1133">
        <f>IF(O14=0,0,U34/O14*100)</f>
        <v>0</v>
      </c>
      <c r="V66" s="1132">
        <f>IF((F14+O14)=0,0,V34/(F14+O14)*100)</f>
        <v>0</v>
      </c>
      <c r="W66" s="252"/>
      <c r="Y66" s="258">
        <f>SUM(V65:V68)</f>
        <v>0</v>
      </c>
    </row>
    <row r="67" spans="1:25" ht="18" customHeight="1">
      <c r="A67" s="1085">
        <v>6</v>
      </c>
      <c r="B67" s="1086" t="s">
        <v>343</v>
      </c>
      <c r="C67" s="1046"/>
      <c r="D67" s="1090">
        <f>IF(F6=0,0,D43/F6*100)</f>
        <v>0</v>
      </c>
      <c r="E67" s="1090">
        <f>IF(F7=0,0,E43/F7*100)</f>
        <v>0</v>
      </c>
      <c r="F67" s="1090">
        <f>IF(F8=0,0,F43/F8*100)</f>
        <v>0</v>
      </c>
      <c r="G67" s="1090">
        <f>IF(F9=0,0,G43/F9*100)</f>
        <v>0</v>
      </c>
      <c r="H67" s="1090">
        <f>IF(F10=0,0,H43/F10*100)</f>
        <v>0</v>
      </c>
      <c r="I67" s="1090">
        <f>IF(F11=0,0,I43/F11*100)</f>
        <v>0</v>
      </c>
      <c r="J67" s="1090">
        <f>IF(F12=0,0,J43/F12*100)</f>
        <v>0</v>
      </c>
      <c r="K67" s="1090">
        <f>IF(F13=0,0,K43/F13*100)</f>
        <v>0</v>
      </c>
      <c r="L67" s="1132">
        <f>IF(F14=0,0,L43/F14*100)</f>
        <v>0</v>
      </c>
      <c r="M67" s="1090">
        <f>IF(O6=0,0,M43/O6*100)</f>
        <v>0</v>
      </c>
      <c r="N67" s="1090">
        <f>IF(O7=0,0,N43/O7*100)</f>
        <v>0</v>
      </c>
      <c r="O67" s="1090">
        <f>IF(O8=0,0,O43/O8*100)</f>
        <v>0</v>
      </c>
      <c r="P67" s="1090">
        <f>IF(O9=0,0,P43/O9*100)</f>
        <v>0</v>
      </c>
      <c r="Q67" s="1090">
        <f>IF(O10=0,0,Q43/O10*100)</f>
        <v>0</v>
      </c>
      <c r="R67" s="1090">
        <f>IF(O11=0,0,R43/O11*100)</f>
        <v>0</v>
      </c>
      <c r="S67" s="1090">
        <f>IF(O12=0,0,S43/O12*100)</f>
        <v>0</v>
      </c>
      <c r="T67" s="1090">
        <f>IF(O13=0,0,T43/O13*100)</f>
        <v>0</v>
      </c>
      <c r="U67" s="1133">
        <f>IF(O14=0,0,U43/O14*100)</f>
        <v>0</v>
      </c>
      <c r="V67" s="1132">
        <f>IF((F14+O14)=0,0,V43/(F14+O14)*100)</f>
        <v>0</v>
      </c>
      <c r="W67" s="252"/>
    </row>
    <row r="68" spans="1:25" ht="18" customHeight="1" thickBot="1">
      <c r="A68" s="1031">
        <v>7</v>
      </c>
      <c r="B68" s="1092" t="s">
        <v>344</v>
      </c>
      <c r="C68" s="1056"/>
      <c r="D68" s="1093">
        <f>IF(F6=0,0,D62/F6*100)</f>
        <v>0</v>
      </c>
      <c r="E68" s="1093">
        <f>IF(F7=0,0,E62/F7*100)</f>
        <v>0</v>
      </c>
      <c r="F68" s="1093">
        <f>IF(F8=0,0,F62/F8*100)</f>
        <v>0</v>
      </c>
      <c r="G68" s="1093">
        <f>IF(F9=0,0,G62/F9*100)</f>
        <v>0</v>
      </c>
      <c r="H68" s="1093">
        <f>IF(F10=0,0,H62/F10*100)</f>
        <v>0</v>
      </c>
      <c r="I68" s="1093">
        <f>IF(F11=0,0,I62/F11*100)</f>
        <v>0</v>
      </c>
      <c r="J68" s="1093">
        <f>IF(F12=0,0,J62/F12*100)</f>
        <v>0</v>
      </c>
      <c r="K68" s="1093">
        <f>IF(F13=0,0,K62/F13*100)</f>
        <v>0</v>
      </c>
      <c r="L68" s="1134">
        <f>IF(F14=0,0,L62/F14*100)</f>
        <v>0</v>
      </c>
      <c r="M68" s="1095">
        <f>IF(O6=0,0,M62/O6*100)</f>
        <v>0</v>
      </c>
      <c r="N68" s="1095">
        <f>IF(O7=0,0,N62/O7*100)</f>
        <v>0</v>
      </c>
      <c r="O68" s="1095">
        <f>IF(O8=0,0,O62/O8*100)</f>
        <v>0</v>
      </c>
      <c r="P68" s="1095">
        <f>IF(O9=0,0,P62/O9*100)</f>
        <v>0</v>
      </c>
      <c r="Q68" s="1095">
        <f>IF(O10=0,0,Q62/O10*100)</f>
        <v>0</v>
      </c>
      <c r="R68" s="1095">
        <f>IF(O11=0,0,R62/O11*100)</f>
        <v>0</v>
      </c>
      <c r="S68" s="1095">
        <f>IF(O12=0,0,S62/O12*100)</f>
        <v>0</v>
      </c>
      <c r="T68" s="1095">
        <f>IF(O13=0,0,T62/O13*100)</f>
        <v>0</v>
      </c>
      <c r="U68" s="1093">
        <f>IF(O14=0,0,U62/O14*100)</f>
        <v>0</v>
      </c>
      <c r="V68" s="1134">
        <f>IF((F14+O14)=0,0,V62/(F14+O14)*100)</f>
        <v>0</v>
      </c>
      <c r="W68" s="252"/>
    </row>
    <row r="69" spans="1:25" ht="18" customHeight="1">
      <c r="A69" s="185">
        <v>8</v>
      </c>
      <c r="B69" s="186" t="s">
        <v>345</v>
      </c>
      <c r="C69" s="158"/>
      <c r="D69" s="188">
        <f>IF(D62=0,0,D63/D62*100)</f>
        <v>0</v>
      </c>
      <c r="E69" s="188">
        <f>IF(E62=0,0,E63/E62*100)</f>
        <v>0</v>
      </c>
      <c r="F69" s="188">
        <f t="shared" ref="F69:V69" si="19">IF(F62=0,0,F63/F62*100)</f>
        <v>0</v>
      </c>
      <c r="G69" s="188">
        <f t="shared" si="19"/>
        <v>0</v>
      </c>
      <c r="H69" s="188">
        <f t="shared" si="19"/>
        <v>0</v>
      </c>
      <c r="I69" s="188">
        <f t="shared" si="19"/>
        <v>0</v>
      </c>
      <c r="J69" s="188">
        <f t="shared" si="19"/>
        <v>0</v>
      </c>
      <c r="K69" s="188">
        <f t="shared" si="19"/>
        <v>0</v>
      </c>
      <c r="L69" s="217">
        <f t="shared" si="19"/>
        <v>0</v>
      </c>
      <c r="M69" s="188">
        <f t="shared" si="19"/>
        <v>0</v>
      </c>
      <c r="N69" s="188">
        <f t="shared" si="19"/>
        <v>0</v>
      </c>
      <c r="O69" s="188">
        <f t="shared" si="19"/>
        <v>0</v>
      </c>
      <c r="P69" s="188">
        <f t="shared" si="19"/>
        <v>0</v>
      </c>
      <c r="Q69" s="188">
        <f t="shared" si="19"/>
        <v>0</v>
      </c>
      <c r="R69" s="188">
        <f t="shared" si="19"/>
        <v>0</v>
      </c>
      <c r="S69" s="188">
        <f t="shared" si="19"/>
        <v>0</v>
      </c>
      <c r="T69" s="188">
        <f t="shared" si="19"/>
        <v>0</v>
      </c>
      <c r="U69" s="251">
        <f t="shared" si="19"/>
        <v>0</v>
      </c>
      <c r="V69" s="217">
        <f t="shared" si="19"/>
        <v>0</v>
      </c>
      <c r="W69" s="252"/>
    </row>
    <row r="70" spans="1:25" ht="18" customHeight="1">
      <c r="A70" s="1085">
        <v>9</v>
      </c>
      <c r="B70" s="1086" t="s">
        <v>346</v>
      </c>
      <c r="C70" s="1046"/>
      <c r="D70" s="1090">
        <f t="shared" ref="D70:V70" si="20">IF(D62=0,0,D26/D62*100)</f>
        <v>0</v>
      </c>
      <c r="E70" s="1090">
        <f t="shared" si="20"/>
        <v>0</v>
      </c>
      <c r="F70" s="1090">
        <f t="shared" si="20"/>
        <v>0</v>
      </c>
      <c r="G70" s="1090">
        <f t="shared" si="20"/>
        <v>0</v>
      </c>
      <c r="H70" s="1090">
        <f t="shared" si="20"/>
        <v>0</v>
      </c>
      <c r="I70" s="1090">
        <f t="shared" si="20"/>
        <v>0</v>
      </c>
      <c r="J70" s="1090">
        <f t="shared" si="20"/>
        <v>0</v>
      </c>
      <c r="K70" s="1090">
        <f t="shared" si="20"/>
        <v>0</v>
      </c>
      <c r="L70" s="1132">
        <f t="shared" si="20"/>
        <v>0</v>
      </c>
      <c r="M70" s="1090">
        <f t="shared" si="20"/>
        <v>0</v>
      </c>
      <c r="N70" s="1090">
        <f t="shared" si="20"/>
        <v>0</v>
      </c>
      <c r="O70" s="1090">
        <f t="shared" si="20"/>
        <v>0</v>
      </c>
      <c r="P70" s="1090">
        <f t="shared" si="20"/>
        <v>0</v>
      </c>
      <c r="Q70" s="1090">
        <f t="shared" si="20"/>
        <v>0</v>
      </c>
      <c r="R70" s="1090">
        <f t="shared" si="20"/>
        <v>0</v>
      </c>
      <c r="S70" s="1090">
        <f t="shared" si="20"/>
        <v>0</v>
      </c>
      <c r="T70" s="1090">
        <f t="shared" si="20"/>
        <v>0</v>
      </c>
      <c r="U70" s="1133">
        <f t="shared" si="20"/>
        <v>0</v>
      </c>
      <c r="V70" s="1132">
        <f t="shared" si="20"/>
        <v>0</v>
      </c>
      <c r="W70" s="252"/>
      <c r="Y70" s="258">
        <f>SUM(V69:V71)</f>
        <v>0</v>
      </c>
    </row>
    <row r="71" spans="1:25" ht="18" customHeight="1" thickBot="1">
      <c r="A71" s="1031">
        <v>10</v>
      </c>
      <c r="B71" s="1092" t="s">
        <v>347</v>
      </c>
      <c r="C71" s="1056"/>
      <c r="D71" s="1095">
        <f t="shared" ref="D71:V71" si="21">IF(D62=0,0,D64/D62*100)</f>
        <v>0</v>
      </c>
      <c r="E71" s="1095">
        <f t="shared" si="21"/>
        <v>0</v>
      </c>
      <c r="F71" s="1095">
        <f t="shared" si="21"/>
        <v>0</v>
      </c>
      <c r="G71" s="1095">
        <f t="shared" si="21"/>
        <v>0</v>
      </c>
      <c r="H71" s="1095">
        <f t="shared" si="21"/>
        <v>0</v>
      </c>
      <c r="I71" s="1095">
        <f t="shared" si="21"/>
        <v>0</v>
      </c>
      <c r="J71" s="1095">
        <f t="shared" si="21"/>
        <v>0</v>
      </c>
      <c r="K71" s="1095">
        <f t="shared" si="21"/>
        <v>0</v>
      </c>
      <c r="L71" s="1134">
        <f t="shared" si="21"/>
        <v>0</v>
      </c>
      <c r="M71" s="1095">
        <f t="shared" si="21"/>
        <v>0</v>
      </c>
      <c r="N71" s="1095">
        <f t="shared" si="21"/>
        <v>0</v>
      </c>
      <c r="O71" s="1095">
        <f t="shared" si="21"/>
        <v>0</v>
      </c>
      <c r="P71" s="1095">
        <f t="shared" si="21"/>
        <v>0</v>
      </c>
      <c r="Q71" s="1095">
        <f t="shared" si="21"/>
        <v>0</v>
      </c>
      <c r="R71" s="1095">
        <f t="shared" si="21"/>
        <v>0</v>
      </c>
      <c r="S71" s="1095">
        <f t="shared" si="21"/>
        <v>0</v>
      </c>
      <c r="T71" s="1095">
        <f t="shared" si="21"/>
        <v>0</v>
      </c>
      <c r="U71" s="1093">
        <f t="shared" si="21"/>
        <v>0</v>
      </c>
      <c r="V71" s="1134">
        <f t="shared" si="21"/>
        <v>0</v>
      </c>
      <c r="W71" s="252"/>
    </row>
    <row r="72" spans="1:25" ht="18" customHeight="1" thickBot="1">
      <c r="A72" s="183">
        <v>11</v>
      </c>
      <c r="B72" s="189" t="s">
        <v>254</v>
      </c>
      <c r="C72" s="155"/>
      <c r="D72" s="190">
        <f>IF(E82=0,0,D82/E82*100)</f>
        <v>0</v>
      </c>
      <c r="E72" s="190">
        <f>IF(E82=0,0,D82/E82*100)</f>
        <v>0</v>
      </c>
      <c r="F72" s="190">
        <f>IF(E82=0,0,D82/E82*100)</f>
        <v>0</v>
      </c>
      <c r="G72" s="190">
        <f>IF(E82=0,0,D82/E82*100)</f>
        <v>0</v>
      </c>
      <c r="H72" s="190">
        <f>IF(E82=0,0,D82/E82*100)</f>
        <v>0</v>
      </c>
      <c r="I72" s="190">
        <f>IF(E82=0,0,D82/E82*100)</f>
        <v>0</v>
      </c>
      <c r="J72" s="190">
        <f>IF(E82=0,0,D82/E82*100)</f>
        <v>0</v>
      </c>
      <c r="K72" s="190">
        <f>IF(E82=0,0,D82/E82*100)</f>
        <v>0</v>
      </c>
      <c r="L72" s="218">
        <f>IF(E82=0,0,D82/E82*100)</f>
        <v>0</v>
      </c>
      <c r="M72" s="219">
        <f>IF(N82=0,0,M82/N82*100)</f>
        <v>0</v>
      </c>
      <c r="N72" s="219">
        <f>IF(N82=0,0,M82/N82*100)</f>
        <v>0</v>
      </c>
      <c r="O72" s="219">
        <f>IF(N82=0,0,M82/N82*100)</f>
        <v>0</v>
      </c>
      <c r="P72" s="219">
        <f>IF(N82=0,0,M82/N82*100)</f>
        <v>0</v>
      </c>
      <c r="Q72" s="219">
        <f>IF(N82=0,0,M82/N82*100)</f>
        <v>0</v>
      </c>
      <c r="R72" s="219">
        <f>IF(N82=0,0,M82/N82*100)</f>
        <v>0</v>
      </c>
      <c r="S72" s="219">
        <f>IF(N82=0,0,M82/N82*100)</f>
        <v>0</v>
      </c>
      <c r="T72" s="219">
        <f>IF(N82=0,0,M82/N82*100)</f>
        <v>0</v>
      </c>
      <c r="U72" s="190">
        <f>IF(N82=0,0,M82/N82*100)</f>
        <v>0</v>
      </c>
      <c r="V72" s="218">
        <f>IF(N86=0,0,M86/N86*100)</f>
        <v>0</v>
      </c>
      <c r="W72" s="252"/>
    </row>
    <row r="73" spans="1:25" ht="18" customHeight="1" thickBot="1">
      <c r="A73" s="183">
        <v>12</v>
      </c>
      <c r="B73" s="189" t="s">
        <v>348</v>
      </c>
      <c r="C73" s="155"/>
      <c r="D73" s="190">
        <f t="shared" ref="D73:T73" si="22">(D68*D71*D72)/10000</f>
        <v>0</v>
      </c>
      <c r="E73" s="190">
        <f t="shared" si="22"/>
        <v>0</v>
      </c>
      <c r="F73" s="190">
        <f t="shared" si="22"/>
        <v>0</v>
      </c>
      <c r="G73" s="190">
        <f t="shared" si="22"/>
        <v>0</v>
      </c>
      <c r="H73" s="190">
        <f t="shared" si="22"/>
        <v>0</v>
      </c>
      <c r="I73" s="190">
        <f t="shared" si="22"/>
        <v>0</v>
      </c>
      <c r="J73" s="190">
        <f t="shared" si="22"/>
        <v>0</v>
      </c>
      <c r="K73" s="190">
        <f t="shared" si="22"/>
        <v>0</v>
      </c>
      <c r="L73" s="190">
        <f t="shared" si="22"/>
        <v>0</v>
      </c>
      <c r="M73" s="219">
        <f t="shared" si="22"/>
        <v>0</v>
      </c>
      <c r="N73" s="219">
        <f t="shared" si="22"/>
        <v>0</v>
      </c>
      <c r="O73" s="219">
        <f t="shared" si="22"/>
        <v>0</v>
      </c>
      <c r="P73" s="219">
        <f t="shared" si="22"/>
        <v>0</v>
      </c>
      <c r="Q73" s="219">
        <f t="shared" si="22"/>
        <v>0</v>
      </c>
      <c r="R73" s="219">
        <f t="shared" si="22"/>
        <v>0</v>
      </c>
      <c r="S73" s="219">
        <f t="shared" si="22"/>
        <v>0</v>
      </c>
      <c r="T73" s="219">
        <f t="shared" si="22"/>
        <v>0</v>
      </c>
      <c r="U73" s="190">
        <f>IF(10000=0,0,(U68*U71*U72)/10000)</f>
        <v>0</v>
      </c>
      <c r="V73" s="218">
        <f>IF(10000=0,0,(V68*V71*V72)/10000)</f>
        <v>0</v>
      </c>
      <c r="W73" s="252"/>
    </row>
    <row r="74" spans="1:25" ht="12.75" customHeight="1">
      <c r="A74" s="259"/>
      <c r="B74" s="259"/>
      <c r="C74" s="259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5" ht="18" customHeight="1">
      <c r="A75" s="1352" t="s">
        <v>349</v>
      </c>
      <c r="B75" s="1352"/>
      <c r="C75" s="261" t="s">
        <v>350</v>
      </c>
      <c r="D75" s="260"/>
      <c r="E75" s="260"/>
      <c r="F75" s="260"/>
      <c r="G75" s="262" t="s">
        <v>263</v>
      </c>
      <c r="H75" s="262"/>
      <c r="I75" s="262"/>
      <c r="J75" s="262"/>
      <c r="K75" s="260"/>
      <c r="L75" s="260"/>
      <c r="M75" s="260"/>
      <c r="N75" s="262"/>
      <c r="O75" s="260"/>
      <c r="P75" s="262" t="s">
        <v>351</v>
      </c>
      <c r="Q75" s="262"/>
      <c r="R75" s="262"/>
      <c r="S75" s="262"/>
      <c r="T75" s="260"/>
      <c r="U75" s="260"/>
      <c r="V75" s="260"/>
      <c r="W75" s="284"/>
    </row>
    <row r="76" spans="1:25" ht="3.75" customHeight="1">
      <c r="D76" s="263"/>
      <c r="E76" s="263"/>
      <c r="G76" s="263"/>
      <c r="H76" s="263"/>
      <c r="I76" s="263"/>
      <c r="J76" s="263"/>
      <c r="K76" s="263"/>
      <c r="L76" s="263"/>
      <c r="M76" s="262"/>
      <c r="N76" s="263"/>
      <c r="O76" s="263"/>
      <c r="P76" s="280"/>
      <c r="Q76" s="280"/>
      <c r="R76" s="280"/>
      <c r="S76" s="280"/>
      <c r="T76" s="280"/>
      <c r="U76" s="260"/>
      <c r="V76" s="260"/>
      <c r="W76" s="284"/>
    </row>
    <row r="77" spans="1:25" ht="16.5" customHeight="1">
      <c r="B77" s="261"/>
      <c r="C77" s="261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0"/>
      <c r="V77" s="260"/>
      <c r="W77" s="284"/>
    </row>
    <row r="78" spans="1:25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5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1096" t="s">
        <v>70</v>
      </c>
      <c r="E80" s="260"/>
      <c r="F80" s="260"/>
      <c r="G80" s="260"/>
      <c r="H80" s="260"/>
      <c r="I80" s="260"/>
      <c r="J80" s="260"/>
      <c r="K80" s="260"/>
      <c r="L80" s="260"/>
      <c r="M80" s="1096" t="s">
        <v>73</v>
      </c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B81" s="259"/>
      <c r="C81" s="1097"/>
      <c r="D81" s="1098" t="s">
        <v>51</v>
      </c>
      <c r="E81" s="1098" t="s">
        <v>50</v>
      </c>
      <c r="F81" s="260"/>
      <c r="G81" s="260"/>
      <c r="H81" s="260"/>
      <c r="I81" s="260"/>
      <c r="J81" s="260"/>
      <c r="K81" s="260"/>
      <c r="M81" s="1098" t="s">
        <v>51</v>
      </c>
      <c r="N81" s="1098" t="s">
        <v>50</v>
      </c>
      <c r="O81" s="260"/>
      <c r="P81" s="260"/>
      <c r="Q81" s="260"/>
      <c r="R81" s="260"/>
      <c r="S81" s="260"/>
      <c r="T81" s="260"/>
      <c r="U81" s="260"/>
    </row>
    <row r="82" spans="1:23">
      <c r="A82" s="259"/>
      <c r="B82" s="259"/>
      <c r="C82" s="259"/>
      <c r="D82" s="1099"/>
      <c r="E82" s="1099"/>
      <c r="F82" s="264" t="e">
        <f>8/E82</f>
        <v>#DIV/0!</v>
      </c>
      <c r="G82" s="260"/>
      <c r="H82" s="260"/>
      <c r="I82" s="260"/>
      <c r="J82" s="260"/>
      <c r="K82" s="260"/>
      <c r="L82" s="260"/>
      <c r="M82" s="1099"/>
      <c r="N82" s="1099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912"/>
      <c r="E83" s="265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59"/>
      <c r="B84" s="259"/>
      <c r="C84" s="259"/>
      <c r="D84" s="265"/>
      <c r="E84" s="265"/>
      <c r="F84" s="260"/>
      <c r="G84" s="260"/>
      <c r="H84" s="260"/>
      <c r="I84" s="260"/>
      <c r="J84" s="260"/>
      <c r="K84" s="260"/>
      <c r="L84" s="260"/>
      <c r="M84" s="1096" t="s">
        <v>368</v>
      </c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259"/>
      <c r="B85" s="259"/>
      <c r="C85" s="259"/>
      <c r="D85" s="260"/>
      <c r="E85" s="260"/>
      <c r="F85" s="260"/>
      <c r="G85" s="260"/>
      <c r="H85" s="260"/>
      <c r="I85" s="260"/>
      <c r="J85" s="260"/>
      <c r="K85" s="260"/>
      <c r="L85" s="260"/>
      <c r="M85" s="1098" t="s">
        <v>51</v>
      </c>
      <c r="N85" s="1098" t="s">
        <v>50</v>
      </c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259"/>
      <c r="B86" s="259"/>
      <c r="C86" s="259"/>
      <c r="D86" s="260"/>
      <c r="E86" s="260"/>
      <c r="F86" s="260"/>
      <c r="G86" s="260"/>
      <c r="H86" s="260"/>
      <c r="I86" s="260"/>
      <c r="J86" s="260"/>
      <c r="K86" s="260"/>
      <c r="L86" s="260"/>
      <c r="M86" s="1135">
        <f>D82+M82</f>
        <v>0</v>
      </c>
      <c r="N86" s="1135">
        <f>E82+N82</f>
        <v>0</v>
      </c>
      <c r="O86" s="281" t="e">
        <f>M86/N86</f>
        <v>#DIV/0!</v>
      </c>
      <c r="P86" s="260"/>
      <c r="Q86" s="260"/>
      <c r="R86" s="260"/>
      <c r="S86" s="260"/>
      <c r="T86" s="260"/>
      <c r="U86" s="260"/>
      <c r="V86" s="260"/>
      <c r="W86" s="284"/>
    </row>
    <row r="87" spans="1:23">
      <c r="A87" s="259"/>
      <c r="B87" s="259"/>
      <c r="C87" s="259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 ht="28" thickBot="1">
      <c r="A88" s="259"/>
      <c r="B88" s="259"/>
      <c r="C88" s="259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 ht="28" thickBot="1">
      <c r="A89" s="266" t="s">
        <v>353</v>
      </c>
      <c r="B89" s="267"/>
      <c r="C89" s="268"/>
      <c r="D89" s="269"/>
      <c r="E89" s="270" t="s">
        <v>354</v>
      </c>
      <c r="F89" s="270"/>
      <c r="G89" s="270"/>
      <c r="H89" s="270"/>
      <c r="I89" s="270"/>
      <c r="J89" s="270"/>
      <c r="K89" s="270"/>
      <c r="L89" s="282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271">
        <v>1</v>
      </c>
      <c r="B90" s="272" t="s">
        <v>223</v>
      </c>
      <c r="C90" s="273"/>
      <c r="D90" s="274"/>
      <c r="E90" s="275" t="s">
        <v>355</v>
      </c>
      <c r="F90" s="275"/>
      <c r="G90" s="275"/>
      <c r="H90" s="275"/>
      <c r="I90" s="275"/>
      <c r="J90" s="275"/>
      <c r="K90" s="275"/>
      <c r="L90" s="28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2</v>
      </c>
      <c r="B91" s="1101" t="s">
        <v>339</v>
      </c>
      <c r="C91" s="1102"/>
      <c r="D91" s="1103"/>
      <c r="E91" s="1104" t="s">
        <v>227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3</v>
      </c>
      <c r="B92" s="1101" t="s">
        <v>340</v>
      </c>
      <c r="C92" s="1102"/>
      <c r="D92" s="1103"/>
      <c r="E92" s="1104" t="s">
        <v>230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4</v>
      </c>
      <c r="B93" s="1101" t="s">
        <v>356</v>
      </c>
      <c r="C93" s="1102"/>
      <c r="D93" s="1103"/>
      <c r="E93" s="1104" t="s">
        <v>357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5</v>
      </c>
      <c r="B94" s="1101" t="s">
        <v>358</v>
      </c>
      <c r="C94" s="1102"/>
      <c r="D94" s="1103"/>
      <c r="E94" s="1104" t="s">
        <v>359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6</v>
      </c>
      <c r="B95" s="1101" t="s">
        <v>360</v>
      </c>
      <c r="C95" s="1102"/>
      <c r="D95" s="1103"/>
      <c r="E95" s="1104" t="s">
        <v>236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7</v>
      </c>
      <c r="B96" s="1101" t="s">
        <v>344</v>
      </c>
      <c r="C96" s="1102"/>
      <c r="D96" s="1103"/>
      <c r="E96" s="1104" t="s">
        <v>240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>
      <c r="A97" s="1100">
        <v>8</v>
      </c>
      <c r="B97" s="1101" t="s">
        <v>361</v>
      </c>
      <c r="C97" s="1102"/>
      <c r="D97" s="1103"/>
      <c r="E97" s="1104" t="s">
        <v>243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>
      <c r="A98" s="1100">
        <v>9</v>
      </c>
      <c r="B98" s="1101" t="s">
        <v>362</v>
      </c>
      <c r="C98" s="1102"/>
      <c r="D98" s="1103"/>
      <c r="E98" s="1104" t="s">
        <v>246</v>
      </c>
      <c r="F98" s="1104"/>
      <c r="G98" s="1104"/>
      <c r="H98" s="1104"/>
      <c r="I98" s="1104"/>
      <c r="J98" s="1104"/>
      <c r="K98" s="1104"/>
      <c r="L98" s="1103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1100">
        <v>10</v>
      </c>
      <c r="B99" s="1101" t="s">
        <v>347</v>
      </c>
      <c r="C99" s="1102"/>
      <c r="D99" s="1103"/>
      <c r="E99" s="1104" t="s">
        <v>363</v>
      </c>
      <c r="F99" s="1104"/>
      <c r="G99" s="1104"/>
      <c r="H99" s="1104"/>
      <c r="I99" s="1104"/>
      <c r="J99" s="1104"/>
      <c r="K99" s="1104"/>
      <c r="L99" s="1103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1100">
        <v>11</v>
      </c>
      <c r="B100" s="1105" t="s">
        <v>254</v>
      </c>
      <c r="C100" s="1102"/>
      <c r="D100" s="1103"/>
      <c r="E100" s="1104" t="s">
        <v>364</v>
      </c>
      <c r="F100" s="1104"/>
      <c r="G100" s="1104"/>
      <c r="H100" s="1104"/>
      <c r="I100" s="1104"/>
      <c r="J100" s="1104"/>
      <c r="K100" s="1104"/>
      <c r="L100" s="1103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 ht="28" thickBot="1">
      <c r="A101" s="1106">
        <v>12</v>
      </c>
      <c r="B101" s="1107" t="s">
        <v>348</v>
      </c>
      <c r="C101" s="276"/>
      <c r="D101" s="277"/>
      <c r="E101" s="1108" t="s">
        <v>365</v>
      </c>
      <c r="F101" s="1108"/>
      <c r="G101" s="1108"/>
      <c r="H101" s="1108"/>
      <c r="I101" s="1108"/>
      <c r="J101" s="1108"/>
      <c r="K101" s="1108"/>
      <c r="L101" s="1109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34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 s="134" customFormat="1">
      <c r="D117" s="278"/>
      <c r="E117" s="278"/>
      <c r="F117" s="278"/>
      <c r="G117" s="279"/>
      <c r="H117" s="279"/>
      <c r="I117" s="279"/>
      <c r="J117" s="279"/>
      <c r="K117" s="279"/>
      <c r="L117" s="278"/>
      <c r="M117" s="278"/>
      <c r="N117" s="278"/>
      <c r="O117" s="278"/>
      <c r="P117" s="279"/>
      <c r="Q117" s="279"/>
      <c r="R117" s="279"/>
      <c r="S117" s="279"/>
      <c r="T117" s="279"/>
      <c r="U117" s="279"/>
      <c r="V117" s="278"/>
      <c r="W117" s="285"/>
      <c r="Z117" s="286"/>
      <c r="AA117" s="286"/>
      <c r="AB117" s="286"/>
      <c r="AC117" s="286"/>
      <c r="AD117" s="286"/>
      <c r="AE117" s="286"/>
      <c r="AF117" s="286"/>
      <c r="AG117" s="286"/>
      <c r="AH117" s="286"/>
    </row>
    <row r="118" spans="1:34" s="134" customFormat="1"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85"/>
      <c r="Z118" s="286"/>
      <c r="AA118" s="286"/>
      <c r="AB118" s="286"/>
      <c r="AC118" s="286"/>
      <c r="AD118" s="286"/>
      <c r="AE118" s="286"/>
      <c r="AF118" s="286"/>
      <c r="AG118" s="286"/>
      <c r="AH118" s="286"/>
    </row>
    <row r="119" spans="1:34" s="134" customFormat="1"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85"/>
      <c r="Z119" s="286"/>
      <c r="AA119" s="286"/>
      <c r="AB119" s="286"/>
      <c r="AC119" s="286"/>
      <c r="AD119" s="286"/>
      <c r="AE119" s="286"/>
      <c r="AF119" s="286"/>
      <c r="AG119" s="286"/>
      <c r="AH119" s="286"/>
    </row>
    <row r="120" spans="1:34" s="134" customFormat="1"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85"/>
      <c r="Z120" s="286"/>
      <c r="AA120" s="286"/>
      <c r="AB120" s="286"/>
      <c r="AC120" s="286"/>
      <c r="AD120" s="286"/>
      <c r="AE120" s="286"/>
      <c r="AF120" s="286"/>
      <c r="AG120" s="286"/>
      <c r="AH120" s="286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  <row r="127" spans="1:34">
      <c r="A127" s="259"/>
      <c r="B127" s="259"/>
      <c r="C127" s="259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84"/>
    </row>
    <row r="128" spans="1:34">
      <c r="A128" s="259"/>
      <c r="B128" s="259"/>
      <c r="C128" s="259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84"/>
    </row>
    <row r="129" spans="1:23">
      <c r="A129" s="259"/>
      <c r="B129" s="259"/>
      <c r="C129" s="259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84"/>
    </row>
    <row r="130" spans="1:23">
      <c r="A130" s="259"/>
      <c r="B130" s="259"/>
      <c r="C130" s="259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84"/>
    </row>
  </sheetData>
  <mergeCells count="85">
    <mergeCell ref="D49:J49"/>
    <mergeCell ref="A75:B75"/>
    <mergeCell ref="T14:U14"/>
    <mergeCell ref="D47:J47"/>
    <mergeCell ref="D48:J48"/>
    <mergeCell ref="N48:V48"/>
    <mergeCell ref="D45:J45"/>
    <mergeCell ref="N45:V45"/>
    <mergeCell ref="A14:B14"/>
    <mergeCell ref="G14:H14"/>
    <mergeCell ref="I14:J14"/>
    <mergeCell ref="K14:L14"/>
    <mergeCell ref="P14:Q14"/>
    <mergeCell ref="R14:S14"/>
    <mergeCell ref="D46:J46"/>
    <mergeCell ref="D58:J5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7" orientation="landscape" verticalDpi="36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20B5-35CF-4C2B-B320-63C79D484A88}">
  <sheetPr codeName="Sheet43">
    <tabColor theme="0" tint="-0.14999847407452621"/>
    <pageSetUpPr fitToPage="1"/>
  </sheetPr>
  <dimension ref="A1:IV124"/>
  <sheetViews>
    <sheetView showGridLines="0" topLeftCell="A4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L56</f>
        <v>0</v>
      </c>
      <c r="AC4" s="256">
        <f>L57</f>
        <v>0</v>
      </c>
      <c r="AD4" s="256">
        <f>L58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U56</f>
        <v>0</v>
      </c>
      <c r="AC5" s="256">
        <f>U57</f>
        <v>0</v>
      </c>
      <c r="AD5" s="256">
        <f>U58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2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8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$F6-D$57-D$58-D$21-D$23-D$24-D$34-D$43</f>
        <v>0</v>
      </c>
      <c r="E25" s="171">
        <f>$F7-E$57-E$58-E$21-E$23-E$24-E$34-E$43</f>
        <v>0</v>
      </c>
      <c r="F25" s="171">
        <f>$F8-F$57-F$58-F$21-F$23-F$24-F$34-F$43</f>
        <v>0</v>
      </c>
      <c r="G25" s="171">
        <f>$F9-G$57-G$58-G$21-G$23-G$24-G$34-G$43</f>
        <v>0</v>
      </c>
      <c r="H25" s="171">
        <f>$F10-H$57-H$58-H$21-H$23-H$24-H$34-H$43</f>
        <v>0</v>
      </c>
      <c r="I25" s="171">
        <f>$F11-I$57-I$58-I$21-I$23-I$24-I$34-I$43</f>
        <v>0</v>
      </c>
      <c r="J25" s="171">
        <f>$F12-J$57-J$58-J$21-J$23-J$24-J$34-J$43</f>
        <v>0</v>
      </c>
      <c r="K25" s="171">
        <f>$F13-K$57-K$58-K$21-K$23-K$24-K$34-K$43</f>
        <v>0</v>
      </c>
      <c r="L25" s="209">
        <f>SUM(D25:K25)</f>
        <v>0</v>
      </c>
      <c r="M25" s="171">
        <f>$O6-M$57-M$58-M$21-M$23-M$24-M$34-M$43</f>
        <v>0</v>
      </c>
      <c r="N25" s="171">
        <f>$O7-N$57-N$58-N$21-N$23-N$24-N$34-N$43</f>
        <v>0</v>
      </c>
      <c r="O25" s="171">
        <f>$O8-O$57-O$58-O$21-O$23-O$24-O$34-O$43</f>
        <v>0</v>
      </c>
      <c r="P25" s="171">
        <f>$O9-P$57-P$58-P$21-P$23-P$24-P$34-P$43</f>
        <v>0</v>
      </c>
      <c r="Q25" s="171">
        <f>$O10-Q$57-Q$58-Q$21-Q$23-Q$24-Q$34-Q$43</f>
        <v>0</v>
      </c>
      <c r="R25" s="171">
        <f>$O11-R$57-R$58-R$21-R$23-R$24-R$34-R$43</f>
        <v>0</v>
      </c>
      <c r="S25" s="171">
        <f>$O12-S$57-S$58-S$21-S$23-S$24-S$34-S$43</f>
        <v>0</v>
      </c>
      <c r="T25" s="171">
        <f>$O13-T$57-T$58-T$21-T$23-T$24-T$34-T$43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/>
      <c r="B45" s="1066"/>
      <c r="C45" s="1070"/>
      <c r="D45" s="1356"/>
      <c r="E45" s="1357"/>
      <c r="F45" s="1357"/>
      <c r="G45" s="1357"/>
      <c r="H45" s="1357"/>
      <c r="I45" s="1357"/>
      <c r="J45" s="1357"/>
      <c r="K45" s="1059"/>
      <c r="L45" s="1069"/>
      <c r="M45" s="1070"/>
      <c r="N45" s="1349"/>
      <c r="O45" s="1358"/>
      <c r="P45" s="1358"/>
      <c r="Q45" s="1358"/>
      <c r="R45" s="1358"/>
      <c r="S45" s="1358"/>
      <c r="T45" s="1358"/>
      <c r="U45" s="1358"/>
      <c r="V45" s="1359"/>
      <c r="W45" s="250"/>
    </row>
    <row r="46" spans="1:23" ht="15" customHeight="1">
      <c r="A46" s="1058"/>
      <c r="B46" s="1076"/>
      <c r="C46" s="1124"/>
      <c r="D46" s="1077"/>
      <c r="E46" s="1063"/>
      <c r="F46" s="1063"/>
      <c r="G46" s="1063"/>
      <c r="H46" s="1063"/>
      <c r="I46" s="1063"/>
      <c r="J46" s="1063"/>
      <c r="K46" s="1071"/>
      <c r="L46" s="1069"/>
      <c r="M46" s="1070"/>
      <c r="N46" s="106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75"/>
      <c r="B47" s="1078"/>
      <c r="C47" s="1123"/>
      <c r="D47" s="1079"/>
      <c r="E47" s="1063"/>
      <c r="F47" s="1063"/>
      <c r="G47" s="1063"/>
      <c r="H47" s="1063"/>
      <c r="I47" s="1063"/>
      <c r="J47" s="1063"/>
      <c r="K47" s="1071"/>
      <c r="L47" s="1069"/>
      <c r="M47" s="1072"/>
      <c r="N47" s="1063"/>
      <c r="O47" s="1074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75"/>
      <c r="B48" s="1078"/>
      <c r="C48" s="1123"/>
      <c r="D48" s="1079"/>
      <c r="E48" s="1063"/>
      <c r="F48" s="1063"/>
      <c r="G48" s="1063"/>
      <c r="H48" s="1063"/>
      <c r="I48" s="1063"/>
      <c r="J48" s="1063"/>
      <c r="K48" s="1071"/>
      <c r="L48" s="1069"/>
      <c r="M48" s="106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226"/>
      <c r="C49" s="1227"/>
      <c r="D49" s="1218"/>
      <c r="E49" s="1063"/>
      <c r="F49" s="1063"/>
      <c r="G49" s="1063"/>
      <c r="H49" s="1063"/>
      <c r="I49" s="1063"/>
      <c r="J49" s="1063"/>
      <c r="K49" s="1071"/>
      <c r="L49" s="1069"/>
      <c r="M49" s="1062"/>
      <c r="N49" s="1063"/>
      <c r="O49" s="1074"/>
      <c r="P49" s="1063"/>
      <c r="Q49" s="1063"/>
      <c r="R49" s="1063"/>
      <c r="S49" s="1063"/>
      <c r="T49" s="1063"/>
      <c r="U49" s="1063"/>
      <c r="V49" s="1228"/>
      <c r="W49" s="250"/>
    </row>
    <row r="50" spans="1:25" ht="15" customHeight="1">
      <c r="A50" s="1220"/>
      <c r="B50" s="1221"/>
      <c r="C50" s="1222"/>
      <c r="D50" s="1211"/>
      <c r="E50" s="1209"/>
      <c r="F50" s="1209"/>
      <c r="G50" s="1209"/>
      <c r="H50" s="1209"/>
      <c r="I50" s="1209"/>
      <c r="J50" s="1209"/>
      <c r="K50" s="1223"/>
      <c r="L50" s="1224"/>
      <c r="M50" s="1208"/>
      <c r="N50" s="1209"/>
      <c r="O50" s="1225"/>
      <c r="P50" s="1209"/>
      <c r="Q50" s="1209"/>
      <c r="R50" s="1209"/>
      <c r="S50" s="1209"/>
      <c r="T50" s="1209"/>
      <c r="U50" s="1209"/>
      <c r="V50" s="1210"/>
      <c r="W50" s="250"/>
    </row>
    <row r="51" spans="1:25" ht="15" customHeight="1">
      <c r="A51" s="1058"/>
      <c r="B51" s="1230"/>
      <c r="C51" s="1227"/>
      <c r="D51" s="1218"/>
      <c r="E51" s="1063"/>
      <c r="F51" s="1063"/>
      <c r="G51" s="1063"/>
      <c r="H51" s="1063"/>
      <c r="I51" s="1063"/>
      <c r="J51" s="1063"/>
      <c r="K51" s="1071"/>
      <c r="L51" s="1069"/>
      <c r="M51" s="1062"/>
      <c r="N51" s="1073"/>
      <c r="O51" s="1074"/>
      <c r="P51" s="1063"/>
      <c r="Q51" s="1063"/>
      <c r="R51" s="1063"/>
      <c r="S51" s="1063"/>
      <c r="T51" s="1063"/>
      <c r="U51" s="1063"/>
      <c r="V51" s="1228"/>
      <c r="W51" s="250"/>
    </row>
    <row r="52" spans="1:25" ht="15.75" customHeight="1">
      <c r="A52" s="1202"/>
      <c r="B52" s="1203"/>
      <c r="C52" s="1204"/>
      <c r="D52" s="1431"/>
      <c r="E52" s="1432"/>
      <c r="F52" s="1432"/>
      <c r="G52" s="1432"/>
      <c r="H52" s="1432"/>
      <c r="I52" s="1432"/>
      <c r="J52" s="1433"/>
      <c r="K52" s="1229"/>
      <c r="L52" s="1206"/>
      <c r="M52" s="1206"/>
      <c r="N52" s="1207"/>
      <c r="O52" s="1062"/>
      <c r="P52" s="1209"/>
      <c r="Q52" s="1209"/>
      <c r="R52" s="1209"/>
      <c r="S52" s="1209"/>
      <c r="T52" s="1209"/>
      <c r="U52" s="1209"/>
      <c r="V52" s="1210"/>
      <c r="W52" s="250"/>
    </row>
    <row r="53" spans="1:25" ht="15" customHeight="1">
      <c r="A53" s="1058"/>
      <c r="B53" s="1039"/>
      <c r="C53" s="1038"/>
      <c r="D53" s="1349"/>
      <c r="E53" s="1350"/>
      <c r="F53" s="1350"/>
      <c r="G53" s="1350"/>
      <c r="H53" s="1350"/>
      <c r="I53" s="1350"/>
      <c r="J53" s="1351"/>
      <c r="K53" s="1059"/>
      <c r="L53" s="1065"/>
      <c r="M53" s="1065"/>
      <c r="N53" s="1349"/>
      <c r="O53" s="1350"/>
      <c r="P53" s="1350"/>
      <c r="Q53" s="1350"/>
      <c r="R53" s="1350"/>
      <c r="S53" s="1350"/>
      <c r="T53" s="1350"/>
      <c r="U53" s="1350"/>
      <c r="V53" s="1426"/>
      <c r="W53" s="250"/>
    </row>
    <row r="54" spans="1:25" ht="15" customHeight="1" thickBot="1">
      <c r="A54" s="1058"/>
      <c r="B54" s="1039"/>
      <c r="C54" s="1123"/>
      <c r="D54" s="1349"/>
      <c r="E54" s="1350"/>
      <c r="F54" s="1350"/>
      <c r="G54" s="1350"/>
      <c r="H54" s="1350"/>
      <c r="I54" s="1350"/>
      <c r="J54" s="1351"/>
      <c r="K54" s="1219"/>
      <c r="L54" s="1069"/>
      <c r="M54" s="1072"/>
      <c r="N54" s="1073"/>
      <c r="O54" s="1074"/>
      <c r="P54" s="1063"/>
      <c r="Q54" s="1063"/>
      <c r="R54" s="1063"/>
      <c r="S54" s="1063"/>
      <c r="T54" s="1063"/>
      <c r="U54" s="1063"/>
      <c r="V54" s="1064"/>
      <c r="W54" s="250"/>
    </row>
    <row r="55" spans="1:25" ht="18" customHeight="1" thickBot="1">
      <c r="A55" s="183" t="s">
        <v>337</v>
      </c>
      <c r="B55" s="184" t="s">
        <v>338</v>
      </c>
      <c r="C55" s="184"/>
      <c r="D55" s="166" t="s">
        <v>300</v>
      </c>
      <c r="E55" s="166" t="s">
        <v>301</v>
      </c>
      <c r="F55" s="166" t="s">
        <v>302</v>
      </c>
      <c r="G55" s="166" t="s">
        <v>303</v>
      </c>
      <c r="H55" s="166" t="s">
        <v>304</v>
      </c>
      <c r="I55" s="166" t="s">
        <v>305</v>
      </c>
      <c r="J55" s="166" t="s">
        <v>306</v>
      </c>
      <c r="K55" s="166" t="s">
        <v>307</v>
      </c>
      <c r="L55" s="207" t="s">
        <v>173</v>
      </c>
      <c r="M55" s="166" t="s">
        <v>300</v>
      </c>
      <c r="N55" s="166" t="s">
        <v>301</v>
      </c>
      <c r="O55" s="166" t="s">
        <v>302</v>
      </c>
      <c r="P55" s="166" t="s">
        <v>303</v>
      </c>
      <c r="Q55" s="166" t="s">
        <v>304</v>
      </c>
      <c r="R55" s="166" t="s">
        <v>305</v>
      </c>
      <c r="S55" s="166" t="s">
        <v>306</v>
      </c>
      <c r="T55" s="166" t="s">
        <v>307</v>
      </c>
      <c r="U55" s="166" t="s">
        <v>173</v>
      </c>
      <c r="V55" s="207" t="s">
        <v>367</v>
      </c>
      <c r="W55" s="231"/>
    </row>
    <row r="56" spans="1:25" ht="18" customHeight="1">
      <c r="A56" s="185">
        <v>1</v>
      </c>
      <c r="B56" s="186" t="s">
        <v>223</v>
      </c>
      <c r="C56" s="158"/>
      <c r="D56" s="187">
        <f>$F6-D$21-D$43-D$34</f>
        <v>0</v>
      </c>
      <c r="E56" s="187">
        <f>$F7-E$21-E$43-E$34</f>
        <v>0</v>
      </c>
      <c r="F56" s="187">
        <f>$F8-F$21-F$43-F$34</f>
        <v>0</v>
      </c>
      <c r="G56" s="187">
        <f>$F9-G$21-G$43-G$34</f>
        <v>0</v>
      </c>
      <c r="H56" s="187">
        <f>$F10-H$21-H$43-H$34</f>
        <v>0</v>
      </c>
      <c r="I56" s="187">
        <f>$F11-I$21-I$43-I$34</f>
        <v>0</v>
      </c>
      <c r="J56" s="187">
        <f>$F12-J$21-J$43-J$34</f>
        <v>0</v>
      </c>
      <c r="K56" s="187">
        <f>$F13-K$21-K$43-K$34</f>
        <v>0</v>
      </c>
      <c r="L56" s="202">
        <f>SUM(D56:K56)</f>
        <v>0</v>
      </c>
      <c r="M56" s="187">
        <f>O6-M21-M43-M34</f>
        <v>0</v>
      </c>
      <c r="N56" s="187">
        <f>O7-N21-N43-N34</f>
        <v>0</v>
      </c>
      <c r="O56" s="187">
        <f>O8-O21-O43-O34</f>
        <v>0</v>
      </c>
      <c r="P56" s="187">
        <f>O9-P21-P43-P34</f>
        <v>0</v>
      </c>
      <c r="Q56" s="187">
        <f>O10-Q21-Q43-Q34</f>
        <v>0</v>
      </c>
      <c r="R56" s="187">
        <f>O11-R21-R43-R34</f>
        <v>0</v>
      </c>
      <c r="S56" s="187">
        <f>O12-S21-S43-S34</f>
        <v>0</v>
      </c>
      <c r="T56" s="187">
        <f>O13-T21-T43-T34</f>
        <v>0</v>
      </c>
      <c r="U56" s="242">
        <f>SUM(M56:T56)</f>
        <v>0</v>
      </c>
      <c r="V56" s="202">
        <f>L56+U56</f>
        <v>0</v>
      </c>
      <c r="W56" s="233"/>
    </row>
    <row r="57" spans="1:25" ht="18" customHeight="1">
      <c r="A57" s="1085">
        <v>2</v>
      </c>
      <c r="B57" s="1086" t="s">
        <v>339</v>
      </c>
      <c r="C57" s="1046"/>
      <c r="D57" s="1087">
        <f>$K6/$C6</f>
        <v>0</v>
      </c>
      <c r="E57" s="1087">
        <f>$K7/$C7</f>
        <v>0</v>
      </c>
      <c r="F57" s="1087">
        <f>$K8/$C8</f>
        <v>0</v>
      </c>
      <c r="G57" s="1087">
        <f>$K9/$C9</f>
        <v>0</v>
      </c>
      <c r="H57" s="1087">
        <f>$K10/$C10</f>
        <v>0</v>
      </c>
      <c r="I57" s="1087">
        <f>$K11/$C11</f>
        <v>0</v>
      </c>
      <c r="J57" s="1087">
        <f>$K12/$C12</f>
        <v>0</v>
      </c>
      <c r="K57" s="1087">
        <f>$K13/$C13</f>
        <v>0</v>
      </c>
      <c r="L57" s="1112">
        <f>SUM(D57:K57)</f>
        <v>0</v>
      </c>
      <c r="M57" s="1087">
        <f>T6/C6</f>
        <v>0</v>
      </c>
      <c r="N57" s="1087">
        <f>T7/C7</f>
        <v>0</v>
      </c>
      <c r="O57" s="1087">
        <f>$T$8/$C$8</f>
        <v>0</v>
      </c>
      <c r="P57" s="1087">
        <f>$T$9/$C$9</f>
        <v>0</v>
      </c>
      <c r="Q57" s="1087">
        <f>$T$10/$C$10</f>
        <v>0</v>
      </c>
      <c r="R57" s="1087">
        <f>$T$11/$C$11</f>
        <v>0</v>
      </c>
      <c r="S57" s="1087">
        <f>$T$12/$C$12</f>
        <v>0</v>
      </c>
      <c r="T57" s="1087">
        <f>$T$13/$C$13</f>
        <v>0</v>
      </c>
      <c r="U57" s="1129">
        <f>SUM(M57:T57)</f>
        <v>0</v>
      </c>
      <c r="V57" s="1112">
        <f>L57+U57</f>
        <v>0</v>
      </c>
      <c r="W57" s="233"/>
    </row>
    <row r="58" spans="1:25" ht="18" customHeight="1" thickBot="1">
      <c r="A58" s="1031">
        <v>3</v>
      </c>
      <c r="B58" s="1088" t="s">
        <v>340</v>
      </c>
      <c r="C58" s="1056"/>
      <c r="D58" s="1087">
        <f>$I6/$C6</f>
        <v>0</v>
      </c>
      <c r="E58" s="1087">
        <f>$I7/$C7</f>
        <v>0</v>
      </c>
      <c r="F58" s="1087">
        <f>$I8/$C8</f>
        <v>0</v>
      </c>
      <c r="G58" s="1087">
        <f>$I9/$C9</f>
        <v>0</v>
      </c>
      <c r="H58" s="1087">
        <f>$I10/$C10</f>
        <v>0</v>
      </c>
      <c r="I58" s="1087">
        <f>$I11/$C11</f>
        <v>0</v>
      </c>
      <c r="J58" s="1087">
        <f>$I12/$C12</f>
        <v>0</v>
      </c>
      <c r="K58" s="1087">
        <f>$I13/$C13</f>
        <v>0</v>
      </c>
      <c r="L58" s="1115">
        <f>SUM(D58:K58)</f>
        <v>0</v>
      </c>
      <c r="M58" s="1130">
        <f>R6/C6</f>
        <v>0</v>
      </c>
      <c r="N58" s="1130">
        <f>R7/C7</f>
        <v>0</v>
      </c>
      <c r="O58" s="1130">
        <f>R8/C8</f>
        <v>0</v>
      </c>
      <c r="P58" s="1130">
        <f>R9/C9</f>
        <v>0</v>
      </c>
      <c r="Q58" s="1130">
        <f>R10/C10</f>
        <v>0</v>
      </c>
      <c r="R58" s="1130">
        <f>R11/C11</f>
        <v>0</v>
      </c>
      <c r="S58" s="1130">
        <f>R12/C12</f>
        <v>0</v>
      </c>
      <c r="T58" s="1130">
        <f>R13/C13</f>
        <v>0</v>
      </c>
      <c r="U58" s="1131">
        <f>SUM(M58:T58)</f>
        <v>0</v>
      </c>
      <c r="V58" s="1115">
        <f>L58+U58</f>
        <v>0</v>
      </c>
      <c r="W58" s="233"/>
    </row>
    <row r="59" spans="1:25" ht="18" customHeight="1">
      <c r="A59" s="185">
        <v>4</v>
      </c>
      <c r="B59" s="186" t="s">
        <v>341</v>
      </c>
      <c r="C59" s="158"/>
      <c r="D59" s="188">
        <f>IF(F6=0,0,D21/F6*100)</f>
        <v>0</v>
      </c>
      <c r="E59" s="188">
        <f>IF(F7=0,0,E21/F7*100)</f>
        <v>0</v>
      </c>
      <c r="F59" s="188">
        <f>IF(F8=0,0,F21/F8*100)</f>
        <v>0</v>
      </c>
      <c r="G59" s="188">
        <f>IF(F9=0,0,G21/F9*100)</f>
        <v>0</v>
      </c>
      <c r="H59" s="188">
        <f>IF(F10=0,0,H21/F10*100)</f>
        <v>0</v>
      </c>
      <c r="I59" s="188">
        <f>IF(F11=0,0,I21/F11*100)</f>
        <v>0</v>
      </c>
      <c r="J59" s="188">
        <f>IF(F12=0,0,J21/F12*100)</f>
        <v>0</v>
      </c>
      <c r="K59" s="188">
        <f>IF(F13=0,0,K21/F13*100)</f>
        <v>0</v>
      </c>
      <c r="L59" s="217">
        <f>IF(F14=0,0,L21/F14*100)</f>
        <v>0</v>
      </c>
      <c r="M59" s="188">
        <f>IF(O6=0,0,M21/O6*100)</f>
        <v>0</v>
      </c>
      <c r="N59" s="188">
        <f>IF(O7=0,0,N21/O7*100)</f>
        <v>0</v>
      </c>
      <c r="O59" s="188">
        <f>IF(O8=0,0,O21/O8*100)</f>
        <v>0</v>
      </c>
      <c r="P59" s="188">
        <f>IF(O9=0,0,P21/O9*100)</f>
        <v>0</v>
      </c>
      <c r="Q59" s="188">
        <f>IF(O10=0,0,Q21/O10*100)</f>
        <v>0</v>
      </c>
      <c r="R59" s="188">
        <f>IF(O11=0,0,R21/O11*100)</f>
        <v>0</v>
      </c>
      <c r="S59" s="188">
        <f>IF(O12=0,0,S21/O12*100)</f>
        <v>0</v>
      </c>
      <c r="T59" s="188">
        <f>IF(O13=0,0,T21/O13*100)</f>
        <v>0</v>
      </c>
      <c r="U59" s="251">
        <f>IF(O14=0,0,U21/O14*100)</f>
        <v>0</v>
      </c>
      <c r="V59" s="217">
        <f>IF((F14+O14)=0,0,V21/(F14+O14)*100)</f>
        <v>0</v>
      </c>
      <c r="W59" s="252"/>
    </row>
    <row r="60" spans="1:25" ht="18" customHeight="1">
      <c r="A60" s="1085">
        <v>5</v>
      </c>
      <c r="B60" s="1086" t="s">
        <v>342</v>
      </c>
      <c r="C60" s="1046"/>
      <c r="D60" s="1090">
        <f>IF(F6=0,0,D34/F6*100)</f>
        <v>0</v>
      </c>
      <c r="E60" s="1090">
        <f>IF(F7=0,0,E34/F7*100)</f>
        <v>0</v>
      </c>
      <c r="F60" s="1090">
        <f>IF(F8=0,0,F34/F8*100)</f>
        <v>0</v>
      </c>
      <c r="G60" s="1090">
        <f>IF(F9=0,0,G34/F9*100)</f>
        <v>0</v>
      </c>
      <c r="H60" s="1090">
        <f>IF(F10=0,0,H34/F10*100)</f>
        <v>0</v>
      </c>
      <c r="I60" s="1090">
        <f>IF(F11=0,0,I34/F11*100)</f>
        <v>0</v>
      </c>
      <c r="J60" s="1090">
        <f>IF(F12=0,0,J34/F12*100)</f>
        <v>0</v>
      </c>
      <c r="K60" s="1090">
        <f>IF(F13=0,0,K34/F13*100)</f>
        <v>0</v>
      </c>
      <c r="L60" s="1132">
        <f>IF(F14=0,0,L34/F14*100)</f>
        <v>0</v>
      </c>
      <c r="M60" s="1090">
        <f>IF(O6=0,0,M34/O6*100)</f>
        <v>0</v>
      </c>
      <c r="N60" s="1090">
        <f>IF(O7=0,0,N34/O7*100)</f>
        <v>0</v>
      </c>
      <c r="O60" s="1090">
        <f>IF(O8=0,0,O34/O8*100)</f>
        <v>0</v>
      </c>
      <c r="P60" s="1090">
        <f>IF(O9=0,0,P34/O9*100)</f>
        <v>0</v>
      </c>
      <c r="Q60" s="1090">
        <f>IF(O10=0,0,Q34/O10*100)</f>
        <v>0</v>
      </c>
      <c r="R60" s="1090">
        <f>IF(O11=0,0,R34/O11*100)</f>
        <v>0</v>
      </c>
      <c r="S60" s="1090">
        <f>IF(O12=0,0,S34/O12*100)</f>
        <v>0</v>
      </c>
      <c r="T60" s="1090">
        <f>IF(O13=0,0,T34/O13*100)</f>
        <v>0</v>
      </c>
      <c r="U60" s="1133">
        <f>IF(O14=0,0,U34/O14*100)</f>
        <v>0</v>
      </c>
      <c r="V60" s="1132">
        <f>IF((F14+O14)=0,0,V34/(F14+O14)*100)</f>
        <v>0</v>
      </c>
      <c r="W60" s="252"/>
      <c r="Y60" s="258">
        <f>SUM(V59:V62)</f>
        <v>0</v>
      </c>
    </row>
    <row r="61" spans="1:25" ht="18" customHeight="1">
      <c r="A61" s="1085">
        <v>6</v>
      </c>
      <c r="B61" s="1086" t="s">
        <v>343</v>
      </c>
      <c r="C61" s="1046"/>
      <c r="D61" s="1090">
        <f>IF(F6=0,0,D43/F6*100)</f>
        <v>0</v>
      </c>
      <c r="E61" s="1090">
        <f>IF(F7=0,0,E43/F7*100)</f>
        <v>0</v>
      </c>
      <c r="F61" s="1090">
        <f>IF(F8=0,0,F43/F8*100)</f>
        <v>0</v>
      </c>
      <c r="G61" s="1090">
        <f>IF(F9=0,0,G43/F9*100)</f>
        <v>0</v>
      </c>
      <c r="H61" s="1090">
        <f>IF(F10=0,0,H43/F10*100)</f>
        <v>0</v>
      </c>
      <c r="I61" s="1090">
        <f>IF(F11=0,0,I43/F11*100)</f>
        <v>0</v>
      </c>
      <c r="J61" s="1090">
        <f>IF(F12=0,0,J43/F12*100)</f>
        <v>0</v>
      </c>
      <c r="K61" s="1090">
        <f>IF(F13=0,0,K43/F13*100)</f>
        <v>0</v>
      </c>
      <c r="L61" s="1132">
        <f>IF(F14=0,0,L43/F14*100)</f>
        <v>0</v>
      </c>
      <c r="M61" s="1090">
        <f>IF(O6=0,0,M43/O6*100)</f>
        <v>0</v>
      </c>
      <c r="N61" s="1090">
        <f>IF(O7=0,0,N43/O7*100)</f>
        <v>0</v>
      </c>
      <c r="O61" s="1090">
        <f>IF(O8=0,0,O43/O8*100)</f>
        <v>0</v>
      </c>
      <c r="P61" s="1090">
        <f>IF(O9=0,0,P43/O9*100)</f>
        <v>0</v>
      </c>
      <c r="Q61" s="1090">
        <f>IF(O10=0,0,Q43/O10*100)</f>
        <v>0</v>
      </c>
      <c r="R61" s="1090">
        <f>IF(O11=0,0,R43/O11*100)</f>
        <v>0</v>
      </c>
      <c r="S61" s="1090">
        <f>IF(O12=0,0,S43/O12*100)</f>
        <v>0</v>
      </c>
      <c r="T61" s="1090">
        <f>IF(O13=0,0,T43/O13*100)</f>
        <v>0</v>
      </c>
      <c r="U61" s="1133">
        <f>IF(O14=0,0,U43/O14*100)</f>
        <v>0</v>
      </c>
      <c r="V61" s="1132">
        <f>IF((F14+O14)=0,0,V43/(F14+O14)*100)</f>
        <v>0</v>
      </c>
      <c r="W61" s="252"/>
    </row>
    <row r="62" spans="1:25" ht="18" customHeight="1" thickBot="1">
      <c r="A62" s="1031">
        <v>7</v>
      </c>
      <c r="B62" s="1092" t="s">
        <v>344</v>
      </c>
      <c r="C62" s="1056"/>
      <c r="D62" s="1093">
        <f>IF(F6=0,0,D56/F6*100)</f>
        <v>0</v>
      </c>
      <c r="E62" s="1093">
        <f>IF(F7=0,0,E56/F7*100)</f>
        <v>0</v>
      </c>
      <c r="F62" s="1093">
        <f>IF(F8=0,0,F56/F8*100)</f>
        <v>0</v>
      </c>
      <c r="G62" s="1093">
        <f>IF(F9=0,0,G56/F9*100)</f>
        <v>0</v>
      </c>
      <c r="H62" s="1093">
        <f>IF(F10=0,0,H56/F10*100)</f>
        <v>0</v>
      </c>
      <c r="I62" s="1093">
        <f>IF(F11=0,0,I56/F11*100)</f>
        <v>0</v>
      </c>
      <c r="J62" s="1093">
        <f>IF(F12=0,0,J56/F12*100)</f>
        <v>0</v>
      </c>
      <c r="K62" s="1093">
        <f>IF(F13=0,0,K56/F13*100)</f>
        <v>0</v>
      </c>
      <c r="L62" s="1134">
        <f>IF(F14=0,0,L56/F14*100)</f>
        <v>0</v>
      </c>
      <c r="M62" s="1095">
        <f>IF(O6=0,0,M56/O6*100)</f>
        <v>0</v>
      </c>
      <c r="N62" s="1095">
        <f>IF(O7=0,0,N56/O7*100)</f>
        <v>0</v>
      </c>
      <c r="O62" s="1095">
        <f>IF(O8=0,0,O56/O8*100)</f>
        <v>0</v>
      </c>
      <c r="P62" s="1095">
        <f>IF(O9=0,0,P56/O9*100)</f>
        <v>0</v>
      </c>
      <c r="Q62" s="1095">
        <f>IF(O10=0,0,Q56/O10*100)</f>
        <v>0</v>
      </c>
      <c r="R62" s="1095">
        <f>IF(O11=0,0,R56/O11*100)</f>
        <v>0</v>
      </c>
      <c r="S62" s="1095">
        <f>IF(O12=0,0,S56/O12*100)</f>
        <v>0</v>
      </c>
      <c r="T62" s="1095">
        <f>IF(O13=0,0,T56/O13*100)</f>
        <v>0</v>
      </c>
      <c r="U62" s="1093">
        <f>IF(O14=0,0,U56/O14*100)</f>
        <v>0</v>
      </c>
      <c r="V62" s="1134">
        <f>IF((F14+O14)=0,0,V56/(F14+O14)*100)</f>
        <v>0</v>
      </c>
      <c r="W62" s="252"/>
    </row>
    <row r="63" spans="1:25" ht="18" customHeight="1">
      <c r="A63" s="185">
        <v>8</v>
      </c>
      <c r="B63" s="186" t="s">
        <v>345</v>
      </c>
      <c r="C63" s="158"/>
      <c r="D63" s="188">
        <f>IF(D56=0,0,D57/D56*100)</f>
        <v>0</v>
      </c>
      <c r="E63" s="188">
        <f>IF(E56=0,0,E57/E56*100)</f>
        <v>0</v>
      </c>
      <c r="F63" s="188">
        <f t="shared" ref="F63:V63" si="19">IF(F56=0,0,F57/F56*100)</f>
        <v>0</v>
      </c>
      <c r="G63" s="188">
        <f t="shared" si="19"/>
        <v>0</v>
      </c>
      <c r="H63" s="188">
        <f t="shared" si="19"/>
        <v>0</v>
      </c>
      <c r="I63" s="188">
        <f t="shared" si="19"/>
        <v>0</v>
      </c>
      <c r="J63" s="188">
        <f t="shared" si="19"/>
        <v>0</v>
      </c>
      <c r="K63" s="188">
        <f t="shared" si="19"/>
        <v>0</v>
      </c>
      <c r="L63" s="217">
        <f t="shared" si="19"/>
        <v>0</v>
      </c>
      <c r="M63" s="188">
        <f t="shared" si="19"/>
        <v>0</v>
      </c>
      <c r="N63" s="188">
        <f t="shared" si="19"/>
        <v>0</v>
      </c>
      <c r="O63" s="188">
        <f t="shared" si="19"/>
        <v>0</v>
      </c>
      <c r="P63" s="188">
        <f t="shared" si="19"/>
        <v>0</v>
      </c>
      <c r="Q63" s="188">
        <f t="shared" si="19"/>
        <v>0</v>
      </c>
      <c r="R63" s="188">
        <f t="shared" si="19"/>
        <v>0</v>
      </c>
      <c r="S63" s="188">
        <f t="shared" si="19"/>
        <v>0</v>
      </c>
      <c r="T63" s="188">
        <f t="shared" si="19"/>
        <v>0</v>
      </c>
      <c r="U63" s="251">
        <f t="shared" si="19"/>
        <v>0</v>
      </c>
      <c r="V63" s="217">
        <f t="shared" si="19"/>
        <v>0</v>
      </c>
      <c r="W63" s="252"/>
    </row>
    <row r="64" spans="1:25" ht="18" customHeight="1">
      <c r="A64" s="1085">
        <v>9</v>
      </c>
      <c r="B64" s="1086" t="s">
        <v>346</v>
      </c>
      <c r="C64" s="1046"/>
      <c r="D64" s="1090">
        <f t="shared" ref="D64:V64" si="20">IF(D56=0,0,D26/D56*100)</f>
        <v>0</v>
      </c>
      <c r="E64" s="1090">
        <f t="shared" si="20"/>
        <v>0</v>
      </c>
      <c r="F64" s="1090">
        <f t="shared" si="20"/>
        <v>0</v>
      </c>
      <c r="G64" s="1090">
        <f t="shared" si="20"/>
        <v>0</v>
      </c>
      <c r="H64" s="1090">
        <f t="shared" si="20"/>
        <v>0</v>
      </c>
      <c r="I64" s="1090">
        <f t="shared" si="20"/>
        <v>0</v>
      </c>
      <c r="J64" s="1090">
        <f t="shared" si="20"/>
        <v>0</v>
      </c>
      <c r="K64" s="1090">
        <f t="shared" si="20"/>
        <v>0</v>
      </c>
      <c r="L64" s="1132">
        <f t="shared" si="20"/>
        <v>0</v>
      </c>
      <c r="M64" s="1090">
        <f t="shared" si="20"/>
        <v>0</v>
      </c>
      <c r="N64" s="1090">
        <f t="shared" si="20"/>
        <v>0</v>
      </c>
      <c r="O64" s="1090">
        <f t="shared" si="20"/>
        <v>0</v>
      </c>
      <c r="P64" s="1090">
        <f t="shared" si="20"/>
        <v>0</v>
      </c>
      <c r="Q64" s="1090">
        <f t="shared" si="20"/>
        <v>0</v>
      </c>
      <c r="R64" s="1090">
        <f t="shared" si="20"/>
        <v>0</v>
      </c>
      <c r="S64" s="1090">
        <f t="shared" si="20"/>
        <v>0</v>
      </c>
      <c r="T64" s="1090">
        <f t="shared" si="20"/>
        <v>0</v>
      </c>
      <c r="U64" s="1133">
        <f t="shared" si="20"/>
        <v>0</v>
      </c>
      <c r="V64" s="1132">
        <f t="shared" si="20"/>
        <v>0</v>
      </c>
      <c r="W64" s="252"/>
      <c r="Y64" s="258">
        <f>SUM(V63:V65)</f>
        <v>0</v>
      </c>
    </row>
    <row r="65" spans="1:23" ht="18" customHeight="1" thickBot="1">
      <c r="A65" s="1031">
        <v>10</v>
      </c>
      <c r="B65" s="1092" t="s">
        <v>347</v>
      </c>
      <c r="C65" s="1056"/>
      <c r="D65" s="1095">
        <f t="shared" ref="D65:V65" si="21">IF(D56=0,0,D58/D56*100)</f>
        <v>0</v>
      </c>
      <c r="E65" s="1095">
        <f t="shared" si="21"/>
        <v>0</v>
      </c>
      <c r="F65" s="1095">
        <f t="shared" si="21"/>
        <v>0</v>
      </c>
      <c r="G65" s="1095">
        <f t="shared" si="21"/>
        <v>0</v>
      </c>
      <c r="H65" s="1095">
        <f t="shared" si="21"/>
        <v>0</v>
      </c>
      <c r="I65" s="1095">
        <f t="shared" si="21"/>
        <v>0</v>
      </c>
      <c r="J65" s="1095">
        <f t="shared" si="21"/>
        <v>0</v>
      </c>
      <c r="K65" s="1095">
        <f t="shared" si="21"/>
        <v>0</v>
      </c>
      <c r="L65" s="1134">
        <f t="shared" si="21"/>
        <v>0</v>
      </c>
      <c r="M65" s="1095">
        <f t="shared" si="21"/>
        <v>0</v>
      </c>
      <c r="N65" s="1095">
        <f t="shared" si="21"/>
        <v>0</v>
      </c>
      <c r="O65" s="1095">
        <f t="shared" si="21"/>
        <v>0</v>
      </c>
      <c r="P65" s="1095">
        <f t="shared" si="21"/>
        <v>0</v>
      </c>
      <c r="Q65" s="1095">
        <f t="shared" si="21"/>
        <v>0</v>
      </c>
      <c r="R65" s="1095">
        <f t="shared" si="21"/>
        <v>0</v>
      </c>
      <c r="S65" s="1095">
        <f t="shared" si="21"/>
        <v>0</v>
      </c>
      <c r="T65" s="1095">
        <f t="shared" si="21"/>
        <v>0</v>
      </c>
      <c r="U65" s="1093">
        <f t="shared" si="21"/>
        <v>0</v>
      </c>
      <c r="V65" s="1134">
        <f t="shared" si="21"/>
        <v>0</v>
      </c>
      <c r="W65" s="252"/>
    </row>
    <row r="66" spans="1:23" ht="18" customHeight="1" thickBot="1">
      <c r="A66" s="183">
        <v>11</v>
      </c>
      <c r="B66" s="189" t="s">
        <v>254</v>
      </c>
      <c r="C66" s="155"/>
      <c r="D66" s="190">
        <f>IF(E76=0,0,D76/E76*100)</f>
        <v>0</v>
      </c>
      <c r="E66" s="190">
        <f>IF(E76=0,0,D76/E76*100)</f>
        <v>0</v>
      </c>
      <c r="F66" s="190">
        <f>IF(E76=0,0,D76/E76*100)</f>
        <v>0</v>
      </c>
      <c r="G66" s="190">
        <f>IF(E76=0,0,D76/E76*100)</f>
        <v>0</v>
      </c>
      <c r="H66" s="190">
        <f>IF(E76=0,0,D76/E76*100)</f>
        <v>0</v>
      </c>
      <c r="I66" s="190">
        <f>IF(E76=0,0,D76/E76*100)</f>
        <v>0</v>
      </c>
      <c r="J66" s="190">
        <f>IF(E76=0,0,D76/E76*100)</f>
        <v>0</v>
      </c>
      <c r="K66" s="190">
        <f>IF(E76=0,0,D76/E76*100)</f>
        <v>0</v>
      </c>
      <c r="L66" s="218">
        <f>IF(E76=0,0,D76/E76*100)</f>
        <v>0</v>
      </c>
      <c r="M66" s="219">
        <f>IF(N76=0,0,M76/N76*100)</f>
        <v>0</v>
      </c>
      <c r="N66" s="219">
        <f>IF(N76=0,0,M76/N76*100)</f>
        <v>0</v>
      </c>
      <c r="O66" s="219">
        <f>IF(N76=0,0,M76/N76*100)</f>
        <v>0</v>
      </c>
      <c r="P66" s="219">
        <f>IF(N76=0,0,M76/N76*100)</f>
        <v>0</v>
      </c>
      <c r="Q66" s="219">
        <f>IF(N76=0,0,M76/N76*100)</f>
        <v>0</v>
      </c>
      <c r="R66" s="219">
        <f>IF(N76=0,0,M76/N76*100)</f>
        <v>0</v>
      </c>
      <c r="S66" s="219">
        <f>IF(N76=0,0,M76/N76*100)</f>
        <v>0</v>
      </c>
      <c r="T66" s="219">
        <f>IF(N76=0,0,M76/N76*100)</f>
        <v>0</v>
      </c>
      <c r="U66" s="190">
        <f>IF(N76=0,0,M76/N76*100)</f>
        <v>0</v>
      </c>
      <c r="V66" s="218">
        <f>IF(N80=0,0,M80/N80*100)</f>
        <v>0</v>
      </c>
      <c r="W66" s="252"/>
    </row>
    <row r="67" spans="1:23" ht="18" customHeight="1" thickBot="1">
      <c r="A67" s="183">
        <v>12</v>
      </c>
      <c r="B67" s="189" t="s">
        <v>348</v>
      </c>
      <c r="C67" s="155"/>
      <c r="D67" s="190">
        <f t="shared" ref="D67:T67" si="22">(D62*D65*D66)/10000</f>
        <v>0</v>
      </c>
      <c r="E67" s="190">
        <f t="shared" si="22"/>
        <v>0</v>
      </c>
      <c r="F67" s="190">
        <f t="shared" si="22"/>
        <v>0</v>
      </c>
      <c r="G67" s="190">
        <f t="shared" si="22"/>
        <v>0</v>
      </c>
      <c r="H67" s="190">
        <f t="shared" si="22"/>
        <v>0</v>
      </c>
      <c r="I67" s="190">
        <f t="shared" si="22"/>
        <v>0</v>
      </c>
      <c r="J67" s="190">
        <f t="shared" si="22"/>
        <v>0</v>
      </c>
      <c r="K67" s="190">
        <f t="shared" si="22"/>
        <v>0</v>
      </c>
      <c r="L67" s="190">
        <f t="shared" si="22"/>
        <v>0</v>
      </c>
      <c r="M67" s="219">
        <f t="shared" si="22"/>
        <v>0</v>
      </c>
      <c r="N67" s="219">
        <f t="shared" si="22"/>
        <v>0</v>
      </c>
      <c r="O67" s="219">
        <f t="shared" si="22"/>
        <v>0</v>
      </c>
      <c r="P67" s="219">
        <f t="shared" si="22"/>
        <v>0</v>
      </c>
      <c r="Q67" s="219">
        <f t="shared" si="22"/>
        <v>0</v>
      </c>
      <c r="R67" s="219">
        <f t="shared" si="22"/>
        <v>0</v>
      </c>
      <c r="S67" s="219">
        <f t="shared" si="22"/>
        <v>0</v>
      </c>
      <c r="T67" s="219">
        <f t="shared" si="22"/>
        <v>0</v>
      </c>
      <c r="U67" s="190">
        <f>IF(10000=0,0,(U62*U65*U66)/10000)</f>
        <v>0</v>
      </c>
      <c r="V67" s="218">
        <f>IF(10000=0,0,(V62*V65*V66)/10000)</f>
        <v>0</v>
      </c>
      <c r="W67" s="252"/>
    </row>
    <row r="68" spans="1:23" ht="12.75" customHeight="1">
      <c r="A68" s="259"/>
      <c r="B68" s="259"/>
      <c r="C68" s="259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84"/>
    </row>
    <row r="69" spans="1:23" ht="18" customHeight="1">
      <c r="A69" s="1352" t="s">
        <v>349</v>
      </c>
      <c r="B69" s="1352"/>
      <c r="C69" s="261" t="s">
        <v>350</v>
      </c>
      <c r="D69" s="260"/>
      <c r="E69" s="260"/>
      <c r="F69" s="260"/>
      <c r="G69" s="262" t="s">
        <v>263</v>
      </c>
      <c r="H69" s="262"/>
      <c r="I69" s="262"/>
      <c r="J69" s="262"/>
      <c r="K69" s="260"/>
      <c r="L69" s="260"/>
      <c r="M69" s="260"/>
      <c r="N69" s="262"/>
      <c r="O69" s="260"/>
      <c r="P69" s="262" t="s">
        <v>351</v>
      </c>
      <c r="Q69" s="262"/>
      <c r="R69" s="262"/>
      <c r="S69" s="262"/>
      <c r="T69" s="260"/>
      <c r="U69" s="260"/>
      <c r="V69" s="260"/>
      <c r="W69" s="284"/>
    </row>
    <row r="70" spans="1:23" ht="3.75" customHeight="1">
      <c r="D70" s="263"/>
      <c r="E70" s="263"/>
      <c r="G70" s="263"/>
      <c r="H70" s="263"/>
      <c r="I70" s="263"/>
      <c r="J70" s="263"/>
      <c r="K70" s="263"/>
      <c r="L70" s="263"/>
      <c r="M70" s="262"/>
      <c r="N70" s="263"/>
      <c r="O70" s="263"/>
      <c r="P70" s="280"/>
      <c r="Q70" s="280"/>
      <c r="R70" s="280"/>
      <c r="S70" s="280"/>
      <c r="T70" s="280"/>
      <c r="U70" s="260"/>
      <c r="V70" s="260"/>
      <c r="W70" s="284"/>
    </row>
    <row r="71" spans="1:23" ht="16.5" customHeight="1">
      <c r="B71" s="261"/>
      <c r="C71" s="261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0"/>
      <c r="V71" s="260"/>
      <c r="W71" s="284"/>
    </row>
    <row r="72" spans="1:23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A73" s="259"/>
      <c r="B73" s="259"/>
      <c r="C73" s="259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84"/>
    </row>
    <row r="74" spans="1:23">
      <c r="A74" s="259"/>
      <c r="B74" s="259"/>
      <c r="C74" s="259"/>
      <c r="D74" s="1096"/>
      <c r="E74" s="260"/>
      <c r="F74" s="260"/>
      <c r="G74" s="260"/>
      <c r="H74" s="260"/>
      <c r="I74" s="260"/>
      <c r="J74" s="260"/>
      <c r="K74" s="260"/>
      <c r="L74" s="260"/>
      <c r="M74" s="1096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B75" s="259"/>
      <c r="C75" s="1097"/>
      <c r="D75" s="1098" t="s">
        <v>51</v>
      </c>
      <c r="E75" s="1098" t="s">
        <v>50</v>
      </c>
      <c r="F75" s="260"/>
      <c r="G75" s="260"/>
      <c r="H75" s="260"/>
      <c r="I75" s="260"/>
      <c r="J75" s="260"/>
      <c r="K75" s="260"/>
      <c r="M75" s="1098" t="s">
        <v>51</v>
      </c>
      <c r="N75" s="1098" t="s">
        <v>50</v>
      </c>
      <c r="O75" s="260"/>
      <c r="P75" s="260"/>
      <c r="Q75" s="260"/>
      <c r="R75" s="260"/>
      <c r="S75" s="260"/>
      <c r="T75" s="260"/>
      <c r="U75" s="260"/>
    </row>
    <row r="76" spans="1:23">
      <c r="A76" s="259"/>
      <c r="B76" s="259"/>
      <c r="C76" s="259"/>
      <c r="D76" s="1099"/>
      <c r="E76" s="1099"/>
      <c r="F76" s="264" t="e">
        <f>8/E76</f>
        <v>#DIV/0!</v>
      </c>
      <c r="G76" s="260"/>
      <c r="H76" s="260"/>
      <c r="I76" s="260"/>
      <c r="J76" s="260"/>
      <c r="K76" s="260"/>
      <c r="L76" s="260"/>
      <c r="M76" s="1099"/>
      <c r="N76" s="1099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912"/>
      <c r="E77" s="265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5"/>
      <c r="E78" s="265"/>
      <c r="F78" s="260"/>
      <c r="G78" s="260"/>
      <c r="H78" s="260"/>
      <c r="I78" s="260"/>
      <c r="J78" s="260"/>
      <c r="K78" s="260"/>
      <c r="L78" s="260"/>
      <c r="M78" s="1096" t="s">
        <v>368</v>
      </c>
      <c r="N78" s="260"/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1098"/>
      <c r="N79" s="1098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1135">
        <f>D76+M76</f>
        <v>0</v>
      </c>
      <c r="N80" s="1135">
        <f>E76+N76</f>
        <v>0</v>
      </c>
      <c r="O80" s="281" t="e">
        <f>M80/N80</f>
        <v>#DIV/0!</v>
      </c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 ht="28" thickBot="1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 ht="28" thickBot="1">
      <c r="A83" s="266" t="s">
        <v>353</v>
      </c>
      <c r="B83" s="267"/>
      <c r="C83" s="268"/>
      <c r="D83" s="269"/>
      <c r="E83" s="270" t="s">
        <v>354</v>
      </c>
      <c r="F83" s="270"/>
      <c r="G83" s="270"/>
      <c r="H83" s="270"/>
      <c r="I83" s="270"/>
      <c r="J83" s="270"/>
      <c r="K83" s="270"/>
      <c r="L83" s="282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71">
        <v>1</v>
      </c>
      <c r="B84" s="272" t="s">
        <v>223</v>
      </c>
      <c r="C84" s="273"/>
      <c r="D84" s="274"/>
      <c r="E84" s="275" t="s">
        <v>355</v>
      </c>
      <c r="F84" s="275"/>
      <c r="G84" s="275"/>
      <c r="H84" s="275"/>
      <c r="I84" s="275"/>
      <c r="J84" s="275"/>
      <c r="K84" s="275"/>
      <c r="L84" s="28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2</v>
      </c>
      <c r="B85" s="1101" t="s">
        <v>339</v>
      </c>
      <c r="C85" s="1102"/>
      <c r="D85" s="1103"/>
      <c r="E85" s="1104" t="s">
        <v>227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3</v>
      </c>
      <c r="B86" s="1101" t="s">
        <v>340</v>
      </c>
      <c r="C86" s="1102"/>
      <c r="D86" s="1103"/>
      <c r="E86" s="1104" t="s">
        <v>230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4</v>
      </c>
      <c r="B87" s="1101" t="s">
        <v>356</v>
      </c>
      <c r="C87" s="1102"/>
      <c r="D87" s="1103"/>
      <c r="E87" s="1104" t="s">
        <v>357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5</v>
      </c>
      <c r="B88" s="1101" t="s">
        <v>358</v>
      </c>
      <c r="C88" s="1102"/>
      <c r="D88" s="1103"/>
      <c r="E88" s="1104" t="s">
        <v>359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6</v>
      </c>
      <c r="B89" s="1101" t="s">
        <v>360</v>
      </c>
      <c r="C89" s="1102"/>
      <c r="D89" s="1103"/>
      <c r="E89" s="1104" t="s">
        <v>236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7</v>
      </c>
      <c r="B90" s="1101" t="s">
        <v>344</v>
      </c>
      <c r="C90" s="1102"/>
      <c r="D90" s="1103"/>
      <c r="E90" s="1104" t="s">
        <v>240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8</v>
      </c>
      <c r="B91" s="1101" t="s">
        <v>361</v>
      </c>
      <c r="C91" s="1102"/>
      <c r="D91" s="1103"/>
      <c r="E91" s="1104" t="s">
        <v>243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9</v>
      </c>
      <c r="B92" s="1101" t="s">
        <v>362</v>
      </c>
      <c r="C92" s="1102"/>
      <c r="D92" s="1103"/>
      <c r="E92" s="1104" t="s">
        <v>246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10</v>
      </c>
      <c r="B93" s="1101" t="s">
        <v>347</v>
      </c>
      <c r="C93" s="1102"/>
      <c r="D93" s="1103"/>
      <c r="E93" s="1104" t="s">
        <v>363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11</v>
      </c>
      <c r="B94" s="1105" t="s">
        <v>254</v>
      </c>
      <c r="C94" s="1102"/>
      <c r="D94" s="1103"/>
      <c r="E94" s="1104" t="s">
        <v>364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 ht="28" thickBot="1">
      <c r="A95" s="1106">
        <v>12</v>
      </c>
      <c r="B95" s="1107" t="s">
        <v>348</v>
      </c>
      <c r="C95" s="276"/>
      <c r="D95" s="277"/>
      <c r="E95" s="1108" t="s">
        <v>365</v>
      </c>
      <c r="F95" s="1108"/>
      <c r="G95" s="1108"/>
      <c r="H95" s="1108"/>
      <c r="I95" s="1108"/>
      <c r="J95" s="1108"/>
      <c r="K95" s="1108"/>
      <c r="L95" s="1109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34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34" s="134" customFormat="1">
      <c r="D111" s="278"/>
      <c r="E111" s="278"/>
      <c r="F111" s="278"/>
      <c r="G111" s="279"/>
      <c r="H111" s="279"/>
      <c r="I111" s="279"/>
      <c r="J111" s="279"/>
      <c r="K111" s="279"/>
      <c r="L111" s="278"/>
      <c r="M111" s="278"/>
      <c r="N111" s="278"/>
      <c r="O111" s="278"/>
      <c r="P111" s="279"/>
      <c r="Q111" s="279"/>
      <c r="R111" s="279"/>
      <c r="S111" s="279"/>
      <c r="T111" s="279"/>
      <c r="U111" s="279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34" s="134" customFormat="1"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 s="134" customFormat="1"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</sheetData>
  <mergeCells count="83">
    <mergeCell ref="D54:J54"/>
    <mergeCell ref="A69:B69"/>
    <mergeCell ref="T14:U14"/>
    <mergeCell ref="D52:J52"/>
    <mergeCell ref="D53:J53"/>
    <mergeCell ref="N53:V53"/>
    <mergeCell ref="D45:J45"/>
    <mergeCell ref="N45:V45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8234-2B12-4215-ACC3-B3F967069A37}">
  <sheetPr codeName="Sheet42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61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1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2">P7-R7</f>
        <v>0</v>
      </c>
      <c r="U7" s="1399"/>
      <c r="V7" s="224">
        <f t="shared" si="1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2"/>
        <v>0</v>
      </c>
      <c r="U8" s="1399"/>
      <c r="V8" s="224">
        <f t="shared" si="1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2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2"/>
        <v>0</v>
      </c>
      <c r="U10" s="1399"/>
      <c r="V10" s="224">
        <f t="shared" si="1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2"/>
        <v>0</v>
      </c>
      <c r="U12" s="1399"/>
      <c r="V12" s="224">
        <f t="shared" si="1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7+10+12+12+20</f>
        <v>61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61</v>
      </c>
      <c r="V25" s="1112">
        <f>L25+U25</f>
        <v>61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61</v>
      </c>
      <c r="S26" s="211">
        <f t="shared" si="8"/>
        <v>0</v>
      </c>
      <c r="T26" s="211">
        <f t="shared" si="8"/>
        <v>0</v>
      </c>
      <c r="U26" s="240">
        <f>SUM(M26:T26)</f>
        <v>61</v>
      </c>
      <c r="V26" s="210">
        <f>L26+U26</f>
        <v>61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8"/>
      <c r="M45" s="1068"/>
      <c r="N45" s="1067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71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123"/>
      <c r="D50" s="1077"/>
      <c r="E50" s="1063"/>
      <c r="F50" s="1063"/>
      <c r="G50" s="1063"/>
      <c r="H50" s="1063"/>
      <c r="I50" s="1063"/>
      <c r="J50" s="1063"/>
      <c r="K50" s="1071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A358-044A-40CD-A882-707A7CB4D55C}">
  <sheetPr codeName="Sheet19">
    <tabColor rgb="FFFFFF00"/>
    <pageSetUpPr fitToPage="1"/>
  </sheetPr>
  <dimension ref="A1:IV123"/>
  <sheetViews>
    <sheetView showGridLines="0" topLeftCell="A16" zoomScale="87" zoomScaleNormal="87" zoomScaleSheetLayoutView="70" workbookViewId="0">
      <selection activeCell="K13" sqref="K13:L13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244583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639.00000000000023</v>
      </c>
      <c r="AB4" s="256">
        <f>L55</f>
        <v>508.00000000000023</v>
      </c>
      <c r="AC4" s="256">
        <f>L56</f>
        <v>21.666666666666664</v>
      </c>
      <c r="AD4" s="256">
        <f>L57</f>
        <v>330.33333333333331</v>
      </c>
      <c r="AE4" s="256">
        <f>L21</f>
        <v>15</v>
      </c>
      <c r="AF4" s="256">
        <f>L26</f>
        <v>156.0000000000002</v>
      </c>
      <c r="AG4" s="256">
        <f>L28</f>
        <v>38</v>
      </c>
      <c r="AH4" s="256">
        <f>L43</f>
        <v>78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5400</v>
      </c>
      <c r="AB5" s="256">
        <f>U55</f>
        <v>4989</v>
      </c>
      <c r="AC5" s="256">
        <f>U56</f>
        <v>540.66666666666674</v>
      </c>
      <c r="AD5" s="256">
        <f>U57</f>
        <v>3668</v>
      </c>
      <c r="AE5" s="256">
        <f>U21</f>
        <v>322</v>
      </c>
      <c r="AF5" s="256">
        <f>U26</f>
        <v>780.33333333333348</v>
      </c>
      <c r="AG5" s="256">
        <f>U28</f>
        <v>89</v>
      </c>
      <c r="AH5" s="256">
        <f>U43</f>
        <v>0</v>
      </c>
    </row>
    <row r="6" spans="1:256" ht="18.75" customHeight="1">
      <c r="A6" s="142" t="s">
        <v>291</v>
      </c>
      <c r="B6" s="910" t="s">
        <v>650</v>
      </c>
      <c r="C6" s="144">
        <v>3</v>
      </c>
      <c r="D6" s="145">
        <v>0.33333333333333331</v>
      </c>
      <c r="E6" s="145">
        <v>0.41666666666666669</v>
      </c>
      <c r="F6" s="146">
        <f t="shared" ref="F6:F7" si="0">(E6-D6+(E6&lt;D6))*1440</f>
        <v>120.00000000000006</v>
      </c>
      <c r="G6" s="1365">
        <f>149-32</f>
        <v>117</v>
      </c>
      <c r="H6" s="1365"/>
      <c r="I6" s="1405">
        <v>110</v>
      </c>
      <c r="J6" s="1406"/>
      <c r="K6" s="1370">
        <f t="shared" ref="K6:K13" si="1">G6-I6</f>
        <v>7</v>
      </c>
      <c r="L6" s="1407"/>
      <c r="M6" s="145">
        <v>0.4375</v>
      </c>
      <c r="N6" s="145">
        <v>6.25E-2</v>
      </c>
      <c r="O6" s="146">
        <f t="shared" ref="O6:O12" si="2">(N6-M6+(N6&lt;M6))*1440</f>
        <v>900</v>
      </c>
      <c r="P6" s="1408">
        <f>800+983</f>
        <v>1783</v>
      </c>
      <c r="Q6" s="1408"/>
      <c r="R6" s="1409">
        <v>1500</v>
      </c>
      <c r="S6" s="1408"/>
      <c r="T6" s="1421">
        <f>P6-R6</f>
        <v>283</v>
      </c>
      <c r="U6" s="1421"/>
      <c r="V6" s="224">
        <f t="shared" ref="V6:V13" si="3">F6+O6</f>
        <v>1020</v>
      </c>
      <c r="W6" s="909"/>
      <c r="IV6" s="135">
        <v>0</v>
      </c>
    </row>
    <row r="7" spans="1:256" ht="18.75" customHeight="1">
      <c r="A7" s="142" t="s">
        <v>292</v>
      </c>
      <c r="B7" s="910" t="s">
        <v>623</v>
      </c>
      <c r="C7" s="144">
        <v>3</v>
      </c>
      <c r="D7" s="145">
        <v>0.33611111111111108</v>
      </c>
      <c r="E7" s="145">
        <v>0.41666666666666669</v>
      </c>
      <c r="F7" s="146">
        <f t="shared" si="0"/>
        <v>116.00000000000007</v>
      </c>
      <c r="G7" s="1403">
        <f>172-32</f>
        <v>140</v>
      </c>
      <c r="H7" s="1404"/>
      <c r="I7" s="1403">
        <v>131</v>
      </c>
      <c r="J7" s="1404"/>
      <c r="K7" s="1368">
        <f t="shared" si="1"/>
        <v>9</v>
      </c>
      <c r="L7" s="1397"/>
      <c r="M7" s="145">
        <v>0.4375</v>
      </c>
      <c r="N7" s="145">
        <v>6.25E-2</v>
      </c>
      <c r="O7" s="146">
        <f t="shared" si="2"/>
        <v>900</v>
      </c>
      <c r="P7" s="1398">
        <f>857+776</f>
        <v>1633</v>
      </c>
      <c r="Q7" s="1398"/>
      <c r="R7" s="1398">
        <v>1360</v>
      </c>
      <c r="S7" s="1398"/>
      <c r="T7" s="1399">
        <f t="shared" ref="T7:T13" si="4">P7-R7</f>
        <v>273</v>
      </c>
      <c r="U7" s="1399"/>
      <c r="V7" s="224">
        <f t="shared" si="3"/>
        <v>1016.0000000000001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1"/>
        <v>0</v>
      </c>
      <c r="L8" s="1397"/>
      <c r="M8" s="145"/>
      <c r="N8" s="145"/>
      <c r="O8" s="146"/>
      <c r="P8" s="1398"/>
      <c r="Q8" s="1398"/>
      <c r="R8" s="1398"/>
      <c r="S8" s="1398"/>
      <c r="T8" s="1399">
        <f t="shared" si="4"/>
        <v>0</v>
      </c>
      <c r="U8" s="1399"/>
      <c r="V8" s="224">
        <f t="shared" si="3"/>
        <v>0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0.33819444444444446</v>
      </c>
      <c r="E9" s="145">
        <v>0.41666666666666669</v>
      </c>
      <c r="F9" s="146">
        <f t="shared" ref="F9:F10" si="5">(E9-D9+(E9&lt;D9))*1440</f>
        <v>113</v>
      </c>
      <c r="G9" s="1403">
        <f>260-32</f>
        <v>228</v>
      </c>
      <c r="H9" s="1404"/>
      <c r="I9" s="1403">
        <v>214</v>
      </c>
      <c r="J9" s="1404"/>
      <c r="K9" s="1368">
        <f t="shared" si="1"/>
        <v>14</v>
      </c>
      <c r="L9" s="1397"/>
      <c r="M9" s="145">
        <v>0.4375</v>
      </c>
      <c r="N9" s="145">
        <v>6.25E-2</v>
      </c>
      <c r="O9" s="146">
        <f t="shared" si="2"/>
        <v>900</v>
      </c>
      <c r="P9" s="1398">
        <f>1267+1210</f>
        <v>2477</v>
      </c>
      <c r="Q9" s="1398"/>
      <c r="R9" s="1398">
        <v>2210</v>
      </c>
      <c r="S9" s="1398"/>
      <c r="T9" s="1399">
        <f t="shared" si="4"/>
        <v>267</v>
      </c>
      <c r="U9" s="1399"/>
      <c r="V9" s="224">
        <f t="shared" si="3"/>
        <v>1013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0.34027777777777773</v>
      </c>
      <c r="E10" s="145">
        <v>0.41666666666666669</v>
      </c>
      <c r="F10" s="146">
        <f t="shared" si="5"/>
        <v>110.00000000000009</v>
      </c>
      <c r="G10" s="1403">
        <f>246-32</f>
        <v>214</v>
      </c>
      <c r="H10" s="1404"/>
      <c r="I10" s="1396">
        <v>201</v>
      </c>
      <c r="J10" s="1396"/>
      <c r="K10" s="1368">
        <f t="shared" si="1"/>
        <v>13</v>
      </c>
      <c r="L10" s="1397"/>
      <c r="M10" s="145">
        <v>0.4375</v>
      </c>
      <c r="N10" s="145">
        <v>6.25E-2</v>
      </c>
      <c r="O10" s="146">
        <f t="shared" si="2"/>
        <v>900</v>
      </c>
      <c r="P10" s="1398">
        <f>1301+1100</f>
        <v>2401</v>
      </c>
      <c r="Q10" s="1398"/>
      <c r="R10" s="1398">
        <v>2150</v>
      </c>
      <c r="S10" s="1398"/>
      <c r="T10" s="1399">
        <f t="shared" si="4"/>
        <v>251</v>
      </c>
      <c r="U10" s="1399"/>
      <c r="V10" s="224">
        <f t="shared" si="3"/>
        <v>1010.0000000000001</v>
      </c>
      <c r="W10" s="909"/>
    </row>
    <row r="11" spans="1:256" ht="18.75" customHeight="1">
      <c r="A11" s="142" t="s">
        <v>296</v>
      </c>
      <c r="B11" s="910" t="s">
        <v>649</v>
      </c>
      <c r="C11" s="144">
        <v>3</v>
      </c>
      <c r="D11" s="145">
        <v>0.35416666666666669</v>
      </c>
      <c r="E11" s="145">
        <v>0.41666666666666669</v>
      </c>
      <c r="F11" s="146">
        <f t="shared" ref="F11:F12" si="6">(E11-D11+(E11&lt;D11))*1440</f>
        <v>90</v>
      </c>
      <c r="G11" s="1396">
        <f>106-32</f>
        <v>74</v>
      </c>
      <c r="H11" s="1396"/>
      <c r="I11" s="1396">
        <v>69</v>
      </c>
      <c r="J11" s="1396"/>
      <c r="K11" s="1368">
        <f t="shared" si="1"/>
        <v>5</v>
      </c>
      <c r="L11" s="1397"/>
      <c r="M11" s="145">
        <v>0.4375</v>
      </c>
      <c r="N11" s="145">
        <v>6.25E-2</v>
      </c>
      <c r="O11" s="146">
        <f t="shared" si="2"/>
        <v>900</v>
      </c>
      <c r="P11" s="1398">
        <f>983+810</f>
        <v>1793</v>
      </c>
      <c r="Q11" s="1398"/>
      <c r="R11" s="1398">
        <v>1500</v>
      </c>
      <c r="S11" s="1398"/>
      <c r="T11" s="1399">
        <f t="shared" si="4"/>
        <v>293</v>
      </c>
      <c r="U11" s="1399"/>
      <c r="V11" s="224">
        <f t="shared" si="3"/>
        <v>990</v>
      </c>
      <c r="W11" s="909"/>
    </row>
    <row r="12" spans="1:256" ht="18.75" customHeight="1">
      <c r="A12" s="142" t="s">
        <v>297</v>
      </c>
      <c r="B12" s="910" t="s">
        <v>725</v>
      </c>
      <c r="C12" s="144">
        <v>3</v>
      </c>
      <c r="D12" s="145">
        <v>0.35416666666666669</v>
      </c>
      <c r="E12" s="145">
        <v>0.41666666666666669</v>
      </c>
      <c r="F12" s="146">
        <f t="shared" si="6"/>
        <v>90</v>
      </c>
      <c r="G12" s="1396">
        <f>315-32</f>
        <v>283</v>
      </c>
      <c r="H12" s="1396"/>
      <c r="I12" s="1396">
        <v>266</v>
      </c>
      <c r="J12" s="1396"/>
      <c r="K12" s="1368">
        <f t="shared" si="1"/>
        <v>17</v>
      </c>
      <c r="L12" s="1397"/>
      <c r="M12" s="145">
        <v>0.4375</v>
      </c>
      <c r="N12" s="145">
        <v>6.25E-2</v>
      </c>
      <c r="O12" s="146">
        <f t="shared" si="2"/>
        <v>900</v>
      </c>
      <c r="P12" s="1398">
        <f>1419+1120</f>
        <v>2539</v>
      </c>
      <c r="Q12" s="1398"/>
      <c r="R12" s="1398">
        <v>2284</v>
      </c>
      <c r="S12" s="1398"/>
      <c r="T12" s="1399">
        <f t="shared" si="4"/>
        <v>255</v>
      </c>
      <c r="U12" s="1399"/>
      <c r="V12" s="224">
        <f t="shared" si="3"/>
        <v>990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1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4"/>
        <v>0</v>
      </c>
      <c r="U13" s="1395"/>
      <c r="V13" s="227">
        <f t="shared" si="3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0.34270833333333334</v>
      </c>
      <c r="E14" s="152">
        <f>AVERAGE(E6:E13)</f>
        <v>0.41666666666666669</v>
      </c>
      <c r="F14" s="153">
        <f>SUM(F6:F13)</f>
        <v>639.00000000000023</v>
      </c>
      <c r="G14" s="1362">
        <f>SUM(G6:H13)</f>
        <v>1056</v>
      </c>
      <c r="H14" s="1363"/>
      <c r="I14" s="1362">
        <f>SUM(I6:I13)</f>
        <v>991</v>
      </c>
      <c r="J14" s="1363"/>
      <c r="K14" s="1362">
        <f>SUM(K6:K13)</f>
        <v>65</v>
      </c>
      <c r="L14" s="1394"/>
      <c r="M14" s="198">
        <f>AVERAGE(M6:M13)</f>
        <v>0.4375</v>
      </c>
      <c r="N14" s="199">
        <f>AVERAGE(N6:N13)</f>
        <v>6.25E-2</v>
      </c>
      <c r="O14" s="200">
        <f>SUM(O6:O13)</f>
        <v>5400</v>
      </c>
      <c r="P14" s="1392">
        <f>SUM(P6:P13)</f>
        <v>12626</v>
      </c>
      <c r="Q14" s="1393"/>
      <c r="R14" s="1392">
        <f>SUM(R6:R13)</f>
        <v>11004</v>
      </c>
      <c r="S14" s="1393"/>
      <c r="T14" s="1392">
        <f>SUM(T6:T13)</f>
        <v>1622</v>
      </c>
      <c r="U14" s="1393"/>
      <c r="V14" s="228">
        <f>SUM(V6:V13)</f>
        <v>6039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7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8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7"/>
        <v>0</v>
      </c>
      <c r="M17" s="204">
        <v>30</v>
      </c>
      <c r="N17" s="160">
        <v>30</v>
      </c>
      <c r="O17" s="160"/>
      <c r="P17" s="1070">
        <v>30</v>
      </c>
      <c r="Q17" s="1070">
        <v>30</v>
      </c>
      <c r="R17" s="1070">
        <v>30</v>
      </c>
      <c r="S17" s="1070">
        <v>30</v>
      </c>
      <c r="T17" s="1070"/>
      <c r="U17" s="1113">
        <f t="shared" si="8"/>
        <v>180</v>
      </c>
      <c r="V17" s="1114">
        <f>SUM(M17:U17)</f>
        <v>360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7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8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2</v>
      </c>
      <c r="E19" s="1070">
        <v>3</v>
      </c>
      <c r="F19" s="1070"/>
      <c r="G19" s="1070">
        <v>4</v>
      </c>
      <c r="H19" s="1070">
        <v>2</v>
      </c>
      <c r="I19" s="1070"/>
      <c r="J19" s="1070">
        <v>4</v>
      </c>
      <c r="K19" s="1070"/>
      <c r="L19" s="1112">
        <f t="shared" si="7"/>
        <v>15</v>
      </c>
      <c r="M19" s="1070">
        <f>3+3+3+4+15</f>
        <v>28</v>
      </c>
      <c r="N19" s="1059">
        <f>8+15</f>
        <v>23</v>
      </c>
      <c r="O19" s="1070"/>
      <c r="P19" s="1070">
        <f>8+15</f>
        <v>23</v>
      </c>
      <c r="Q19" s="1070">
        <f>8+15</f>
        <v>23</v>
      </c>
      <c r="R19" s="1070">
        <f>9+9</f>
        <v>18</v>
      </c>
      <c r="S19" s="1070">
        <f>12+15</f>
        <v>27</v>
      </c>
      <c r="T19" s="1070"/>
      <c r="U19" s="1113">
        <f t="shared" si="8"/>
        <v>142</v>
      </c>
      <c r="V19" s="1114">
        <f>L19+U19</f>
        <v>157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7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8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9">SUM(D16:D20)</f>
        <v>2</v>
      </c>
      <c r="E21" s="165">
        <f t="shared" si="9"/>
        <v>3</v>
      </c>
      <c r="F21" s="165">
        <f t="shared" si="9"/>
        <v>0</v>
      </c>
      <c r="G21" s="165">
        <f t="shared" si="9"/>
        <v>4</v>
      </c>
      <c r="H21" s="165">
        <f t="shared" si="9"/>
        <v>2</v>
      </c>
      <c r="I21" s="165">
        <f t="shared" si="9"/>
        <v>0</v>
      </c>
      <c r="J21" s="165">
        <f t="shared" si="9"/>
        <v>4</v>
      </c>
      <c r="K21" s="165">
        <f t="shared" si="9"/>
        <v>0</v>
      </c>
      <c r="L21" s="206">
        <f t="shared" si="7"/>
        <v>15</v>
      </c>
      <c r="M21" s="165">
        <f t="shared" ref="M21:T21" si="10">SUM(M16:M20)</f>
        <v>58</v>
      </c>
      <c r="N21" s="165">
        <f t="shared" si="10"/>
        <v>53</v>
      </c>
      <c r="O21" s="165">
        <f t="shared" si="10"/>
        <v>0</v>
      </c>
      <c r="P21" s="165">
        <f t="shared" si="10"/>
        <v>53</v>
      </c>
      <c r="Q21" s="165">
        <f t="shared" si="10"/>
        <v>53</v>
      </c>
      <c r="R21" s="165">
        <f t="shared" si="10"/>
        <v>48</v>
      </c>
      <c r="S21" s="165">
        <f t="shared" si="10"/>
        <v>57</v>
      </c>
      <c r="T21" s="165">
        <f t="shared" si="10"/>
        <v>0</v>
      </c>
      <c r="U21" s="165">
        <f t="shared" si="8"/>
        <v>322</v>
      </c>
      <c r="V21" s="1117">
        <f>L21+U21</f>
        <v>337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7+6+4</f>
        <v>17</v>
      </c>
      <c r="E23" s="913">
        <v>5</v>
      </c>
      <c r="F23" s="159"/>
      <c r="G23" s="159"/>
      <c r="H23" s="159"/>
      <c r="I23" s="159"/>
      <c r="J23" s="159"/>
      <c r="K23" s="159"/>
      <c r="L23" s="208">
        <f>SUM(D23:K23)</f>
        <v>22</v>
      </c>
      <c r="M23" s="160">
        <f>7+7+8+8+5+3</f>
        <v>38</v>
      </c>
      <c r="N23" s="160"/>
      <c r="O23" s="160"/>
      <c r="P23" s="160"/>
      <c r="Q23" s="160">
        <f>5+9+8</f>
        <v>22</v>
      </c>
      <c r="R23" s="160"/>
      <c r="S23" s="160"/>
      <c r="T23" s="160"/>
      <c r="U23" s="238">
        <f>SUM(M23:T23)</f>
        <v>60</v>
      </c>
      <c r="V23" s="1112">
        <f>L23+U23</f>
        <v>82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20+4+4</f>
        <v>28</v>
      </c>
      <c r="E24" s="169">
        <f>24</f>
        <v>24</v>
      </c>
      <c r="F24" s="169"/>
      <c r="G24" s="1122">
        <v>24</v>
      </c>
      <c r="H24" s="169">
        <v>24</v>
      </c>
      <c r="I24" s="169"/>
      <c r="J24" s="169">
        <v>5</v>
      </c>
      <c r="K24" s="169"/>
      <c r="L24" s="1115">
        <f>SUM(D24:K24)</f>
        <v>105</v>
      </c>
      <c r="M24" s="1118">
        <f>7+6+6+5+8+10+7+5+10+4+5+4+5+3</f>
        <v>85</v>
      </c>
      <c r="N24" s="1119">
        <f>5+5+6+3+9+6+4+10+5+14+5+4+5+3</f>
        <v>84</v>
      </c>
      <c r="O24" s="1119"/>
      <c r="P24" s="1119">
        <f>5+14+5+4+5+3</f>
        <v>36</v>
      </c>
      <c r="Q24" s="1119">
        <f>5+14+5+4+5+3+5</f>
        <v>41</v>
      </c>
      <c r="R24" s="1119">
        <f>30+9+8+8+3+4+5+6+7+4+9</f>
        <v>93</v>
      </c>
      <c r="S24" s="1251">
        <f>3+4+30+9+8+8+3</f>
        <v>65</v>
      </c>
      <c r="T24" s="1119"/>
      <c r="U24" s="1120">
        <f>SUM(M24:T24)</f>
        <v>404</v>
      </c>
      <c r="V24" s="1112">
        <f>L24+U24</f>
        <v>509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$F6-D$56-D$57-D$21-D$23-D$24-D$34-D$43</f>
        <v>21.000000000000057</v>
      </c>
      <c r="E25" s="171">
        <f>$F7-E$56-E$57-E$21-E$23-E$24-E$34-E$43</f>
        <v>24.3333333333334</v>
      </c>
      <c r="F25" s="171">
        <f>$F8-F$56-F$57-F$21-F$23-F$24-F$34-F$43</f>
        <v>0</v>
      </c>
      <c r="G25" s="171">
        <f>$F9-G$56-G$57-G$21-G$23-G$24-G$34-G$43</f>
        <v>-4</v>
      </c>
      <c r="H25" s="171">
        <f>$F10-H$56-H$57-H$21-H$23-H$24-H$34-H$43</f>
        <v>-18.333333333333243</v>
      </c>
      <c r="I25" s="171">
        <f>$F11-I$56-I$57-I$21-I$23-I$24-I$34-I$43</f>
        <v>32.333333333333329</v>
      </c>
      <c r="J25" s="171">
        <f>$F12-J$56-J$57-J$21-J$23-J$24-J$34-J$43</f>
        <v>-26.333333333333343</v>
      </c>
      <c r="K25" s="171">
        <f>$F13-K$56-K$57-K$21-K$23-K$24-K$34-K$43</f>
        <v>0</v>
      </c>
      <c r="L25" s="209">
        <f>SUM(D25:K25)</f>
        <v>29.000000000000199</v>
      </c>
      <c r="M25" s="171">
        <f>$O6-M$56-M$57-M$21-M$23-M$24-M$34-M$43</f>
        <v>69.666666666666629</v>
      </c>
      <c r="N25" s="171">
        <f>$O7-N$56-N$57-N$21-N$23-N$24-N$34-N$43</f>
        <v>203.66666666666669</v>
      </c>
      <c r="O25" s="171">
        <f>$O8-O$56-O$57-O$21-O$23-O$24-O$34-O$43</f>
        <v>0</v>
      </c>
      <c r="P25" s="171">
        <f>$O9-P$56-P$57-P$21-P$23-P$24-P$34-P$43</f>
        <v>-33.666666666666629</v>
      </c>
      <c r="Q25" s="171">
        <f>$O10-Q$56-Q$57-Q$21-Q$23-Q$24-Q$34-Q$43</f>
        <v>-16.333333333333258</v>
      </c>
      <c r="R25" s="171">
        <f>$O11-R$56-R$57-R$21-R$23-R$24-R$34-R$43</f>
        <v>161.33333333333337</v>
      </c>
      <c r="S25" s="171">
        <f>$O12-S$56-S$57-S$21-S$23-S$24-S$34-S$43</f>
        <v>-68.333333333333371</v>
      </c>
      <c r="T25" s="171">
        <f>$O13-T$56-T$57-T$21-T$23-T$24-T$34-T$43</f>
        <v>0</v>
      </c>
      <c r="U25" s="239">
        <f>SUM(M25:T25)</f>
        <v>316.33333333333343</v>
      </c>
      <c r="V25" s="1112">
        <f>L25+U25</f>
        <v>345.3333333333336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66.000000000000057</v>
      </c>
      <c r="E26" s="172">
        <f t="shared" ref="E26:K26" si="11">SUM(E23:E25)</f>
        <v>53.3333333333334</v>
      </c>
      <c r="F26" s="172">
        <f t="shared" si="11"/>
        <v>0</v>
      </c>
      <c r="G26" s="172">
        <f t="shared" si="11"/>
        <v>20</v>
      </c>
      <c r="H26" s="172">
        <f t="shared" si="11"/>
        <v>5.6666666666667567</v>
      </c>
      <c r="I26" s="172">
        <f t="shared" si="11"/>
        <v>32.333333333333329</v>
      </c>
      <c r="J26" s="172">
        <f t="shared" si="11"/>
        <v>-21.333333333333343</v>
      </c>
      <c r="K26" s="172">
        <f t="shared" si="11"/>
        <v>0</v>
      </c>
      <c r="L26" s="210">
        <f>SUM(D26:K26)</f>
        <v>156.0000000000002</v>
      </c>
      <c r="M26" s="211">
        <f>SUM(M23:M25)</f>
        <v>192.66666666666663</v>
      </c>
      <c r="N26" s="211">
        <f t="shared" ref="N26:T26" si="12">SUM(N23:N25)</f>
        <v>287.66666666666669</v>
      </c>
      <c r="O26" s="211">
        <f t="shared" si="12"/>
        <v>0</v>
      </c>
      <c r="P26" s="211">
        <f t="shared" si="12"/>
        <v>2.3333333333333712</v>
      </c>
      <c r="Q26" s="211">
        <f t="shared" si="12"/>
        <v>46.666666666666742</v>
      </c>
      <c r="R26" s="211">
        <f t="shared" si="12"/>
        <v>254.33333333333337</v>
      </c>
      <c r="S26" s="211">
        <f t="shared" si="12"/>
        <v>-3.3333333333333712</v>
      </c>
      <c r="T26" s="211">
        <f t="shared" si="12"/>
        <v>0</v>
      </c>
      <c r="U26" s="240">
        <f>SUM(M26:T26)</f>
        <v>780.33333333333348</v>
      </c>
      <c r="V26" s="210">
        <f>L26+U26</f>
        <v>936.33333333333371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>
        <v>18</v>
      </c>
      <c r="I28" s="159">
        <v>20</v>
      </c>
      <c r="J28" s="159"/>
      <c r="K28" s="159"/>
      <c r="L28" s="202">
        <f t="shared" ref="L28:L34" si="13">SUM(D28:K28)</f>
        <v>38</v>
      </c>
      <c r="M28" s="159">
        <f>52+3</f>
        <v>55</v>
      </c>
      <c r="N28" s="159">
        <v>15</v>
      </c>
      <c r="O28" s="159"/>
      <c r="P28" s="159">
        <f>19</f>
        <v>19</v>
      </c>
      <c r="Q28" s="159"/>
      <c r="R28" s="159"/>
      <c r="S28" s="159"/>
      <c r="T28" s="159"/>
      <c r="U28" s="242">
        <f t="shared" ref="U28:U34" si="14">SUM(M28:T28)</f>
        <v>89</v>
      </c>
      <c r="V28" s="243">
        <f t="shared" ref="V28:V34" si="15">L28+U28</f>
        <v>127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3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4"/>
        <v>0</v>
      </c>
      <c r="V29" s="244">
        <f t="shared" si="15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3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4"/>
        <v>0</v>
      </c>
      <c r="V30" s="1112">
        <f t="shared" si="15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3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4"/>
        <v>0</v>
      </c>
      <c r="V31" s="1112">
        <f t="shared" si="15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3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4"/>
        <v>0</v>
      </c>
      <c r="V32" s="1112">
        <f t="shared" si="15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3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4"/>
        <v>0</v>
      </c>
      <c r="V33" s="1112">
        <f t="shared" si="15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6">SUM(D28:D33)</f>
        <v>0</v>
      </c>
      <c r="E34" s="175">
        <f t="shared" si="16"/>
        <v>0</v>
      </c>
      <c r="F34" s="176">
        <f t="shared" si="16"/>
        <v>0</v>
      </c>
      <c r="G34" s="176">
        <f t="shared" si="16"/>
        <v>0</v>
      </c>
      <c r="H34" s="176">
        <f t="shared" si="16"/>
        <v>18</v>
      </c>
      <c r="I34" s="176">
        <f t="shared" si="16"/>
        <v>20</v>
      </c>
      <c r="J34" s="176">
        <f t="shared" si="16"/>
        <v>0</v>
      </c>
      <c r="K34" s="176">
        <f t="shared" si="16"/>
        <v>0</v>
      </c>
      <c r="L34" s="213">
        <f t="shared" si="13"/>
        <v>38</v>
      </c>
      <c r="M34" s="175">
        <f t="shared" ref="M34:T34" si="17">SUM(M28:M33)</f>
        <v>55</v>
      </c>
      <c r="N34" s="176">
        <f t="shared" si="17"/>
        <v>15</v>
      </c>
      <c r="O34" s="176">
        <f t="shared" si="17"/>
        <v>0</v>
      </c>
      <c r="P34" s="176">
        <f t="shared" si="17"/>
        <v>19</v>
      </c>
      <c r="Q34" s="176">
        <f t="shared" si="17"/>
        <v>0</v>
      </c>
      <c r="R34" s="176">
        <f t="shared" si="17"/>
        <v>0</v>
      </c>
      <c r="S34" s="176">
        <f t="shared" si="17"/>
        <v>0</v>
      </c>
      <c r="T34" s="176">
        <f t="shared" si="17"/>
        <v>0</v>
      </c>
      <c r="U34" s="246">
        <f t="shared" si="14"/>
        <v>89</v>
      </c>
      <c r="V34" s="213">
        <f t="shared" si="15"/>
        <v>127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8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9">SUM(M36:T36)</f>
        <v>0</v>
      </c>
      <c r="V36" s="243">
        <f t="shared" ref="V36:V43" si="20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8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9"/>
        <v>0</v>
      </c>
      <c r="V37" s="1114">
        <f t="shared" si="20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8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9"/>
        <v>0</v>
      </c>
      <c r="V38" s="1114">
        <f t="shared" si="20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8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9"/>
        <v>0</v>
      </c>
      <c r="V39" s="1114">
        <f t="shared" si="20"/>
        <v>0</v>
      </c>
      <c r="W39" s="234"/>
    </row>
    <row r="40" spans="1:23" ht="18.75" customHeight="1">
      <c r="A40" s="1048" t="s">
        <v>327</v>
      </c>
      <c r="B40" s="1046"/>
      <c r="C40" s="1046"/>
      <c r="D40" s="1070">
        <v>13</v>
      </c>
      <c r="E40" s="1070">
        <v>13</v>
      </c>
      <c r="F40" s="1070"/>
      <c r="G40" s="1070">
        <v>13</v>
      </c>
      <c r="H40" s="1070">
        <v>13</v>
      </c>
      <c r="I40" s="1070">
        <v>13</v>
      </c>
      <c r="J40" s="1070">
        <v>13</v>
      </c>
      <c r="K40" s="1070"/>
      <c r="L40" s="1114">
        <f t="shared" si="18"/>
        <v>78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9"/>
        <v>0</v>
      </c>
      <c r="V40" s="1114">
        <f t="shared" si="20"/>
        <v>78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8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9"/>
        <v>0</v>
      </c>
      <c r="V41" s="1114">
        <f t="shared" si="20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8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9"/>
        <v>0</v>
      </c>
      <c r="V42" s="1114">
        <f t="shared" si="20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1">SUM(D36:D42)</f>
        <v>13</v>
      </c>
      <c r="E43" s="177">
        <f t="shared" si="21"/>
        <v>13</v>
      </c>
      <c r="F43" s="177">
        <f t="shared" si="21"/>
        <v>0</v>
      </c>
      <c r="G43" s="177">
        <f t="shared" si="21"/>
        <v>13</v>
      </c>
      <c r="H43" s="177">
        <f t="shared" si="21"/>
        <v>13</v>
      </c>
      <c r="I43" s="177">
        <f t="shared" si="21"/>
        <v>13</v>
      </c>
      <c r="J43" s="177">
        <f t="shared" si="21"/>
        <v>13</v>
      </c>
      <c r="K43" s="177">
        <f t="shared" si="21"/>
        <v>0</v>
      </c>
      <c r="L43" s="213">
        <f t="shared" si="18"/>
        <v>78</v>
      </c>
      <c r="M43" s="177">
        <f t="shared" ref="M43:T43" si="22">SUM(M36:M42)</f>
        <v>0</v>
      </c>
      <c r="N43" s="177">
        <f t="shared" si="22"/>
        <v>0</v>
      </c>
      <c r="O43" s="177">
        <f t="shared" si="22"/>
        <v>0</v>
      </c>
      <c r="P43" s="177">
        <f t="shared" si="22"/>
        <v>0</v>
      </c>
      <c r="Q43" s="177">
        <f t="shared" si="22"/>
        <v>0</v>
      </c>
      <c r="R43" s="177">
        <f t="shared" si="22"/>
        <v>0</v>
      </c>
      <c r="S43" s="177">
        <f t="shared" si="22"/>
        <v>0</v>
      </c>
      <c r="T43" s="177">
        <f t="shared" si="22"/>
        <v>0</v>
      </c>
      <c r="U43" s="165">
        <f t="shared" si="19"/>
        <v>0</v>
      </c>
      <c r="V43" s="213">
        <f t="shared" si="20"/>
        <v>78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 t="s">
        <v>604</v>
      </c>
      <c r="B45" s="1076" t="s">
        <v>604</v>
      </c>
      <c r="C45" s="1123">
        <v>18</v>
      </c>
      <c r="D45" s="1077" t="s">
        <v>729</v>
      </c>
      <c r="E45" s="1063"/>
      <c r="F45" s="1063"/>
      <c r="G45" s="1063"/>
      <c r="H45" s="1063"/>
      <c r="I45" s="1063"/>
      <c r="J45" s="1063"/>
      <c r="K45" s="1071" t="s">
        <v>295</v>
      </c>
      <c r="L45" s="1069"/>
      <c r="M45" s="1072"/>
      <c r="N45" s="1063"/>
      <c r="O45" s="1074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604</v>
      </c>
      <c r="B46" s="1076" t="s">
        <v>604</v>
      </c>
      <c r="C46" s="1123">
        <v>20</v>
      </c>
      <c r="D46" s="1077" t="s">
        <v>730</v>
      </c>
      <c r="E46" s="1063"/>
      <c r="F46" s="1063"/>
      <c r="G46" s="1063"/>
      <c r="H46" s="1063"/>
      <c r="I46" s="1063"/>
      <c r="J46" s="1063"/>
      <c r="K46" s="1071" t="s">
        <v>296</v>
      </c>
      <c r="L46" s="1069"/>
      <c r="M46" s="1062"/>
      <c r="N46" s="106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.75" customHeight="1">
      <c r="A47" s="1058" t="s">
        <v>731</v>
      </c>
      <c r="B47" s="1039">
        <v>15.03</v>
      </c>
      <c r="C47" s="1038">
        <v>55</v>
      </c>
      <c r="D47" s="1349" t="s">
        <v>732</v>
      </c>
      <c r="E47" s="1350"/>
      <c r="F47" s="1350"/>
      <c r="G47" s="1350"/>
      <c r="H47" s="1350"/>
      <c r="I47" s="1350"/>
      <c r="J47" s="1351"/>
      <c r="K47" s="1071" t="s">
        <v>291</v>
      </c>
      <c r="L47" s="1060"/>
      <c r="M47" s="1060"/>
      <c r="N47" s="1061"/>
      <c r="O47" s="1062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 t="s">
        <v>733</v>
      </c>
      <c r="B48" s="1039">
        <v>14.15</v>
      </c>
      <c r="C48" s="1038">
        <v>15</v>
      </c>
      <c r="D48" s="1349" t="s">
        <v>734</v>
      </c>
      <c r="E48" s="1350"/>
      <c r="F48" s="1350"/>
      <c r="G48" s="1350"/>
      <c r="H48" s="1350"/>
      <c r="I48" s="1350"/>
      <c r="J48" s="1351"/>
      <c r="K48" s="1071" t="s">
        <v>292</v>
      </c>
      <c r="L48" s="1065"/>
      <c r="M48" s="1065"/>
      <c r="N48" s="1349"/>
      <c r="O48" s="1350"/>
      <c r="P48" s="1350"/>
      <c r="Q48" s="1350"/>
      <c r="R48" s="1350"/>
      <c r="S48" s="1350"/>
      <c r="T48" s="1350"/>
      <c r="U48" s="1350"/>
      <c r="V48" s="1426"/>
      <c r="W48" s="250"/>
    </row>
    <row r="49" spans="1:25" ht="15" customHeight="1">
      <c r="A49" s="1058" t="s">
        <v>604</v>
      </c>
      <c r="B49" s="1039" t="s">
        <v>604</v>
      </c>
      <c r="C49" s="1070">
        <v>19</v>
      </c>
      <c r="D49" s="1356" t="s">
        <v>735</v>
      </c>
      <c r="E49" s="1357"/>
      <c r="F49" s="1357"/>
      <c r="G49" s="1357"/>
      <c r="H49" s="1357"/>
      <c r="I49" s="1357"/>
      <c r="J49" s="1357"/>
      <c r="K49" s="1071" t="s">
        <v>294</v>
      </c>
      <c r="L49" s="1069"/>
      <c r="M49" s="1070"/>
      <c r="N49" s="1349"/>
      <c r="O49" s="1358"/>
      <c r="P49" s="1358"/>
      <c r="Q49" s="1358"/>
      <c r="R49" s="1358"/>
      <c r="S49" s="1358"/>
      <c r="T49" s="1358"/>
      <c r="U49" s="1358"/>
      <c r="V49" s="1359"/>
      <c r="W49" s="250"/>
    </row>
    <row r="50" spans="1:25" ht="15" customHeight="1">
      <c r="A50" s="1058"/>
      <c r="B50" s="1039"/>
      <c r="C50" s="1123"/>
      <c r="D50" s="1356"/>
      <c r="E50" s="1357"/>
      <c r="F50" s="1357"/>
      <c r="G50" s="1357"/>
      <c r="H50" s="1357"/>
      <c r="I50" s="1357"/>
      <c r="J50" s="1357"/>
      <c r="K50" s="1071"/>
      <c r="L50" s="1069"/>
      <c r="M50" s="1072"/>
      <c r="N50" s="107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4"/>
      <c r="D51" s="1077"/>
      <c r="E51" s="1063"/>
      <c r="F51" s="1063"/>
      <c r="G51" s="1063"/>
      <c r="H51" s="1063"/>
      <c r="I51" s="1063"/>
      <c r="J51" s="1063"/>
      <c r="K51" s="1071"/>
      <c r="L51" s="1069"/>
      <c r="M51" s="1070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>
      <c r="A52" s="1058"/>
      <c r="B52" s="1076"/>
      <c r="C52" s="1123"/>
      <c r="D52" s="1077"/>
      <c r="E52" s="1063"/>
      <c r="F52" s="1063"/>
      <c r="G52" s="1063"/>
      <c r="H52" s="1063"/>
      <c r="I52" s="1063"/>
      <c r="J52" s="1063"/>
      <c r="K52" s="1071"/>
      <c r="L52" s="1069"/>
      <c r="M52" s="1062"/>
      <c r="N52" s="1063"/>
      <c r="O52" s="1074"/>
      <c r="P52" s="1063"/>
      <c r="Q52" s="1063"/>
      <c r="R52" s="1063"/>
      <c r="S52" s="1063"/>
      <c r="T52" s="1063"/>
      <c r="U52" s="1063"/>
      <c r="V52" s="1064"/>
      <c r="W52" s="250"/>
    </row>
    <row r="53" spans="1:25" ht="15" customHeight="1" thickBot="1">
      <c r="A53" s="1080"/>
      <c r="B53" s="1081"/>
      <c r="C53" s="1125"/>
      <c r="D53" s="1082"/>
      <c r="E53" s="1083"/>
      <c r="F53" s="1083"/>
      <c r="G53" s="1083"/>
      <c r="H53" s="1083"/>
      <c r="I53" s="1083"/>
      <c r="J53" s="1083"/>
      <c r="K53" s="1084"/>
      <c r="L53" s="1084"/>
      <c r="M53" s="1126"/>
      <c r="N53" s="216"/>
      <c r="O53" s="1127"/>
      <c r="P53" s="1083"/>
      <c r="Q53" s="1083"/>
      <c r="R53" s="1083"/>
      <c r="S53" s="1083"/>
      <c r="T53" s="1083"/>
      <c r="U53" s="1083"/>
      <c r="V53" s="1128"/>
      <c r="W53" s="250"/>
    </row>
    <row r="54" spans="1:25" ht="18" customHeight="1" thickBot="1">
      <c r="A54" s="183" t="s">
        <v>337</v>
      </c>
      <c r="B54" s="184" t="s">
        <v>338</v>
      </c>
      <c r="C54" s="184"/>
      <c r="D54" s="166" t="s">
        <v>300</v>
      </c>
      <c r="E54" s="166" t="s">
        <v>301</v>
      </c>
      <c r="F54" s="166" t="s">
        <v>302</v>
      </c>
      <c r="G54" s="166" t="s">
        <v>303</v>
      </c>
      <c r="H54" s="166" t="s">
        <v>304</v>
      </c>
      <c r="I54" s="166" t="s">
        <v>305</v>
      </c>
      <c r="J54" s="166" t="s">
        <v>306</v>
      </c>
      <c r="K54" s="166" t="s">
        <v>307</v>
      </c>
      <c r="L54" s="207" t="s">
        <v>173</v>
      </c>
      <c r="M54" s="166" t="s">
        <v>300</v>
      </c>
      <c r="N54" s="166" t="s">
        <v>301</v>
      </c>
      <c r="O54" s="166" t="s">
        <v>302</v>
      </c>
      <c r="P54" s="166" t="s">
        <v>303</v>
      </c>
      <c r="Q54" s="166" t="s">
        <v>304</v>
      </c>
      <c r="R54" s="166" t="s">
        <v>305</v>
      </c>
      <c r="S54" s="166" t="s">
        <v>306</v>
      </c>
      <c r="T54" s="166" t="s">
        <v>307</v>
      </c>
      <c r="U54" s="166" t="s">
        <v>173</v>
      </c>
      <c r="V54" s="207" t="s">
        <v>367</v>
      </c>
      <c r="W54" s="231"/>
    </row>
    <row r="55" spans="1:25" ht="18" customHeight="1">
      <c r="A55" s="185">
        <v>1</v>
      </c>
      <c r="B55" s="186" t="s">
        <v>223</v>
      </c>
      <c r="C55" s="158"/>
      <c r="D55" s="187">
        <f>$F6-D$21-D$43-D$34</f>
        <v>105.00000000000006</v>
      </c>
      <c r="E55" s="187">
        <f>$F7-E$21-E$43-E$34</f>
        <v>100.00000000000007</v>
      </c>
      <c r="F55" s="187">
        <f>$F8-F$21-F$43-F$34</f>
        <v>0</v>
      </c>
      <c r="G55" s="187">
        <f>$F9-G$21-G$43-G$34</f>
        <v>96</v>
      </c>
      <c r="H55" s="187">
        <f>$F10-H$21-H$43-H$34</f>
        <v>77.000000000000085</v>
      </c>
      <c r="I55" s="187">
        <f>$F11-I$21-I$43-I$34</f>
        <v>57</v>
      </c>
      <c r="J55" s="187">
        <f>$F12-J$21-J$43-J$34</f>
        <v>73</v>
      </c>
      <c r="K55" s="187">
        <f>$F13-K$21-K$43-K$34</f>
        <v>0</v>
      </c>
      <c r="L55" s="202">
        <f>SUM(D55:K55)</f>
        <v>508.00000000000023</v>
      </c>
      <c r="M55" s="187">
        <f>O6-M21-M43-M34</f>
        <v>787</v>
      </c>
      <c r="N55" s="187">
        <f>O7-N21-N43-N34</f>
        <v>832</v>
      </c>
      <c r="O55" s="187">
        <f>O8-O21-O43-O34</f>
        <v>0</v>
      </c>
      <c r="P55" s="187">
        <f>O9-P21-P43-P34</f>
        <v>828</v>
      </c>
      <c r="Q55" s="187">
        <f>O10-Q21-Q43-Q34</f>
        <v>847</v>
      </c>
      <c r="R55" s="187">
        <f>O11-R21-R43-R34</f>
        <v>852</v>
      </c>
      <c r="S55" s="187">
        <f>O12-S21-S43-S34</f>
        <v>843</v>
      </c>
      <c r="T55" s="187">
        <f>O13-T21-T43-T34</f>
        <v>0</v>
      </c>
      <c r="U55" s="242">
        <f>SUM(M55:T55)</f>
        <v>4989</v>
      </c>
      <c r="V55" s="202">
        <f>L55+U55</f>
        <v>5497</v>
      </c>
      <c r="W55" s="233"/>
    </row>
    <row r="56" spans="1:25" ht="18" customHeight="1">
      <c r="A56" s="1085">
        <v>2</v>
      </c>
      <c r="B56" s="1086" t="s">
        <v>339</v>
      </c>
      <c r="C56" s="1046"/>
      <c r="D56" s="1087">
        <f>$K6/$C6</f>
        <v>2.3333333333333335</v>
      </c>
      <c r="E56" s="1087">
        <f>$K7/$C7</f>
        <v>3</v>
      </c>
      <c r="F56" s="1087">
        <f>$K8/$C8</f>
        <v>0</v>
      </c>
      <c r="G56" s="1087">
        <f>$K9/$C9</f>
        <v>4.666666666666667</v>
      </c>
      <c r="H56" s="1087">
        <f>$K10/$C10</f>
        <v>4.333333333333333</v>
      </c>
      <c r="I56" s="1087">
        <f>$K11/$C11</f>
        <v>1.6666666666666667</v>
      </c>
      <c r="J56" s="1087">
        <f>$K12/$C12</f>
        <v>5.666666666666667</v>
      </c>
      <c r="K56" s="1087">
        <f>$K13/$C13</f>
        <v>0</v>
      </c>
      <c r="L56" s="1112">
        <f>SUM(D56:K56)</f>
        <v>21.666666666666664</v>
      </c>
      <c r="M56" s="1087">
        <f>T6/C6</f>
        <v>94.333333333333329</v>
      </c>
      <c r="N56" s="1087">
        <f>T7/C7</f>
        <v>91</v>
      </c>
      <c r="O56" s="1087">
        <f>$T$8/$C$8</f>
        <v>0</v>
      </c>
      <c r="P56" s="1087">
        <f>$T$9/$C$9</f>
        <v>89</v>
      </c>
      <c r="Q56" s="1087">
        <f>$T$10/$C$10</f>
        <v>83.666666666666671</v>
      </c>
      <c r="R56" s="1087">
        <f>$T$11/$C$11</f>
        <v>97.666666666666671</v>
      </c>
      <c r="S56" s="1087">
        <f>$T$12/$C$12</f>
        <v>85</v>
      </c>
      <c r="T56" s="1087">
        <f>$T$13/$C$13</f>
        <v>0</v>
      </c>
      <c r="U56" s="1129">
        <f>SUM(M56:T56)</f>
        <v>540.66666666666674</v>
      </c>
      <c r="V56" s="1112">
        <f>L56+U56</f>
        <v>562.33333333333337</v>
      </c>
      <c r="W56" s="233"/>
    </row>
    <row r="57" spans="1:25" ht="18" customHeight="1" thickBot="1">
      <c r="A57" s="1031">
        <v>3</v>
      </c>
      <c r="B57" s="1088" t="s">
        <v>340</v>
      </c>
      <c r="C57" s="1056"/>
      <c r="D57" s="1087">
        <f>$I6/$C6</f>
        <v>36.666666666666664</v>
      </c>
      <c r="E57" s="1087">
        <f>$I7/$C7</f>
        <v>43.666666666666664</v>
      </c>
      <c r="F57" s="1087">
        <f>$I8/$C8</f>
        <v>0</v>
      </c>
      <c r="G57" s="1087">
        <f>$I9/$C9</f>
        <v>71.333333333333329</v>
      </c>
      <c r="H57" s="1087">
        <f>$I10/$C10</f>
        <v>67</v>
      </c>
      <c r="I57" s="1087">
        <f>$I11/$C11</f>
        <v>23</v>
      </c>
      <c r="J57" s="1087">
        <f>$I12/$C12</f>
        <v>88.666666666666671</v>
      </c>
      <c r="K57" s="1087">
        <f>$I13/$C13</f>
        <v>0</v>
      </c>
      <c r="L57" s="1115">
        <f>SUM(D57:K57)</f>
        <v>330.33333333333331</v>
      </c>
      <c r="M57" s="1130">
        <f>R6/C6</f>
        <v>500</v>
      </c>
      <c r="N57" s="1130">
        <f>R7/C7</f>
        <v>453.33333333333331</v>
      </c>
      <c r="O57" s="1130">
        <f>R8/C8</f>
        <v>0</v>
      </c>
      <c r="P57" s="1130">
        <f>R9/C9</f>
        <v>736.66666666666663</v>
      </c>
      <c r="Q57" s="1130">
        <f>R10/C10</f>
        <v>716.66666666666663</v>
      </c>
      <c r="R57" s="1130">
        <f>R11/C11</f>
        <v>500</v>
      </c>
      <c r="S57" s="1130">
        <f>R12/C12</f>
        <v>761.33333333333337</v>
      </c>
      <c r="T57" s="1130">
        <f>R13/C13</f>
        <v>0</v>
      </c>
      <c r="U57" s="1131">
        <f>SUM(M57:T57)</f>
        <v>3668</v>
      </c>
      <c r="V57" s="1115">
        <f>L57+U57</f>
        <v>3998.3333333333335</v>
      </c>
      <c r="W57" s="233"/>
    </row>
    <row r="58" spans="1:25" ht="18" customHeight="1">
      <c r="A58" s="185">
        <v>4</v>
      </c>
      <c r="B58" s="186" t="s">
        <v>341</v>
      </c>
      <c r="C58" s="158"/>
      <c r="D58" s="188">
        <f>IF(F6=0,0,D21/F6*100)</f>
        <v>1.6666666666666659</v>
      </c>
      <c r="E58" s="188">
        <f>IF(F7=0,0,E21/F7*100)</f>
        <v>2.5862068965517229</v>
      </c>
      <c r="F58" s="188">
        <f>IF(F8=0,0,F21/F8*100)</f>
        <v>0</v>
      </c>
      <c r="G58" s="188">
        <f>IF(F9=0,0,G21/F9*100)</f>
        <v>3.5398230088495577</v>
      </c>
      <c r="H58" s="188">
        <f>IF(F10=0,0,H21/F10*100)</f>
        <v>1.8181818181818168</v>
      </c>
      <c r="I58" s="188">
        <f>IF(F11=0,0,I21/F11*100)</f>
        <v>0</v>
      </c>
      <c r="J58" s="188">
        <f>IF(F12=0,0,J21/F12*100)</f>
        <v>4.4444444444444446</v>
      </c>
      <c r="K58" s="188">
        <f>IF(F13=0,0,K21/F13*100)</f>
        <v>0</v>
      </c>
      <c r="L58" s="217">
        <f>IF(F14=0,0,L21/F14*100)</f>
        <v>2.3474178403755861</v>
      </c>
      <c r="M58" s="188">
        <f>IF(O6=0,0,M21/O6*100)</f>
        <v>6.4444444444444446</v>
      </c>
      <c r="N58" s="188">
        <f>IF(O7=0,0,N21/O7*100)</f>
        <v>5.8888888888888884</v>
      </c>
      <c r="O58" s="188">
        <f>IF(O8=0,0,O21/O8*100)</f>
        <v>0</v>
      </c>
      <c r="P58" s="188">
        <f>IF(O9=0,0,P21/O9*100)</f>
        <v>5.8888888888888884</v>
      </c>
      <c r="Q58" s="188">
        <f>IF(O10=0,0,Q21/O10*100)</f>
        <v>5.8888888888888884</v>
      </c>
      <c r="R58" s="188">
        <f>IF(O11=0,0,R21/O11*100)</f>
        <v>5.3333333333333339</v>
      </c>
      <c r="S58" s="188">
        <f>IF(O12=0,0,S21/O12*100)</f>
        <v>6.3333333333333339</v>
      </c>
      <c r="T58" s="188">
        <f>IF(O13=0,0,T21/O13*100)</f>
        <v>0</v>
      </c>
      <c r="U58" s="251">
        <f>IF(O14=0,0,U21/O14*100)</f>
        <v>5.9629629629629628</v>
      </c>
      <c r="V58" s="217">
        <f>IF((F14+O14)=0,0,V21/(F14+O14)*100)</f>
        <v>5.5803941049842685</v>
      </c>
      <c r="W58" s="252"/>
    </row>
    <row r="59" spans="1:25" ht="18" customHeight="1">
      <c r="A59" s="1085">
        <v>5</v>
      </c>
      <c r="B59" s="1086" t="s">
        <v>342</v>
      </c>
      <c r="C59" s="1046"/>
      <c r="D59" s="1090">
        <f>IF(F6=0,0,D34/F6*100)</f>
        <v>0</v>
      </c>
      <c r="E59" s="1090">
        <f>IF(F7=0,0,E34/F7*100)</f>
        <v>0</v>
      </c>
      <c r="F59" s="1090">
        <f>IF(F8=0,0,F34/F8*100)</f>
        <v>0</v>
      </c>
      <c r="G59" s="1090">
        <f>IF(F9=0,0,G34/F9*100)</f>
        <v>0</v>
      </c>
      <c r="H59" s="1090">
        <f>IF(F10=0,0,H34/F10*100)</f>
        <v>16.363636363636349</v>
      </c>
      <c r="I59" s="1090">
        <f>IF(F11=0,0,I34/F11*100)</f>
        <v>22.222222222222221</v>
      </c>
      <c r="J59" s="1090">
        <f>IF(F12=0,0,J34/F12*100)</f>
        <v>0</v>
      </c>
      <c r="K59" s="1090">
        <f>IF(F13=0,0,K34/F13*100)</f>
        <v>0</v>
      </c>
      <c r="L59" s="1132">
        <f>IF(F14=0,0,L34/F14*100)</f>
        <v>5.9467918622848179</v>
      </c>
      <c r="M59" s="1090">
        <f>IF(O6=0,0,M34/O6*100)</f>
        <v>6.1111111111111107</v>
      </c>
      <c r="N59" s="1090">
        <f>IF(O7=0,0,N34/O7*100)</f>
        <v>1.6666666666666667</v>
      </c>
      <c r="O59" s="1090">
        <f>IF(O8=0,0,O34/O8*100)</f>
        <v>0</v>
      </c>
      <c r="P59" s="1090">
        <f>IF(O9=0,0,P34/O9*100)</f>
        <v>2.1111111111111112</v>
      </c>
      <c r="Q59" s="1090">
        <f>IF(O10=0,0,Q34/O10*100)</f>
        <v>0</v>
      </c>
      <c r="R59" s="1090">
        <f>IF(O11=0,0,R34/O11*100)</f>
        <v>0</v>
      </c>
      <c r="S59" s="1090">
        <f>IF(O12=0,0,S34/O12*100)</f>
        <v>0</v>
      </c>
      <c r="T59" s="1090">
        <f>IF(O13=0,0,T34/O13*100)</f>
        <v>0</v>
      </c>
      <c r="U59" s="1133">
        <f>IF(O14=0,0,U34/O14*100)</f>
        <v>1.6481481481481481</v>
      </c>
      <c r="V59" s="1132">
        <f>IF((F14+O14)=0,0,V34/(F14+O14)*100)</f>
        <v>2.1029971849643982</v>
      </c>
      <c r="W59" s="252"/>
      <c r="Y59" s="258">
        <f>SUM(V58:V61)</f>
        <v>100</v>
      </c>
    </row>
    <row r="60" spans="1:25" ht="18" customHeight="1">
      <c r="A60" s="1085">
        <v>6</v>
      </c>
      <c r="B60" s="1086" t="s">
        <v>343</v>
      </c>
      <c r="C60" s="1046"/>
      <c r="D60" s="1090">
        <f>IF(F6=0,0,D43/F6*100)</f>
        <v>10.833333333333329</v>
      </c>
      <c r="E60" s="1090">
        <f>IF(F7=0,0,E43/F7*100)</f>
        <v>11.206896551724132</v>
      </c>
      <c r="F60" s="1090">
        <f>IF(F8=0,0,F43/F8*100)</f>
        <v>0</v>
      </c>
      <c r="G60" s="1090">
        <f>IF(F9=0,0,G43/F9*100)</f>
        <v>11.504424778761061</v>
      </c>
      <c r="H60" s="1090">
        <f>IF(F10=0,0,H43/F10*100)</f>
        <v>11.818181818181809</v>
      </c>
      <c r="I60" s="1090">
        <f>IF(F11=0,0,I43/F11*100)</f>
        <v>14.444444444444443</v>
      </c>
      <c r="J60" s="1090">
        <f>IF(F12=0,0,J43/F12*100)</f>
        <v>14.444444444444443</v>
      </c>
      <c r="K60" s="1090">
        <f>IF(F13=0,0,K43/F13*100)</f>
        <v>0</v>
      </c>
      <c r="L60" s="1132">
        <f>IF(F14=0,0,L43/F14*100)</f>
        <v>12.206572769953047</v>
      </c>
      <c r="M60" s="1090">
        <f>IF(O6=0,0,M43/O6*100)</f>
        <v>0</v>
      </c>
      <c r="N60" s="1090">
        <f>IF(O7=0,0,N43/O7*100)</f>
        <v>0</v>
      </c>
      <c r="O60" s="1090">
        <f>IF(O8=0,0,O43/O8*100)</f>
        <v>0</v>
      </c>
      <c r="P60" s="1090">
        <f>IF(O9=0,0,P43/O9*100)</f>
        <v>0</v>
      </c>
      <c r="Q60" s="1090">
        <f>IF(O10=0,0,Q43/O10*100)</f>
        <v>0</v>
      </c>
      <c r="R60" s="1090">
        <f>IF(O11=0,0,R43/O11*100)</f>
        <v>0</v>
      </c>
      <c r="S60" s="1090">
        <f>IF(O12=0,0,S43/O12*100)</f>
        <v>0</v>
      </c>
      <c r="T60" s="1090">
        <f>IF(O13=0,0,T43/O13*100)</f>
        <v>0</v>
      </c>
      <c r="U60" s="1133">
        <f>IF(O14=0,0,U43/O14*100)</f>
        <v>0</v>
      </c>
      <c r="V60" s="1132">
        <f>IF((F14+O14)=0,0,V43/(F14+O14)*100)</f>
        <v>1.2916045702930949</v>
      </c>
      <c r="W60" s="252"/>
    </row>
    <row r="61" spans="1:25" ht="18" customHeight="1" thickBot="1">
      <c r="A61" s="1031">
        <v>7</v>
      </c>
      <c r="B61" s="1092" t="s">
        <v>344</v>
      </c>
      <c r="C61" s="1056"/>
      <c r="D61" s="1093">
        <f>IF(F6=0,0,D55/F6*100)</f>
        <v>87.500000000000014</v>
      </c>
      <c r="E61" s="1093">
        <f>IF(F7=0,0,E55/F7*100)</f>
        <v>86.206896551724142</v>
      </c>
      <c r="F61" s="1093">
        <f>IF(F8=0,0,F55/F8*100)</f>
        <v>0</v>
      </c>
      <c r="G61" s="1093">
        <f>IF(F9=0,0,G55/F9*100)</f>
        <v>84.955752212389385</v>
      </c>
      <c r="H61" s="1093">
        <f>IF(F10=0,0,H55/F10*100)</f>
        <v>70.000000000000014</v>
      </c>
      <c r="I61" s="1093">
        <f>IF(F11=0,0,I55/F11*100)</f>
        <v>63.333333333333329</v>
      </c>
      <c r="J61" s="1093">
        <f>IF(F12=0,0,J55/F12*100)</f>
        <v>81.111111111111114</v>
      </c>
      <c r="K61" s="1093">
        <f>IF(F13=0,0,K55/F13*100)</f>
        <v>0</v>
      </c>
      <c r="L61" s="1134">
        <f>IF(F14=0,0,L55/F14*100)</f>
        <v>79.499217527386548</v>
      </c>
      <c r="M61" s="1095">
        <f>IF(O6=0,0,M55/O6*100)</f>
        <v>87.444444444444443</v>
      </c>
      <c r="N61" s="1095">
        <f>IF(O7=0,0,N55/O7*100)</f>
        <v>92.444444444444443</v>
      </c>
      <c r="O61" s="1095">
        <f>IF(O8=0,0,O55/O8*100)</f>
        <v>0</v>
      </c>
      <c r="P61" s="1095">
        <f>IF(O9=0,0,P55/O9*100)</f>
        <v>92</v>
      </c>
      <c r="Q61" s="1095">
        <f>IF(O10=0,0,Q55/O10*100)</f>
        <v>94.111111111111114</v>
      </c>
      <c r="R61" s="1095">
        <f>IF(O11=0,0,R55/O11*100)</f>
        <v>94.666666666666671</v>
      </c>
      <c r="S61" s="1095">
        <f>IF(O12=0,0,S55/O12*100)</f>
        <v>93.666666666666671</v>
      </c>
      <c r="T61" s="1095">
        <f>IF(O13=0,0,T55/O13*100)</f>
        <v>0</v>
      </c>
      <c r="U61" s="1093">
        <f>IF(O14=0,0,U55/O14*100)</f>
        <v>92.388888888888886</v>
      </c>
      <c r="V61" s="1134">
        <f>IF((F14+O14)=0,0,V55/(F14+O14)*100)</f>
        <v>91.025004139758238</v>
      </c>
      <c r="W61" s="252"/>
    </row>
    <row r="62" spans="1:25" ht="18" customHeight="1">
      <c r="A62" s="185">
        <v>8</v>
      </c>
      <c r="B62" s="186" t="s">
        <v>345</v>
      </c>
      <c r="C62" s="158"/>
      <c r="D62" s="188">
        <f>IF(D55=0,0,D56/D55*100)</f>
        <v>2.2222222222222214</v>
      </c>
      <c r="E62" s="188">
        <f>IF(E55=0,0,E56/E55*100)</f>
        <v>2.9999999999999978</v>
      </c>
      <c r="F62" s="188">
        <f t="shared" ref="F62:V62" si="23">IF(F55=0,0,F56/F55*100)</f>
        <v>0</v>
      </c>
      <c r="G62" s="188">
        <f t="shared" si="23"/>
        <v>4.8611111111111116</v>
      </c>
      <c r="H62" s="188">
        <f t="shared" si="23"/>
        <v>5.6277056277056214</v>
      </c>
      <c r="I62" s="188">
        <f t="shared" si="23"/>
        <v>2.9239766081871346</v>
      </c>
      <c r="J62" s="188">
        <f t="shared" si="23"/>
        <v>7.7625570776255719</v>
      </c>
      <c r="K62" s="188">
        <f t="shared" si="23"/>
        <v>0</v>
      </c>
      <c r="L62" s="217">
        <f t="shared" si="23"/>
        <v>4.2650918635170578</v>
      </c>
      <c r="M62" s="188">
        <f t="shared" si="23"/>
        <v>11.986446421008047</v>
      </c>
      <c r="N62" s="188">
        <f t="shared" si="23"/>
        <v>10.9375</v>
      </c>
      <c r="O62" s="188">
        <f t="shared" si="23"/>
        <v>0</v>
      </c>
      <c r="P62" s="188">
        <f t="shared" si="23"/>
        <v>10.748792270531402</v>
      </c>
      <c r="Q62" s="188">
        <f t="shared" si="23"/>
        <v>9.8780007870916968</v>
      </c>
      <c r="R62" s="188">
        <f t="shared" si="23"/>
        <v>11.463223787167449</v>
      </c>
      <c r="S62" s="188">
        <f t="shared" si="23"/>
        <v>10.083036773428232</v>
      </c>
      <c r="T62" s="188">
        <f t="shared" si="23"/>
        <v>0</v>
      </c>
      <c r="U62" s="251">
        <f t="shared" si="23"/>
        <v>10.837175118594242</v>
      </c>
      <c r="V62" s="217">
        <f t="shared" si="23"/>
        <v>10.22982232733006</v>
      </c>
      <c r="W62" s="252"/>
    </row>
    <row r="63" spans="1:25" ht="18" customHeight="1">
      <c r="A63" s="1085">
        <v>9</v>
      </c>
      <c r="B63" s="1086" t="s">
        <v>346</v>
      </c>
      <c r="C63" s="1046"/>
      <c r="D63" s="1090">
        <f t="shared" ref="D63:V63" si="24">IF(D55=0,0,D26/D55*100)</f>
        <v>62.857142857142875</v>
      </c>
      <c r="E63" s="1090">
        <f t="shared" si="24"/>
        <v>53.333333333333364</v>
      </c>
      <c r="F63" s="1090">
        <f t="shared" si="24"/>
        <v>0</v>
      </c>
      <c r="G63" s="1090">
        <f t="shared" si="24"/>
        <v>20.833333333333336</v>
      </c>
      <c r="H63" s="1090">
        <f t="shared" si="24"/>
        <v>7.3593073593074685</v>
      </c>
      <c r="I63" s="1090">
        <f t="shared" si="24"/>
        <v>56.725146198830402</v>
      </c>
      <c r="J63" s="1090">
        <f t="shared" si="24"/>
        <v>-29.223744292237459</v>
      </c>
      <c r="K63" s="1090">
        <f t="shared" si="24"/>
        <v>0</v>
      </c>
      <c r="L63" s="1132">
        <f t="shared" si="24"/>
        <v>30.708661417322858</v>
      </c>
      <c r="M63" s="1090">
        <f t="shared" si="24"/>
        <v>24.481152054214313</v>
      </c>
      <c r="N63" s="1090">
        <f t="shared" si="24"/>
        <v>34.575320512820518</v>
      </c>
      <c r="O63" s="1090">
        <f t="shared" si="24"/>
        <v>0</v>
      </c>
      <c r="P63" s="1090">
        <f t="shared" si="24"/>
        <v>0.28180354267311247</v>
      </c>
      <c r="Q63" s="1090">
        <f t="shared" si="24"/>
        <v>5.5096418732782464</v>
      </c>
      <c r="R63" s="1090">
        <f t="shared" si="24"/>
        <v>29.851330203442885</v>
      </c>
      <c r="S63" s="1090">
        <f t="shared" si="24"/>
        <v>-0.39541320680111169</v>
      </c>
      <c r="T63" s="1090">
        <f t="shared" si="24"/>
        <v>0</v>
      </c>
      <c r="U63" s="1133">
        <f t="shared" si="24"/>
        <v>15.641077036146193</v>
      </c>
      <c r="V63" s="1132">
        <f t="shared" si="24"/>
        <v>17.033533442483787</v>
      </c>
      <c r="W63" s="252"/>
      <c r="Y63" s="258">
        <f>SUM(V62:V64)</f>
        <v>100</v>
      </c>
    </row>
    <row r="64" spans="1:25" ht="18" customHeight="1" thickBot="1">
      <c r="A64" s="1031">
        <v>10</v>
      </c>
      <c r="B64" s="1092" t="s">
        <v>347</v>
      </c>
      <c r="C64" s="1056"/>
      <c r="D64" s="1095">
        <f t="shared" ref="D64:V64" si="25">IF(D55=0,0,D57/D55*100)</f>
        <v>34.920634920634903</v>
      </c>
      <c r="E64" s="1095">
        <f t="shared" si="25"/>
        <v>43.666666666666629</v>
      </c>
      <c r="F64" s="1095">
        <f t="shared" si="25"/>
        <v>0</v>
      </c>
      <c r="G64" s="1095">
        <f t="shared" si="25"/>
        <v>74.305555555555543</v>
      </c>
      <c r="H64" s="1095">
        <f t="shared" si="25"/>
        <v>87.012987012986926</v>
      </c>
      <c r="I64" s="1095">
        <f t="shared" si="25"/>
        <v>40.350877192982452</v>
      </c>
      <c r="J64" s="1095">
        <f t="shared" si="25"/>
        <v>121.46118721461188</v>
      </c>
      <c r="K64" s="1095">
        <f t="shared" si="25"/>
        <v>0</v>
      </c>
      <c r="L64" s="1134">
        <f t="shared" si="25"/>
        <v>65.026246719160071</v>
      </c>
      <c r="M64" s="1095">
        <f t="shared" si="25"/>
        <v>63.53240152477764</v>
      </c>
      <c r="N64" s="1095">
        <f t="shared" si="25"/>
        <v>54.487179487179482</v>
      </c>
      <c r="O64" s="1095">
        <f t="shared" si="25"/>
        <v>0</v>
      </c>
      <c r="P64" s="1095">
        <f t="shared" si="25"/>
        <v>88.969404186795487</v>
      </c>
      <c r="Q64" s="1095">
        <f t="shared" si="25"/>
        <v>84.612357339630066</v>
      </c>
      <c r="R64" s="1095">
        <f t="shared" si="25"/>
        <v>58.685446009389672</v>
      </c>
      <c r="S64" s="1095">
        <f t="shared" si="25"/>
        <v>90.312376433372876</v>
      </c>
      <c r="T64" s="1095">
        <f t="shared" si="25"/>
        <v>0</v>
      </c>
      <c r="U64" s="1093">
        <f t="shared" si="25"/>
        <v>73.521747845259569</v>
      </c>
      <c r="V64" s="1134">
        <f t="shared" si="25"/>
        <v>72.736644230186158</v>
      </c>
      <c r="W64" s="252"/>
    </row>
    <row r="65" spans="1:23" ht="18" customHeight="1" thickBot="1">
      <c r="A65" s="183">
        <v>11</v>
      </c>
      <c r="B65" s="189" t="s">
        <v>254</v>
      </c>
      <c r="C65" s="155"/>
      <c r="D65" s="190">
        <f>IF(E75=0,0,D75/E75*100)</f>
        <v>96.258862573540512</v>
      </c>
      <c r="E65" s="190">
        <f>IF(E75=0,0,D75/E75*100)</f>
        <v>96.258862573540512</v>
      </c>
      <c r="F65" s="190">
        <f>IF(E75=0,0,D75/E75*100)</f>
        <v>96.258862573540512</v>
      </c>
      <c r="G65" s="190">
        <f>IF(E75=0,0,D75/E75*100)</f>
        <v>96.258862573540512</v>
      </c>
      <c r="H65" s="190">
        <f>IF(E75=0,0,D75/E75*100)</f>
        <v>96.258862573540512</v>
      </c>
      <c r="I65" s="190">
        <f>IF(E75=0,0,D75/E75*100)</f>
        <v>96.258862573540512</v>
      </c>
      <c r="J65" s="190">
        <f>IF(E75=0,0,D75/E75*100)</f>
        <v>96.258862573540512</v>
      </c>
      <c r="K65" s="190">
        <f>IF(E75=0,0,D75/E75*100)</f>
        <v>96.258862573540512</v>
      </c>
      <c r="L65" s="218">
        <f>IF(E75=0,0,D75/E75*100)</f>
        <v>96.258862573540512</v>
      </c>
      <c r="M65" s="219">
        <f>IF(N75=0,0,M75/N75*100)</f>
        <v>95.405952036983535</v>
      </c>
      <c r="N65" s="219">
        <f>IF(N75=0,0,M75/N75*100)</f>
        <v>95.405952036983535</v>
      </c>
      <c r="O65" s="219">
        <f>IF(N75=0,0,M75/N75*100)</f>
        <v>95.405952036983535</v>
      </c>
      <c r="P65" s="219">
        <f>IF(N75=0,0,M75/N75*100)</f>
        <v>95.405952036983535</v>
      </c>
      <c r="Q65" s="219">
        <f>IF(N75=0,0,M75/N75*100)</f>
        <v>95.405952036983535</v>
      </c>
      <c r="R65" s="219">
        <f>IF(N75=0,0,M75/N75*100)</f>
        <v>95.405952036983535</v>
      </c>
      <c r="S65" s="219">
        <f>IF(N75=0,0,M75/N75*100)</f>
        <v>95.405952036983535</v>
      </c>
      <c r="T65" s="219">
        <f>IF(N75=0,0,M75/N75*100)</f>
        <v>95.405952036983535</v>
      </c>
      <c r="U65" s="190">
        <f>IF(N75=0,0,M75/N75*100)</f>
        <v>95.405952036983535</v>
      </c>
      <c r="V65" s="218">
        <f>IF(N79=0,0,M79/N79*100)</f>
        <v>0</v>
      </c>
      <c r="W65" s="252"/>
    </row>
    <row r="66" spans="1:23" ht="18" customHeight="1" thickBot="1">
      <c r="A66" s="183">
        <v>12</v>
      </c>
      <c r="B66" s="189" t="s">
        <v>348</v>
      </c>
      <c r="C66" s="155"/>
      <c r="D66" s="190">
        <f t="shared" ref="D66:T66" si="26">(D61*D64*D65)/10000</f>
        <v>29.412430230804038</v>
      </c>
      <c r="E66" s="190">
        <f t="shared" si="26"/>
        <v>36.235376428545386</v>
      </c>
      <c r="F66" s="190">
        <f t="shared" si="26"/>
        <v>0</v>
      </c>
      <c r="G66" s="190">
        <f t="shared" si="26"/>
        <v>60.76518168359194</v>
      </c>
      <c r="H66" s="190">
        <f t="shared" si="26"/>
        <v>58.630398112974632</v>
      </c>
      <c r="I66" s="190">
        <f t="shared" si="26"/>
        <v>24.599487102127018</v>
      </c>
      <c r="J66" s="190">
        <f t="shared" si="26"/>
        <v>94.83280535022881</v>
      </c>
      <c r="K66" s="190">
        <f t="shared" si="26"/>
        <v>0</v>
      </c>
      <c r="L66" s="190">
        <f t="shared" si="26"/>
        <v>49.76136296837695</v>
      </c>
      <c r="M66" s="219">
        <f t="shared" si="26"/>
        <v>53.003306687213076</v>
      </c>
      <c r="N66" s="219">
        <f t="shared" si="26"/>
        <v>48.056331396406513</v>
      </c>
      <c r="O66" s="219">
        <f t="shared" si="26"/>
        <v>0</v>
      </c>
      <c r="P66" s="219">
        <f t="shared" si="26"/>
        <v>78.091538519160594</v>
      </c>
      <c r="Q66" s="219">
        <f t="shared" si="26"/>
        <v>75.971406251672079</v>
      </c>
      <c r="R66" s="219">
        <f t="shared" si="26"/>
        <v>53.003306687213076</v>
      </c>
      <c r="S66" s="219">
        <f t="shared" si="26"/>
        <v>80.706368315729776</v>
      </c>
      <c r="T66" s="219">
        <f t="shared" si="26"/>
        <v>0</v>
      </c>
      <c r="U66" s="190">
        <f>IF(10000=0,0,(U61*U64*U65)/10000)</f>
        <v>64.805376309565844</v>
      </c>
      <c r="V66" s="218">
        <f>IF(10000=0,0,(V61*V64*V65)/10000)</f>
        <v>0</v>
      </c>
      <c r="W66" s="252"/>
    </row>
    <row r="67" spans="1:23" ht="12.75" customHeight="1">
      <c r="A67" s="259"/>
      <c r="B67" s="259"/>
      <c r="C67" s="259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84"/>
    </row>
    <row r="68" spans="1:23" ht="18" customHeight="1">
      <c r="A68" s="1352" t="s">
        <v>349</v>
      </c>
      <c r="B68" s="1352"/>
      <c r="C68" s="261" t="s">
        <v>350</v>
      </c>
      <c r="D68" s="260"/>
      <c r="E68" s="260"/>
      <c r="F68" s="260"/>
      <c r="G68" s="262" t="s">
        <v>263</v>
      </c>
      <c r="H68" s="262"/>
      <c r="I68" s="262"/>
      <c r="J68" s="262"/>
      <c r="K68" s="260"/>
      <c r="L68" s="260"/>
      <c r="M68" s="260"/>
      <c r="N68" s="262"/>
      <c r="O68" s="260"/>
      <c r="P68" s="262" t="s">
        <v>351</v>
      </c>
      <c r="Q68" s="262"/>
      <c r="R68" s="262"/>
      <c r="S68" s="262"/>
      <c r="T68" s="260"/>
      <c r="U68" s="260"/>
      <c r="V68" s="260"/>
      <c r="W68" s="284"/>
    </row>
    <row r="69" spans="1:23" ht="3.75" customHeight="1">
      <c r="D69" s="263"/>
      <c r="E69" s="263"/>
      <c r="G69" s="263"/>
      <c r="H69" s="263"/>
      <c r="I69" s="263"/>
      <c r="J69" s="263"/>
      <c r="K69" s="263"/>
      <c r="L69" s="263"/>
      <c r="M69" s="262"/>
      <c r="N69" s="263"/>
      <c r="O69" s="263"/>
      <c r="P69" s="280"/>
      <c r="Q69" s="280"/>
      <c r="R69" s="280"/>
      <c r="S69" s="280"/>
      <c r="T69" s="280"/>
      <c r="U69" s="260"/>
      <c r="V69" s="260"/>
      <c r="W69" s="284"/>
    </row>
    <row r="70" spans="1:23" ht="16.5" customHeight="1">
      <c r="B70" s="261"/>
      <c r="C70" s="261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A73" s="259"/>
      <c r="B73" s="259"/>
      <c r="C73" s="259"/>
      <c r="D73" s="1096" t="s">
        <v>70</v>
      </c>
      <c r="E73" s="260"/>
      <c r="F73" s="260"/>
      <c r="G73" s="260"/>
      <c r="H73" s="260"/>
      <c r="I73" s="260"/>
      <c r="J73" s="260"/>
      <c r="K73" s="260"/>
      <c r="L73" s="260"/>
      <c r="M73" s="1096" t="s">
        <v>73</v>
      </c>
      <c r="N73" s="260"/>
      <c r="O73" s="260"/>
      <c r="P73" s="260"/>
      <c r="Q73" s="260"/>
      <c r="R73" s="260"/>
      <c r="S73" s="260"/>
      <c r="T73" s="260"/>
      <c r="U73" s="260"/>
      <c r="V73" s="260"/>
      <c r="W73" s="284"/>
    </row>
    <row r="74" spans="1:23">
      <c r="B74" s="259"/>
      <c r="C74" s="1097"/>
      <c r="D74" s="1098" t="s">
        <v>51</v>
      </c>
      <c r="E74" s="1098" t="s">
        <v>50</v>
      </c>
      <c r="F74" s="260"/>
      <c r="G74" s="260"/>
      <c r="H74" s="260"/>
      <c r="I74" s="260"/>
      <c r="J74" s="260"/>
      <c r="K74" s="260"/>
      <c r="M74" s="1098" t="s">
        <v>51</v>
      </c>
      <c r="N74" s="1098" t="s">
        <v>50</v>
      </c>
      <c r="O74" s="260"/>
      <c r="P74" s="260"/>
      <c r="Q74" s="260"/>
      <c r="R74" s="260"/>
      <c r="S74" s="260"/>
      <c r="T74" s="260"/>
      <c r="U74" s="260"/>
    </row>
    <row r="75" spans="1:23">
      <c r="A75" s="259"/>
      <c r="B75" s="259"/>
      <c r="C75" s="259"/>
      <c r="D75" s="1099">
        <f>5536+845</f>
        <v>6381</v>
      </c>
      <c r="E75" s="1099">
        <f>5757+872</f>
        <v>6629</v>
      </c>
      <c r="F75" s="264">
        <f>8/E75</f>
        <v>1.2068185246643535E-3</v>
      </c>
      <c r="G75" s="260"/>
      <c r="H75" s="260"/>
      <c r="I75" s="260"/>
      <c r="J75" s="260"/>
      <c r="K75" s="260"/>
      <c r="L75" s="260"/>
      <c r="M75" s="1099">
        <v>6604</v>
      </c>
      <c r="N75" s="1099">
        <v>6922</v>
      </c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912"/>
      <c r="E76" s="265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5"/>
      <c r="E77" s="265"/>
      <c r="F77" s="260"/>
      <c r="G77" s="260"/>
      <c r="H77" s="260"/>
      <c r="I77" s="260"/>
      <c r="J77" s="260"/>
      <c r="K77" s="260"/>
      <c r="L77" s="260"/>
      <c r="M77" s="1096" t="s">
        <v>368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098" t="s">
        <v>51</v>
      </c>
      <c r="N78" s="1098" t="s">
        <v>50</v>
      </c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1135"/>
      <c r="N79" s="1135"/>
      <c r="O79" s="281" t="e">
        <f>M79/N79</f>
        <v>#DIV/0!</v>
      </c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 ht="28" thickBot="1">
      <c r="A82" s="266" t="s">
        <v>353</v>
      </c>
      <c r="B82" s="267"/>
      <c r="C82" s="268"/>
      <c r="D82" s="269"/>
      <c r="E82" s="270" t="s">
        <v>354</v>
      </c>
      <c r="F82" s="270"/>
      <c r="G82" s="270"/>
      <c r="H82" s="270"/>
      <c r="I82" s="270"/>
      <c r="J82" s="270"/>
      <c r="K82" s="270"/>
      <c r="L82" s="282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71">
        <v>1</v>
      </c>
      <c r="B83" s="272" t="s">
        <v>223</v>
      </c>
      <c r="C83" s="273"/>
      <c r="D83" s="274"/>
      <c r="E83" s="275" t="s">
        <v>355</v>
      </c>
      <c r="F83" s="275"/>
      <c r="G83" s="275"/>
      <c r="H83" s="275"/>
      <c r="I83" s="275"/>
      <c r="J83" s="275"/>
      <c r="K83" s="275"/>
      <c r="L83" s="28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2</v>
      </c>
      <c r="B84" s="1101" t="s">
        <v>339</v>
      </c>
      <c r="C84" s="1102"/>
      <c r="D84" s="1103"/>
      <c r="E84" s="1104" t="s">
        <v>227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3</v>
      </c>
      <c r="B85" s="1101" t="s">
        <v>340</v>
      </c>
      <c r="C85" s="1102"/>
      <c r="D85" s="1103"/>
      <c r="E85" s="1104" t="s">
        <v>230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4</v>
      </c>
      <c r="B86" s="1101" t="s">
        <v>356</v>
      </c>
      <c r="C86" s="1102"/>
      <c r="D86" s="1103"/>
      <c r="E86" s="1104" t="s">
        <v>357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5</v>
      </c>
      <c r="B87" s="1101" t="s">
        <v>358</v>
      </c>
      <c r="C87" s="1102"/>
      <c r="D87" s="1103"/>
      <c r="E87" s="1104" t="s">
        <v>359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6</v>
      </c>
      <c r="B88" s="1101" t="s">
        <v>360</v>
      </c>
      <c r="C88" s="1102"/>
      <c r="D88" s="1103"/>
      <c r="E88" s="1104" t="s">
        <v>236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7</v>
      </c>
      <c r="B89" s="1101" t="s">
        <v>344</v>
      </c>
      <c r="C89" s="1102"/>
      <c r="D89" s="1103"/>
      <c r="E89" s="1104" t="s">
        <v>240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8</v>
      </c>
      <c r="B90" s="1101" t="s">
        <v>361</v>
      </c>
      <c r="C90" s="1102"/>
      <c r="D90" s="1103"/>
      <c r="E90" s="1104" t="s">
        <v>243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9</v>
      </c>
      <c r="B91" s="1101" t="s">
        <v>362</v>
      </c>
      <c r="C91" s="1102"/>
      <c r="D91" s="1103"/>
      <c r="E91" s="1104" t="s">
        <v>246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10</v>
      </c>
      <c r="B92" s="1101" t="s">
        <v>347</v>
      </c>
      <c r="C92" s="1102"/>
      <c r="D92" s="1103"/>
      <c r="E92" s="1104" t="s">
        <v>363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11</v>
      </c>
      <c r="B93" s="1105" t="s">
        <v>254</v>
      </c>
      <c r="C93" s="1102"/>
      <c r="D93" s="1103"/>
      <c r="E93" s="1104" t="s">
        <v>364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 ht="28" thickBot="1">
      <c r="A94" s="1106">
        <v>12</v>
      </c>
      <c r="B94" s="1107" t="s">
        <v>348</v>
      </c>
      <c r="C94" s="276"/>
      <c r="D94" s="277"/>
      <c r="E94" s="1108" t="s">
        <v>365</v>
      </c>
      <c r="F94" s="1108"/>
      <c r="G94" s="1108"/>
      <c r="H94" s="1108"/>
      <c r="I94" s="1108"/>
      <c r="J94" s="1108"/>
      <c r="K94" s="1108"/>
      <c r="L94" s="1109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34" s="134" customFormat="1">
      <c r="D110" s="278"/>
      <c r="E110" s="278"/>
      <c r="F110" s="278"/>
      <c r="G110" s="279"/>
      <c r="H110" s="279"/>
      <c r="I110" s="279"/>
      <c r="J110" s="279"/>
      <c r="K110" s="279"/>
      <c r="L110" s="278"/>
      <c r="M110" s="278"/>
      <c r="N110" s="278"/>
      <c r="O110" s="278"/>
      <c r="P110" s="279"/>
      <c r="Q110" s="279"/>
      <c r="R110" s="279"/>
      <c r="S110" s="279"/>
      <c r="T110" s="279"/>
      <c r="U110" s="279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34" s="134" customFormat="1"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50:J50"/>
    <mergeCell ref="A68:B68"/>
    <mergeCell ref="T14:U14"/>
    <mergeCell ref="D47:J47"/>
    <mergeCell ref="D48:J48"/>
    <mergeCell ref="N48:V48"/>
    <mergeCell ref="D49:J49"/>
    <mergeCell ref="N49:V49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79" orientation="landscape" verticalDpi="36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2FA8-B92E-4272-98AA-2FE4351BD251}">
  <sheetPr codeName="Sheet20">
    <tabColor rgb="FFFFFF00"/>
    <pageSetUpPr fitToPage="1"/>
  </sheetPr>
  <dimension ref="A1:IV124"/>
  <sheetViews>
    <sheetView showGridLines="0" topLeftCell="A22" zoomScale="87" zoomScaleNormal="87" zoomScaleSheetLayoutView="70" workbookViewId="0">
      <selection activeCell="D60" sqref="D60"/>
    </sheetView>
  </sheetViews>
  <sheetFormatPr defaultColWidth="7" defaultRowHeight="27.5"/>
  <cols>
    <col min="1" max="1" width="7.83203125" style="135" customWidth="1"/>
    <col min="2" max="2" width="26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244582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L56</f>
        <v>0</v>
      </c>
      <c r="AC4" s="256">
        <f>L57</f>
        <v>0</v>
      </c>
      <c r="AD4" s="256">
        <f>L58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3530</v>
      </c>
      <c r="AB5" s="256">
        <f>U56</f>
        <v>3436</v>
      </c>
      <c r="AC5" s="256">
        <f>U57</f>
        <v>256.66666666666669</v>
      </c>
      <c r="AD5" s="256">
        <f>U58</f>
        <v>2364.3333333333335</v>
      </c>
      <c r="AE5" s="256">
        <f>U21</f>
        <v>94</v>
      </c>
      <c r="AF5" s="256">
        <f>U26</f>
        <v>815.00000000000011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650</v>
      </c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>
        <v>2.0833333333333332E-2</v>
      </c>
      <c r="N6" s="145">
        <v>0.22916666666666666</v>
      </c>
      <c r="O6" s="146">
        <f t="shared" ref="O6:O12" si="1">(N6-M6+(N6&lt;M6))*1440</f>
        <v>300</v>
      </c>
      <c r="P6" s="1408">
        <v>603</v>
      </c>
      <c r="Q6" s="1408"/>
      <c r="R6" s="1409">
        <v>500</v>
      </c>
      <c r="S6" s="1408"/>
      <c r="T6" s="1421">
        <f>P6-R6</f>
        <v>103</v>
      </c>
      <c r="U6" s="1421"/>
      <c r="V6" s="224">
        <f t="shared" ref="V6:V13" si="2">F6+O6</f>
        <v>300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>
        <v>0.8125</v>
      </c>
      <c r="N7" s="145">
        <v>0.21875</v>
      </c>
      <c r="O7" s="146">
        <f t="shared" si="1"/>
        <v>585</v>
      </c>
      <c r="P7" s="1398">
        <v>1060</v>
      </c>
      <c r="Q7" s="1398"/>
      <c r="R7" s="1398">
        <v>960</v>
      </c>
      <c r="S7" s="1398"/>
      <c r="T7" s="1399">
        <f t="shared" ref="T7:T13" si="3">P7-R7</f>
        <v>100</v>
      </c>
      <c r="U7" s="1399"/>
      <c r="V7" s="224">
        <f t="shared" si="2"/>
        <v>585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si="0"/>
        <v>0</v>
      </c>
      <c r="L8" s="1397"/>
      <c r="M8" s="145">
        <v>0.83333333333333337</v>
      </c>
      <c r="N8" s="145">
        <v>0.21527777777777779</v>
      </c>
      <c r="O8" s="146">
        <f t="shared" si="1"/>
        <v>550</v>
      </c>
      <c r="P8" s="1398">
        <v>1070</v>
      </c>
      <c r="Q8" s="1398"/>
      <c r="R8" s="1398">
        <v>892</v>
      </c>
      <c r="S8" s="1398"/>
      <c r="T8" s="1399">
        <f t="shared" si="3"/>
        <v>178</v>
      </c>
      <c r="U8" s="1399"/>
      <c r="V8" s="224">
        <f t="shared" si="2"/>
        <v>550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0"/>
        <v>0</v>
      </c>
      <c r="L9" s="1397"/>
      <c r="M9" s="145">
        <v>0.80555555555555547</v>
      </c>
      <c r="N9" s="145">
        <v>0.20833333333333334</v>
      </c>
      <c r="O9" s="146">
        <f t="shared" si="1"/>
        <v>580.00000000000023</v>
      </c>
      <c r="P9" s="1398">
        <v>1310</v>
      </c>
      <c r="Q9" s="1398"/>
      <c r="R9" s="1398">
        <v>1220</v>
      </c>
      <c r="S9" s="1398"/>
      <c r="T9" s="1399">
        <f t="shared" si="3"/>
        <v>90</v>
      </c>
      <c r="U9" s="1399"/>
      <c r="V9" s="224">
        <f t="shared" si="2"/>
        <v>580.00000000000023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>
        <v>0.80902777777777779</v>
      </c>
      <c r="N10" s="145">
        <v>0.21527777777777779</v>
      </c>
      <c r="O10" s="146">
        <f t="shared" si="1"/>
        <v>585</v>
      </c>
      <c r="P10" s="1398">
        <v>1321</v>
      </c>
      <c r="Q10" s="1398"/>
      <c r="R10" s="1398">
        <v>1221</v>
      </c>
      <c r="S10" s="1398"/>
      <c r="T10" s="1399">
        <f t="shared" si="3"/>
        <v>100</v>
      </c>
      <c r="U10" s="1399"/>
      <c r="V10" s="224">
        <f t="shared" si="2"/>
        <v>585</v>
      </c>
      <c r="W10" s="909"/>
    </row>
    <row r="11" spans="1:256" ht="18.75" customHeight="1">
      <c r="A11" s="142" t="s">
        <v>296</v>
      </c>
      <c r="B11" s="910" t="s">
        <v>649</v>
      </c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>
        <v>0.97222222222222221</v>
      </c>
      <c r="N11" s="145">
        <v>0.21875</v>
      </c>
      <c r="O11" s="146">
        <f t="shared" si="1"/>
        <v>355</v>
      </c>
      <c r="P11" s="1398">
        <v>843</v>
      </c>
      <c r="Q11" s="1398"/>
      <c r="R11" s="1398">
        <v>750</v>
      </c>
      <c r="S11" s="1398"/>
      <c r="T11" s="1399">
        <f t="shared" si="3"/>
        <v>93</v>
      </c>
      <c r="U11" s="1399"/>
      <c r="V11" s="224">
        <f t="shared" si="2"/>
        <v>355</v>
      </c>
      <c r="W11" s="909"/>
    </row>
    <row r="12" spans="1:256" ht="18.75" customHeight="1">
      <c r="A12" s="142" t="s">
        <v>297</v>
      </c>
      <c r="B12" s="910" t="s">
        <v>725</v>
      </c>
      <c r="C12" s="91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>
        <v>0.80902777777777779</v>
      </c>
      <c r="N12" s="145">
        <v>0.20833333333333334</v>
      </c>
      <c r="O12" s="146">
        <f t="shared" si="1"/>
        <v>575</v>
      </c>
      <c r="P12" s="1398">
        <v>1656</v>
      </c>
      <c r="Q12" s="1398"/>
      <c r="R12" s="1398">
        <v>1550</v>
      </c>
      <c r="S12" s="1398"/>
      <c r="T12" s="1399">
        <f t="shared" si="3"/>
        <v>106</v>
      </c>
      <c r="U12" s="1399"/>
      <c r="V12" s="224">
        <f t="shared" si="2"/>
        <v>575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2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>
        <f>AVERAGE(M6:M13)</f>
        <v>0.7232142857142857</v>
      </c>
      <c r="N14" s="199">
        <f>AVERAGE(N6:N13)</f>
        <v>0.21626984126984125</v>
      </c>
      <c r="O14" s="200">
        <f>SUM(O6:O13)</f>
        <v>3530</v>
      </c>
      <c r="P14" s="1392">
        <f>SUM(P6:P13)</f>
        <v>7863</v>
      </c>
      <c r="Q14" s="1393"/>
      <c r="R14" s="1392">
        <f>SUM(R6:R13)</f>
        <v>7093</v>
      </c>
      <c r="S14" s="1393"/>
      <c r="T14" s="1392">
        <f>SUM(T6:T13)</f>
        <v>770</v>
      </c>
      <c r="U14" s="1393"/>
      <c r="V14" s="228">
        <f>SUM(V6:V13)</f>
        <v>3530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4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5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4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5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4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5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4"/>
        <v>0</v>
      </c>
      <c r="M19" s="1070">
        <f>2+8</f>
        <v>10</v>
      </c>
      <c r="N19" s="1059">
        <f>15</f>
        <v>15</v>
      </c>
      <c r="O19" s="1070">
        <f>8+9</f>
        <v>17</v>
      </c>
      <c r="P19" s="1070">
        <f>20</f>
        <v>20</v>
      </c>
      <c r="Q19" s="1070">
        <f>17</f>
        <v>17</v>
      </c>
      <c r="R19" s="1070">
        <v>6</v>
      </c>
      <c r="S19" s="1070">
        <f>9</f>
        <v>9</v>
      </c>
      <c r="T19" s="1070"/>
      <c r="U19" s="1113">
        <f t="shared" si="5"/>
        <v>94</v>
      </c>
      <c r="V19" s="1114">
        <f>L19+U19</f>
        <v>94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4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5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6">SUM(D16:D20)</f>
        <v>0</v>
      </c>
      <c r="E21" s="165">
        <f t="shared" si="6"/>
        <v>0</v>
      </c>
      <c r="F21" s="165">
        <f t="shared" si="6"/>
        <v>0</v>
      </c>
      <c r="G21" s="165">
        <f t="shared" si="6"/>
        <v>0</v>
      </c>
      <c r="H21" s="165">
        <f t="shared" si="6"/>
        <v>0</v>
      </c>
      <c r="I21" s="165">
        <f t="shared" si="6"/>
        <v>0</v>
      </c>
      <c r="J21" s="165">
        <f t="shared" si="6"/>
        <v>0</v>
      </c>
      <c r="K21" s="165">
        <f t="shared" si="6"/>
        <v>0</v>
      </c>
      <c r="L21" s="206">
        <f t="shared" si="4"/>
        <v>0</v>
      </c>
      <c r="M21" s="165">
        <f t="shared" ref="M21:T21" si="7">SUM(M16:M20)</f>
        <v>10</v>
      </c>
      <c r="N21" s="165">
        <f t="shared" si="7"/>
        <v>15</v>
      </c>
      <c r="O21" s="165">
        <f t="shared" si="7"/>
        <v>17</v>
      </c>
      <c r="P21" s="165">
        <f t="shared" si="7"/>
        <v>20</v>
      </c>
      <c r="Q21" s="165">
        <f t="shared" si="7"/>
        <v>17</v>
      </c>
      <c r="R21" s="165">
        <f t="shared" si="7"/>
        <v>6</v>
      </c>
      <c r="S21" s="165">
        <f t="shared" si="7"/>
        <v>9</v>
      </c>
      <c r="T21" s="165">
        <f t="shared" si="7"/>
        <v>0</v>
      </c>
      <c r="U21" s="165">
        <f t="shared" si="5"/>
        <v>94</v>
      </c>
      <c r="V21" s="1117">
        <f>L21+U21</f>
        <v>94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>
        <v>8</v>
      </c>
      <c r="N23" s="160">
        <v>5</v>
      </c>
      <c r="O23" s="160">
        <v>5</v>
      </c>
      <c r="P23" s="160"/>
      <c r="Q23" s="160">
        <v>5</v>
      </c>
      <c r="R23" s="160"/>
      <c r="S23" s="160"/>
      <c r="T23" s="160"/>
      <c r="U23" s="238">
        <f>SUM(M23:T23)</f>
        <v>23</v>
      </c>
      <c r="V23" s="1112">
        <f>L23+U23</f>
        <v>23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>
        <f>1+6+9+10+6+2</f>
        <v>34</v>
      </c>
      <c r="N24" s="1119">
        <f>5+14+6+14+4+7+2+6+9+4+6+6+2</f>
        <v>85</v>
      </c>
      <c r="O24" s="1119">
        <f>6+14+4+7+2+6+9+10+6+2+5</f>
        <v>71</v>
      </c>
      <c r="P24" s="1119">
        <f>14+6+10+4+4+7+2+6+9+10+6+2+8</f>
        <v>88</v>
      </c>
      <c r="Q24" s="1251">
        <f>14+6+14+4+7+2+6+9+10+6+2+8</f>
        <v>88</v>
      </c>
      <c r="R24" s="1119">
        <v>6</v>
      </c>
      <c r="S24" s="1119">
        <f>12+10+8+5+3+13+3</f>
        <v>54</v>
      </c>
      <c r="T24" s="1119"/>
      <c r="U24" s="1120">
        <f>SUM(M24:T24)</f>
        <v>426</v>
      </c>
      <c r="V24" s="1112">
        <f>L24+U24</f>
        <v>426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$F6-D$57-D$58-D$21-D$23-D$24-D$34-D$43</f>
        <v>0</v>
      </c>
      <c r="E25" s="171">
        <f>$F7-E$57-E$58-E$21-E$23-E$24-E$34-E$43</f>
        <v>0</v>
      </c>
      <c r="F25" s="171">
        <f>$F8-F$57-F$58-F$21-F$23-F$24-F$34-F$43</f>
        <v>0</v>
      </c>
      <c r="G25" s="171">
        <f>$F9-G$57-G$58-G$21-G$23-G$24-G$34-G$43</f>
        <v>0</v>
      </c>
      <c r="H25" s="171">
        <f>$F10-H$57-H$58-H$21-H$23-H$24-H$34-H$43</f>
        <v>0</v>
      </c>
      <c r="I25" s="171">
        <f>$F11-I$57-I$58-I$21-I$23-I$24-I$34-I$43</f>
        <v>0</v>
      </c>
      <c r="J25" s="171">
        <f>$F12-J$57-J$58-J$21-J$23-J$24-J$34-J$43</f>
        <v>0</v>
      </c>
      <c r="K25" s="171">
        <f>$F13-K$57-K$58-K$21-K$23-K$24-K$34-K$43</f>
        <v>0</v>
      </c>
      <c r="L25" s="209">
        <f>SUM(D25:K25)</f>
        <v>0</v>
      </c>
      <c r="M25" s="171">
        <f>$O6-M$57-M$58-M$21-M$23-M$24-M$34-M$43</f>
        <v>47.000000000000028</v>
      </c>
      <c r="N25" s="171">
        <f>$O7-N$57-N$58-N$21-N$23-N$24-N$34-N$43</f>
        <v>126.66666666666663</v>
      </c>
      <c r="O25" s="171">
        <f>$O8-O$57-O$58-O$21-O$23-O$24-O$34-O$43</f>
        <v>100.33333333333337</v>
      </c>
      <c r="P25" s="171">
        <f>$O9-P$57-P$58-P$21-P$23-P$24-P$34-P$43</f>
        <v>35.333333333333542</v>
      </c>
      <c r="Q25" s="171">
        <f>$O10-Q$57-Q$58-Q$21-Q$23-Q$24-Q$34-Q$43</f>
        <v>34.666666666666629</v>
      </c>
      <c r="R25" s="171">
        <f>$O11-R$57-R$58-R$21-R$23-R$24-R$34-R$43</f>
        <v>62</v>
      </c>
      <c r="S25" s="171">
        <f>$O12-S$57-S$58-S$21-S$23-S$24-S$34-S$43</f>
        <v>-40</v>
      </c>
      <c r="T25" s="171">
        <f>$O13-T$57-T$58-T$21-T$23-T$24-T$34-T$43</f>
        <v>0</v>
      </c>
      <c r="U25" s="239">
        <f>SUM(M25:T25)</f>
        <v>366.00000000000017</v>
      </c>
      <c r="V25" s="1112">
        <f>L25+U25</f>
        <v>366.00000000000017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8">SUM(E23:E25)</f>
        <v>0</v>
      </c>
      <c r="F26" s="172">
        <f t="shared" si="8"/>
        <v>0</v>
      </c>
      <c r="G26" s="172">
        <f t="shared" si="8"/>
        <v>0</v>
      </c>
      <c r="H26" s="172">
        <f t="shared" si="8"/>
        <v>0</v>
      </c>
      <c r="I26" s="172">
        <f t="shared" si="8"/>
        <v>0</v>
      </c>
      <c r="J26" s="172">
        <f t="shared" si="8"/>
        <v>0</v>
      </c>
      <c r="K26" s="172">
        <f t="shared" si="8"/>
        <v>0</v>
      </c>
      <c r="L26" s="210">
        <f>SUM(D26:K26)</f>
        <v>0</v>
      </c>
      <c r="M26" s="211">
        <f>SUM(M23:M25)</f>
        <v>89.000000000000028</v>
      </c>
      <c r="N26" s="211">
        <f t="shared" ref="N26:T26" si="9">SUM(N23:N25)</f>
        <v>216.66666666666663</v>
      </c>
      <c r="O26" s="211">
        <f t="shared" si="9"/>
        <v>176.33333333333337</v>
      </c>
      <c r="P26" s="211">
        <f t="shared" si="9"/>
        <v>123.33333333333354</v>
      </c>
      <c r="Q26" s="211">
        <f t="shared" si="9"/>
        <v>127.66666666666663</v>
      </c>
      <c r="R26" s="211">
        <f t="shared" si="9"/>
        <v>68</v>
      </c>
      <c r="S26" s="211">
        <f t="shared" si="9"/>
        <v>14</v>
      </c>
      <c r="T26" s="211">
        <f t="shared" si="9"/>
        <v>0</v>
      </c>
      <c r="U26" s="240">
        <f>SUM(M26:T26)</f>
        <v>815.00000000000011</v>
      </c>
      <c r="V26" s="210">
        <f>L26+U26</f>
        <v>815.00000000000011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0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1">SUM(M28:T28)</f>
        <v>0</v>
      </c>
      <c r="V28" s="243">
        <f t="shared" ref="V28:V34" si="12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0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1"/>
        <v>0</v>
      </c>
      <c r="V29" s="244">
        <f t="shared" si="12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0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1"/>
        <v>0</v>
      </c>
      <c r="V30" s="1112">
        <f t="shared" si="12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0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1"/>
        <v>0</v>
      </c>
      <c r="V31" s="1112">
        <f t="shared" si="12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0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1"/>
        <v>0</v>
      </c>
      <c r="V32" s="1112">
        <f t="shared" si="12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0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1"/>
        <v>0</v>
      </c>
      <c r="V33" s="1112">
        <f t="shared" si="12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3">SUM(D28:D33)</f>
        <v>0</v>
      </c>
      <c r="E34" s="175">
        <f t="shared" si="13"/>
        <v>0</v>
      </c>
      <c r="F34" s="176">
        <f t="shared" si="13"/>
        <v>0</v>
      </c>
      <c r="G34" s="176">
        <f t="shared" si="13"/>
        <v>0</v>
      </c>
      <c r="H34" s="176">
        <f t="shared" si="13"/>
        <v>0</v>
      </c>
      <c r="I34" s="176">
        <f t="shared" si="13"/>
        <v>0</v>
      </c>
      <c r="J34" s="176">
        <f t="shared" si="13"/>
        <v>0</v>
      </c>
      <c r="K34" s="176">
        <f t="shared" si="13"/>
        <v>0</v>
      </c>
      <c r="L34" s="213">
        <f t="shared" si="10"/>
        <v>0</v>
      </c>
      <c r="M34" s="175">
        <f t="shared" ref="M34:T34" si="14">SUM(M28:M33)</f>
        <v>0</v>
      </c>
      <c r="N34" s="176">
        <f t="shared" si="14"/>
        <v>0</v>
      </c>
      <c r="O34" s="176">
        <f t="shared" si="14"/>
        <v>0</v>
      </c>
      <c r="P34" s="176">
        <f t="shared" si="14"/>
        <v>0</v>
      </c>
      <c r="Q34" s="176">
        <f t="shared" si="14"/>
        <v>0</v>
      </c>
      <c r="R34" s="176">
        <f t="shared" si="14"/>
        <v>0</v>
      </c>
      <c r="S34" s="176">
        <f t="shared" si="14"/>
        <v>0</v>
      </c>
      <c r="T34" s="176">
        <f t="shared" si="14"/>
        <v>0</v>
      </c>
      <c r="U34" s="246">
        <f t="shared" si="11"/>
        <v>0</v>
      </c>
      <c r="V34" s="213">
        <f t="shared" si="12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5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6">SUM(M36:T36)</f>
        <v>0</v>
      </c>
      <c r="V36" s="243">
        <f t="shared" ref="V36:V43" si="17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5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6"/>
        <v>0</v>
      </c>
      <c r="V37" s="1114">
        <f t="shared" si="17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5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6"/>
        <v>0</v>
      </c>
      <c r="V38" s="1114">
        <f t="shared" si="17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5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6"/>
        <v>0</v>
      </c>
      <c r="V39" s="1114">
        <f t="shared" si="17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5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6"/>
        <v>0</v>
      </c>
      <c r="V40" s="1114">
        <f t="shared" si="17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5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6"/>
        <v>0</v>
      </c>
      <c r="V41" s="1114">
        <f t="shared" si="17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5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6"/>
        <v>0</v>
      </c>
      <c r="V42" s="1114">
        <f t="shared" si="17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8">SUM(D36:D42)</f>
        <v>0</v>
      </c>
      <c r="E43" s="177">
        <f t="shared" si="18"/>
        <v>0</v>
      </c>
      <c r="F43" s="177">
        <f t="shared" si="18"/>
        <v>0</v>
      </c>
      <c r="G43" s="177">
        <f t="shared" si="18"/>
        <v>0</v>
      </c>
      <c r="H43" s="177">
        <f t="shared" si="18"/>
        <v>0</v>
      </c>
      <c r="I43" s="177">
        <f t="shared" si="18"/>
        <v>0</v>
      </c>
      <c r="J43" s="177">
        <f t="shared" si="18"/>
        <v>0</v>
      </c>
      <c r="K43" s="177">
        <f t="shared" si="18"/>
        <v>0</v>
      </c>
      <c r="L43" s="213">
        <f t="shared" si="15"/>
        <v>0</v>
      </c>
      <c r="M43" s="177">
        <f t="shared" ref="M43:T43" si="19">SUM(M36:M42)</f>
        <v>0</v>
      </c>
      <c r="N43" s="177">
        <f t="shared" si="19"/>
        <v>0</v>
      </c>
      <c r="O43" s="177">
        <f t="shared" si="19"/>
        <v>0</v>
      </c>
      <c r="P43" s="177">
        <f t="shared" si="19"/>
        <v>0</v>
      </c>
      <c r="Q43" s="177">
        <f t="shared" si="19"/>
        <v>0</v>
      </c>
      <c r="R43" s="177">
        <f t="shared" si="19"/>
        <v>0</v>
      </c>
      <c r="S43" s="177">
        <f t="shared" si="19"/>
        <v>0</v>
      </c>
      <c r="T43" s="177">
        <f t="shared" si="19"/>
        <v>0</v>
      </c>
      <c r="U43" s="165">
        <f t="shared" si="16"/>
        <v>0</v>
      </c>
      <c r="V43" s="213">
        <f t="shared" si="17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49"/>
      <c r="E47" s="1350"/>
      <c r="F47" s="1350"/>
      <c r="G47" s="1350"/>
      <c r="H47" s="1350"/>
      <c r="I47" s="1350"/>
      <c r="J47" s="1351"/>
      <c r="K47" s="1059"/>
      <c r="L47" s="1069"/>
      <c r="M47" s="1070"/>
      <c r="N47" s="1349"/>
      <c r="O47" s="1350"/>
      <c r="P47" s="1350"/>
      <c r="Q47" s="1350"/>
      <c r="R47" s="1350"/>
      <c r="S47" s="1350"/>
      <c r="T47" s="1350"/>
      <c r="U47" s="1350"/>
      <c r="V47" s="1426"/>
      <c r="W47" s="250"/>
    </row>
    <row r="48" spans="1:23" ht="15" customHeight="1">
      <c r="A48" s="1058"/>
      <c r="B48" s="1066"/>
      <c r="C48" s="1216"/>
      <c r="D48" s="1217"/>
      <c r="E48" s="1212"/>
      <c r="F48" s="1212"/>
      <c r="G48" s="1212"/>
      <c r="H48" s="1212"/>
      <c r="I48" s="1212"/>
      <c r="J48" s="1213"/>
      <c r="K48" s="1059"/>
      <c r="L48" s="1069"/>
      <c r="M48" s="1070"/>
      <c r="N48" s="1214"/>
      <c r="O48" s="1212"/>
      <c r="P48" s="1212"/>
      <c r="Q48" s="1212"/>
      <c r="R48" s="1212"/>
      <c r="S48" s="1212"/>
      <c r="T48" s="1212"/>
      <c r="U48" s="1212"/>
      <c r="V48" s="1215"/>
      <c r="W48" s="250"/>
    </row>
    <row r="49" spans="1:25" ht="15" customHeight="1">
      <c r="A49" s="1058"/>
      <c r="B49" s="1039"/>
      <c r="C49" s="1123"/>
      <c r="D49" s="1349"/>
      <c r="E49" s="1350"/>
      <c r="F49" s="1350"/>
      <c r="G49" s="1350"/>
      <c r="H49" s="1350"/>
      <c r="I49" s="1350"/>
      <c r="J49" s="1351"/>
      <c r="K49" s="1059"/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124"/>
      <c r="D50" s="1077"/>
      <c r="E50" s="1063"/>
      <c r="F50" s="1063"/>
      <c r="G50" s="1063"/>
      <c r="H50" s="1063"/>
      <c r="I50" s="1063"/>
      <c r="J50" s="1063"/>
      <c r="K50" s="1059"/>
      <c r="L50" s="1069"/>
      <c r="M50" s="1070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4"/>
      <c r="D51" s="1218"/>
      <c r="E51" s="1063"/>
      <c r="F51" s="1063"/>
      <c r="G51" s="1063"/>
      <c r="H51" s="1063"/>
      <c r="I51" s="1063"/>
      <c r="J51" s="1063"/>
      <c r="K51" s="1059"/>
      <c r="L51" s="1069"/>
      <c r="M51" s="1070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>
      <c r="A52" s="1075"/>
      <c r="B52" s="1078"/>
      <c r="C52" s="1123"/>
      <c r="D52" s="1079"/>
      <c r="E52" s="1063"/>
      <c r="F52" s="1063"/>
      <c r="G52" s="1063"/>
      <c r="H52" s="1063"/>
      <c r="I52" s="1063"/>
      <c r="J52" s="1063"/>
      <c r="K52" s="1059"/>
      <c r="L52" s="1069"/>
      <c r="M52" s="1072"/>
      <c r="N52" s="1063"/>
      <c r="O52" s="1074"/>
      <c r="P52" s="1063"/>
      <c r="Q52" s="1063"/>
      <c r="R52" s="1063"/>
      <c r="S52" s="1063"/>
      <c r="T52" s="1063"/>
      <c r="U52" s="1063"/>
      <c r="V52" s="1064"/>
      <c r="W52" s="250"/>
    </row>
    <row r="53" spans="1:25" ht="15" customHeight="1">
      <c r="A53" s="1075"/>
      <c r="B53" s="1078"/>
      <c r="C53" s="1123"/>
      <c r="D53" s="1079"/>
      <c r="E53" s="1063"/>
      <c r="F53" s="1063"/>
      <c r="G53" s="1063"/>
      <c r="H53" s="1063"/>
      <c r="I53" s="1063"/>
      <c r="J53" s="1063"/>
      <c r="K53" s="1059"/>
      <c r="L53" s="1069"/>
      <c r="M53" s="1062"/>
      <c r="N53" s="1063"/>
      <c r="O53" s="1074"/>
      <c r="P53" s="1063"/>
      <c r="Q53" s="1063"/>
      <c r="R53" s="1063"/>
      <c r="S53" s="1063"/>
      <c r="T53" s="1063"/>
      <c r="U53" s="1063"/>
      <c r="V53" s="1064"/>
      <c r="W53" s="250"/>
    </row>
    <row r="54" spans="1:25" ht="15" customHeight="1" thickBot="1">
      <c r="A54" s="1080"/>
      <c r="B54" s="1081"/>
      <c r="C54" s="1125"/>
      <c r="D54" s="1082"/>
      <c r="E54" s="1083"/>
      <c r="F54" s="1083"/>
      <c r="G54" s="1083"/>
      <c r="H54" s="1083"/>
      <c r="I54" s="1083"/>
      <c r="J54" s="1083"/>
      <c r="K54" s="1084"/>
      <c r="L54" s="1084"/>
      <c r="M54" s="1126"/>
      <c r="N54" s="216"/>
      <c r="O54" s="1127"/>
      <c r="P54" s="1083"/>
      <c r="Q54" s="1083"/>
      <c r="R54" s="1083"/>
      <c r="S54" s="1083"/>
      <c r="T54" s="1083"/>
      <c r="U54" s="1083"/>
      <c r="V54" s="1128"/>
      <c r="W54" s="250"/>
    </row>
    <row r="55" spans="1:25" ht="18" customHeight="1" thickBot="1">
      <c r="A55" s="183" t="s">
        <v>337</v>
      </c>
      <c r="B55" s="184" t="s">
        <v>338</v>
      </c>
      <c r="C55" s="184"/>
      <c r="D55" s="166" t="s">
        <v>300</v>
      </c>
      <c r="E55" s="166" t="s">
        <v>301</v>
      </c>
      <c r="F55" s="166" t="s">
        <v>302</v>
      </c>
      <c r="G55" s="166" t="s">
        <v>303</v>
      </c>
      <c r="H55" s="166" t="s">
        <v>304</v>
      </c>
      <c r="I55" s="166" t="s">
        <v>305</v>
      </c>
      <c r="J55" s="166" t="s">
        <v>306</v>
      </c>
      <c r="K55" s="166" t="s">
        <v>307</v>
      </c>
      <c r="L55" s="207" t="s">
        <v>173</v>
      </c>
      <c r="M55" s="166" t="s">
        <v>300</v>
      </c>
      <c r="N55" s="166" t="s">
        <v>301</v>
      </c>
      <c r="O55" s="166" t="s">
        <v>302</v>
      </c>
      <c r="P55" s="166" t="s">
        <v>303</v>
      </c>
      <c r="Q55" s="166" t="s">
        <v>304</v>
      </c>
      <c r="R55" s="166" t="s">
        <v>305</v>
      </c>
      <c r="S55" s="166" t="s">
        <v>306</v>
      </c>
      <c r="T55" s="166" t="s">
        <v>307</v>
      </c>
      <c r="U55" s="166" t="s">
        <v>173</v>
      </c>
      <c r="V55" s="207" t="s">
        <v>367</v>
      </c>
      <c r="W55" s="231"/>
    </row>
    <row r="56" spans="1:25" ht="18" customHeight="1">
      <c r="A56" s="185">
        <v>1</v>
      </c>
      <c r="B56" s="186" t="s">
        <v>223</v>
      </c>
      <c r="C56" s="158"/>
      <c r="D56" s="187">
        <f>$F6-D$21-D$43-D$34</f>
        <v>0</v>
      </c>
      <c r="E56" s="187">
        <f>$F7-E$21-E$43-E$34</f>
        <v>0</v>
      </c>
      <c r="F56" s="187">
        <f>$F8-F$21-F$43-F$34</f>
        <v>0</v>
      </c>
      <c r="G56" s="187">
        <f>$F9-G$21-G$43-G$34</f>
        <v>0</v>
      </c>
      <c r="H56" s="187">
        <f>$F10-H$21-H$43-H$34</f>
        <v>0</v>
      </c>
      <c r="I56" s="187">
        <f>$F11-I$21-I$43-I$34</f>
        <v>0</v>
      </c>
      <c r="J56" s="187">
        <f>$F12-J$21-J$43-J$34</f>
        <v>0</v>
      </c>
      <c r="K56" s="187">
        <f>$F13-K$21-K$43-K$34</f>
        <v>0</v>
      </c>
      <c r="L56" s="202">
        <f>SUM(D56:K56)</f>
        <v>0</v>
      </c>
      <c r="M56" s="187">
        <f>O6-M21-M43-M34</f>
        <v>290</v>
      </c>
      <c r="N56" s="187">
        <f>O7-N21-N43-N34</f>
        <v>570</v>
      </c>
      <c r="O56" s="187">
        <f>O8-O21-O43-O34</f>
        <v>533</v>
      </c>
      <c r="P56" s="187">
        <f>O9-P21-P43-P34</f>
        <v>560.00000000000023</v>
      </c>
      <c r="Q56" s="187">
        <f>O10-Q21-Q43-Q34</f>
        <v>568</v>
      </c>
      <c r="R56" s="187">
        <f>O11-R21-R43-R34</f>
        <v>349</v>
      </c>
      <c r="S56" s="187">
        <f>O12-S21-S43-S34</f>
        <v>566</v>
      </c>
      <c r="T56" s="187">
        <f>O13-T21-T43-T34</f>
        <v>0</v>
      </c>
      <c r="U56" s="242">
        <f>SUM(M56:T56)</f>
        <v>3436</v>
      </c>
      <c r="V56" s="202">
        <f>L56+U56</f>
        <v>3436</v>
      </c>
      <c r="W56" s="233"/>
    </row>
    <row r="57" spans="1:25" ht="18" customHeight="1">
      <c r="A57" s="1085">
        <v>2</v>
      </c>
      <c r="B57" s="1086" t="s">
        <v>339</v>
      </c>
      <c r="C57" s="1046"/>
      <c r="D57" s="1087">
        <f>$K6/$C6</f>
        <v>0</v>
      </c>
      <c r="E57" s="1087">
        <f>$K7/$C7</f>
        <v>0</v>
      </c>
      <c r="F57" s="1087">
        <f>$K8/$C8</f>
        <v>0</v>
      </c>
      <c r="G57" s="1087">
        <f>$K9/$C9</f>
        <v>0</v>
      </c>
      <c r="H57" s="1087">
        <f>$K10/$C10</f>
        <v>0</v>
      </c>
      <c r="I57" s="1087">
        <f>$K11/$C11</f>
        <v>0</v>
      </c>
      <c r="J57" s="1087">
        <f>$K12/$C12</f>
        <v>0</v>
      </c>
      <c r="K57" s="1087">
        <f>$K13/$C13</f>
        <v>0</v>
      </c>
      <c r="L57" s="1112">
        <f>SUM(D57:K57)</f>
        <v>0</v>
      </c>
      <c r="M57" s="1087">
        <f>T6/C6</f>
        <v>34.333333333333336</v>
      </c>
      <c r="N57" s="1087">
        <f>T7/C7</f>
        <v>33.333333333333336</v>
      </c>
      <c r="O57" s="1087">
        <f>$T$8/$C$8</f>
        <v>59.333333333333336</v>
      </c>
      <c r="P57" s="1087">
        <f>$T$9/$C$9</f>
        <v>30</v>
      </c>
      <c r="Q57" s="1087">
        <f>$T$10/$C$10</f>
        <v>33.333333333333336</v>
      </c>
      <c r="R57" s="1087">
        <f>$T$11/$C$11</f>
        <v>31</v>
      </c>
      <c r="S57" s="1087">
        <f>$T$12/$C$12</f>
        <v>35.333333333333336</v>
      </c>
      <c r="T57" s="1087">
        <f>$T$13/$C$13</f>
        <v>0</v>
      </c>
      <c r="U57" s="1129">
        <f>SUM(M57:T57)</f>
        <v>256.66666666666669</v>
      </c>
      <c r="V57" s="1112">
        <f>L57+U57</f>
        <v>256.66666666666669</v>
      </c>
      <c r="W57" s="233"/>
    </row>
    <row r="58" spans="1:25" ht="18" customHeight="1" thickBot="1">
      <c r="A58" s="1031">
        <v>3</v>
      </c>
      <c r="B58" s="1088" t="s">
        <v>340</v>
      </c>
      <c r="C58" s="1056"/>
      <c r="D58" s="1087">
        <f>$I6/$C6</f>
        <v>0</v>
      </c>
      <c r="E58" s="1087">
        <f>$I7/$C7</f>
        <v>0</v>
      </c>
      <c r="F58" s="1087">
        <f>$I8/$C8</f>
        <v>0</v>
      </c>
      <c r="G58" s="1087">
        <f>$I9/$C9</f>
        <v>0</v>
      </c>
      <c r="H58" s="1087">
        <f>$I10/$C10</f>
        <v>0</v>
      </c>
      <c r="I58" s="1087">
        <f>$I11/$C11</f>
        <v>0</v>
      </c>
      <c r="J58" s="1087">
        <f>$I12/$C12</f>
        <v>0</v>
      </c>
      <c r="K58" s="1087">
        <f>$I13/$C13</f>
        <v>0</v>
      </c>
      <c r="L58" s="1115">
        <f>SUM(D58:K58)</f>
        <v>0</v>
      </c>
      <c r="M58" s="1130">
        <f>R6/C6</f>
        <v>166.66666666666666</v>
      </c>
      <c r="N58" s="1130">
        <f>R7/C7</f>
        <v>320</v>
      </c>
      <c r="O58" s="1130">
        <f>R8/C8</f>
        <v>297.33333333333331</v>
      </c>
      <c r="P58" s="1130">
        <f>R9/C9</f>
        <v>406.66666666666669</v>
      </c>
      <c r="Q58" s="1130">
        <f>R10/C10</f>
        <v>407</v>
      </c>
      <c r="R58" s="1130">
        <f>R11/C11</f>
        <v>250</v>
      </c>
      <c r="S58" s="1130">
        <f>R12/C12</f>
        <v>516.66666666666663</v>
      </c>
      <c r="T58" s="1130">
        <f>R13/C13</f>
        <v>0</v>
      </c>
      <c r="U58" s="1131">
        <f>SUM(M58:T58)</f>
        <v>2364.3333333333335</v>
      </c>
      <c r="V58" s="1115">
        <f>L58+U58</f>
        <v>2364.3333333333335</v>
      </c>
      <c r="W58" s="233"/>
    </row>
    <row r="59" spans="1:25" ht="18" customHeight="1">
      <c r="A59" s="185">
        <v>4</v>
      </c>
      <c r="B59" s="186" t="s">
        <v>341</v>
      </c>
      <c r="C59" s="158"/>
      <c r="D59" s="188">
        <f>IF(F6=0,0,D21/F6*100)</f>
        <v>0</v>
      </c>
      <c r="E59" s="188">
        <f>IF(F7=0,0,E21/F7*100)</f>
        <v>0</v>
      </c>
      <c r="F59" s="188">
        <f>IF(F8=0,0,F21/F8*100)</f>
        <v>0</v>
      </c>
      <c r="G59" s="188">
        <f>IF(F9=0,0,G21/F9*100)</f>
        <v>0</v>
      </c>
      <c r="H59" s="188">
        <f>IF(F10=0,0,H21/F10*100)</f>
        <v>0</v>
      </c>
      <c r="I59" s="188">
        <f>IF(F11=0,0,I21/F11*100)</f>
        <v>0</v>
      </c>
      <c r="J59" s="188">
        <f>IF(F12=0,0,J21/F12*100)</f>
        <v>0</v>
      </c>
      <c r="K59" s="188">
        <f>IF(F13=0,0,K21/F13*100)</f>
        <v>0</v>
      </c>
      <c r="L59" s="217">
        <f>IF(F14=0,0,L21/F14*100)</f>
        <v>0</v>
      </c>
      <c r="M59" s="188">
        <f>IF(O6=0,0,M21/O6*100)</f>
        <v>3.3333333333333335</v>
      </c>
      <c r="N59" s="188">
        <f>IF(O7=0,0,N21/O7*100)</f>
        <v>2.5641025641025639</v>
      </c>
      <c r="O59" s="188">
        <f>IF(O8=0,0,O21/O8*100)</f>
        <v>3.0909090909090908</v>
      </c>
      <c r="P59" s="188">
        <f>IF(O9=0,0,P21/O9*100)</f>
        <v>3.448275862068964</v>
      </c>
      <c r="Q59" s="188">
        <f>IF(O10=0,0,Q21/O10*100)</f>
        <v>2.9059829059829059</v>
      </c>
      <c r="R59" s="188">
        <f>IF(O11=0,0,R21/O11*100)</f>
        <v>1.6901408450704223</v>
      </c>
      <c r="S59" s="188">
        <f>IF(O12=0,0,S21/O12*100)</f>
        <v>1.5652173913043479</v>
      </c>
      <c r="T59" s="188">
        <f>IF(O13=0,0,T21/O13*100)</f>
        <v>0</v>
      </c>
      <c r="U59" s="251">
        <f>IF(O14=0,0,U21/O14*100)</f>
        <v>2.6628895184135977</v>
      </c>
      <c r="V59" s="217">
        <f>IF((F14+O14)=0,0,V21/(F14+O14)*100)</f>
        <v>2.6628895184135977</v>
      </c>
      <c r="W59" s="252"/>
    </row>
    <row r="60" spans="1:25" ht="18" customHeight="1">
      <c r="A60" s="1085">
        <v>5</v>
      </c>
      <c r="B60" s="1086" t="s">
        <v>342</v>
      </c>
      <c r="C60" s="1046"/>
      <c r="D60" s="1090">
        <f>IF(F6=0,0,D34/F6*100)</f>
        <v>0</v>
      </c>
      <c r="E60" s="1090">
        <f>IF(F7=0,0,E34/F7*100)</f>
        <v>0</v>
      </c>
      <c r="F60" s="1090">
        <f>IF(F8=0,0,F34/F8*100)</f>
        <v>0</v>
      </c>
      <c r="G60" s="1090">
        <f>IF(F9=0,0,G34/F9*100)</f>
        <v>0</v>
      </c>
      <c r="H60" s="1090">
        <f>IF(F10=0,0,H34/F10*100)</f>
        <v>0</v>
      </c>
      <c r="I60" s="1090">
        <f>IF(F11=0,0,I34/F11*100)</f>
        <v>0</v>
      </c>
      <c r="J60" s="1090">
        <f>IF(F12=0,0,J34/F12*100)</f>
        <v>0</v>
      </c>
      <c r="K60" s="1090">
        <f>IF(F13=0,0,K34/F13*100)</f>
        <v>0</v>
      </c>
      <c r="L60" s="1132">
        <f>IF(F14=0,0,L34/F14*100)</f>
        <v>0</v>
      </c>
      <c r="M60" s="1090">
        <f>IF(O6=0,0,M34/O6*100)</f>
        <v>0</v>
      </c>
      <c r="N60" s="1090">
        <f>IF(O7=0,0,N34/O7*100)</f>
        <v>0</v>
      </c>
      <c r="O60" s="1090">
        <f>IF(O8=0,0,O34/O8*100)</f>
        <v>0</v>
      </c>
      <c r="P60" s="1090">
        <f>IF(O9=0,0,P34/O9*100)</f>
        <v>0</v>
      </c>
      <c r="Q60" s="1090">
        <f>IF(O10=0,0,Q34/O10*100)</f>
        <v>0</v>
      </c>
      <c r="R60" s="1090">
        <f>IF(O11=0,0,R34/O11*100)</f>
        <v>0</v>
      </c>
      <c r="S60" s="1090">
        <f>IF(O12=0,0,S34/O12*100)</f>
        <v>0</v>
      </c>
      <c r="T60" s="1090">
        <f>IF(O13=0,0,T34/O13*100)</f>
        <v>0</v>
      </c>
      <c r="U60" s="1133">
        <f>IF(O14=0,0,U34/O14*100)</f>
        <v>0</v>
      </c>
      <c r="V60" s="1132">
        <f>IF((F14+O14)=0,0,V34/(F14+O14)*100)</f>
        <v>0</v>
      </c>
      <c r="W60" s="252"/>
      <c r="Y60" s="258">
        <f>SUM(V59:V62)</f>
        <v>99.999999999999986</v>
      </c>
    </row>
    <row r="61" spans="1:25" ht="18" customHeight="1">
      <c r="A61" s="1085">
        <v>6</v>
      </c>
      <c r="B61" s="1086" t="s">
        <v>343</v>
      </c>
      <c r="C61" s="1046"/>
      <c r="D61" s="1090">
        <f>IF(F6=0,0,D43/F6*100)</f>
        <v>0</v>
      </c>
      <c r="E61" s="1090">
        <f>IF(F7=0,0,E43/F7*100)</f>
        <v>0</v>
      </c>
      <c r="F61" s="1090">
        <f>IF(F8=0,0,F43/F8*100)</f>
        <v>0</v>
      </c>
      <c r="G61" s="1090">
        <f>IF(F9=0,0,G43/F9*100)</f>
        <v>0</v>
      </c>
      <c r="H61" s="1090">
        <f>IF(F10=0,0,H43/F10*100)</f>
        <v>0</v>
      </c>
      <c r="I61" s="1090">
        <f>IF(F11=0,0,I43/F11*100)</f>
        <v>0</v>
      </c>
      <c r="J61" s="1090">
        <f>IF(F12=0,0,J43/F12*100)</f>
        <v>0</v>
      </c>
      <c r="K61" s="1090">
        <f>IF(F13=0,0,K43/F13*100)</f>
        <v>0</v>
      </c>
      <c r="L61" s="1132">
        <f>IF(F14=0,0,L43/F14*100)</f>
        <v>0</v>
      </c>
      <c r="M61" s="1090">
        <f>IF(O6=0,0,M43/O6*100)</f>
        <v>0</v>
      </c>
      <c r="N61" s="1090">
        <f>IF(O7=0,0,N43/O7*100)</f>
        <v>0</v>
      </c>
      <c r="O61" s="1090">
        <f>IF(O8=0,0,O43/O8*100)</f>
        <v>0</v>
      </c>
      <c r="P61" s="1090">
        <f>IF(O9=0,0,P43/O9*100)</f>
        <v>0</v>
      </c>
      <c r="Q61" s="1090">
        <f>IF(O10=0,0,Q43/O10*100)</f>
        <v>0</v>
      </c>
      <c r="R61" s="1090">
        <f>IF(O11=0,0,R43/O11*100)</f>
        <v>0</v>
      </c>
      <c r="S61" s="1090">
        <f>IF(O12=0,0,S43/O12*100)</f>
        <v>0</v>
      </c>
      <c r="T61" s="1090">
        <f>IF(O13=0,0,T43/O13*100)</f>
        <v>0</v>
      </c>
      <c r="U61" s="1133">
        <f>IF(O14=0,0,U43/O14*100)</f>
        <v>0</v>
      </c>
      <c r="V61" s="1132">
        <f>IF((F14+O14)=0,0,V43/(F14+O14)*100)</f>
        <v>0</v>
      </c>
      <c r="W61" s="252"/>
    </row>
    <row r="62" spans="1:25" ht="18" customHeight="1" thickBot="1">
      <c r="A62" s="1031">
        <v>7</v>
      </c>
      <c r="B62" s="1092" t="s">
        <v>344</v>
      </c>
      <c r="C62" s="1056"/>
      <c r="D62" s="1093">
        <f>IF(F6=0,0,D56/F6*100)</f>
        <v>0</v>
      </c>
      <c r="E62" s="1093">
        <f>IF(F7=0,0,E56/F7*100)</f>
        <v>0</v>
      </c>
      <c r="F62" s="1093">
        <f>IF(F8=0,0,F56/F8*100)</f>
        <v>0</v>
      </c>
      <c r="G62" s="1093">
        <f>IF(F9=0,0,G56/F9*100)</f>
        <v>0</v>
      </c>
      <c r="H62" s="1093">
        <f>IF(F10=0,0,H56/F10*100)</f>
        <v>0</v>
      </c>
      <c r="I62" s="1093">
        <f>IF(F11=0,0,I56/F11*100)</f>
        <v>0</v>
      </c>
      <c r="J62" s="1093">
        <f>IF(F12=0,0,J56/F12*100)</f>
        <v>0</v>
      </c>
      <c r="K62" s="1093">
        <f>IF(F13=0,0,K56/F13*100)</f>
        <v>0</v>
      </c>
      <c r="L62" s="1134">
        <f>IF(F14=0,0,L56/F14*100)</f>
        <v>0</v>
      </c>
      <c r="M62" s="1095">
        <f>IF(O6=0,0,M56/O6*100)</f>
        <v>96.666666666666671</v>
      </c>
      <c r="N62" s="1095">
        <f>IF(O7=0,0,N56/O7*100)</f>
        <v>97.435897435897431</v>
      </c>
      <c r="O62" s="1095">
        <f>IF(O8=0,0,O56/O8*100)</f>
        <v>96.909090909090907</v>
      </c>
      <c r="P62" s="1095">
        <f>IF(O9=0,0,P56/O9*100)</f>
        <v>96.551724137931032</v>
      </c>
      <c r="Q62" s="1095">
        <f>IF(O10=0,0,Q56/O10*100)</f>
        <v>97.09401709401709</v>
      </c>
      <c r="R62" s="1095">
        <f>IF(O11=0,0,R56/O11*100)</f>
        <v>98.309859154929583</v>
      </c>
      <c r="S62" s="1095">
        <f>IF(O12=0,0,S56/O12*100)</f>
        <v>98.434782608695642</v>
      </c>
      <c r="T62" s="1095">
        <f>IF(O13=0,0,T56/O13*100)</f>
        <v>0</v>
      </c>
      <c r="U62" s="1093">
        <f>IF(O14=0,0,U56/O14*100)</f>
        <v>97.337110481586393</v>
      </c>
      <c r="V62" s="1134">
        <f>IF((F14+O14)=0,0,V56/(F14+O14)*100)</f>
        <v>97.337110481586393</v>
      </c>
      <c r="W62" s="252"/>
    </row>
    <row r="63" spans="1:25" ht="18" customHeight="1">
      <c r="A63" s="185">
        <v>8</v>
      </c>
      <c r="B63" s="186" t="s">
        <v>345</v>
      </c>
      <c r="C63" s="158"/>
      <c r="D63" s="188">
        <f>IF(D56=0,0,D57/D56*100)</f>
        <v>0</v>
      </c>
      <c r="E63" s="188">
        <f>IF(E56=0,0,E57/E56*100)</f>
        <v>0</v>
      </c>
      <c r="F63" s="188">
        <f t="shared" ref="F63:V63" si="20">IF(F56=0,0,F57/F56*100)</f>
        <v>0</v>
      </c>
      <c r="G63" s="188">
        <f t="shared" si="20"/>
        <v>0</v>
      </c>
      <c r="H63" s="188">
        <f t="shared" si="20"/>
        <v>0</v>
      </c>
      <c r="I63" s="188">
        <f t="shared" si="20"/>
        <v>0</v>
      </c>
      <c r="J63" s="188">
        <f t="shared" si="20"/>
        <v>0</v>
      </c>
      <c r="K63" s="188">
        <f t="shared" si="20"/>
        <v>0</v>
      </c>
      <c r="L63" s="217">
        <f t="shared" si="20"/>
        <v>0</v>
      </c>
      <c r="M63" s="188">
        <f t="shared" si="20"/>
        <v>11.839080459770116</v>
      </c>
      <c r="N63" s="188">
        <f t="shared" si="20"/>
        <v>5.8479532163742691</v>
      </c>
      <c r="O63" s="188">
        <f t="shared" si="20"/>
        <v>11.131957473420888</v>
      </c>
      <c r="P63" s="188">
        <f t="shared" si="20"/>
        <v>5.357142857142855</v>
      </c>
      <c r="Q63" s="188">
        <f t="shared" si="20"/>
        <v>5.8685446009389679</v>
      </c>
      <c r="R63" s="188">
        <f t="shared" si="20"/>
        <v>8.8825214899713476</v>
      </c>
      <c r="S63" s="188">
        <f t="shared" si="20"/>
        <v>6.2426383981154308</v>
      </c>
      <c r="T63" s="188">
        <f t="shared" si="20"/>
        <v>0</v>
      </c>
      <c r="U63" s="251">
        <f t="shared" si="20"/>
        <v>7.4699262708575871</v>
      </c>
      <c r="V63" s="217">
        <f t="shared" si="20"/>
        <v>7.4699262708575871</v>
      </c>
      <c r="W63" s="252"/>
    </row>
    <row r="64" spans="1:25" ht="18" customHeight="1">
      <c r="A64" s="1085">
        <v>9</v>
      </c>
      <c r="B64" s="1086" t="s">
        <v>346</v>
      </c>
      <c r="C64" s="1046"/>
      <c r="D64" s="1090">
        <f t="shared" ref="D64:V64" si="21">IF(D56=0,0,D26/D56*100)</f>
        <v>0</v>
      </c>
      <c r="E64" s="1090">
        <f t="shared" si="21"/>
        <v>0</v>
      </c>
      <c r="F64" s="1090">
        <f t="shared" si="21"/>
        <v>0</v>
      </c>
      <c r="G64" s="1090">
        <f t="shared" si="21"/>
        <v>0</v>
      </c>
      <c r="H64" s="1090">
        <f t="shared" si="21"/>
        <v>0</v>
      </c>
      <c r="I64" s="1090">
        <f t="shared" si="21"/>
        <v>0</v>
      </c>
      <c r="J64" s="1090">
        <f t="shared" si="21"/>
        <v>0</v>
      </c>
      <c r="K64" s="1090">
        <f t="shared" si="21"/>
        <v>0</v>
      </c>
      <c r="L64" s="1132">
        <f t="shared" si="21"/>
        <v>0</v>
      </c>
      <c r="M64" s="1090">
        <f t="shared" si="21"/>
        <v>30.689655172413804</v>
      </c>
      <c r="N64" s="1090">
        <f t="shared" si="21"/>
        <v>38.011695906432742</v>
      </c>
      <c r="O64" s="1090">
        <f t="shared" si="21"/>
        <v>33.083176985616021</v>
      </c>
      <c r="P64" s="1090">
        <f t="shared" si="21"/>
        <v>22.02380952380955</v>
      </c>
      <c r="Q64" s="1090">
        <f t="shared" si="21"/>
        <v>22.476525821596237</v>
      </c>
      <c r="R64" s="1090">
        <f t="shared" si="21"/>
        <v>19.484240687679083</v>
      </c>
      <c r="S64" s="1090">
        <f t="shared" si="21"/>
        <v>2.4734982332155475</v>
      </c>
      <c r="T64" s="1090">
        <f t="shared" si="21"/>
        <v>0</v>
      </c>
      <c r="U64" s="1133">
        <f t="shared" si="21"/>
        <v>23.719441210710134</v>
      </c>
      <c r="V64" s="1132">
        <f t="shared" si="21"/>
        <v>23.719441210710134</v>
      </c>
      <c r="W64" s="252"/>
      <c r="Y64" s="258">
        <f>SUM(V63:V65)</f>
        <v>100</v>
      </c>
    </row>
    <row r="65" spans="1:23" ht="18" customHeight="1" thickBot="1">
      <c r="A65" s="1031">
        <v>10</v>
      </c>
      <c r="B65" s="1092" t="s">
        <v>347</v>
      </c>
      <c r="C65" s="1056"/>
      <c r="D65" s="1095">
        <f t="shared" ref="D65:V65" si="22">IF(D56=0,0,D58/D56*100)</f>
        <v>0</v>
      </c>
      <c r="E65" s="1095">
        <f t="shared" si="22"/>
        <v>0</v>
      </c>
      <c r="F65" s="1095">
        <f t="shared" si="22"/>
        <v>0</v>
      </c>
      <c r="G65" s="1095">
        <f t="shared" si="22"/>
        <v>0</v>
      </c>
      <c r="H65" s="1095">
        <f t="shared" si="22"/>
        <v>0</v>
      </c>
      <c r="I65" s="1095">
        <f t="shared" si="22"/>
        <v>0</v>
      </c>
      <c r="J65" s="1095">
        <f t="shared" si="22"/>
        <v>0</v>
      </c>
      <c r="K65" s="1095">
        <f t="shared" si="22"/>
        <v>0</v>
      </c>
      <c r="L65" s="1134">
        <f t="shared" si="22"/>
        <v>0</v>
      </c>
      <c r="M65" s="1095">
        <f t="shared" si="22"/>
        <v>57.47126436781609</v>
      </c>
      <c r="N65" s="1095">
        <f t="shared" si="22"/>
        <v>56.140350877192979</v>
      </c>
      <c r="O65" s="1095">
        <f t="shared" si="22"/>
        <v>55.784865540963104</v>
      </c>
      <c r="P65" s="1095">
        <f t="shared" si="22"/>
        <v>72.619047619047592</v>
      </c>
      <c r="Q65" s="1095">
        <f t="shared" si="22"/>
        <v>71.654929577464785</v>
      </c>
      <c r="R65" s="1095">
        <f t="shared" si="22"/>
        <v>71.633237822349571</v>
      </c>
      <c r="S65" s="1095">
        <f t="shared" si="22"/>
        <v>91.283863368669017</v>
      </c>
      <c r="T65" s="1095">
        <f t="shared" si="22"/>
        <v>0</v>
      </c>
      <c r="U65" s="1093">
        <f t="shared" si="22"/>
        <v>68.810632518432286</v>
      </c>
      <c r="V65" s="1134">
        <f t="shared" si="22"/>
        <v>68.810632518432286</v>
      </c>
      <c r="W65" s="252"/>
    </row>
    <row r="66" spans="1:23" ht="18" customHeight="1" thickBot="1">
      <c r="A66" s="183">
        <v>11</v>
      </c>
      <c r="B66" s="189" t="s">
        <v>254</v>
      </c>
      <c r="C66" s="155"/>
      <c r="D66" s="190">
        <f>IF(E76=0,0,D76/E76*100)</f>
        <v>0</v>
      </c>
      <c r="E66" s="190">
        <f>IF(E76=0,0,D76/E76*100)</f>
        <v>0</v>
      </c>
      <c r="F66" s="190">
        <f>IF(E76=0,0,D76/E76*100)</f>
        <v>0</v>
      </c>
      <c r="G66" s="190">
        <f>IF(E76=0,0,D76/E76*100)</f>
        <v>0</v>
      </c>
      <c r="H66" s="190">
        <f>IF(E76=0,0,D76/E76*100)</f>
        <v>0</v>
      </c>
      <c r="I66" s="190">
        <f>IF(E76=0,0,D76/E76*100)</f>
        <v>0</v>
      </c>
      <c r="J66" s="190">
        <f>IF(E76=0,0,D76/E76*100)</f>
        <v>0</v>
      </c>
      <c r="K66" s="190">
        <f>IF(E76=0,0,D76/E76*100)</f>
        <v>0</v>
      </c>
      <c r="L66" s="218">
        <f>IF(E76=0,0,D76/E76*100)</f>
        <v>0</v>
      </c>
      <c r="M66" s="219">
        <f>IF(N76=0,0,M76/N76*100)</f>
        <v>90.207300012717795</v>
      </c>
      <c r="N66" s="219">
        <f>IF(N76=0,0,M76/N76*100)</f>
        <v>90.207300012717795</v>
      </c>
      <c r="O66" s="219">
        <f>IF(N76=0,0,M76/N76*100)</f>
        <v>90.207300012717795</v>
      </c>
      <c r="P66" s="219">
        <f>IF(N76=0,0,M76/N76*100)</f>
        <v>90.207300012717795</v>
      </c>
      <c r="Q66" s="219">
        <f>IF(N76=0,0,M76/N76*100)</f>
        <v>90.207300012717795</v>
      </c>
      <c r="R66" s="219">
        <f>IF(N76=0,0,M76/N76*100)</f>
        <v>90.207300012717795</v>
      </c>
      <c r="S66" s="219">
        <f>IF(N76=0,0,M76/N76*100)</f>
        <v>90.207300012717795</v>
      </c>
      <c r="T66" s="219">
        <f>IF(N76=0,0,M76/N76*100)</f>
        <v>90.207300012717795</v>
      </c>
      <c r="U66" s="190">
        <f>IF(N76=0,0,M76/N76*100)</f>
        <v>90.207300012717795</v>
      </c>
      <c r="V66" s="218">
        <f>IF(N80=0,0,M80/N80*100)</f>
        <v>90.207300012717795</v>
      </c>
      <c r="W66" s="252"/>
    </row>
    <row r="67" spans="1:23" ht="18" customHeight="1" thickBot="1">
      <c r="A67" s="183">
        <v>12</v>
      </c>
      <c r="B67" s="189" t="s">
        <v>348</v>
      </c>
      <c r="C67" s="155"/>
      <c r="D67" s="190">
        <f t="shared" ref="D67:T67" si="23">(D62*D65*D66)/10000</f>
        <v>0</v>
      </c>
      <c r="E67" s="190">
        <f t="shared" si="23"/>
        <v>0</v>
      </c>
      <c r="F67" s="190">
        <f t="shared" si="23"/>
        <v>0</v>
      </c>
      <c r="G67" s="190">
        <f t="shared" si="23"/>
        <v>0</v>
      </c>
      <c r="H67" s="190">
        <f t="shared" si="23"/>
        <v>0</v>
      </c>
      <c r="I67" s="190">
        <f t="shared" si="23"/>
        <v>0</v>
      </c>
      <c r="J67" s="190">
        <f t="shared" si="23"/>
        <v>0</v>
      </c>
      <c r="K67" s="190">
        <f t="shared" si="23"/>
        <v>0</v>
      </c>
      <c r="L67" s="190">
        <f t="shared" si="23"/>
        <v>0</v>
      </c>
      <c r="M67" s="219">
        <f t="shared" si="23"/>
        <v>50.115166673732105</v>
      </c>
      <c r="N67" s="219">
        <f t="shared" si="23"/>
        <v>49.34416410952084</v>
      </c>
      <c r="O67" s="219">
        <f t="shared" si="23"/>
        <v>48.766613097784408</v>
      </c>
      <c r="P67" s="219">
        <f t="shared" si="23"/>
        <v>63.248796560641182</v>
      </c>
      <c r="Q67" s="219">
        <f t="shared" si="23"/>
        <v>62.759608726796813</v>
      </c>
      <c r="R67" s="219">
        <f t="shared" si="23"/>
        <v>63.526267614590004</v>
      </c>
      <c r="S67" s="219">
        <f t="shared" si="23"/>
        <v>81.055834794036258</v>
      </c>
      <c r="T67" s="219">
        <f t="shared" si="23"/>
        <v>0</v>
      </c>
      <c r="U67" s="190">
        <f>IF(10000=0,0,(U62*U65*U66)/10000)</f>
        <v>60.419299243645639</v>
      </c>
      <c r="V67" s="218">
        <f>IF(10000=0,0,(V62*V65*V66)/10000)</f>
        <v>60.419299243645639</v>
      </c>
      <c r="W67" s="252"/>
    </row>
    <row r="68" spans="1:23" ht="12.75" customHeight="1">
      <c r="A68" s="259"/>
      <c r="B68" s="259"/>
      <c r="C68" s="259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84"/>
    </row>
    <row r="69" spans="1:23" ht="18" customHeight="1">
      <c r="A69" s="1352" t="s">
        <v>349</v>
      </c>
      <c r="B69" s="1352"/>
      <c r="C69" s="261" t="s">
        <v>350</v>
      </c>
      <c r="D69" s="260"/>
      <c r="E69" s="260"/>
      <c r="F69" s="260"/>
      <c r="G69" s="262" t="s">
        <v>263</v>
      </c>
      <c r="H69" s="262"/>
      <c r="I69" s="262"/>
      <c r="J69" s="262"/>
      <c r="K69" s="260"/>
      <c r="L69" s="260"/>
      <c r="M69" s="260"/>
      <c r="N69" s="262"/>
      <c r="O69" s="260"/>
      <c r="P69" s="262" t="s">
        <v>351</v>
      </c>
      <c r="Q69" s="262"/>
      <c r="R69" s="262"/>
      <c r="S69" s="262"/>
      <c r="T69" s="260"/>
      <c r="U69" s="260"/>
      <c r="V69" s="260"/>
      <c r="W69" s="284"/>
    </row>
    <row r="70" spans="1:23" ht="3.75" customHeight="1">
      <c r="D70" s="263"/>
      <c r="E70" s="263"/>
      <c r="G70" s="263"/>
      <c r="H70" s="263"/>
      <c r="I70" s="263"/>
      <c r="J70" s="263"/>
      <c r="K70" s="263"/>
      <c r="L70" s="263"/>
      <c r="M70" s="262"/>
      <c r="N70" s="263"/>
      <c r="O70" s="263"/>
      <c r="P70" s="280"/>
      <c r="Q70" s="280"/>
      <c r="R70" s="280"/>
      <c r="S70" s="280"/>
      <c r="T70" s="280"/>
      <c r="U70" s="260"/>
      <c r="V70" s="260"/>
      <c r="W70" s="284"/>
    </row>
    <row r="71" spans="1:23" ht="16.5" customHeight="1">
      <c r="B71" s="261"/>
      <c r="C71" s="261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0"/>
      <c r="V71" s="260"/>
      <c r="W71" s="284"/>
    </row>
    <row r="72" spans="1:23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A73" s="259"/>
      <c r="B73" s="259"/>
      <c r="C73" s="259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84"/>
    </row>
    <row r="74" spans="1:23">
      <c r="A74" s="259"/>
      <c r="B74" s="259"/>
      <c r="C74" s="259"/>
      <c r="D74" s="1096"/>
      <c r="E74" s="260"/>
      <c r="F74" s="260"/>
      <c r="G74" s="260"/>
      <c r="H74" s="260"/>
      <c r="I74" s="260"/>
      <c r="J74" s="260"/>
      <c r="K74" s="260"/>
      <c r="L74" s="260"/>
      <c r="M74" s="1096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B75" s="259"/>
      <c r="C75" s="1097"/>
      <c r="D75" s="1098" t="s">
        <v>51</v>
      </c>
      <c r="E75" s="1098" t="s">
        <v>50</v>
      </c>
      <c r="F75" s="260"/>
      <c r="G75" s="260"/>
      <c r="H75" s="260"/>
      <c r="I75" s="260"/>
      <c r="J75" s="260"/>
      <c r="K75" s="260"/>
      <c r="M75" s="1098" t="s">
        <v>51</v>
      </c>
      <c r="N75" s="1098" t="s">
        <v>50</v>
      </c>
      <c r="O75" s="260"/>
      <c r="P75" s="260"/>
      <c r="Q75" s="260"/>
      <c r="R75" s="260"/>
      <c r="S75" s="260"/>
      <c r="T75" s="260"/>
      <c r="U75" s="260"/>
    </row>
    <row r="76" spans="1:23">
      <c r="A76" s="259"/>
      <c r="B76" s="259"/>
      <c r="C76" s="259"/>
      <c r="D76" s="1099"/>
      <c r="E76" s="1099"/>
      <c r="F76" s="264" t="e">
        <f>8/E76</f>
        <v>#DIV/0!</v>
      </c>
      <c r="G76" s="260"/>
      <c r="H76" s="260"/>
      <c r="I76" s="260"/>
      <c r="J76" s="260"/>
      <c r="K76" s="260"/>
      <c r="L76" s="260"/>
      <c r="M76" s="1099">
        <v>7093</v>
      </c>
      <c r="N76" s="1099">
        <v>7863</v>
      </c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912"/>
      <c r="E77" s="265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5"/>
      <c r="E78" s="265"/>
      <c r="F78" s="260"/>
      <c r="G78" s="260"/>
      <c r="H78" s="260"/>
      <c r="I78" s="260"/>
      <c r="J78" s="260"/>
      <c r="K78" s="260"/>
      <c r="L78" s="260"/>
      <c r="M78" s="1096" t="s">
        <v>368</v>
      </c>
      <c r="N78" s="260"/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1098"/>
      <c r="N79" s="1098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1135">
        <f>D76+M76</f>
        <v>7093</v>
      </c>
      <c r="N80" s="1135">
        <f>E76+N76</f>
        <v>7863</v>
      </c>
      <c r="O80" s="281">
        <f>M80/N80</f>
        <v>0.90207300012717795</v>
      </c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 ht="28" thickBot="1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 ht="28" thickBot="1">
      <c r="A83" s="266" t="s">
        <v>353</v>
      </c>
      <c r="B83" s="267"/>
      <c r="C83" s="268"/>
      <c r="D83" s="269"/>
      <c r="E83" s="270" t="s">
        <v>354</v>
      </c>
      <c r="F83" s="270"/>
      <c r="G83" s="270"/>
      <c r="H83" s="270"/>
      <c r="I83" s="270"/>
      <c r="J83" s="270"/>
      <c r="K83" s="270"/>
      <c r="L83" s="282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71">
        <v>1</v>
      </c>
      <c r="B84" s="272" t="s">
        <v>223</v>
      </c>
      <c r="C84" s="273"/>
      <c r="D84" s="274"/>
      <c r="E84" s="275" t="s">
        <v>355</v>
      </c>
      <c r="F84" s="275"/>
      <c r="G84" s="275"/>
      <c r="H84" s="275"/>
      <c r="I84" s="275"/>
      <c r="J84" s="275"/>
      <c r="K84" s="275"/>
      <c r="L84" s="28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2</v>
      </c>
      <c r="B85" s="1101" t="s">
        <v>339</v>
      </c>
      <c r="C85" s="1102"/>
      <c r="D85" s="1103"/>
      <c r="E85" s="1104" t="s">
        <v>227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3</v>
      </c>
      <c r="B86" s="1101" t="s">
        <v>340</v>
      </c>
      <c r="C86" s="1102"/>
      <c r="D86" s="1103"/>
      <c r="E86" s="1104" t="s">
        <v>230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4</v>
      </c>
      <c r="B87" s="1101" t="s">
        <v>356</v>
      </c>
      <c r="C87" s="1102"/>
      <c r="D87" s="1103"/>
      <c r="E87" s="1104" t="s">
        <v>357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5</v>
      </c>
      <c r="B88" s="1101" t="s">
        <v>358</v>
      </c>
      <c r="C88" s="1102"/>
      <c r="D88" s="1103"/>
      <c r="E88" s="1104" t="s">
        <v>359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6</v>
      </c>
      <c r="B89" s="1101" t="s">
        <v>360</v>
      </c>
      <c r="C89" s="1102"/>
      <c r="D89" s="1103"/>
      <c r="E89" s="1104" t="s">
        <v>236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7</v>
      </c>
      <c r="B90" s="1101" t="s">
        <v>344</v>
      </c>
      <c r="C90" s="1102"/>
      <c r="D90" s="1103"/>
      <c r="E90" s="1104" t="s">
        <v>240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8</v>
      </c>
      <c r="B91" s="1101" t="s">
        <v>361</v>
      </c>
      <c r="C91" s="1102"/>
      <c r="D91" s="1103"/>
      <c r="E91" s="1104" t="s">
        <v>243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9</v>
      </c>
      <c r="B92" s="1101" t="s">
        <v>362</v>
      </c>
      <c r="C92" s="1102"/>
      <c r="D92" s="1103"/>
      <c r="E92" s="1104" t="s">
        <v>246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10</v>
      </c>
      <c r="B93" s="1101" t="s">
        <v>347</v>
      </c>
      <c r="C93" s="1102"/>
      <c r="D93" s="1103"/>
      <c r="E93" s="1104" t="s">
        <v>363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11</v>
      </c>
      <c r="B94" s="1105" t="s">
        <v>254</v>
      </c>
      <c r="C94" s="1102"/>
      <c r="D94" s="1103"/>
      <c r="E94" s="1104" t="s">
        <v>364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 ht="28" thickBot="1">
      <c r="A95" s="1106">
        <v>12</v>
      </c>
      <c r="B95" s="1107" t="s">
        <v>348</v>
      </c>
      <c r="C95" s="276"/>
      <c r="D95" s="277"/>
      <c r="E95" s="1108" t="s">
        <v>365</v>
      </c>
      <c r="F95" s="1108"/>
      <c r="G95" s="1108"/>
      <c r="H95" s="1108"/>
      <c r="I95" s="1108"/>
      <c r="J95" s="1108"/>
      <c r="K95" s="1108"/>
      <c r="L95" s="1109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34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34" s="134" customFormat="1">
      <c r="D111" s="278"/>
      <c r="E111" s="278"/>
      <c r="F111" s="278"/>
      <c r="G111" s="279"/>
      <c r="H111" s="279"/>
      <c r="I111" s="279"/>
      <c r="J111" s="279"/>
      <c r="K111" s="279"/>
      <c r="L111" s="278"/>
      <c r="M111" s="278"/>
      <c r="N111" s="278"/>
      <c r="O111" s="278"/>
      <c r="P111" s="279"/>
      <c r="Q111" s="279"/>
      <c r="R111" s="279"/>
      <c r="S111" s="279"/>
      <c r="T111" s="279"/>
      <c r="U111" s="279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34" s="134" customFormat="1"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 s="134" customFormat="1"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</sheetData>
  <mergeCells count="83">
    <mergeCell ref="D49:J49"/>
    <mergeCell ref="A69:B69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7" orientation="landscape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05C2-EF59-4266-B73A-ABC220B84E5D}">
  <sheetPr codeName="Sheet21">
    <tabColor rgb="FFFFFF00"/>
    <pageSetUpPr fitToPage="1"/>
  </sheetPr>
  <dimension ref="A1:IV127"/>
  <sheetViews>
    <sheetView showGridLines="0" topLeftCell="A16" zoomScale="87" zoomScaleNormal="87" zoomScaleSheetLayoutView="70" workbookViewId="0">
      <selection activeCell="D79" sqref="D79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244581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4484.9999999999991</v>
      </c>
      <c r="AB4" s="256">
        <f>L59</f>
        <v>4282.9999999999991</v>
      </c>
      <c r="AC4" s="256">
        <f>L60</f>
        <v>269.33333333333337</v>
      </c>
      <c r="AD4" s="256">
        <f>L61</f>
        <v>2979.6666666666665</v>
      </c>
      <c r="AE4" s="256">
        <f>L21</f>
        <v>93</v>
      </c>
      <c r="AF4" s="256">
        <f>L26</f>
        <v>1033.9999999999991</v>
      </c>
      <c r="AG4" s="256">
        <f>L28</f>
        <v>109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4160</v>
      </c>
      <c r="AB5" s="256">
        <f>U59</f>
        <v>4050</v>
      </c>
      <c r="AC5" s="256">
        <f>U60</f>
        <v>288</v>
      </c>
      <c r="AD5" s="256">
        <f>U61</f>
        <v>2575.6666666666665</v>
      </c>
      <c r="AE5" s="256">
        <f>U21</f>
        <v>110</v>
      </c>
      <c r="AF5" s="256">
        <f>U26</f>
        <v>1186.3333333333337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696</v>
      </c>
      <c r="C6" s="144">
        <v>3</v>
      </c>
      <c r="D6" s="145">
        <v>0.33958333333333335</v>
      </c>
      <c r="E6" s="145">
        <v>0.79166666666666663</v>
      </c>
      <c r="F6" s="146">
        <f>(E6-D6)*1440</f>
        <v>650.99999999999989</v>
      </c>
      <c r="G6" s="1365">
        <v>1483</v>
      </c>
      <c r="H6" s="1365"/>
      <c r="I6" s="1405">
        <v>1317</v>
      </c>
      <c r="J6" s="1406"/>
      <c r="K6" s="1370">
        <f t="shared" ref="K6:K12" si="0">G6-I6</f>
        <v>166</v>
      </c>
      <c r="L6" s="1407"/>
      <c r="M6" s="145">
        <v>0.79166666666666663</v>
      </c>
      <c r="N6" s="145">
        <v>0.20833333333333334</v>
      </c>
      <c r="O6" s="146">
        <f t="shared" ref="O6:O12" si="1">(N6-M6+(N6&lt;M6))*1440</f>
        <v>600.00000000000011</v>
      </c>
      <c r="P6" s="1408">
        <v>1100</v>
      </c>
      <c r="Q6" s="1408"/>
      <c r="R6" s="1409">
        <v>1030</v>
      </c>
      <c r="S6" s="1408"/>
      <c r="T6" s="1421">
        <f>P6-R6</f>
        <v>70</v>
      </c>
      <c r="U6" s="1421"/>
      <c r="V6" s="224">
        <f t="shared" ref="V6:V13" si="2">F6+O6</f>
        <v>1251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0.34583333333333338</v>
      </c>
      <c r="E7" s="145">
        <v>0.79166666666666663</v>
      </c>
      <c r="F7" s="146">
        <f>(E7-D7)*1440</f>
        <v>641.99999999999989</v>
      </c>
      <c r="G7" s="1403">
        <v>1248</v>
      </c>
      <c r="H7" s="1404"/>
      <c r="I7" s="1403">
        <v>1176</v>
      </c>
      <c r="J7" s="1404"/>
      <c r="K7" s="1368">
        <f t="shared" si="0"/>
        <v>72</v>
      </c>
      <c r="L7" s="1397"/>
      <c r="M7" s="145">
        <v>0.79166666666666663</v>
      </c>
      <c r="N7" s="145">
        <v>0.1875</v>
      </c>
      <c r="O7" s="146">
        <f t="shared" si="1"/>
        <v>570</v>
      </c>
      <c r="P7" s="1398">
        <v>1133</v>
      </c>
      <c r="Q7" s="1398"/>
      <c r="R7" s="1398">
        <v>1000</v>
      </c>
      <c r="S7" s="1398"/>
      <c r="T7" s="1399">
        <f t="shared" ref="T7:T13" si="3">P7-R7</f>
        <v>133</v>
      </c>
      <c r="U7" s="1399"/>
      <c r="V7" s="224">
        <f t="shared" si="2"/>
        <v>1212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>
        <v>0.34583333333333338</v>
      </c>
      <c r="E8" s="145">
        <v>0.79166666666666663</v>
      </c>
      <c r="F8" s="146">
        <f>(E8-D8)*1440</f>
        <v>641.99999999999989</v>
      </c>
      <c r="G8" s="1403">
        <v>1170</v>
      </c>
      <c r="H8" s="1404"/>
      <c r="I8" s="1403">
        <v>1050</v>
      </c>
      <c r="J8" s="1404"/>
      <c r="K8" s="1368">
        <f t="shared" si="0"/>
        <v>120</v>
      </c>
      <c r="L8" s="1397"/>
      <c r="M8" s="145">
        <v>0.79166666666666663</v>
      </c>
      <c r="N8" s="145">
        <v>0.20833333333333334</v>
      </c>
      <c r="O8" s="146">
        <f t="shared" si="1"/>
        <v>600.00000000000011</v>
      </c>
      <c r="P8" s="1398">
        <v>1046</v>
      </c>
      <c r="Q8" s="1398"/>
      <c r="R8" s="1398">
        <v>921</v>
      </c>
      <c r="S8" s="1398"/>
      <c r="T8" s="1399">
        <f t="shared" si="3"/>
        <v>125</v>
      </c>
      <c r="U8" s="1399"/>
      <c r="V8" s="224">
        <f t="shared" si="2"/>
        <v>1242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0.34722222222222227</v>
      </c>
      <c r="E9" s="145">
        <v>0.79166666666666663</v>
      </c>
      <c r="F9" s="146">
        <f>(E9-D9)*1440</f>
        <v>639.99999999999989</v>
      </c>
      <c r="G9" s="1403">
        <v>1258</v>
      </c>
      <c r="H9" s="1404"/>
      <c r="I9" s="1403">
        <v>1185</v>
      </c>
      <c r="J9" s="1404"/>
      <c r="K9" s="1368">
        <f t="shared" si="0"/>
        <v>73</v>
      </c>
      <c r="L9" s="1397"/>
      <c r="M9" s="145">
        <v>0.79166666666666663</v>
      </c>
      <c r="N9" s="145">
        <v>0.21527777777777779</v>
      </c>
      <c r="O9" s="146">
        <f t="shared" si="1"/>
        <v>610.00000000000011</v>
      </c>
      <c r="P9" s="1398">
        <v>1303</v>
      </c>
      <c r="Q9" s="1398"/>
      <c r="R9" s="1398">
        <v>1150</v>
      </c>
      <c r="S9" s="1398"/>
      <c r="T9" s="1399">
        <f t="shared" si="3"/>
        <v>153</v>
      </c>
      <c r="U9" s="1399"/>
      <c r="V9" s="224">
        <f t="shared" si="2"/>
        <v>1250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0.34027777777777773</v>
      </c>
      <c r="E10" s="145">
        <v>0.79166666666666663</v>
      </c>
      <c r="F10" s="146">
        <f>(E10-D10)*1440</f>
        <v>650</v>
      </c>
      <c r="G10" s="1403">
        <v>1468</v>
      </c>
      <c r="H10" s="1404"/>
      <c r="I10" s="1396">
        <v>1372</v>
      </c>
      <c r="J10" s="1396"/>
      <c r="K10" s="1368">
        <f t="shared" si="0"/>
        <v>96</v>
      </c>
      <c r="L10" s="1397"/>
      <c r="M10" s="145">
        <v>0.79166666666666663</v>
      </c>
      <c r="N10" s="145">
        <v>0.21527777777777779</v>
      </c>
      <c r="O10" s="146">
        <f t="shared" si="1"/>
        <v>610.00000000000011</v>
      </c>
      <c r="P10" s="1398">
        <v>1300</v>
      </c>
      <c r="Q10" s="1398"/>
      <c r="R10" s="1398">
        <v>1152</v>
      </c>
      <c r="S10" s="1398"/>
      <c r="T10" s="1399">
        <f t="shared" si="3"/>
        <v>148</v>
      </c>
      <c r="U10" s="1399"/>
      <c r="V10" s="224">
        <f t="shared" si="2"/>
        <v>1260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0.35416666666666669</v>
      </c>
      <c r="E11" s="145">
        <v>0.79166666666666663</v>
      </c>
      <c r="F11" s="146">
        <f t="shared" ref="F11:F12" si="4">(E11-D11)*1440</f>
        <v>629.99999999999989</v>
      </c>
      <c r="G11" s="1396">
        <v>1450</v>
      </c>
      <c r="H11" s="1396"/>
      <c r="I11" s="1396">
        <v>1287</v>
      </c>
      <c r="J11" s="1396"/>
      <c r="K11" s="1368">
        <f t="shared" si="0"/>
        <v>163</v>
      </c>
      <c r="L11" s="1397"/>
      <c r="M11" s="145">
        <v>0.79166666666666663</v>
      </c>
      <c r="N11" s="145">
        <v>0.20833333333333334</v>
      </c>
      <c r="O11" s="146">
        <f t="shared" si="1"/>
        <v>600.00000000000011</v>
      </c>
      <c r="P11" s="1398">
        <v>1330</v>
      </c>
      <c r="Q11" s="1398"/>
      <c r="R11" s="1398">
        <v>1224</v>
      </c>
      <c r="S11" s="1398"/>
      <c r="T11" s="1399">
        <f t="shared" si="3"/>
        <v>106</v>
      </c>
      <c r="U11" s="1399"/>
      <c r="V11" s="224">
        <f t="shared" si="2"/>
        <v>1230</v>
      </c>
      <c r="W11" s="909"/>
    </row>
    <row r="12" spans="1:256" ht="18.75" customHeight="1">
      <c r="A12" s="142" t="s">
        <v>297</v>
      </c>
      <c r="B12" s="910" t="s">
        <v>725</v>
      </c>
      <c r="C12" s="914">
        <v>3</v>
      </c>
      <c r="D12" s="145">
        <v>0.35416666666666669</v>
      </c>
      <c r="E12" s="145">
        <v>0.79166666666666663</v>
      </c>
      <c r="F12" s="146">
        <f t="shared" si="4"/>
        <v>629.99999999999989</v>
      </c>
      <c r="G12" s="1396">
        <v>1670</v>
      </c>
      <c r="H12" s="1396"/>
      <c r="I12" s="1396">
        <v>1552</v>
      </c>
      <c r="J12" s="1396"/>
      <c r="K12" s="1368">
        <f t="shared" si="0"/>
        <v>118</v>
      </c>
      <c r="L12" s="1397"/>
      <c r="M12" s="145">
        <v>0.79166666666666663</v>
      </c>
      <c r="N12" s="145">
        <v>0.1875</v>
      </c>
      <c r="O12" s="146">
        <f t="shared" si="1"/>
        <v>570</v>
      </c>
      <c r="P12" s="1398">
        <v>1379</v>
      </c>
      <c r="Q12" s="1398"/>
      <c r="R12" s="1398">
        <v>1250</v>
      </c>
      <c r="S12" s="1398"/>
      <c r="T12" s="1399">
        <f t="shared" si="3"/>
        <v>129</v>
      </c>
      <c r="U12" s="1399"/>
      <c r="V12" s="224">
        <f t="shared" si="2"/>
        <v>1200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257"/>
      <c r="F13" s="146"/>
      <c r="G13" s="1400"/>
      <c r="H13" s="1400"/>
      <c r="I13" s="1400"/>
      <c r="J13" s="1400"/>
      <c r="K13" s="1428">
        <f t="shared" ref="K13" si="5">G13-I13</f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2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0.34672619047619052</v>
      </c>
      <c r="E14" s="152">
        <f>AVERAGE(E6:E13)</f>
        <v>0.79166666666666674</v>
      </c>
      <c r="F14" s="153">
        <f>SUM(F6:F13)</f>
        <v>4484.9999999999991</v>
      </c>
      <c r="G14" s="1362">
        <f>SUM(G6:H13)</f>
        <v>9747</v>
      </c>
      <c r="H14" s="1363"/>
      <c r="I14" s="1362">
        <f>SUM(I6:I13)</f>
        <v>8939</v>
      </c>
      <c r="J14" s="1363"/>
      <c r="K14" s="1362">
        <f>SUM(K6:K13)</f>
        <v>808</v>
      </c>
      <c r="L14" s="1394"/>
      <c r="M14" s="198">
        <f>AVERAGE(M6:M13)</f>
        <v>0.79166666666666674</v>
      </c>
      <c r="N14" s="199">
        <f>AVERAGE(N6:N13)</f>
        <v>0.20436507936507936</v>
      </c>
      <c r="O14" s="200">
        <f>SUM(O6:O13)</f>
        <v>4160</v>
      </c>
      <c r="P14" s="1392">
        <f>SUM(P6:P13)</f>
        <v>8591</v>
      </c>
      <c r="Q14" s="1393"/>
      <c r="R14" s="1392">
        <f>SUM(R6:R13)</f>
        <v>7727</v>
      </c>
      <c r="S14" s="1393"/>
      <c r="T14" s="1392">
        <f>SUM(T6:T13)</f>
        <v>864</v>
      </c>
      <c r="U14" s="1393"/>
      <c r="V14" s="228">
        <f>SUM(V6:V13)</f>
        <v>8645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6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7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6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7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6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7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3*6</f>
        <v>18</v>
      </c>
      <c r="E19" s="1070">
        <f>2+2+3+6</f>
        <v>13</v>
      </c>
      <c r="F19" s="1070">
        <f>4+4+5+4+6+2</f>
        <v>25</v>
      </c>
      <c r="G19" s="1070">
        <f>2*5</f>
        <v>10</v>
      </c>
      <c r="H19" s="1070">
        <v>6</v>
      </c>
      <c r="I19" s="1070">
        <v>9</v>
      </c>
      <c r="J19" s="1070">
        <f>2*6</f>
        <v>12</v>
      </c>
      <c r="K19" s="1070"/>
      <c r="L19" s="1112">
        <f t="shared" si="6"/>
        <v>93</v>
      </c>
      <c r="M19" s="1070">
        <v>20</v>
      </c>
      <c r="N19" s="1059">
        <v>17</v>
      </c>
      <c r="O19" s="1070">
        <f>3*5</f>
        <v>15</v>
      </c>
      <c r="P19" s="1070">
        <v>12</v>
      </c>
      <c r="Q19" s="1070">
        <v>12</v>
      </c>
      <c r="R19" s="1070">
        <v>9</v>
      </c>
      <c r="S19" s="1070">
        <f>25</f>
        <v>25</v>
      </c>
      <c r="T19" s="1070"/>
      <c r="U19" s="1113">
        <f t="shared" si="7"/>
        <v>110</v>
      </c>
      <c r="V19" s="1114">
        <f>L19+U19</f>
        <v>203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6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7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8">SUM(D16:D20)</f>
        <v>18</v>
      </c>
      <c r="E21" s="165">
        <f t="shared" si="8"/>
        <v>13</v>
      </c>
      <c r="F21" s="165">
        <f t="shared" si="8"/>
        <v>25</v>
      </c>
      <c r="G21" s="165">
        <f t="shared" si="8"/>
        <v>10</v>
      </c>
      <c r="H21" s="165">
        <f t="shared" si="8"/>
        <v>6</v>
      </c>
      <c r="I21" s="165">
        <f t="shared" si="8"/>
        <v>9</v>
      </c>
      <c r="J21" s="165">
        <f t="shared" si="8"/>
        <v>12</v>
      </c>
      <c r="K21" s="165">
        <f t="shared" si="8"/>
        <v>0</v>
      </c>
      <c r="L21" s="206">
        <f t="shared" si="6"/>
        <v>93</v>
      </c>
      <c r="M21" s="165">
        <f t="shared" ref="M21:T21" si="9">SUM(M16:M20)</f>
        <v>20</v>
      </c>
      <c r="N21" s="165">
        <f t="shared" si="9"/>
        <v>17</v>
      </c>
      <c r="O21" s="165">
        <f t="shared" si="9"/>
        <v>15</v>
      </c>
      <c r="P21" s="165">
        <f t="shared" si="9"/>
        <v>12</v>
      </c>
      <c r="Q21" s="165">
        <f t="shared" si="9"/>
        <v>12</v>
      </c>
      <c r="R21" s="165">
        <f t="shared" si="9"/>
        <v>9</v>
      </c>
      <c r="S21" s="165">
        <f t="shared" si="9"/>
        <v>25</v>
      </c>
      <c r="T21" s="165">
        <f t="shared" si="9"/>
        <v>0</v>
      </c>
      <c r="U21" s="165">
        <f t="shared" si="7"/>
        <v>110</v>
      </c>
      <c r="V21" s="1117">
        <f>L21+U21</f>
        <v>203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v>6</v>
      </c>
      <c r="E23" s="159">
        <v>6</v>
      </c>
      <c r="F23" s="159">
        <f>8+5+3</f>
        <v>16</v>
      </c>
      <c r="G23" s="159">
        <f>7+15+3+14</f>
        <v>39</v>
      </c>
      <c r="H23" s="159">
        <f>6+2</f>
        <v>8</v>
      </c>
      <c r="I23" s="159"/>
      <c r="J23" s="159"/>
      <c r="K23" s="159"/>
      <c r="L23" s="208">
        <f>SUM(D23:K23)</f>
        <v>75</v>
      </c>
      <c r="M23" s="160"/>
      <c r="N23" s="160"/>
      <c r="O23" s="160">
        <v>5</v>
      </c>
      <c r="P23" s="160">
        <v>5</v>
      </c>
      <c r="Q23" s="160"/>
      <c r="R23" s="160"/>
      <c r="S23" s="160"/>
      <c r="T23" s="160"/>
      <c r="U23" s="238">
        <f>SUM(M23:T23)</f>
        <v>10</v>
      </c>
      <c r="V23" s="1112">
        <f>L23+U23</f>
        <v>85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4+10+7+10+7+7+5+7+7+5+2+6+8+5+3+8+4+4+4+13+8+8+10+7+4+8+8+10+25+7</f>
        <v>221</v>
      </c>
      <c r="E24" s="169">
        <f>5+6+6+9+3+5+6+2+7+10+2+8+7+3+3+8+17+7+9+8+9+8+6+8+4+29+7</f>
        <v>202</v>
      </c>
      <c r="F24" s="169">
        <f>2+2+2+2+3+3+2+3+8+6+5+4+2+2+2+2+4+3+2+3+17+7+8+10+7+4+8+8+10+13</f>
        <v>154</v>
      </c>
      <c r="G24" s="169">
        <f>2+10+8+4+3+10+3+3+2+3+17+8+8+10+7+4+8+8+6+42+12</f>
        <v>178</v>
      </c>
      <c r="H24" s="169">
        <f>2+8+1+4+3+2+3+17+8+8+10+7+4+8+8+6+47+10+5</f>
        <v>161</v>
      </c>
      <c r="I24" s="1258">
        <f>13+4+10+6+9+15+50</f>
        <v>107</v>
      </c>
      <c r="J24" s="169">
        <f>13+1+8+5+10+7+5</f>
        <v>49</v>
      </c>
      <c r="K24" s="169"/>
      <c r="L24" s="1115">
        <f>SUM(D24:K24)</f>
        <v>1072</v>
      </c>
      <c r="M24" s="1118">
        <f>4+5+10+7+2+8+8+4+5+8+9+3+3+3+4+15+3</f>
        <v>101</v>
      </c>
      <c r="N24" s="1119">
        <f>3+4+5+4+5+9+8+8+4+5+8+9+3+3+3+4</f>
        <v>85</v>
      </c>
      <c r="O24" s="1119">
        <f>3+4+5+4+5+9+8+8+4+5+8+9+3+3+3+4</f>
        <v>85</v>
      </c>
      <c r="P24" s="1251">
        <f>4+5+4+5+9+8+8+4+5+6+2+9+3+3+3+4+8</f>
        <v>90</v>
      </c>
      <c r="Q24" s="1251">
        <f>2+4+5+4+5+9+8+8+4+5+8+9+3+6+4</f>
        <v>84</v>
      </c>
      <c r="R24" s="1119">
        <f>12+3+10+7+15+5+6+5+13+7+33+6</f>
        <v>122</v>
      </c>
      <c r="S24" s="1119">
        <f>10+12+8+7+4+14+4+8+2+6+8</f>
        <v>83</v>
      </c>
      <c r="T24" s="1119"/>
      <c r="U24" s="1120">
        <f>SUM(M24:T24)</f>
        <v>650</v>
      </c>
      <c r="V24" s="1112">
        <f>L24+U24</f>
        <v>1722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$F6-D$60-D$61-D$21-D$23-D$24-D$34-D$43</f>
        <v>-118.33333333333348</v>
      </c>
      <c r="E25" s="171">
        <f>$F7-E$60-E$61-E$21-E$23-E$24-E$34-E$43</f>
        <v>4.9999999999998863</v>
      </c>
      <c r="F25" s="171">
        <f>$F8-F$60-F$61-F$21-F$23-F$24-F$34-F$43</f>
        <v>14.999999999999886</v>
      </c>
      <c r="G25" s="171">
        <f>$F9-G$60-G$61-G$21-G$23-G$24-G$34-G$43</f>
        <v>-28.333333333333485</v>
      </c>
      <c r="H25" s="171">
        <f>$F10-H$60-H$61-H$21-H$23-H$24-H$34-H$43</f>
        <v>-14.333333333333314</v>
      </c>
      <c r="I25" s="171">
        <f>$F11-I$60-I$61-I$21-I$23-I$24-I$34-I$43</f>
        <v>30.666666666666515</v>
      </c>
      <c r="J25" s="171">
        <f>$F12-J$60-J$61-J$21-J$23-J$24-J$34-J$43</f>
        <v>-2.6666666666668561</v>
      </c>
      <c r="K25" s="171">
        <f>$F13-K$60-K$61-K$21-K$23-K$24-K$34-K$43</f>
        <v>0</v>
      </c>
      <c r="L25" s="209">
        <f>SUM(D25:K25)</f>
        <v>-113.00000000000085</v>
      </c>
      <c r="M25" s="171">
        <f>$O6-M$60-M$61-M$21-M$23-M$24-M$34-M$43</f>
        <v>112.33333333333343</v>
      </c>
      <c r="N25" s="171">
        <f>$O7-N$60-N$61-N$21-N$23-N$24-N$34-N$43</f>
        <v>90.333333333333314</v>
      </c>
      <c r="O25" s="171">
        <f>$O8-O$60-O$61-O$21-O$23-O$24-O$34-O$43</f>
        <v>146.33333333333348</v>
      </c>
      <c r="P25" s="171">
        <f>$O9-P$60-P$61-P$21-P$23-P$24-P$34-P$43</f>
        <v>68.666666666666799</v>
      </c>
      <c r="Q25" s="171">
        <f>$O10-Q$60-Q$61-Q$21-Q$23-Q$24-Q$34-Q$43</f>
        <v>80.666666666666742</v>
      </c>
      <c r="R25" s="171">
        <f>$O11-R$60-R$61-R$21-R$23-R$24-R$34-R$43</f>
        <v>25.666666666666742</v>
      </c>
      <c r="S25" s="171">
        <f>$O12-S$60-S$61-S$21-S$23-S$24-S$34-S$43</f>
        <v>2.3333333333333144</v>
      </c>
      <c r="T25" s="171">
        <f>$O13-T$60-T$61-T$21-T$23-T$24-T$34-T$43</f>
        <v>0</v>
      </c>
      <c r="U25" s="239">
        <f>SUM(M25:T25)</f>
        <v>526.33333333333371</v>
      </c>
      <c r="V25" s="1112">
        <f>L25+U25</f>
        <v>413.33333333333286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108.66666666666652</v>
      </c>
      <c r="E26" s="172">
        <f t="shared" ref="E26:K26" si="10">SUM(E23:E25)</f>
        <v>212.99999999999989</v>
      </c>
      <c r="F26" s="172">
        <f t="shared" si="10"/>
        <v>184.99999999999989</v>
      </c>
      <c r="G26" s="172">
        <f t="shared" si="10"/>
        <v>188.66666666666652</v>
      </c>
      <c r="H26" s="172">
        <f t="shared" si="10"/>
        <v>154.66666666666669</v>
      </c>
      <c r="I26" s="172">
        <f t="shared" si="10"/>
        <v>137.66666666666652</v>
      </c>
      <c r="J26" s="172">
        <f t="shared" si="10"/>
        <v>46.333333333333144</v>
      </c>
      <c r="K26" s="172">
        <f t="shared" si="10"/>
        <v>0</v>
      </c>
      <c r="L26" s="210">
        <f>SUM(D26:K26)</f>
        <v>1033.9999999999991</v>
      </c>
      <c r="M26" s="211">
        <f>SUM(M23:M25)</f>
        <v>213.33333333333343</v>
      </c>
      <c r="N26" s="211">
        <f t="shared" ref="N26:T26" si="11">SUM(N23:N25)</f>
        <v>175.33333333333331</v>
      </c>
      <c r="O26" s="211">
        <f t="shared" si="11"/>
        <v>236.33333333333348</v>
      </c>
      <c r="P26" s="211">
        <f t="shared" si="11"/>
        <v>163.6666666666668</v>
      </c>
      <c r="Q26" s="211">
        <f t="shared" si="11"/>
        <v>164.66666666666674</v>
      </c>
      <c r="R26" s="211">
        <f t="shared" si="11"/>
        <v>147.66666666666674</v>
      </c>
      <c r="S26" s="211">
        <f t="shared" si="11"/>
        <v>85.333333333333314</v>
      </c>
      <c r="T26" s="211">
        <f t="shared" si="11"/>
        <v>0</v>
      </c>
      <c r="U26" s="240">
        <f>SUM(M26:T26)</f>
        <v>1186.3333333333337</v>
      </c>
      <c r="V26" s="210">
        <f>L26+U26</f>
        <v>2220.333333333333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>
        <v>30</v>
      </c>
      <c r="E28" s="159"/>
      <c r="F28" s="159">
        <f>9+13+20</f>
        <v>42</v>
      </c>
      <c r="G28" s="913">
        <v>22</v>
      </c>
      <c r="H28" s="159"/>
      <c r="I28" s="159"/>
      <c r="J28" s="159">
        <v>15</v>
      </c>
      <c r="K28" s="159"/>
      <c r="L28" s="202">
        <f t="shared" ref="L28:L34" si="12">SUM(D28:K28)</f>
        <v>109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3">SUM(M28:T28)</f>
        <v>0</v>
      </c>
      <c r="V28" s="243">
        <f t="shared" ref="V28:V34" si="14">L28+U28</f>
        <v>109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2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3"/>
        <v>0</v>
      </c>
      <c r="V29" s="244">
        <f t="shared" si="14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2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3"/>
        <v>0</v>
      </c>
      <c r="V30" s="1112">
        <f t="shared" si="14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2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3"/>
        <v>0</v>
      </c>
      <c r="V31" s="1112">
        <f t="shared" si="14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2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3"/>
        <v>0</v>
      </c>
      <c r="V32" s="1112">
        <f t="shared" si="14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2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3"/>
        <v>0</v>
      </c>
      <c r="V33" s="1112">
        <f t="shared" si="14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5">SUM(D28:D33)</f>
        <v>30</v>
      </c>
      <c r="E34" s="175">
        <f t="shared" si="15"/>
        <v>0</v>
      </c>
      <c r="F34" s="176">
        <f t="shared" si="15"/>
        <v>42</v>
      </c>
      <c r="G34" s="176">
        <f t="shared" si="15"/>
        <v>22</v>
      </c>
      <c r="H34" s="176">
        <f t="shared" si="15"/>
        <v>0</v>
      </c>
      <c r="I34" s="176">
        <f t="shared" si="15"/>
        <v>0</v>
      </c>
      <c r="J34" s="176">
        <f t="shared" si="15"/>
        <v>15</v>
      </c>
      <c r="K34" s="176">
        <f t="shared" si="15"/>
        <v>0</v>
      </c>
      <c r="L34" s="213">
        <f t="shared" si="12"/>
        <v>109</v>
      </c>
      <c r="M34" s="175">
        <f t="shared" ref="M34:T34" si="16">SUM(M28:M33)</f>
        <v>0</v>
      </c>
      <c r="N34" s="176">
        <f t="shared" si="16"/>
        <v>0</v>
      </c>
      <c r="O34" s="176">
        <f t="shared" si="16"/>
        <v>0</v>
      </c>
      <c r="P34" s="176">
        <f t="shared" si="16"/>
        <v>0</v>
      </c>
      <c r="Q34" s="176">
        <f t="shared" si="16"/>
        <v>0</v>
      </c>
      <c r="R34" s="176">
        <f t="shared" si="16"/>
        <v>0</v>
      </c>
      <c r="S34" s="176">
        <f t="shared" si="16"/>
        <v>0</v>
      </c>
      <c r="T34" s="176">
        <f t="shared" si="16"/>
        <v>0</v>
      </c>
      <c r="U34" s="246">
        <f t="shared" si="13"/>
        <v>0</v>
      </c>
      <c r="V34" s="213">
        <f t="shared" si="14"/>
        <v>109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7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8">SUM(M36:T36)</f>
        <v>0</v>
      </c>
      <c r="V36" s="243">
        <f t="shared" ref="V36:V43" si="19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7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8"/>
        <v>0</v>
      </c>
      <c r="V37" s="1114">
        <f t="shared" si="19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7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8"/>
        <v>0</v>
      </c>
      <c r="V38" s="1114">
        <f t="shared" si="19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7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8"/>
        <v>0</v>
      </c>
      <c r="V39" s="1114">
        <f t="shared" si="19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7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8"/>
        <v>0</v>
      </c>
      <c r="V40" s="1114">
        <f t="shared" si="19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7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8"/>
        <v>0</v>
      </c>
      <c r="V41" s="1114">
        <f t="shared" si="19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7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8"/>
        <v>0</v>
      </c>
      <c r="V42" s="1114">
        <f t="shared" si="19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0">SUM(D36:D42)</f>
        <v>0</v>
      </c>
      <c r="E43" s="177">
        <f t="shared" si="20"/>
        <v>0</v>
      </c>
      <c r="F43" s="177">
        <f t="shared" si="20"/>
        <v>0</v>
      </c>
      <c r="G43" s="177">
        <f t="shared" si="20"/>
        <v>0</v>
      </c>
      <c r="H43" s="177">
        <f t="shared" si="20"/>
        <v>0</v>
      </c>
      <c r="I43" s="177">
        <f t="shared" si="20"/>
        <v>0</v>
      </c>
      <c r="J43" s="177">
        <f t="shared" si="20"/>
        <v>0</v>
      </c>
      <c r="K43" s="177">
        <f t="shared" si="20"/>
        <v>0</v>
      </c>
      <c r="L43" s="213">
        <f t="shared" si="17"/>
        <v>0</v>
      </c>
      <c r="M43" s="177">
        <f t="shared" ref="M43:T43" si="21">SUM(M36:M42)</f>
        <v>0</v>
      </c>
      <c r="N43" s="177">
        <f t="shared" si="21"/>
        <v>0</v>
      </c>
      <c r="O43" s="177">
        <f t="shared" si="21"/>
        <v>0</v>
      </c>
      <c r="P43" s="177">
        <f t="shared" si="21"/>
        <v>0</v>
      </c>
      <c r="Q43" s="177">
        <f t="shared" si="21"/>
        <v>0</v>
      </c>
      <c r="R43" s="177">
        <f t="shared" si="21"/>
        <v>0</v>
      </c>
      <c r="S43" s="177">
        <f t="shared" si="21"/>
        <v>0</v>
      </c>
      <c r="T43" s="177">
        <f t="shared" si="21"/>
        <v>0</v>
      </c>
      <c r="U43" s="165">
        <f t="shared" si="18"/>
        <v>0</v>
      </c>
      <c r="V43" s="213">
        <f t="shared" si="19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 t="s">
        <v>726</v>
      </c>
      <c r="B45" s="1076" t="s">
        <v>727</v>
      </c>
      <c r="C45" s="1123">
        <v>30</v>
      </c>
      <c r="D45" s="1077" t="s">
        <v>721</v>
      </c>
      <c r="E45" s="1063"/>
      <c r="F45" s="1063"/>
      <c r="G45" s="1063"/>
      <c r="H45" s="1063"/>
      <c r="I45" s="1063"/>
      <c r="J45" s="1063"/>
      <c r="K45" s="1071" t="s">
        <v>291</v>
      </c>
      <c r="L45" s="1069"/>
      <c r="M45" s="1062"/>
      <c r="N45" s="1063"/>
      <c r="O45" s="1074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604</v>
      </c>
      <c r="B46" s="1076" t="s">
        <v>604</v>
      </c>
      <c r="C46" s="1123">
        <f>9+13</f>
        <v>22</v>
      </c>
      <c r="D46" s="1077" t="s">
        <v>728</v>
      </c>
      <c r="E46" s="1063"/>
      <c r="F46" s="1063"/>
      <c r="G46" s="1063"/>
      <c r="H46" s="1063"/>
      <c r="I46" s="1063"/>
      <c r="J46" s="1063"/>
      <c r="K46" s="1071" t="s">
        <v>293</v>
      </c>
      <c r="L46" s="1069"/>
      <c r="M46" s="1062"/>
      <c r="N46" s="106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 t="s">
        <v>604</v>
      </c>
      <c r="B47" s="1076" t="s">
        <v>604</v>
      </c>
      <c r="C47" s="1124">
        <v>20</v>
      </c>
      <c r="D47" s="1349" t="s">
        <v>724</v>
      </c>
      <c r="E47" s="1350"/>
      <c r="F47" s="1350"/>
      <c r="G47" s="1350"/>
      <c r="H47" s="1350"/>
      <c r="I47" s="1350"/>
      <c r="J47" s="1351"/>
      <c r="K47" s="1071" t="s">
        <v>293</v>
      </c>
      <c r="L47" s="1069"/>
      <c r="M47" s="1070"/>
      <c r="N47" s="1200"/>
      <c r="O47" s="1062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 t="s">
        <v>604</v>
      </c>
      <c r="B48" s="1076" t="s">
        <v>604</v>
      </c>
      <c r="C48" s="1123">
        <v>22</v>
      </c>
      <c r="D48" s="1349" t="s">
        <v>722</v>
      </c>
      <c r="E48" s="1350"/>
      <c r="F48" s="1350"/>
      <c r="G48" s="1350"/>
      <c r="H48" s="1350"/>
      <c r="I48" s="1350"/>
      <c r="J48" s="1351"/>
      <c r="K48" s="1071" t="s">
        <v>294</v>
      </c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231" t="s">
        <v>604</v>
      </c>
      <c r="B49" s="1232" t="s">
        <v>604</v>
      </c>
      <c r="C49" s="1196">
        <v>15</v>
      </c>
      <c r="D49" s="1234" t="s">
        <v>723</v>
      </c>
      <c r="E49" s="932"/>
      <c r="F49" s="932"/>
      <c r="G49" s="932"/>
      <c r="H49" s="932"/>
      <c r="I49" s="932"/>
      <c r="J49" s="932"/>
      <c r="K49" s="1059" t="s">
        <v>297</v>
      </c>
      <c r="L49" s="1198"/>
      <c r="M49" s="929"/>
      <c r="N49" s="1211"/>
      <c r="O49" s="931"/>
      <c r="P49" s="932"/>
      <c r="Q49" s="932"/>
      <c r="R49" s="932"/>
      <c r="S49" s="932"/>
      <c r="T49" s="932"/>
      <c r="U49" s="932"/>
      <c r="V49" s="93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6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.75" customHeight="1">
      <c r="A51" s="1202"/>
      <c r="B51" s="1203"/>
      <c r="C51" s="1204"/>
      <c r="D51" s="1431"/>
      <c r="E51" s="1432"/>
      <c r="F51" s="1432"/>
      <c r="G51" s="1432"/>
      <c r="H51" s="1432"/>
      <c r="I51" s="1432"/>
      <c r="J51" s="1433"/>
      <c r="K51" s="1205"/>
      <c r="L51" s="1206"/>
      <c r="M51" s="1206"/>
      <c r="N51" s="1207"/>
      <c r="O51" s="1208"/>
      <c r="P51" s="1209"/>
      <c r="Q51" s="1209"/>
      <c r="R51" s="1209"/>
      <c r="S51" s="1209"/>
      <c r="T51" s="1209"/>
      <c r="U51" s="1209"/>
      <c r="V51" s="1210"/>
      <c r="W51" s="250"/>
    </row>
    <row r="52" spans="1:25" ht="15" customHeight="1">
      <c r="A52" s="1058"/>
      <c r="B52" s="1039"/>
      <c r="C52" s="1038"/>
      <c r="D52" s="1349"/>
      <c r="E52" s="1350"/>
      <c r="F52" s="1350"/>
      <c r="G52" s="1350"/>
      <c r="H52" s="1350"/>
      <c r="I52" s="1350"/>
      <c r="J52" s="1351"/>
      <c r="K52" s="1059"/>
      <c r="L52" s="1065"/>
      <c r="M52" s="1065"/>
      <c r="N52" s="1349"/>
      <c r="O52" s="1350"/>
      <c r="P52" s="1350"/>
      <c r="Q52" s="1350"/>
      <c r="R52" s="1350"/>
      <c r="S52" s="1350"/>
      <c r="T52" s="1350"/>
      <c r="U52" s="1350"/>
      <c r="V52" s="1426"/>
      <c r="W52" s="250"/>
    </row>
    <row r="53" spans="1:25" ht="15" hidden="1" customHeight="1">
      <c r="A53" s="1058"/>
      <c r="B53" s="1066"/>
      <c r="C53" s="1070"/>
      <c r="D53" s="1356"/>
      <c r="E53" s="1357"/>
      <c r="F53" s="1357"/>
      <c r="G53" s="1357"/>
      <c r="H53" s="1357"/>
      <c r="I53" s="1357"/>
      <c r="J53" s="1357"/>
      <c r="K53" s="1205"/>
      <c r="L53" s="1069"/>
      <c r="M53" s="1070"/>
      <c r="N53" s="1349"/>
      <c r="O53" s="1358"/>
      <c r="P53" s="1358"/>
      <c r="Q53" s="1358"/>
      <c r="R53" s="1358"/>
      <c r="S53" s="1358"/>
      <c r="T53" s="1358"/>
      <c r="U53" s="1358"/>
      <c r="V53" s="1359"/>
      <c r="W53" s="250"/>
    </row>
    <row r="54" spans="1:25" ht="15" hidden="1" customHeight="1">
      <c r="A54" s="1058"/>
      <c r="B54" s="1039"/>
      <c r="C54" s="1123"/>
      <c r="D54" s="1349"/>
      <c r="E54" s="1350"/>
      <c r="F54" s="1350"/>
      <c r="G54" s="1350"/>
      <c r="H54" s="1350"/>
      <c r="I54" s="1350"/>
      <c r="J54" s="1351"/>
      <c r="K54" s="1205"/>
      <c r="L54" s="1069"/>
      <c r="M54" s="1072"/>
      <c r="N54" s="1073"/>
      <c r="O54" s="1074"/>
      <c r="P54" s="1063"/>
      <c r="Q54" s="1063"/>
      <c r="R54" s="1063"/>
      <c r="S54" s="1063"/>
      <c r="T54" s="1063"/>
      <c r="U54" s="1063"/>
      <c r="V54" s="1064"/>
      <c r="W54" s="250"/>
    </row>
    <row r="55" spans="1:25" ht="15" hidden="1" customHeight="1">
      <c r="A55" s="1075"/>
      <c r="B55" s="1078"/>
      <c r="C55" s="1123"/>
      <c r="D55" s="1079"/>
      <c r="E55" s="1063"/>
      <c r="F55" s="1063"/>
      <c r="G55" s="1063"/>
      <c r="H55" s="1063"/>
      <c r="I55" s="1063"/>
      <c r="J55" s="1063"/>
      <c r="K55" s="1059"/>
      <c r="L55" s="1069"/>
      <c r="M55" s="1062"/>
      <c r="N55" s="1063"/>
      <c r="O55" s="1074"/>
      <c r="P55" s="1063"/>
      <c r="Q55" s="1063"/>
      <c r="R55" s="1063"/>
      <c r="S55" s="1063"/>
      <c r="T55" s="1063"/>
      <c r="U55" s="1063"/>
      <c r="V55" s="1064"/>
      <c r="W55" s="250"/>
    </row>
    <row r="56" spans="1:25" ht="15" hidden="1" customHeight="1">
      <c r="A56" s="1194"/>
      <c r="B56" s="1195"/>
      <c r="C56" s="1196"/>
      <c r="D56" s="1197"/>
      <c r="E56" s="932"/>
      <c r="F56" s="932"/>
      <c r="G56" s="932"/>
      <c r="H56" s="932"/>
      <c r="I56" s="932"/>
      <c r="J56" s="932"/>
      <c r="K56" s="1059"/>
      <c r="L56" s="1198"/>
      <c r="M56" s="929"/>
      <c r="N56" s="1211"/>
      <c r="O56" s="931"/>
      <c r="P56" s="932"/>
      <c r="Q56" s="932"/>
      <c r="R56" s="932"/>
      <c r="S56" s="932"/>
      <c r="T56" s="932"/>
      <c r="U56" s="932"/>
      <c r="V56" s="934"/>
      <c r="W56" s="250"/>
    </row>
    <row r="57" spans="1:25" ht="15" customHeight="1" thickBot="1">
      <c r="A57" s="1194"/>
      <c r="B57" s="1195"/>
      <c r="C57" s="1196"/>
      <c r="D57" s="1197"/>
      <c r="E57" s="932"/>
      <c r="F57" s="932"/>
      <c r="G57" s="932"/>
      <c r="H57" s="932"/>
      <c r="I57" s="932"/>
      <c r="J57" s="932"/>
      <c r="K57" s="1059"/>
      <c r="L57" s="1198"/>
      <c r="M57" s="929"/>
      <c r="N57" s="1201"/>
      <c r="O57" s="931"/>
      <c r="P57" s="932"/>
      <c r="Q57" s="932"/>
      <c r="R57" s="932"/>
      <c r="S57" s="932"/>
      <c r="T57" s="932"/>
      <c r="U57" s="932"/>
      <c r="V57" s="934"/>
      <c r="W57" s="250"/>
    </row>
    <row r="58" spans="1:25" ht="18" customHeight="1" thickBot="1">
      <c r="A58" s="183" t="s">
        <v>337</v>
      </c>
      <c r="B58" s="184" t="s">
        <v>338</v>
      </c>
      <c r="C58" s="184"/>
      <c r="D58" s="166" t="s">
        <v>300</v>
      </c>
      <c r="E58" s="166" t="s">
        <v>301</v>
      </c>
      <c r="F58" s="166" t="s">
        <v>302</v>
      </c>
      <c r="G58" s="166" t="s">
        <v>303</v>
      </c>
      <c r="H58" s="166" t="s">
        <v>304</v>
      </c>
      <c r="I58" s="166" t="s">
        <v>305</v>
      </c>
      <c r="J58" s="166" t="s">
        <v>306</v>
      </c>
      <c r="K58" s="166" t="s">
        <v>307</v>
      </c>
      <c r="L58" s="207" t="s">
        <v>173</v>
      </c>
      <c r="M58" s="166" t="s">
        <v>300</v>
      </c>
      <c r="N58" s="166" t="s">
        <v>301</v>
      </c>
      <c r="O58" s="166" t="s">
        <v>302</v>
      </c>
      <c r="P58" s="166" t="s">
        <v>303</v>
      </c>
      <c r="Q58" s="166" t="s">
        <v>304</v>
      </c>
      <c r="R58" s="166" t="s">
        <v>305</v>
      </c>
      <c r="S58" s="166" t="s">
        <v>306</v>
      </c>
      <c r="T58" s="166" t="s">
        <v>307</v>
      </c>
      <c r="U58" s="166" t="s">
        <v>173</v>
      </c>
      <c r="V58" s="207" t="s">
        <v>367</v>
      </c>
      <c r="W58" s="231"/>
    </row>
    <row r="59" spans="1:25" ht="18" customHeight="1">
      <c r="A59" s="185">
        <v>1</v>
      </c>
      <c r="B59" s="186" t="s">
        <v>223</v>
      </c>
      <c r="C59" s="158"/>
      <c r="D59" s="187">
        <f>$F6-D$21-D$43-D$34</f>
        <v>602.99999999999989</v>
      </c>
      <c r="E59" s="187">
        <f>$F7-E$21-E$43-E$34</f>
        <v>628.99999999999989</v>
      </c>
      <c r="F59" s="187">
        <f>$F8-F$21-F$43-F$34</f>
        <v>574.99999999999989</v>
      </c>
      <c r="G59" s="187">
        <f>$F9-G$21-G$43-G$34</f>
        <v>607.99999999999989</v>
      </c>
      <c r="H59" s="187">
        <f>$F10-H$21-H$43-H$34</f>
        <v>644</v>
      </c>
      <c r="I59" s="187">
        <f>$F11-I$21-I$43-I$34</f>
        <v>620.99999999999989</v>
      </c>
      <c r="J59" s="187">
        <f>$F12-J$21-J$43-J$34</f>
        <v>602.99999999999989</v>
      </c>
      <c r="K59" s="187">
        <f>$F13-K$21-K$43-K$34</f>
        <v>0</v>
      </c>
      <c r="L59" s="202">
        <f>SUM(D59:K59)</f>
        <v>4282.9999999999991</v>
      </c>
      <c r="M59" s="187">
        <f>O6-M21-M43-M34</f>
        <v>580.00000000000011</v>
      </c>
      <c r="N59" s="187">
        <f>O7-N21-N43-N34</f>
        <v>553</v>
      </c>
      <c r="O59" s="187">
        <f>O8-O21-O43-O34</f>
        <v>585.00000000000011</v>
      </c>
      <c r="P59" s="187">
        <f>O9-P21-P43-P34</f>
        <v>598.00000000000011</v>
      </c>
      <c r="Q59" s="187">
        <f>O10-Q21-Q43-Q34</f>
        <v>598.00000000000011</v>
      </c>
      <c r="R59" s="187">
        <f>O11-R21-R43-R34</f>
        <v>591.00000000000011</v>
      </c>
      <c r="S59" s="187">
        <f>O12-S21-S43-S34</f>
        <v>545</v>
      </c>
      <c r="T59" s="187">
        <f>O13-T21-T43-T34</f>
        <v>0</v>
      </c>
      <c r="U59" s="242">
        <f>SUM(M59:T59)</f>
        <v>4050</v>
      </c>
      <c r="V59" s="202">
        <f>L59+U59</f>
        <v>8333</v>
      </c>
      <c r="W59" s="233"/>
    </row>
    <row r="60" spans="1:25" ht="18" customHeight="1">
      <c r="A60" s="1085">
        <v>2</v>
      </c>
      <c r="B60" s="1086" t="s">
        <v>339</v>
      </c>
      <c r="C60" s="1046"/>
      <c r="D60" s="1087">
        <f>$K6/$C6</f>
        <v>55.333333333333336</v>
      </c>
      <c r="E60" s="1087">
        <f>$K7/$C7</f>
        <v>24</v>
      </c>
      <c r="F60" s="1087">
        <f>$K8/$C8</f>
        <v>40</v>
      </c>
      <c r="G60" s="1087">
        <f>$K9/$C9</f>
        <v>24.333333333333332</v>
      </c>
      <c r="H60" s="1087">
        <f>$K10/$C10</f>
        <v>32</v>
      </c>
      <c r="I60" s="1087">
        <f>$K11/$C11</f>
        <v>54.333333333333336</v>
      </c>
      <c r="J60" s="1087">
        <f>$K12/$C12</f>
        <v>39.333333333333336</v>
      </c>
      <c r="K60" s="1087">
        <f>$K13/$C13</f>
        <v>0</v>
      </c>
      <c r="L60" s="1112">
        <f>SUM(D60:K60)</f>
        <v>269.33333333333337</v>
      </c>
      <c r="M60" s="1087">
        <f>T6/C6</f>
        <v>23.333333333333332</v>
      </c>
      <c r="N60" s="1087">
        <f>T7/C7</f>
        <v>44.333333333333336</v>
      </c>
      <c r="O60" s="1087">
        <f>$T$8/$C$8</f>
        <v>41.666666666666664</v>
      </c>
      <c r="P60" s="1087">
        <f>$T$9/$C$9</f>
        <v>51</v>
      </c>
      <c r="Q60" s="1087">
        <f>$T$10/$C$10</f>
        <v>49.333333333333336</v>
      </c>
      <c r="R60" s="1087">
        <f>$T$11/$C$11</f>
        <v>35.333333333333336</v>
      </c>
      <c r="S60" s="1087">
        <f>$T$12/$C$12</f>
        <v>43</v>
      </c>
      <c r="T60" s="1087">
        <f>$T$13/$C$13</f>
        <v>0</v>
      </c>
      <c r="U60" s="1129">
        <f>SUM(M60:T60)</f>
        <v>288</v>
      </c>
      <c r="V60" s="1112">
        <f>L60+U60</f>
        <v>557.33333333333337</v>
      </c>
      <c r="W60" s="233"/>
    </row>
    <row r="61" spans="1:25" ht="18" customHeight="1" thickBot="1">
      <c r="A61" s="1031">
        <v>3</v>
      </c>
      <c r="B61" s="1088" t="s">
        <v>340</v>
      </c>
      <c r="C61" s="1056"/>
      <c r="D61" s="1087">
        <f>$I6/$C6</f>
        <v>439</v>
      </c>
      <c r="E61" s="1087">
        <f>$I7/$C7</f>
        <v>392</v>
      </c>
      <c r="F61" s="1087">
        <f>$I8/$C8</f>
        <v>350</v>
      </c>
      <c r="G61" s="1087">
        <f>$I9/$C9</f>
        <v>395</v>
      </c>
      <c r="H61" s="1087">
        <f>$I10/$C10</f>
        <v>457.33333333333331</v>
      </c>
      <c r="I61" s="1087">
        <f>$I11/$C11</f>
        <v>429</v>
      </c>
      <c r="J61" s="1087">
        <f>$I12/$C12</f>
        <v>517.33333333333337</v>
      </c>
      <c r="K61" s="1087">
        <f>$I13/$C13</f>
        <v>0</v>
      </c>
      <c r="L61" s="1115">
        <f>SUM(D61:K61)</f>
        <v>2979.6666666666665</v>
      </c>
      <c r="M61" s="1130">
        <f>R6/C6</f>
        <v>343.33333333333331</v>
      </c>
      <c r="N61" s="1130">
        <f>R7/C7</f>
        <v>333.33333333333331</v>
      </c>
      <c r="O61" s="1130">
        <f>R8/C8</f>
        <v>307</v>
      </c>
      <c r="P61" s="1130">
        <f>R9/C9</f>
        <v>383.33333333333331</v>
      </c>
      <c r="Q61" s="1130">
        <f>R10/C10</f>
        <v>384</v>
      </c>
      <c r="R61" s="1130">
        <f>R11/C11</f>
        <v>408</v>
      </c>
      <c r="S61" s="1130">
        <f>R12/C12</f>
        <v>416.66666666666669</v>
      </c>
      <c r="T61" s="1130">
        <f>R13/C13</f>
        <v>0</v>
      </c>
      <c r="U61" s="1131">
        <f>SUM(M61:T61)</f>
        <v>2575.6666666666665</v>
      </c>
      <c r="V61" s="1115">
        <f>L61+U61</f>
        <v>5555.333333333333</v>
      </c>
      <c r="W61" s="233"/>
    </row>
    <row r="62" spans="1:25" ht="18" customHeight="1">
      <c r="A62" s="185">
        <v>4</v>
      </c>
      <c r="B62" s="186" t="s">
        <v>341</v>
      </c>
      <c r="C62" s="158"/>
      <c r="D62" s="188">
        <f>IF(F6=0,0,D21/F6*100)</f>
        <v>2.7649769585253461</v>
      </c>
      <c r="E62" s="188">
        <f>IF(F7=0,0,E21/F7*100)</f>
        <v>2.0249221183800623</v>
      </c>
      <c r="F62" s="188">
        <f>IF(F8=0,0,F21/F8*100)</f>
        <v>3.8940809968847354</v>
      </c>
      <c r="G62" s="188">
        <f>IF(F9=0,0,G21/F9*100)</f>
        <v>1.5625000000000004</v>
      </c>
      <c r="H62" s="188">
        <f>IF(F10=0,0,H21/F10*100)</f>
        <v>0.92307692307692313</v>
      </c>
      <c r="I62" s="188">
        <f>IF(F11=0,0,I21/F11*100)</f>
        <v>1.4285714285714288</v>
      </c>
      <c r="J62" s="188">
        <f>IF(F12=0,0,J21/F12*100)</f>
        <v>1.9047619047619049</v>
      </c>
      <c r="K62" s="188">
        <f>IF(F13=0,0,K21/F13*100)</f>
        <v>0</v>
      </c>
      <c r="L62" s="217">
        <f>IF(F14=0,0,L21/F14*100)</f>
        <v>2.0735785953177261</v>
      </c>
      <c r="M62" s="188">
        <f>IF(O6=0,0,M21/O6*100)</f>
        <v>3.3333333333333326</v>
      </c>
      <c r="N62" s="188">
        <f>IF(O7=0,0,N21/O7*100)</f>
        <v>2.9824561403508771</v>
      </c>
      <c r="O62" s="188">
        <f>IF(O8=0,0,O21/O8*100)</f>
        <v>2.4999999999999996</v>
      </c>
      <c r="P62" s="188">
        <f>IF(O9=0,0,P21/O9*100)</f>
        <v>1.9672131147540979</v>
      </c>
      <c r="Q62" s="188">
        <f>IF(O10=0,0,Q21/O10*100)</f>
        <v>1.9672131147540979</v>
      </c>
      <c r="R62" s="188">
        <f>IF(O11=0,0,R21/O11*100)</f>
        <v>1.4999999999999998</v>
      </c>
      <c r="S62" s="188">
        <f>IF(O12=0,0,S21/O12*100)</f>
        <v>4.3859649122807012</v>
      </c>
      <c r="T62" s="188">
        <f>IF(O13=0,0,T21/O13*100)</f>
        <v>0</v>
      </c>
      <c r="U62" s="251">
        <f>IF(O14=0,0,U21/O14*100)</f>
        <v>2.6442307692307692</v>
      </c>
      <c r="V62" s="217">
        <f>IF((F14+O14)=0,0,V21/(F14+O14)*100)</f>
        <v>2.3481781376518218</v>
      </c>
      <c r="W62" s="252"/>
    </row>
    <row r="63" spans="1:25" ht="18" customHeight="1">
      <c r="A63" s="1085">
        <v>5</v>
      </c>
      <c r="B63" s="1086" t="s">
        <v>342</v>
      </c>
      <c r="C63" s="1046"/>
      <c r="D63" s="1090">
        <f>IF(F6=0,0,D34/F6*100)</f>
        <v>4.6082949308755765</v>
      </c>
      <c r="E63" s="1090">
        <f>IF(F7=0,0,E34/F7*100)</f>
        <v>0</v>
      </c>
      <c r="F63" s="1090">
        <f>IF(F8=0,0,F34/F8*100)</f>
        <v>6.5420560747663554</v>
      </c>
      <c r="G63" s="1090">
        <f>IF(F9=0,0,G34/F9*100)</f>
        <v>3.4375000000000004</v>
      </c>
      <c r="H63" s="1090">
        <f>IF(F10=0,0,H34/F10*100)</f>
        <v>0</v>
      </c>
      <c r="I63" s="1090">
        <f>IF(F11=0,0,I34/F11*100)</f>
        <v>0</v>
      </c>
      <c r="J63" s="1090">
        <f>IF(F12=0,0,J34/F12*100)</f>
        <v>2.3809523809523814</v>
      </c>
      <c r="K63" s="1090">
        <f>IF(F13=0,0,K34/F13*100)</f>
        <v>0</v>
      </c>
      <c r="L63" s="1132">
        <f>IF(F14=0,0,L34/F14*100)</f>
        <v>2.4303232998885176</v>
      </c>
      <c r="M63" s="1090">
        <f>IF(O6=0,0,M34/O6*100)</f>
        <v>0</v>
      </c>
      <c r="N63" s="1090">
        <f>IF(O7=0,0,N34/O7*100)</f>
        <v>0</v>
      </c>
      <c r="O63" s="1090">
        <f>IF(O8=0,0,O34/O8*100)</f>
        <v>0</v>
      </c>
      <c r="P63" s="1090">
        <f>IF(O9=0,0,P34/O9*100)</f>
        <v>0</v>
      </c>
      <c r="Q63" s="1090">
        <f>IF(O10=0,0,Q34/O10*100)</f>
        <v>0</v>
      </c>
      <c r="R63" s="1090">
        <f>IF(O11=0,0,R34/O11*100)</f>
        <v>0</v>
      </c>
      <c r="S63" s="1090">
        <f>IF(O12=0,0,S34/O12*100)</f>
        <v>0</v>
      </c>
      <c r="T63" s="1090">
        <f>IF(O13=0,0,T34/O13*100)</f>
        <v>0</v>
      </c>
      <c r="U63" s="1133">
        <f>IF(O14=0,0,U34/O14*100)</f>
        <v>0</v>
      </c>
      <c r="V63" s="1132">
        <f>IF((F14+O14)=0,0,V34/(F14+O14)*100)</f>
        <v>1.2608444187391554</v>
      </c>
      <c r="W63" s="252"/>
      <c r="Y63" s="258">
        <f>SUM(V62:V65)</f>
        <v>100.00000000000001</v>
      </c>
    </row>
    <row r="64" spans="1:25" ht="18" customHeight="1">
      <c r="A64" s="1085">
        <v>6</v>
      </c>
      <c r="B64" s="1086" t="s">
        <v>343</v>
      </c>
      <c r="C64" s="1046"/>
      <c r="D64" s="1090">
        <f>IF(F6=0,0,D43/F6*100)</f>
        <v>0</v>
      </c>
      <c r="E64" s="1090">
        <f>IF(F7=0,0,E43/F7*100)</f>
        <v>0</v>
      </c>
      <c r="F64" s="1090">
        <f>IF(F8=0,0,F43/F8*100)</f>
        <v>0</v>
      </c>
      <c r="G64" s="1090">
        <f>IF(F9=0,0,G43/F9*100)</f>
        <v>0</v>
      </c>
      <c r="H64" s="1090">
        <f>IF(F10=0,0,H43/F10*100)</f>
        <v>0</v>
      </c>
      <c r="I64" s="1090">
        <f>IF(F11=0,0,I43/F11*100)</f>
        <v>0</v>
      </c>
      <c r="J64" s="1090">
        <f>IF(F12=0,0,J43/F12*100)</f>
        <v>0</v>
      </c>
      <c r="K64" s="1090">
        <f>IF(F13=0,0,K43/F13*100)</f>
        <v>0</v>
      </c>
      <c r="L64" s="1132">
        <f>IF(F14=0,0,L43/F14*100)</f>
        <v>0</v>
      </c>
      <c r="M64" s="1090">
        <f>IF(O6=0,0,M43/O6*100)</f>
        <v>0</v>
      </c>
      <c r="N64" s="1090">
        <f>IF(O7=0,0,N43/O7*100)</f>
        <v>0</v>
      </c>
      <c r="O64" s="1090">
        <f>IF(O8=0,0,O43/O8*100)</f>
        <v>0</v>
      </c>
      <c r="P64" s="1090">
        <f>IF(O9=0,0,P43/O9*100)</f>
        <v>0</v>
      </c>
      <c r="Q64" s="1090">
        <f>IF(O10=0,0,Q43/O10*100)</f>
        <v>0</v>
      </c>
      <c r="R64" s="1090">
        <f>IF(O11=0,0,R43/O11*100)</f>
        <v>0</v>
      </c>
      <c r="S64" s="1090">
        <f>IF(O12=0,0,S43/O12*100)</f>
        <v>0</v>
      </c>
      <c r="T64" s="1090">
        <f>IF(O13=0,0,T43/O13*100)</f>
        <v>0</v>
      </c>
      <c r="U64" s="1133">
        <f>IF(O14=0,0,U43/O14*100)</f>
        <v>0</v>
      </c>
      <c r="V64" s="1132">
        <f>IF((F14+O14)=0,0,V43/(F14+O14)*100)</f>
        <v>0</v>
      </c>
      <c r="W64" s="252"/>
    </row>
    <row r="65" spans="1:25" ht="18" customHeight="1" thickBot="1">
      <c r="A65" s="1031">
        <v>7</v>
      </c>
      <c r="B65" s="1092" t="s">
        <v>344</v>
      </c>
      <c r="C65" s="1056"/>
      <c r="D65" s="1093">
        <f>IF(F6=0,0,D59/F6*100)</f>
        <v>92.626728110599075</v>
      </c>
      <c r="E65" s="1093">
        <f>IF(F7=0,0,E59/F7*100)</f>
        <v>97.975077881619939</v>
      </c>
      <c r="F65" s="1093">
        <f>IF(F8=0,0,F59/F8*100)</f>
        <v>89.563862928348897</v>
      </c>
      <c r="G65" s="1093">
        <f>IF(F9=0,0,G59/F9*100)</f>
        <v>95</v>
      </c>
      <c r="H65" s="1093">
        <f>IF(F10=0,0,H59/F10*100)</f>
        <v>99.07692307692308</v>
      </c>
      <c r="I65" s="1093">
        <f>IF(F11=0,0,I59/F11*100)</f>
        <v>98.571428571428584</v>
      </c>
      <c r="J65" s="1093">
        <f>IF(F12=0,0,J59/F12*100)</f>
        <v>95.714285714285722</v>
      </c>
      <c r="K65" s="1093">
        <f>IF(F13=0,0,K59/F13*100)</f>
        <v>0</v>
      </c>
      <c r="L65" s="1134">
        <f>IF(F14=0,0,L59/F14*100)</f>
        <v>95.496098104793759</v>
      </c>
      <c r="M65" s="1095">
        <f>IF(O6=0,0,M59/O6*100)</f>
        <v>96.666666666666671</v>
      </c>
      <c r="N65" s="1095">
        <f>IF(O7=0,0,N59/O7*100)</f>
        <v>97.017543859649123</v>
      </c>
      <c r="O65" s="1095">
        <f>IF(O8=0,0,O59/O8*100)</f>
        <v>97.5</v>
      </c>
      <c r="P65" s="1095">
        <f>IF(O9=0,0,P59/O9*100)</f>
        <v>98.032786885245898</v>
      </c>
      <c r="Q65" s="1095">
        <f>IF(O10=0,0,Q59/O10*100)</f>
        <v>98.032786885245898</v>
      </c>
      <c r="R65" s="1095">
        <f>IF(O11=0,0,R59/O11*100)</f>
        <v>98.5</v>
      </c>
      <c r="S65" s="1095">
        <f>IF(O12=0,0,S59/O12*100)</f>
        <v>95.614035087719301</v>
      </c>
      <c r="T65" s="1095">
        <f>IF(O13=0,0,T59/O13*100)</f>
        <v>0</v>
      </c>
      <c r="U65" s="1093">
        <f>IF(O14=0,0,U59/O14*100)</f>
        <v>97.355769230769226</v>
      </c>
      <c r="V65" s="1134">
        <f>IF((F14+O14)=0,0,V59/(F14+O14)*100)</f>
        <v>96.390977443609032</v>
      </c>
      <c r="W65" s="252"/>
    </row>
    <row r="66" spans="1:25" ht="18" customHeight="1">
      <c r="A66" s="185">
        <v>8</v>
      </c>
      <c r="B66" s="186" t="s">
        <v>345</v>
      </c>
      <c r="C66" s="158"/>
      <c r="D66" s="188">
        <f>IF(D59=0,0,D60/D59*100)</f>
        <v>9.1763405196241052</v>
      </c>
      <c r="E66" s="188">
        <f>IF(E59=0,0,E60/E59*100)</f>
        <v>3.815580286168522</v>
      </c>
      <c r="F66" s="188">
        <f t="shared" ref="F66:V66" si="22">IF(F59=0,0,F60/F59*100)</f>
        <v>6.9565217391304364</v>
      </c>
      <c r="G66" s="188">
        <f t="shared" si="22"/>
        <v>4.0021929824561413</v>
      </c>
      <c r="H66" s="188">
        <f t="shared" si="22"/>
        <v>4.9689440993788816</v>
      </c>
      <c r="I66" s="188">
        <f t="shared" si="22"/>
        <v>8.7493290391841132</v>
      </c>
      <c r="J66" s="188">
        <f t="shared" si="22"/>
        <v>6.5229408512990625</v>
      </c>
      <c r="K66" s="188">
        <f t="shared" si="22"/>
        <v>0</v>
      </c>
      <c r="L66" s="217">
        <f t="shared" si="22"/>
        <v>6.2884271149505819</v>
      </c>
      <c r="M66" s="188">
        <f t="shared" si="22"/>
        <v>4.0229885057471257</v>
      </c>
      <c r="N66" s="188">
        <f t="shared" si="22"/>
        <v>8.0168776371308024</v>
      </c>
      <c r="O66" s="188">
        <f t="shared" si="22"/>
        <v>7.1225071225071215</v>
      </c>
      <c r="P66" s="188">
        <f t="shared" si="22"/>
        <v>8.5284280936454842</v>
      </c>
      <c r="Q66" s="188">
        <f t="shared" si="22"/>
        <v>8.2497212931995527</v>
      </c>
      <c r="R66" s="188">
        <f t="shared" si="22"/>
        <v>5.9785673998871962</v>
      </c>
      <c r="S66" s="188">
        <f t="shared" si="22"/>
        <v>7.8899082568807346</v>
      </c>
      <c r="T66" s="188">
        <f t="shared" si="22"/>
        <v>0</v>
      </c>
      <c r="U66" s="251">
        <f t="shared" si="22"/>
        <v>7.1111111111111107</v>
      </c>
      <c r="V66" s="217">
        <f t="shared" si="22"/>
        <v>6.6882675307012276</v>
      </c>
      <c r="W66" s="252"/>
    </row>
    <row r="67" spans="1:25" ht="18" customHeight="1">
      <c r="A67" s="1085">
        <v>9</v>
      </c>
      <c r="B67" s="1086" t="s">
        <v>346</v>
      </c>
      <c r="C67" s="1046"/>
      <c r="D67" s="1090">
        <f t="shared" ref="D67:V67" si="23">IF(D59=0,0,D26/D59*100)</f>
        <v>18.021006080707551</v>
      </c>
      <c r="E67" s="1090">
        <f t="shared" si="23"/>
        <v>33.863275039745616</v>
      </c>
      <c r="F67" s="1090">
        <f t="shared" si="23"/>
        <v>32.173913043478244</v>
      </c>
      <c r="G67" s="1090">
        <f t="shared" si="23"/>
        <v>31.030701754385948</v>
      </c>
      <c r="H67" s="1090">
        <f t="shared" si="23"/>
        <v>24.016563146997932</v>
      </c>
      <c r="I67" s="1090">
        <f t="shared" si="23"/>
        <v>22.168545356951132</v>
      </c>
      <c r="J67" s="1090">
        <f t="shared" si="23"/>
        <v>7.6838032061912367</v>
      </c>
      <c r="K67" s="1090">
        <f t="shared" si="23"/>
        <v>0</v>
      </c>
      <c r="L67" s="1132">
        <f t="shared" si="23"/>
        <v>24.1419565724959</v>
      </c>
      <c r="M67" s="1090">
        <f t="shared" si="23"/>
        <v>36.781609195402311</v>
      </c>
      <c r="N67" s="1090">
        <f t="shared" si="23"/>
        <v>31.705846895720306</v>
      </c>
      <c r="O67" s="1090">
        <f t="shared" si="23"/>
        <v>40.398860398860414</v>
      </c>
      <c r="P67" s="1090">
        <f t="shared" si="23"/>
        <v>27.369007803790428</v>
      </c>
      <c r="Q67" s="1090">
        <f t="shared" si="23"/>
        <v>27.536231884057976</v>
      </c>
      <c r="R67" s="1090">
        <f t="shared" si="23"/>
        <v>24.985899605188951</v>
      </c>
      <c r="S67" s="1090">
        <f t="shared" si="23"/>
        <v>15.657492354740057</v>
      </c>
      <c r="T67" s="1090">
        <f t="shared" si="23"/>
        <v>0</v>
      </c>
      <c r="U67" s="1133">
        <f t="shared" si="23"/>
        <v>29.292181069958858</v>
      </c>
      <c r="V67" s="1132">
        <f t="shared" si="23"/>
        <v>26.6450658026321</v>
      </c>
      <c r="W67" s="252"/>
      <c r="Y67" s="258">
        <f>SUM(V66:V68)</f>
        <v>99.999999999999986</v>
      </c>
    </row>
    <row r="68" spans="1:25" ht="18" customHeight="1" thickBot="1">
      <c r="A68" s="1031">
        <v>10</v>
      </c>
      <c r="B68" s="1092" t="s">
        <v>347</v>
      </c>
      <c r="C68" s="1056"/>
      <c r="D68" s="1095">
        <f t="shared" ref="D68:V68" si="24">IF(D59=0,0,D61/D59*100)</f>
        <v>72.802653399668344</v>
      </c>
      <c r="E68" s="1095">
        <f t="shared" si="24"/>
        <v>62.321144674085858</v>
      </c>
      <c r="F68" s="1095">
        <f t="shared" si="24"/>
        <v>60.869565217391319</v>
      </c>
      <c r="G68" s="1095">
        <f t="shared" si="24"/>
        <v>64.967105263157904</v>
      </c>
      <c r="H68" s="1095">
        <f t="shared" si="24"/>
        <v>71.014492753623188</v>
      </c>
      <c r="I68" s="1095">
        <f t="shared" si="24"/>
        <v>69.082125603864753</v>
      </c>
      <c r="J68" s="1095">
        <f t="shared" si="24"/>
        <v>85.793255942509688</v>
      </c>
      <c r="K68" s="1095">
        <f t="shared" si="24"/>
        <v>0</v>
      </c>
      <c r="L68" s="1134">
        <f t="shared" si="24"/>
        <v>69.569616312553521</v>
      </c>
      <c r="M68" s="1095">
        <f t="shared" si="24"/>
        <v>59.195402298850567</v>
      </c>
      <c r="N68" s="1095">
        <f t="shared" si="24"/>
        <v>60.277275467148883</v>
      </c>
      <c r="O68" s="1095">
        <f t="shared" si="24"/>
        <v>52.47863247863247</v>
      </c>
      <c r="P68" s="1095">
        <f t="shared" si="24"/>
        <v>64.102564102564088</v>
      </c>
      <c r="Q68" s="1095">
        <f t="shared" si="24"/>
        <v>64.214046822742461</v>
      </c>
      <c r="R68" s="1095">
        <f t="shared" si="24"/>
        <v>69.035532994923841</v>
      </c>
      <c r="S68" s="1095">
        <f t="shared" si="24"/>
        <v>76.452599388379213</v>
      </c>
      <c r="T68" s="1095">
        <f t="shared" si="24"/>
        <v>0</v>
      </c>
      <c r="U68" s="1093">
        <f t="shared" si="24"/>
        <v>63.596707818930042</v>
      </c>
      <c r="V68" s="1134">
        <f t="shared" si="24"/>
        <v>66.666666666666657</v>
      </c>
      <c r="W68" s="252"/>
    </row>
    <row r="69" spans="1:25" ht="18" customHeight="1" thickBot="1">
      <c r="A69" s="183">
        <v>11</v>
      </c>
      <c r="B69" s="189" t="s">
        <v>254</v>
      </c>
      <c r="C69" s="155"/>
      <c r="D69" s="190">
        <f>IF(E79=0,0,D79/E79*100)</f>
        <v>88.33996722079138</v>
      </c>
      <c r="E69" s="190">
        <f>IF(E79=0,0,D79/E79*100)</f>
        <v>88.33996722079138</v>
      </c>
      <c r="F69" s="190">
        <f>IF(E79=0,0,D79/E79*100)</f>
        <v>88.33996722079138</v>
      </c>
      <c r="G69" s="190">
        <f>IF(E79=0,0,D79/E79*100)</f>
        <v>88.33996722079138</v>
      </c>
      <c r="H69" s="190">
        <f>IF(E79=0,0,D79/E79*100)</f>
        <v>88.33996722079138</v>
      </c>
      <c r="I69" s="190">
        <f>IF(E79=0,0,D79/E79*100)</f>
        <v>88.33996722079138</v>
      </c>
      <c r="J69" s="190">
        <f>IF(E79=0,0,D79/E79*100)</f>
        <v>88.33996722079138</v>
      </c>
      <c r="K69" s="190">
        <f>IF(E79=0,0,D79/E79*100)</f>
        <v>88.33996722079138</v>
      </c>
      <c r="L69" s="218">
        <f>IF(E79=0,0,D79/E79*100)</f>
        <v>88.33996722079138</v>
      </c>
      <c r="M69" s="219">
        <f>IF(N79=0,0,M79/N79*100)</f>
        <v>89.942963566523105</v>
      </c>
      <c r="N69" s="219">
        <f>IF(N79=0,0,M79/N79*100)</f>
        <v>89.942963566523105</v>
      </c>
      <c r="O69" s="219">
        <f>IF(N79=0,0,M79/N79*100)</f>
        <v>89.942963566523105</v>
      </c>
      <c r="P69" s="219">
        <f>IF(N79=0,0,M79/N79*100)</f>
        <v>89.942963566523105</v>
      </c>
      <c r="Q69" s="219">
        <f>IF(N79=0,0,M79/N79*100)</f>
        <v>89.942963566523105</v>
      </c>
      <c r="R69" s="219">
        <f>IF(N79=0,0,M79/N79*100)</f>
        <v>89.942963566523105</v>
      </c>
      <c r="S69" s="219">
        <f>IF(N79=0,0,M79/N79*100)</f>
        <v>89.942963566523105</v>
      </c>
      <c r="T69" s="219">
        <f>IF(N79=0,0,M79/N79*100)</f>
        <v>89.942963566523105</v>
      </c>
      <c r="U69" s="190">
        <f>IF(N79=0,0,M79/N79*100)</f>
        <v>89.942963566523105</v>
      </c>
      <c r="V69" s="218">
        <f>IF(N83=0,0,M83/N83*100)</f>
        <v>89.14375766065487</v>
      </c>
      <c r="W69" s="252"/>
    </row>
    <row r="70" spans="1:25" ht="18" customHeight="1" thickBot="1">
      <c r="A70" s="183">
        <v>12</v>
      </c>
      <c r="B70" s="189" t="s">
        <v>348</v>
      </c>
      <c r="C70" s="155"/>
      <c r="D70" s="190">
        <f t="shared" ref="D70:T70" si="25">(D65*D68*D69)/10000</f>
        <v>59.571805852423083</v>
      </c>
      <c r="E70" s="190">
        <f t="shared" si="25"/>
        <v>53.939668458800973</v>
      </c>
      <c r="F70" s="190">
        <f t="shared" si="25"/>
        <v>48.160418266786586</v>
      </c>
      <c r="G70" s="190">
        <f t="shared" si="25"/>
        <v>54.522323519082192</v>
      </c>
      <c r="H70" s="190">
        <f t="shared" si="25"/>
        <v>62.155094885602963</v>
      </c>
      <c r="I70" s="190">
        <f t="shared" si="25"/>
        <v>60.1553110122532</v>
      </c>
      <c r="J70" s="190">
        <f t="shared" si="25"/>
        <v>72.541602712522874</v>
      </c>
      <c r="K70" s="190">
        <f t="shared" si="25"/>
        <v>0</v>
      </c>
      <c r="L70" s="190">
        <f t="shared" si="25"/>
        <v>58.6897782970386</v>
      </c>
      <c r="M70" s="219">
        <f t="shared" si="25"/>
        <v>51.46736248528822</v>
      </c>
      <c r="N70" s="219">
        <f t="shared" si="25"/>
        <v>52.598224307908247</v>
      </c>
      <c r="O70" s="219">
        <f t="shared" si="25"/>
        <v>46.020816358204314</v>
      </c>
      <c r="P70" s="219">
        <f t="shared" si="25"/>
        <v>56.521534481694829</v>
      </c>
      <c r="Q70" s="219">
        <f t="shared" si="25"/>
        <v>56.619832802532557</v>
      </c>
      <c r="R70" s="219">
        <f t="shared" si="25"/>
        <v>61.161215225235701</v>
      </c>
      <c r="S70" s="219">
        <f t="shared" si="25"/>
        <v>65.747780384885317</v>
      </c>
      <c r="T70" s="219">
        <f t="shared" si="25"/>
        <v>0</v>
      </c>
      <c r="U70" s="190">
        <f>IF(10000=0,0,(U65*U68*U69)/10000)</f>
        <v>55.688243547958656</v>
      </c>
      <c r="V70" s="218">
        <f>IF(10000=0,0,(V65*V68*V69)/10000)</f>
        <v>57.284359559378217</v>
      </c>
      <c r="W70" s="252"/>
    </row>
    <row r="71" spans="1:25" ht="12.75" customHeight="1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5" ht="18" customHeight="1">
      <c r="A72" s="1352" t="s">
        <v>349</v>
      </c>
      <c r="B72" s="1352"/>
      <c r="C72" s="261" t="s">
        <v>350</v>
      </c>
      <c r="D72" s="260"/>
      <c r="E72" s="260"/>
      <c r="F72" s="260"/>
      <c r="G72" s="262" t="s">
        <v>263</v>
      </c>
      <c r="H72" s="262"/>
      <c r="I72" s="262"/>
      <c r="J72" s="262"/>
      <c r="K72" s="260"/>
      <c r="L72" s="260"/>
      <c r="M72" s="260"/>
      <c r="N72" s="262"/>
      <c r="O72" s="260"/>
      <c r="P72" s="262" t="s">
        <v>351</v>
      </c>
      <c r="Q72" s="262"/>
      <c r="R72" s="262"/>
      <c r="S72" s="262"/>
      <c r="T72" s="260"/>
      <c r="U72" s="260"/>
      <c r="V72" s="260"/>
      <c r="W72" s="284"/>
    </row>
    <row r="73" spans="1:25" ht="3.75" customHeight="1">
      <c r="D73" s="263"/>
      <c r="E73" s="263"/>
      <c r="G73" s="263"/>
      <c r="H73" s="263"/>
      <c r="I73" s="263"/>
      <c r="J73" s="263"/>
      <c r="K73" s="263"/>
      <c r="L73" s="263"/>
      <c r="M73" s="262"/>
      <c r="N73" s="263"/>
      <c r="O73" s="263"/>
      <c r="P73" s="280"/>
      <c r="Q73" s="280"/>
      <c r="R73" s="280"/>
      <c r="S73" s="280"/>
      <c r="T73" s="280"/>
      <c r="U73" s="260"/>
      <c r="V73" s="260"/>
      <c r="W73" s="284"/>
    </row>
    <row r="74" spans="1:25" ht="16.5" customHeight="1">
      <c r="B74" s="261"/>
      <c r="C74" s="261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0"/>
      <c r="V74" s="260"/>
      <c r="W74" s="284"/>
    </row>
    <row r="75" spans="1:25">
      <c r="A75" s="259"/>
      <c r="B75" s="259"/>
      <c r="C75" s="259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5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A77" s="259"/>
      <c r="B77" s="259"/>
      <c r="C77" s="259"/>
      <c r="D77" s="1096" t="s">
        <v>70</v>
      </c>
      <c r="E77" s="260"/>
      <c r="F77" s="260"/>
      <c r="G77" s="260"/>
      <c r="H77" s="260"/>
      <c r="I77" s="260"/>
      <c r="J77" s="260"/>
      <c r="K77" s="260"/>
      <c r="L77" s="260"/>
      <c r="M77" s="1096" t="s">
        <v>73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5">
      <c r="B78" s="259"/>
      <c r="C78" s="1097"/>
      <c r="D78" s="1098" t="s">
        <v>51</v>
      </c>
      <c r="E78" s="1098" t="s">
        <v>50</v>
      </c>
      <c r="F78" s="260"/>
      <c r="G78" s="260"/>
      <c r="H78" s="260"/>
      <c r="I78" s="260"/>
      <c r="J78" s="260"/>
      <c r="K78" s="260"/>
      <c r="M78" s="1098" t="s">
        <v>51</v>
      </c>
      <c r="N78" s="1098" t="s">
        <v>50</v>
      </c>
      <c r="O78" s="260"/>
      <c r="P78" s="260"/>
      <c r="Q78" s="260"/>
      <c r="R78" s="260"/>
      <c r="S78" s="260"/>
      <c r="T78" s="260"/>
      <c r="U78" s="260"/>
    </row>
    <row r="79" spans="1:25">
      <c r="A79" s="259"/>
      <c r="B79" s="259"/>
      <c r="C79" s="259"/>
      <c r="D79" s="1099">
        <v>7546</v>
      </c>
      <c r="E79" s="1099">
        <v>8542</v>
      </c>
      <c r="F79" s="264">
        <f>8/E79</f>
        <v>9.365488176071178E-4</v>
      </c>
      <c r="G79" s="260"/>
      <c r="H79" s="260"/>
      <c r="I79" s="260"/>
      <c r="J79" s="260"/>
      <c r="K79" s="260"/>
      <c r="L79" s="260"/>
      <c r="M79" s="1099">
        <v>7727</v>
      </c>
      <c r="N79" s="1099">
        <v>8591</v>
      </c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912"/>
      <c r="E80" s="265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5"/>
      <c r="E81" s="265"/>
      <c r="F81" s="260"/>
      <c r="G81" s="260"/>
      <c r="H81" s="260"/>
      <c r="I81" s="260"/>
      <c r="J81" s="260"/>
      <c r="K81" s="260"/>
      <c r="L81" s="260"/>
      <c r="M81" s="1096" t="s">
        <v>368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098" t="s">
        <v>51</v>
      </c>
      <c r="N82" s="1098" t="s">
        <v>50</v>
      </c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1135">
        <f>D79+M79</f>
        <v>15273</v>
      </c>
      <c r="N83" s="1135">
        <f>E79+N79</f>
        <v>17133</v>
      </c>
      <c r="O83" s="281">
        <f>M83/N83</f>
        <v>0.89143757660654876</v>
      </c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 ht="28" thickBot="1">
      <c r="A85" s="259"/>
      <c r="B85" s="259"/>
      <c r="C85" s="259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 ht="28" thickBot="1">
      <c r="A86" s="266" t="s">
        <v>353</v>
      </c>
      <c r="B86" s="267"/>
      <c r="C86" s="268"/>
      <c r="D86" s="269"/>
      <c r="E86" s="270" t="s">
        <v>354</v>
      </c>
      <c r="F86" s="270"/>
      <c r="G86" s="270"/>
      <c r="H86" s="270"/>
      <c r="I86" s="270"/>
      <c r="J86" s="270"/>
      <c r="K86" s="270"/>
      <c r="L86" s="282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271">
        <v>1</v>
      </c>
      <c r="B87" s="272" t="s">
        <v>223</v>
      </c>
      <c r="C87" s="273"/>
      <c r="D87" s="274"/>
      <c r="E87" s="275" t="s">
        <v>355</v>
      </c>
      <c r="F87" s="275"/>
      <c r="G87" s="275"/>
      <c r="H87" s="275"/>
      <c r="I87" s="275"/>
      <c r="J87" s="275"/>
      <c r="K87" s="275"/>
      <c r="L87" s="28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2</v>
      </c>
      <c r="B88" s="1101" t="s">
        <v>339</v>
      </c>
      <c r="C88" s="1102"/>
      <c r="D88" s="1103"/>
      <c r="E88" s="1104" t="s">
        <v>227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3</v>
      </c>
      <c r="B89" s="1101" t="s">
        <v>340</v>
      </c>
      <c r="C89" s="1102"/>
      <c r="D89" s="1103"/>
      <c r="E89" s="1104" t="s">
        <v>230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4</v>
      </c>
      <c r="B90" s="1101" t="s">
        <v>356</v>
      </c>
      <c r="C90" s="1102"/>
      <c r="D90" s="1103"/>
      <c r="E90" s="1104" t="s">
        <v>357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5</v>
      </c>
      <c r="B91" s="1101" t="s">
        <v>358</v>
      </c>
      <c r="C91" s="1102"/>
      <c r="D91" s="1103"/>
      <c r="E91" s="1104" t="s">
        <v>359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6</v>
      </c>
      <c r="B92" s="1101" t="s">
        <v>360</v>
      </c>
      <c r="C92" s="1102"/>
      <c r="D92" s="1103"/>
      <c r="E92" s="1104" t="s">
        <v>236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7</v>
      </c>
      <c r="B93" s="1101" t="s">
        <v>344</v>
      </c>
      <c r="C93" s="1102"/>
      <c r="D93" s="1103"/>
      <c r="E93" s="1104" t="s">
        <v>240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8</v>
      </c>
      <c r="B94" s="1101" t="s">
        <v>361</v>
      </c>
      <c r="C94" s="1102"/>
      <c r="D94" s="1103"/>
      <c r="E94" s="1104" t="s">
        <v>243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9</v>
      </c>
      <c r="B95" s="1101" t="s">
        <v>362</v>
      </c>
      <c r="C95" s="1102"/>
      <c r="D95" s="1103"/>
      <c r="E95" s="1104" t="s">
        <v>246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10</v>
      </c>
      <c r="B96" s="1101" t="s">
        <v>347</v>
      </c>
      <c r="C96" s="1102"/>
      <c r="D96" s="1103"/>
      <c r="E96" s="1104" t="s">
        <v>363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>
      <c r="A97" s="1100">
        <v>11</v>
      </c>
      <c r="B97" s="1105" t="s">
        <v>254</v>
      </c>
      <c r="C97" s="1102"/>
      <c r="D97" s="1103"/>
      <c r="E97" s="1104" t="s">
        <v>364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 ht="28" thickBot="1">
      <c r="A98" s="1106">
        <v>12</v>
      </c>
      <c r="B98" s="1107" t="s">
        <v>348</v>
      </c>
      <c r="C98" s="276"/>
      <c r="D98" s="277"/>
      <c r="E98" s="1108" t="s">
        <v>365</v>
      </c>
      <c r="F98" s="1108"/>
      <c r="G98" s="1108"/>
      <c r="H98" s="1108"/>
      <c r="I98" s="1108"/>
      <c r="J98" s="1108"/>
      <c r="K98" s="1108"/>
      <c r="L98" s="1109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34" s="134" customFormat="1">
      <c r="D114" s="278"/>
      <c r="E114" s="278"/>
      <c r="F114" s="278"/>
      <c r="G114" s="279"/>
      <c r="H114" s="279"/>
      <c r="I114" s="279"/>
      <c r="J114" s="279"/>
      <c r="K114" s="279"/>
      <c r="L114" s="278"/>
      <c r="M114" s="278"/>
      <c r="N114" s="278"/>
      <c r="O114" s="278"/>
      <c r="P114" s="279"/>
      <c r="Q114" s="279"/>
      <c r="R114" s="279"/>
      <c r="S114" s="279"/>
      <c r="T114" s="279"/>
      <c r="U114" s="279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 s="134" customFormat="1"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 s="134" customFormat="1"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85"/>
      <c r="Z117" s="286"/>
      <c r="AA117" s="286"/>
      <c r="AB117" s="286"/>
      <c r="AC117" s="286"/>
      <c r="AD117" s="286"/>
      <c r="AE117" s="286"/>
      <c r="AF117" s="286"/>
      <c r="AG117" s="286"/>
      <c r="AH117" s="286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  <row r="127" spans="1:34">
      <c r="A127" s="259"/>
      <c r="B127" s="259"/>
      <c r="C127" s="259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84"/>
    </row>
  </sheetData>
  <mergeCells count="85">
    <mergeCell ref="D54:J54"/>
    <mergeCell ref="A72:B72"/>
    <mergeCell ref="T14:U14"/>
    <mergeCell ref="D51:J51"/>
    <mergeCell ref="D52:J52"/>
    <mergeCell ref="N52:V52"/>
    <mergeCell ref="D53:J53"/>
    <mergeCell ref="N53:V53"/>
    <mergeCell ref="A14:B14"/>
    <mergeCell ref="G14:H14"/>
    <mergeCell ref="I14:J14"/>
    <mergeCell ref="K14:L14"/>
    <mergeCell ref="P14:Q14"/>
    <mergeCell ref="R14:S14"/>
    <mergeCell ref="D47:J47"/>
    <mergeCell ref="D48:J4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5" orientation="landscape" verticalDpi="36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93FA-4BB4-4DA0-9615-FA9DA552DD08}">
  <sheetPr codeName="Sheet22">
    <tabColor rgb="FFFFFF00"/>
    <pageSetUpPr fitToPage="1"/>
  </sheetPr>
  <dimension ref="A1:IV122"/>
  <sheetViews>
    <sheetView showGridLines="0" topLeftCell="A16" zoomScale="87" zoomScaleNormal="87" zoomScaleSheetLayoutView="70" workbookViewId="0">
      <selection activeCell="D48" sqref="D48:J48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4" width="7.08203125" style="136" customWidth="1"/>
    <col min="5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244580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4422</v>
      </c>
      <c r="AB4" s="256">
        <f>L54</f>
        <v>4090</v>
      </c>
      <c r="AC4" s="256">
        <f>L55</f>
        <v>254.99999999999997</v>
      </c>
      <c r="AD4" s="256">
        <f>L56</f>
        <v>2858.3333333333335</v>
      </c>
      <c r="AE4" s="256">
        <f>L21</f>
        <v>106</v>
      </c>
      <c r="AF4" s="256">
        <f>L26</f>
        <v>976.66666666666652</v>
      </c>
      <c r="AG4" s="256">
        <f>L28</f>
        <v>226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4385</v>
      </c>
      <c r="AB5" s="256">
        <f>U54</f>
        <v>4232</v>
      </c>
      <c r="AC5" s="256">
        <f>U55</f>
        <v>268</v>
      </c>
      <c r="AD5" s="256">
        <f>U56</f>
        <v>2516.6666666666665</v>
      </c>
      <c r="AE5" s="256">
        <f>U21</f>
        <v>113</v>
      </c>
      <c r="AF5" s="256">
        <f>U26</f>
        <v>1447.3333333333335</v>
      </c>
      <c r="AG5" s="256">
        <f>U28</f>
        <v>40</v>
      </c>
      <c r="AH5" s="256">
        <f>U43</f>
        <v>0</v>
      </c>
    </row>
    <row r="6" spans="1:256" ht="18.75" customHeight="1">
      <c r="A6" s="142" t="s">
        <v>291</v>
      </c>
      <c r="B6" s="910" t="s">
        <v>696</v>
      </c>
      <c r="C6" s="144">
        <v>3</v>
      </c>
      <c r="D6" s="145">
        <v>0.35069444444444442</v>
      </c>
      <c r="E6" s="145">
        <v>0.79166666666666663</v>
      </c>
      <c r="F6" s="146">
        <f>(E6-D6)*1440</f>
        <v>635</v>
      </c>
      <c r="G6" s="1365">
        <v>1259</v>
      </c>
      <c r="H6" s="1365"/>
      <c r="I6" s="1405">
        <v>1178</v>
      </c>
      <c r="J6" s="1406"/>
      <c r="K6" s="1370">
        <f t="shared" ref="K6:K13" si="0">G6-I6</f>
        <v>81</v>
      </c>
      <c r="L6" s="1407"/>
      <c r="M6" s="145">
        <v>0.79166666666666663</v>
      </c>
      <c r="N6" s="145">
        <v>0.22916666666666666</v>
      </c>
      <c r="O6" s="146">
        <f t="shared" ref="O6:O12" si="1">(N6-M6+(N6&lt;M6))*1440</f>
        <v>630</v>
      </c>
      <c r="P6" s="1408">
        <v>1156</v>
      </c>
      <c r="Q6" s="1408"/>
      <c r="R6" s="1409">
        <v>1032</v>
      </c>
      <c r="S6" s="1408"/>
      <c r="T6" s="1421">
        <f>P6-R6</f>
        <v>124</v>
      </c>
      <c r="U6" s="1421"/>
      <c r="V6" s="224">
        <f t="shared" ref="V6:V13" si="2">F6+O6</f>
        <v>1265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0.33888888888888885</v>
      </c>
      <c r="E7" s="145">
        <v>0.79166666666666663</v>
      </c>
      <c r="F7" s="146">
        <f>(E7-D7)*1440</f>
        <v>652</v>
      </c>
      <c r="G7" s="1403">
        <v>1376</v>
      </c>
      <c r="H7" s="1404"/>
      <c r="I7" s="1403">
        <v>1200</v>
      </c>
      <c r="J7" s="1404"/>
      <c r="K7" s="1368">
        <f t="shared" si="0"/>
        <v>176</v>
      </c>
      <c r="L7" s="1397"/>
      <c r="M7" s="145">
        <v>0.79166666666666663</v>
      </c>
      <c r="N7" s="145">
        <v>0.22916666666666666</v>
      </c>
      <c r="O7" s="146">
        <f t="shared" si="1"/>
        <v>630</v>
      </c>
      <c r="P7" s="1398">
        <v>1161</v>
      </c>
      <c r="Q7" s="1398"/>
      <c r="R7" s="1398">
        <v>1070</v>
      </c>
      <c r="S7" s="1398"/>
      <c r="T7" s="1399">
        <f t="shared" ref="T7:T13" si="3">P7-R7</f>
        <v>91</v>
      </c>
      <c r="U7" s="1399"/>
      <c r="V7" s="224">
        <f t="shared" si="2"/>
        <v>1282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>
        <v>0.33958333333333335</v>
      </c>
      <c r="E8" s="145">
        <v>0.79166666666666663</v>
      </c>
      <c r="F8" s="146">
        <f>(E8-D8)*1440</f>
        <v>650.99999999999989</v>
      </c>
      <c r="G8" s="1403">
        <v>1101</v>
      </c>
      <c r="H8" s="1404"/>
      <c r="I8" s="1403">
        <v>1070</v>
      </c>
      <c r="J8" s="1404"/>
      <c r="K8" s="1368">
        <f t="shared" si="0"/>
        <v>31</v>
      </c>
      <c r="L8" s="1397"/>
      <c r="M8" s="145">
        <v>0.79166666666666663</v>
      </c>
      <c r="N8" s="145">
        <v>0.22916666666666666</v>
      </c>
      <c r="O8" s="146">
        <f t="shared" si="1"/>
        <v>630</v>
      </c>
      <c r="P8" s="1398">
        <v>1013</v>
      </c>
      <c r="Q8" s="1398"/>
      <c r="R8" s="1398">
        <v>931</v>
      </c>
      <c r="S8" s="1398"/>
      <c r="T8" s="1399">
        <f t="shared" si="3"/>
        <v>82</v>
      </c>
      <c r="U8" s="1399"/>
      <c r="V8" s="224">
        <f t="shared" si="2"/>
        <v>1281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0.33749999999999997</v>
      </c>
      <c r="E9" s="145">
        <v>0.79166666666666663</v>
      </c>
      <c r="F9" s="146">
        <f>(E9-D9)*1440</f>
        <v>654</v>
      </c>
      <c r="G9" s="1403">
        <v>1717</v>
      </c>
      <c r="H9" s="1404"/>
      <c r="I9" s="1403">
        <v>1586</v>
      </c>
      <c r="J9" s="1404"/>
      <c r="K9" s="1368">
        <f t="shared" si="0"/>
        <v>131</v>
      </c>
      <c r="L9" s="1397"/>
      <c r="M9" s="145">
        <v>0.79166666666666663</v>
      </c>
      <c r="N9" s="145">
        <v>0.21527777777777779</v>
      </c>
      <c r="O9" s="146">
        <f t="shared" si="1"/>
        <v>610.00000000000011</v>
      </c>
      <c r="P9" s="1398">
        <v>1240</v>
      </c>
      <c r="Q9" s="1398"/>
      <c r="R9" s="1398">
        <v>1100</v>
      </c>
      <c r="S9" s="1398"/>
      <c r="T9" s="1399">
        <f t="shared" si="3"/>
        <v>140</v>
      </c>
      <c r="U9" s="1399"/>
      <c r="V9" s="224">
        <f t="shared" si="2"/>
        <v>1264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0.35416666666666669</v>
      </c>
      <c r="E10" s="145">
        <v>0.79166666666666663</v>
      </c>
      <c r="F10" s="146">
        <f>(E10-D10)*1440</f>
        <v>629.99999999999989</v>
      </c>
      <c r="G10" s="1403">
        <v>1601</v>
      </c>
      <c r="H10" s="1404"/>
      <c r="I10" s="1396">
        <v>1500</v>
      </c>
      <c r="J10" s="1396"/>
      <c r="K10" s="1368">
        <f t="shared" si="0"/>
        <v>101</v>
      </c>
      <c r="L10" s="1397"/>
      <c r="M10" s="145">
        <v>0.79166666666666663</v>
      </c>
      <c r="N10" s="145">
        <v>0.22916666666666666</v>
      </c>
      <c r="O10" s="146">
        <f t="shared" si="1"/>
        <v>630</v>
      </c>
      <c r="P10" s="1398">
        <v>1222</v>
      </c>
      <c r="Q10" s="1398"/>
      <c r="R10" s="1398">
        <v>1100</v>
      </c>
      <c r="S10" s="1398"/>
      <c r="T10" s="1399">
        <f t="shared" si="3"/>
        <v>122</v>
      </c>
      <c r="U10" s="1399"/>
      <c r="V10" s="224">
        <f t="shared" si="2"/>
        <v>1260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0.39583333333333331</v>
      </c>
      <c r="E11" s="145">
        <v>0.79166666666666663</v>
      </c>
      <c r="F11" s="146">
        <f t="shared" ref="F11:F12" si="4">(E11-D11)*1440</f>
        <v>570</v>
      </c>
      <c r="G11" s="1396">
        <v>680</v>
      </c>
      <c r="H11" s="1396"/>
      <c r="I11" s="1396">
        <v>600</v>
      </c>
      <c r="J11" s="1396"/>
      <c r="K11" s="1368">
        <f t="shared" ref="K11" si="5">G11-I11</f>
        <v>80</v>
      </c>
      <c r="L11" s="1397"/>
      <c r="M11" s="145">
        <v>0.79166666666666663</v>
      </c>
      <c r="N11" s="145">
        <v>0.22916666666666666</v>
      </c>
      <c r="O11" s="146">
        <f t="shared" ref="O11" si="6">(N11-M11+(N11&lt;M11))*1440</f>
        <v>630</v>
      </c>
      <c r="P11" s="1398">
        <v>1109</v>
      </c>
      <c r="Q11" s="1398"/>
      <c r="R11" s="1398">
        <v>980</v>
      </c>
      <c r="S11" s="1398"/>
      <c r="T11" s="1399">
        <f t="shared" si="3"/>
        <v>129</v>
      </c>
      <c r="U11" s="1399"/>
      <c r="V11" s="224">
        <f t="shared" si="2"/>
        <v>1200</v>
      </c>
      <c r="W11" s="909"/>
    </row>
    <row r="12" spans="1:256" ht="18.75" customHeight="1">
      <c r="A12" s="142" t="s">
        <v>297</v>
      </c>
      <c r="B12" s="1059" t="s">
        <v>697</v>
      </c>
      <c r="C12" s="914">
        <v>3</v>
      </c>
      <c r="D12" s="145">
        <v>0.35416666666666669</v>
      </c>
      <c r="E12" s="145">
        <v>0.79166666666666663</v>
      </c>
      <c r="F12" s="146">
        <f t="shared" si="4"/>
        <v>629.99999999999989</v>
      </c>
      <c r="G12" s="1396">
        <v>1606</v>
      </c>
      <c r="H12" s="1396"/>
      <c r="I12" s="1396">
        <v>1441</v>
      </c>
      <c r="J12" s="1396"/>
      <c r="K12" s="1368">
        <f t="shared" si="0"/>
        <v>165</v>
      </c>
      <c r="L12" s="1397"/>
      <c r="M12" s="145">
        <v>0.79166666666666663</v>
      </c>
      <c r="N12" s="145">
        <v>0.22569444444444445</v>
      </c>
      <c r="O12" s="146">
        <f t="shared" si="1"/>
        <v>625</v>
      </c>
      <c r="P12" s="1398">
        <v>1453</v>
      </c>
      <c r="Q12" s="1398"/>
      <c r="R12" s="1398">
        <v>1337</v>
      </c>
      <c r="S12" s="1398"/>
      <c r="T12" s="1399">
        <f t="shared" si="3"/>
        <v>116</v>
      </c>
      <c r="U12" s="1399"/>
      <c r="V12" s="224">
        <f t="shared" si="2"/>
        <v>1255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428">
        <f t="shared" si="0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2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AVERAGE(D6:D12)</f>
        <v>0.35297619047619044</v>
      </c>
      <c r="E14" s="152">
        <f>AVERAGE(E6:E12)</f>
        <v>0.79166666666666674</v>
      </c>
      <c r="F14" s="153">
        <f>SUM(F6:F13)</f>
        <v>4422</v>
      </c>
      <c r="G14" s="1362">
        <f>SUM(G6:H13)</f>
        <v>9340</v>
      </c>
      <c r="H14" s="1363"/>
      <c r="I14" s="1362">
        <f>SUM(I6:I13)</f>
        <v>8575</v>
      </c>
      <c r="J14" s="1363"/>
      <c r="K14" s="1362">
        <f>SUM(K6:K13)</f>
        <v>765</v>
      </c>
      <c r="L14" s="1394"/>
      <c r="M14" s="198">
        <f>AVERAGE(M6:M13)</f>
        <v>0.79166666666666674</v>
      </c>
      <c r="N14" s="199">
        <f>AVERAGE(N6:N13)</f>
        <v>0.22668650793650794</v>
      </c>
      <c r="O14" s="200">
        <f>SUM(O6:O13)</f>
        <v>4385</v>
      </c>
      <c r="P14" s="1392">
        <f>SUM(P6:P13)</f>
        <v>8354</v>
      </c>
      <c r="Q14" s="1393"/>
      <c r="R14" s="1392">
        <f>SUM(R6:R13)</f>
        <v>7550</v>
      </c>
      <c r="S14" s="1393"/>
      <c r="T14" s="1392">
        <f>SUM(T6:T13)</f>
        <v>804</v>
      </c>
      <c r="U14" s="1393"/>
      <c r="V14" s="228">
        <f>SUM(V6:V13)</f>
        <v>8807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7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8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7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8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7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8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3*6</f>
        <v>18</v>
      </c>
      <c r="E19" s="1070">
        <f>2*7</f>
        <v>14</v>
      </c>
      <c r="F19" s="1070">
        <f>4+10</f>
        <v>14</v>
      </c>
      <c r="G19" s="1070">
        <f>2*8</f>
        <v>16</v>
      </c>
      <c r="H19" s="1070">
        <f>2*7</f>
        <v>14</v>
      </c>
      <c r="I19" s="1070">
        <v>9</v>
      </c>
      <c r="J19" s="1070">
        <f>3*7</f>
        <v>21</v>
      </c>
      <c r="K19" s="1070"/>
      <c r="L19" s="1112">
        <f t="shared" si="7"/>
        <v>106</v>
      </c>
      <c r="M19" s="1070">
        <f>3+20</f>
        <v>23</v>
      </c>
      <c r="N19" s="1059">
        <f>3+15</f>
        <v>18</v>
      </c>
      <c r="O19" s="1070">
        <v>12</v>
      </c>
      <c r="P19" s="1070">
        <v>9</v>
      </c>
      <c r="Q19" s="1070">
        <v>12</v>
      </c>
      <c r="R19" s="1070">
        <v>9</v>
      </c>
      <c r="S19" s="1070">
        <v>30</v>
      </c>
      <c r="T19" s="1070"/>
      <c r="U19" s="1113">
        <f t="shared" si="8"/>
        <v>113</v>
      </c>
      <c r="V19" s="1114">
        <f>L19+U19</f>
        <v>219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7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8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9">SUM(D16:D20)</f>
        <v>18</v>
      </c>
      <c r="E21" s="165">
        <f t="shared" si="9"/>
        <v>14</v>
      </c>
      <c r="F21" s="165">
        <f t="shared" si="9"/>
        <v>14</v>
      </c>
      <c r="G21" s="165">
        <f t="shared" si="9"/>
        <v>16</v>
      </c>
      <c r="H21" s="165">
        <f t="shared" si="9"/>
        <v>14</v>
      </c>
      <c r="I21" s="165">
        <f t="shared" si="9"/>
        <v>9</v>
      </c>
      <c r="J21" s="165">
        <f t="shared" si="9"/>
        <v>21</v>
      </c>
      <c r="K21" s="165">
        <f t="shared" si="9"/>
        <v>0</v>
      </c>
      <c r="L21" s="206">
        <f t="shared" si="7"/>
        <v>106</v>
      </c>
      <c r="M21" s="165">
        <f t="shared" ref="M21:T21" si="10">SUM(M16:M20)</f>
        <v>23</v>
      </c>
      <c r="N21" s="165">
        <f t="shared" si="10"/>
        <v>18</v>
      </c>
      <c r="O21" s="165">
        <f t="shared" si="10"/>
        <v>12</v>
      </c>
      <c r="P21" s="165">
        <f t="shared" si="10"/>
        <v>9</v>
      </c>
      <c r="Q21" s="165">
        <f t="shared" si="10"/>
        <v>12</v>
      </c>
      <c r="R21" s="165">
        <f t="shared" si="10"/>
        <v>9</v>
      </c>
      <c r="S21" s="165">
        <f t="shared" si="10"/>
        <v>30</v>
      </c>
      <c r="T21" s="165">
        <f t="shared" si="10"/>
        <v>0</v>
      </c>
      <c r="U21" s="165">
        <f t="shared" si="8"/>
        <v>113</v>
      </c>
      <c r="V21" s="1117">
        <f>L21+U21</f>
        <v>219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>
        <f>8+7</f>
        <v>15</v>
      </c>
      <c r="F23" s="159">
        <v>5</v>
      </c>
      <c r="G23" s="913">
        <v>6</v>
      </c>
      <c r="H23" s="159">
        <f>4+5+9+4+10+8+5+6+6+9+2</f>
        <v>68</v>
      </c>
      <c r="I23" s="159"/>
      <c r="J23" s="159"/>
      <c r="K23" s="159"/>
      <c r="L23" s="208">
        <f>SUM(D23:K23)</f>
        <v>94</v>
      </c>
      <c r="M23" s="160">
        <v>7</v>
      </c>
      <c r="N23" s="160"/>
      <c r="O23" s="160"/>
      <c r="P23" s="160"/>
      <c r="Q23" s="160"/>
      <c r="R23" s="160">
        <v>6</v>
      </c>
      <c r="S23" s="160"/>
      <c r="T23" s="160"/>
      <c r="U23" s="238">
        <f>SUM(M23:T23)</f>
        <v>13</v>
      </c>
      <c r="V23" s="1112">
        <f>L23+U23</f>
        <v>107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5+8+2+7+4+6+10+2+6+6+5+15+9+5+5+4+7+4+5+10+5+8+9+3+6+8+6+3+6+12+60+6+1</f>
        <v>258</v>
      </c>
      <c r="E24" s="169">
        <f>4+6+4+8+5+8+4+7+2+4+5+10+5+8+9+3+6+8+6+3+22</f>
        <v>137</v>
      </c>
      <c r="F24" s="169">
        <f>2+3+2+4+1+5+3+2+2+6+5+5+6+5+4+5+10+5+8+9+3+6+8+6+3+7+41+60+11+5</f>
        <v>242</v>
      </c>
      <c r="G24" s="169">
        <f>2+5+5+4+7+4+5+10+5+8+9+3+6+8+7+16+15</f>
        <v>119</v>
      </c>
      <c r="H24" s="169">
        <f>7+4+7+6+5+6+5+4+5+10+5+8+9+3+6+8+6+3</f>
        <v>107</v>
      </c>
      <c r="I24" s="169">
        <f>10+5+7+10+7</f>
        <v>39</v>
      </c>
      <c r="J24" s="169">
        <f>7+3+6+3+6+3+45+35</f>
        <v>108</v>
      </c>
      <c r="K24" s="169"/>
      <c r="L24" s="1115">
        <f>SUM(D24:K24)</f>
        <v>1010</v>
      </c>
      <c r="M24" s="1118">
        <f>2+9+6+9+2+5+6+2+7+8+9+7+15+22+8</f>
        <v>117</v>
      </c>
      <c r="N24" s="1119">
        <f>2+9+6+9+2+5+6+2+7+8+9+7+15+22+8+5</f>
        <v>122</v>
      </c>
      <c r="O24" s="1119">
        <f>2+2+2+9+6+9+2+5+6+2+7+8+9+7+15+22+8+8</f>
        <v>129</v>
      </c>
      <c r="P24" s="1119">
        <f>9+6+9+2+5+6+2+7+8+9+7+15+22+8</f>
        <v>115</v>
      </c>
      <c r="Q24" s="1119">
        <f>9+6+9+2+5+6+2+7+8+9+7+15+22+8+5</f>
        <v>120</v>
      </c>
      <c r="R24" s="1119">
        <f>10+25+8</f>
        <v>43</v>
      </c>
      <c r="S24" s="1119">
        <f>8+3+5+5+16+8+10+5+10+15+5+30</f>
        <v>120</v>
      </c>
      <c r="T24" s="1119"/>
      <c r="U24" s="1120">
        <f>SUM(M24:T24)</f>
        <v>766</v>
      </c>
      <c r="V24" s="1112">
        <f>L24+U24</f>
        <v>1776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-60.666666666666686</v>
      </c>
      <c r="E25" s="171">
        <f>$F7-E$55-E$56-E$21-E$23-E$24-E$34-E$43</f>
        <v>16.333333333333371</v>
      </c>
      <c r="F25" s="171">
        <f>$F8-F$55-F$56-F$21-F$23-F$24-F$34-F$43</f>
        <v>22.999999999999829</v>
      </c>
      <c r="G25" s="171">
        <f>$F9-G$55-G$56-G$21-G$23-G$24-G$34-G$43</f>
        <v>-59.333333333333258</v>
      </c>
      <c r="H25" s="171">
        <f>$F10-H$55-H$56-H$21-H$23-H$24-H$34-H$43</f>
        <v>-107.66666666666674</v>
      </c>
      <c r="I25" s="171">
        <f>$F11-I$55-I$56-I$21-I$23-I$24-I$34-I$43</f>
        <v>95.333333333333371</v>
      </c>
      <c r="J25" s="171">
        <f>$F12-J$55-J$56-J$21-J$23-J$24-J$34-J$43</f>
        <v>-34.333333333333428</v>
      </c>
      <c r="K25" s="171">
        <f>$F13-K$55-K$56-K$21-K$23-K$24-K$34-K$43</f>
        <v>0</v>
      </c>
      <c r="L25" s="209">
        <f>SUM(D25:K25)</f>
        <v>-127.33333333333354</v>
      </c>
      <c r="M25" s="171">
        <f>$O6-M$55-M$56-M$21-M$23-M$24-M$34-M$43</f>
        <v>97.666666666666629</v>
      </c>
      <c r="N25" s="171">
        <f>$O7-N$55-N$56-N$21-N$23-N$24-N$34-N$43</f>
        <v>102.99999999999994</v>
      </c>
      <c r="O25" s="171">
        <f>$O8-O$55-O$56-O$21-O$23-O$24-O$34-O$43</f>
        <v>151.33333333333331</v>
      </c>
      <c r="P25" s="171">
        <f>$O9-P$55-P$56-P$21-P$23-P$24-P$34-P$43</f>
        <v>72.666666666666799</v>
      </c>
      <c r="Q25" s="171">
        <f>$O10-Q$55-Q$56-Q$21-Q$23-Q$24-Q$34-Q$43</f>
        <v>90.666666666666686</v>
      </c>
      <c r="R25" s="171">
        <f>$O11-R$55-R$56-R$21-R$23-R$24-R$34-R$43</f>
        <v>162.33333333333331</v>
      </c>
      <c r="S25" s="171">
        <f>$O12-S$55-S$56-S$21-S$23-S$24-S$34-S$43</f>
        <v>-9.3333333333333144</v>
      </c>
      <c r="T25" s="171">
        <f>$O13-T$55-T$56-T$21-T$23-T$24-T$34-T$43</f>
        <v>0</v>
      </c>
      <c r="U25" s="239">
        <f>SUM(M25:T25)</f>
        <v>668.33333333333348</v>
      </c>
      <c r="V25" s="1112">
        <f>L25+U25</f>
        <v>541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197.33333333333331</v>
      </c>
      <c r="E26" s="172">
        <f t="shared" ref="E26:K26" si="11">SUM(E23:E25)</f>
        <v>168.33333333333337</v>
      </c>
      <c r="F26" s="172">
        <f t="shared" si="11"/>
        <v>269.99999999999983</v>
      </c>
      <c r="G26" s="172">
        <f t="shared" si="11"/>
        <v>65.666666666666742</v>
      </c>
      <c r="H26" s="172">
        <f t="shared" si="11"/>
        <v>67.333333333333258</v>
      </c>
      <c r="I26" s="172">
        <f t="shared" si="11"/>
        <v>134.33333333333337</v>
      </c>
      <c r="J26" s="172">
        <f t="shared" si="11"/>
        <v>73.666666666666572</v>
      </c>
      <c r="K26" s="172">
        <f t="shared" si="11"/>
        <v>0</v>
      </c>
      <c r="L26" s="210">
        <f>SUM(D26:K26)</f>
        <v>976.66666666666652</v>
      </c>
      <c r="M26" s="211">
        <f>SUM(M23:M25)</f>
        <v>221.66666666666663</v>
      </c>
      <c r="N26" s="211">
        <f t="shared" ref="N26:T26" si="12">SUM(N23:N25)</f>
        <v>224.99999999999994</v>
      </c>
      <c r="O26" s="211">
        <f t="shared" si="12"/>
        <v>280.33333333333331</v>
      </c>
      <c r="P26" s="211">
        <f t="shared" si="12"/>
        <v>187.6666666666668</v>
      </c>
      <c r="Q26" s="211">
        <f t="shared" si="12"/>
        <v>210.66666666666669</v>
      </c>
      <c r="R26" s="211">
        <f t="shared" si="12"/>
        <v>211.33333333333331</v>
      </c>
      <c r="S26" s="211">
        <f t="shared" si="12"/>
        <v>110.66666666666669</v>
      </c>
      <c r="T26" s="211">
        <f t="shared" si="12"/>
        <v>0</v>
      </c>
      <c r="U26" s="240">
        <f>SUM(M26:T26)</f>
        <v>1447.3333333333335</v>
      </c>
      <c r="V26" s="210">
        <f>L26+U26</f>
        <v>2424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>
        <v>11</v>
      </c>
      <c r="F28" s="159"/>
      <c r="G28" s="913"/>
      <c r="H28" s="159">
        <v>15</v>
      </c>
      <c r="I28" s="159">
        <f>90+110</f>
        <v>200</v>
      </c>
      <c r="J28" s="159"/>
      <c r="K28" s="159"/>
      <c r="L28" s="202">
        <f t="shared" ref="L28:L34" si="13">SUM(D28:K28)</f>
        <v>226</v>
      </c>
      <c r="M28" s="159"/>
      <c r="N28" s="159"/>
      <c r="O28" s="159"/>
      <c r="P28" s="159"/>
      <c r="Q28" s="159"/>
      <c r="R28" s="159">
        <v>40</v>
      </c>
      <c r="S28" s="159"/>
      <c r="T28" s="159"/>
      <c r="U28" s="242">
        <f t="shared" ref="U28:U34" si="14">SUM(M28:T28)</f>
        <v>40</v>
      </c>
      <c r="V28" s="243">
        <f t="shared" ref="V28:V34" si="15">L28+U28</f>
        <v>266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3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4"/>
        <v>0</v>
      </c>
      <c r="V29" s="244">
        <f t="shared" si="15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3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4"/>
        <v>0</v>
      </c>
      <c r="V30" s="1112">
        <f t="shared" si="15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3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4"/>
        <v>0</v>
      </c>
      <c r="V31" s="1112">
        <f t="shared" si="15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241"/>
      <c r="K32" s="1070"/>
      <c r="L32" s="1112">
        <f t="shared" si="13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4"/>
        <v>0</v>
      </c>
      <c r="V32" s="1112">
        <f t="shared" si="15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3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4"/>
        <v>0</v>
      </c>
      <c r="V33" s="1112">
        <f t="shared" si="15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6">SUM(D28:D33)</f>
        <v>0</v>
      </c>
      <c r="E34" s="175">
        <f t="shared" si="16"/>
        <v>11</v>
      </c>
      <c r="F34" s="176">
        <f t="shared" si="16"/>
        <v>0</v>
      </c>
      <c r="G34" s="176">
        <f t="shared" si="16"/>
        <v>0</v>
      </c>
      <c r="H34" s="176">
        <f t="shared" si="16"/>
        <v>15</v>
      </c>
      <c r="I34" s="176">
        <f t="shared" si="16"/>
        <v>200</v>
      </c>
      <c r="J34" s="176">
        <f t="shared" si="16"/>
        <v>0</v>
      </c>
      <c r="K34" s="176">
        <f t="shared" si="16"/>
        <v>0</v>
      </c>
      <c r="L34" s="213">
        <f t="shared" si="13"/>
        <v>226</v>
      </c>
      <c r="M34" s="175">
        <f t="shared" ref="M34:T34" si="17">SUM(M28:M33)</f>
        <v>0</v>
      </c>
      <c r="N34" s="176">
        <f t="shared" si="17"/>
        <v>0</v>
      </c>
      <c r="O34" s="176">
        <f t="shared" si="17"/>
        <v>0</v>
      </c>
      <c r="P34" s="176">
        <f t="shared" si="17"/>
        <v>0</v>
      </c>
      <c r="Q34" s="176">
        <f t="shared" si="17"/>
        <v>0</v>
      </c>
      <c r="R34" s="176">
        <f t="shared" si="17"/>
        <v>40</v>
      </c>
      <c r="S34" s="176">
        <f t="shared" si="17"/>
        <v>0</v>
      </c>
      <c r="T34" s="176">
        <f t="shared" si="17"/>
        <v>0</v>
      </c>
      <c r="U34" s="246">
        <f t="shared" si="14"/>
        <v>40</v>
      </c>
      <c r="V34" s="213">
        <f t="shared" si="15"/>
        <v>266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8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9">SUM(M36:T36)</f>
        <v>0</v>
      </c>
      <c r="V36" s="243">
        <f t="shared" ref="V36:V43" si="20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8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9"/>
        <v>0</v>
      </c>
      <c r="V37" s="1114">
        <f t="shared" si="20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8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9"/>
        <v>0</v>
      </c>
      <c r="V38" s="1114">
        <f t="shared" si="20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8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9"/>
        <v>0</v>
      </c>
      <c r="V39" s="1114">
        <f t="shared" si="20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8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9"/>
        <v>0</v>
      </c>
      <c r="V40" s="1114">
        <f t="shared" si="20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8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9"/>
        <v>0</v>
      </c>
      <c r="V41" s="1114">
        <f t="shared" si="20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8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9"/>
        <v>0</v>
      </c>
      <c r="V42" s="1114">
        <f t="shared" si="20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1">SUM(D36:D42)</f>
        <v>0</v>
      </c>
      <c r="E43" s="177">
        <f t="shared" si="21"/>
        <v>0</v>
      </c>
      <c r="F43" s="177">
        <f t="shared" si="21"/>
        <v>0</v>
      </c>
      <c r="G43" s="177">
        <f t="shared" si="21"/>
        <v>0</v>
      </c>
      <c r="H43" s="177">
        <f t="shared" si="21"/>
        <v>0</v>
      </c>
      <c r="I43" s="177">
        <f t="shared" si="21"/>
        <v>0</v>
      </c>
      <c r="J43" s="177">
        <f t="shared" si="21"/>
        <v>0</v>
      </c>
      <c r="K43" s="177">
        <f t="shared" si="21"/>
        <v>0</v>
      </c>
      <c r="L43" s="213">
        <f t="shared" si="18"/>
        <v>0</v>
      </c>
      <c r="M43" s="177">
        <f t="shared" ref="M43:T43" si="22">SUM(M36:M42)</f>
        <v>0</v>
      </c>
      <c r="N43" s="177">
        <f t="shared" si="22"/>
        <v>0</v>
      </c>
      <c r="O43" s="177">
        <f t="shared" si="22"/>
        <v>0</v>
      </c>
      <c r="P43" s="177">
        <f t="shared" si="22"/>
        <v>0</v>
      </c>
      <c r="Q43" s="177">
        <f t="shared" si="22"/>
        <v>0</v>
      </c>
      <c r="R43" s="177">
        <f t="shared" si="22"/>
        <v>0</v>
      </c>
      <c r="S43" s="177">
        <f t="shared" si="22"/>
        <v>0</v>
      </c>
      <c r="T43" s="177">
        <f t="shared" si="22"/>
        <v>0</v>
      </c>
      <c r="U43" s="165">
        <f t="shared" si="19"/>
        <v>0</v>
      </c>
      <c r="V43" s="213">
        <f t="shared" si="20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604</v>
      </c>
      <c r="B45" s="1039" t="s">
        <v>604</v>
      </c>
      <c r="C45" s="1038">
        <v>11</v>
      </c>
      <c r="D45" s="1349" t="s">
        <v>712</v>
      </c>
      <c r="E45" s="1350"/>
      <c r="F45" s="1350"/>
      <c r="G45" s="1350"/>
      <c r="H45" s="1350"/>
      <c r="I45" s="1350"/>
      <c r="J45" s="1351"/>
      <c r="K45" s="1059" t="s">
        <v>292</v>
      </c>
      <c r="L45" s="1060"/>
      <c r="M45" s="1060"/>
      <c r="N45" s="1349" t="s">
        <v>713</v>
      </c>
      <c r="O45" s="1350"/>
      <c r="P45" s="1350"/>
      <c r="Q45" s="1350"/>
      <c r="R45" s="1350"/>
      <c r="S45" s="1350"/>
      <c r="T45" s="1351"/>
      <c r="U45" s="1063"/>
      <c r="V45" s="1064"/>
      <c r="W45" s="250"/>
    </row>
    <row r="46" spans="1:23" ht="15" customHeight="1">
      <c r="A46" s="1202" t="s">
        <v>604</v>
      </c>
      <c r="B46" s="1203" t="s">
        <v>604</v>
      </c>
      <c r="C46" s="1204">
        <v>13</v>
      </c>
      <c r="D46" s="1434" t="s">
        <v>714</v>
      </c>
      <c r="E46" s="1432"/>
      <c r="F46" s="1432"/>
      <c r="G46" s="1432"/>
      <c r="H46" s="1432"/>
      <c r="I46" s="1432"/>
      <c r="J46" s="1433"/>
      <c r="K46" s="1205" t="s">
        <v>293</v>
      </c>
      <c r="L46" s="1250"/>
      <c r="M46" s="1250"/>
      <c r="N46" s="1434" t="s">
        <v>715</v>
      </c>
      <c r="O46" s="1432"/>
      <c r="P46" s="1432"/>
      <c r="Q46" s="1432"/>
      <c r="R46" s="1432"/>
      <c r="S46" s="1432"/>
      <c r="T46" s="1432"/>
      <c r="U46" s="1432"/>
      <c r="V46" s="1435"/>
      <c r="W46" s="250"/>
    </row>
    <row r="47" spans="1:23" ht="15" customHeight="1">
      <c r="A47" s="1058" t="s">
        <v>604</v>
      </c>
      <c r="B47" s="1066" t="s">
        <v>604</v>
      </c>
      <c r="C47" s="1070">
        <v>15</v>
      </c>
      <c r="D47" s="1356" t="s">
        <v>716</v>
      </c>
      <c r="E47" s="1356"/>
      <c r="F47" s="1356"/>
      <c r="G47" s="1356"/>
      <c r="H47" s="1356"/>
      <c r="I47" s="1356"/>
      <c r="J47" s="1356"/>
      <c r="K47" s="1059" t="s">
        <v>295</v>
      </c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 t="s">
        <v>704</v>
      </c>
      <c r="B48" s="1039">
        <v>9.3000000000000007</v>
      </c>
      <c r="C48" s="1123">
        <v>90</v>
      </c>
      <c r="D48" s="1349" t="s">
        <v>720</v>
      </c>
      <c r="E48" s="1350"/>
      <c r="F48" s="1350"/>
      <c r="G48" s="1350"/>
      <c r="H48" s="1350"/>
      <c r="I48" s="1350"/>
      <c r="J48" s="1351"/>
      <c r="K48" s="1059" t="s">
        <v>296</v>
      </c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 t="s">
        <v>707</v>
      </c>
      <c r="B49" s="1076" t="s">
        <v>717</v>
      </c>
      <c r="C49" s="1123">
        <v>110</v>
      </c>
      <c r="D49" s="1077" t="s">
        <v>709</v>
      </c>
      <c r="E49" s="1063"/>
      <c r="F49" s="1063"/>
      <c r="G49" s="1063"/>
      <c r="H49" s="1063"/>
      <c r="I49" s="1063"/>
      <c r="J49" s="1063"/>
      <c r="K49" s="1059" t="s">
        <v>296</v>
      </c>
      <c r="L49" s="1069"/>
      <c r="M49" s="1062"/>
      <c r="N49" s="1063" t="s">
        <v>708</v>
      </c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 t="s">
        <v>718</v>
      </c>
      <c r="B50" s="1230" t="s">
        <v>719</v>
      </c>
      <c r="C50" s="1227">
        <v>40</v>
      </c>
      <c r="D50" s="1218" t="s">
        <v>710</v>
      </c>
      <c r="E50" s="1063"/>
      <c r="F50" s="1063"/>
      <c r="G50" s="1063"/>
      <c r="H50" s="1063"/>
      <c r="I50" s="1063"/>
      <c r="J50" s="1063"/>
      <c r="K50" s="1071" t="s">
        <v>296</v>
      </c>
      <c r="L50" s="1069"/>
      <c r="M50" s="1062"/>
      <c r="N50" s="1063" t="s">
        <v>711</v>
      </c>
      <c r="O50" s="1074"/>
      <c r="P50" s="1063"/>
      <c r="Q50" s="1063"/>
      <c r="R50" s="1063"/>
      <c r="S50" s="1063"/>
      <c r="T50" s="1063"/>
      <c r="U50" s="1063"/>
      <c r="V50" s="1228"/>
      <c r="W50" s="250"/>
    </row>
    <row r="51" spans="1:25" ht="15" customHeight="1">
      <c r="A51" s="1058"/>
      <c r="B51" s="1076"/>
      <c r="C51" s="1124"/>
      <c r="D51" s="1077"/>
      <c r="E51" s="1063"/>
      <c r="F51" s="1063"/>
      <c r="G51" s="1063"/>
      <c r="H51" s="1063"/>
      <c r="I51" s="1063"/>
      <c r="J51" s="1063"/>
      <c r="K51" s="1059"/>
      <c r="L51" s="1069"/>
      <c r="M51" s="1070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58"/>
      <c r="B52" s="1076"/>
      <c r="C52" s="1123"/>
      <c r="D52" s="1356"/>
      <c r="E52" s="1356"/>
      <c r="F52" s="1356"/>
      <c r="G52" s="1356"/>
      <c r="H52" s="1356"/>
      <c r="I52" s="1356"/>
      <c r="J52" s="1356"/>
      <c r="K52" s="1059"/>
      <c r="L52" s="1069"/>
      <c r="M52" s="1072"/>
      <c r="N52" s="1063"/>
      <c r="O52" s="1074"/>
      <c r="P52" s="1063"/>
      <c r="Q52" s="1063"/>
      <c r="R52" s="1063"/>
      <c r="S52" s="1063"/>
      <c r="T52" s="1063"/>
      <c r="U52" s="1063"/>
      <c r="V52" s="1064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617</v>
      </c>
      <c r="E54" s="187">
        <f>$F7-E$21-E$43-E$34</f>
        <v>627</v>
      </c>
      <c r="F54" s="187">
        <f>$F8-F$21-F$43-F$34</f>
        <v>636.99999999999989</v>
      </c>
      <c r="G54" s="187">
        <f>$F9-G$21-G$43-G$34</f>
        <v>638</v>
      </c>
      <c r="H54" s="187">
        <f>$F10-H$21-H$43-H$34</f>
        <v>600.99999999999989</v>
      </c>
      <c r="I54" s="187">
        <f>$F11-I$21-I$43-I$34</f>
        <v>361</v>
      </c>
      <c r="J54" s="187">
        <f>$F12-J$21-J$43-J$34</f>
        <v>608.99999999999989</v>
      </c>
      <c r="K54" s="187">
        <f>$F13-K$21-K$43-K$34</f>
        <v>0</v>
      </c>
      <c r="L54" s="202">
        <f>SUM(D54:K54)</f>
        <v>4090</v>
      </c>
      <c r="M54" s="187">
        <f>O6-M21-M43-M34</f>
        <v>607</v>
      </c>
      <c r="N54" s="187">
        <f>O7-N21-N43-N34</f>
        <v>612</v>
      </c>
      <c r="O54" s="187">
        <f>O8-O21-O43-O34</f>
        <v>618</v>
      </c>
      <c r="P54" s="187">
        <f>O9-P21-P43-P34</f>
        <v>601.00000000000011</v>
      </c>
      <c r="Q54" s="187">
        <f>O10-Q21-Q43-Q34</f>
        <v>618</v>
      </c>
      <c r="R54" s="187">
        <f>O11-R21-R43-R34</f>
        <v>581</v>
      </c>
      <c r="S54" s="187">
        <f>O12-S21-S43-S34</f>
        <v>595</v>
      </c>
      <c r="T54" s="187">
        <f>O13-T21-T43-T34</f>
        <v>0</v>
      </c>
      <c r="U54" s="242">
        <f>SUM(M54:T54)</f>
        <v>4232</v>
      </c>
      <c r="V54" s="202">
        <f>L54+U54</f>
        <v>8322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27</v>
      </c>
      <c r="E55" s="1087">
        <f>$K7/$C7</f>
        <v>58.666666666666664</v>
      </c>
      <c r="F55" s="1087">
        <f>$K8/$C8</f>
        <v>10.333333333333334</v>
      </c>
      <c r="G55" s="1087">
        <f>$K9/$C9</f>
        <v>43.666666666666664</v>
      </c>
      <c r="H55" s="1087">
        <f>$K10/$C10</f>
        <v>33.666666666666664</v>
      </c>
      <c r="I55" s="1087">
        <f>$K11/$C11</f>
        <v>26.666666666666668</v>
      </c>
      <c r="J55" s="1087">
        <f>$K12/$C12</f>
        <v>55</v>
      </c>
      <c r="K55" s="1087">
        <f>$K13/$C13</f>
        <v>0</v>
      </c>
      <c r="L55" s="1112">
        <f>SUM(D55:K55)</f>
        <v>254.99999999999997</v>
      </c>
      <c r="M55" s="1087">
        <f>T6/C6</f>
        <v>41.333333333333336</v>
      </c>
      <c r="N55" s="1087">
        <f>T7/C7</f>
        <v>30.333333333333332</v>
      </c>
      <c r="O55" s="1087">
        <f>$T$8/$C$8</f>
        <v>27.333333333333332</v>
      </c>
      <c r="P55" s="1087">
        <f>$T$9/$C$9</f>
        <v>46.666666666666664</v>
      </c>
      <c r="Q55" s="1087">
        <f>$T$10/$C$10</f>
        <v>40.666666666666664</v>
      </c>
      <c r="R55" s="1087">
        <f>$T$11/$C$11</f>
        <v>43</v>
      </c>
      <c r="S55" s="1087">
        <f>$T$12/$C$12</f>
        <v>38.666666666666664</v>
      </c>
      <c r="T55" s="1087">
        <f>$T$13/$C$13</f>
        <v>0</v>
      </c>
      <c r="U55" s="1129">
        <f>SUM(M55:T55)</f>
        <v>268</v>
      </c>
      <c r="V55" s="1112">
        <f>L55+U55</f>
        <v>523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392.66666666666669</v>
      </c>
      <c r="E56" s="1087">
        <f>$I7/$C7</f>
        <v>400</v>
      </c>
      <c r="F56" s="1087">
        <f>$I8/$C8</f>
        <v>356.66666666666669</v>
      </c>
      <c r="G56" s="1087">
        <f>$I9/$C9</f>
        <v>528.66666666666663</v>
      </c>
      <c r="H56" s="1087">
        <f>$I10/$C10</f>
        <v>500</v>
      </c>
      <c r="I56" s="1087">
        <f>$I11/$C11</f>
        <v>200</v>
      </c>
      <c r="J56" s="1087">
        <f>$I12/$C12</f>
        <v>480.33333333333331</v>
      </c>
      <c r="K56" s="1087">
        <f>$I13/$C13</f>
        <v>0</v>
      </c>
      <c r="L56" s="1115">
        <f>SUM(D56:K56)</f>
        <v>2858.3333333333335</v>
      </c>
      <c r="M56" s="1130">
        <f>R6/C6</f>
        <v>344</v>
      </c>
      <c r="N56" s="1130">
        <f>R7/C7</f>
        <v>356.66666666666669</v>
      </c>
      <c r="O56" s="1130">
        <f>R8/C8</f>
        <v>310.33333333333331</v>
      </c>
      <c r="P56" s="1130">
        <f>R9/C9</f>
        <v>366.66666666666669</v>
      </c>
      <c r="Q56" s="1130">
        <f>R10/C10</f>
        <v>366.66666666666669</v>
      </c>
      <c r="R56" s="1130">
        <f>R11/C11</f>
        <v>326.66666666666669</v>
      </c>
      <c r="S56" s="1130">
        <f>R12/C12</f>
        <v>445.66666666666669</v>
      </c>
      <c r="T56" s="1130">
        <f>R13/C13</f>
        <v>0</v>
      </c>
      <c r="U56" s="1131">
        <f>SUM(M56:T56)</f>
        <v>2516.6666666666665</v>
      </c>
      <c r="V56" s="1115">
        <f>L56+U56</f>
        <v>5375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2.8346456692913384</v>
      </c>
      <c r="E57" s="188">
        <f>IF(F7=0,0,E21/F7*100)</f>
        <v>2.147239263803681</v>
      </c>
      <c r="F57" s="188">
        <f>IF(F8=0,0,F21/F8*100)</f>
        <v>2.1505376344086025</v>
      </c>
      <c r="G57" s="188">
        <f>IF(F9=0,0,G21/F9*100)</f>
        <v>2.4464831804281344</v>
      </c>
      <c r="H57" s="188">
        <f>IF(F10=0,0,H21/F10*100)</f>
        <v>2.2222222222222228</v>
      </c>
      <c r="I57" s="188">
        <f>IF(F11=0,0,I21/F11*100)</f>
        <v>1.5789473684210527</v>
      </c>
      <c r="J57" s="188">
        <f>IF(F12=0,0,J21/F12*100)</f>
        <v>3.3333333333333339</v>
      </c>
      <c r="K57" s="188">
        <f>IF(F13=0,0,K21/F13*100)</f>
        <v>0</v>
      </c>
      <c r="L57" s="217">
        <f>IF(F14=0,0,L21/F14*100)</f>
        <v>2.3971053821800088</v>
      </c>
      <c r="M57" s="188">
        <f>IF(O6=0,0,M21/O6*100)</f>
        <v>3.6507936507936511</v>
      </c>
      <c r="N57" s="188">
        <f>IF(O7=0,0,N21/O7*100)</f>
        <v>2.8571428571428572</v>
      </c>
      <c r="O57" s="188">
        <f>IF(O8=0,0,O21/O8*100)</f>
        <v>1.9047619047619049</v>
      </c>
      <c r="P57" s="188">
        <f>IF(O9=0,0,P21/O9*100)</f>
        <v>1.4754098360655734</v>
      </c>
      <c r="Q57" s="188">
        <f>IF(O10=0,0,Q21/O10*100)</f>
        <v>1.9047619047619049</v>
      </c>
      <c r="R57" s="188">
        <f>IF(O11=0,0,R21/O11*100)</f>
        <v>1.4285714285714286</v>
      </c>
      <c r="S57" s="188">
        <f>IF(O12=0,0,S21/O12*100)</f>
        <v>4.8</v>
      </c>
      <c r="T57" s="188">
        <f>IF(O13=0,0,T21/O13*100)</f>
        <v>0</v>
      </c>
      <c r="U57" s="251">
        <f>IF(O14=0,0,U21/O14*100)</f>
        <v>2.5769669327251994</v>
      </c>
      <c r="V57" s="217">
        <f>IF((F14+O14)=0,0,V21/(F14+O14)*100)</f>
        <v>2.4866583399568527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1.6871165644171779</v>
      </c>
      <c r="F58" s="1090">
        <f>IF(F8=0,0,F34/F8*100)</f>
        <v>0</v>
      </c>
      <c r="G58" s="1090">
        <f>IF(F9=0,0,G34/F9*100)</f>
        <v>0</v>
      </c>
      <c r="H58" s="1090">
        <f>IF(F10=0,0,H34/F10*100)</f>
        <v>2.3809523809523814</v>
      </c>
      <c r="I58" s="1090">
        <f>IF(F11=0,0,I34/F11*100)</f>
        <v>35.087719298245609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5.110809588421529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6.3492063492063489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0.91220068415051314</v>
      </c>
      <c r="V58" s="1132">
        <f>IF((F14+O14)=0,0,V34/(F14+O14)*100)</f>
        <v>3.0203247416827521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97.165354330708666</v>
      </c>
      <c r="E60" s="1093">
        <f>IF(F7=0,0,E54/F7*100)</f>
        <v>96.165644171779135</v>
      </c>
      <c r="F60" s="1093">
        <f>IF(F8=0,0,F54/F8*100)</f>
        <v>97.849462365591393</v>
      </c>
      <c r="G60" s="1093">
        <f>IF(F9=0,0,G54/F9*100)</f>
        <v>97.553516819571868</v>
      </c>
      <c r="H60" s="1093">
        <f>IF(F10=0,0,H54/F10*100)</f>
        <v>95.396825396825392</v>
      </c>
      <c r="I60" s="1093">
        <f>IF(F11=0,0,I54/F11*100)</f>
        <v>63.333333333333329</v>
      </c>
      <c r="J60" s="1093">
        <f>IF(F12=0,0,J54/F12*100)</f>
        <v>96.666666666666671</v>
      </c>
      <c r="K60" s="1093">
        <f>IF(F13=0,0,K54/F13*100)</f>
        <v>0</v>
      </c>
      <c r="L60" s="1134">
        <f>IF(F14=0,0,L54/F14*100)</f>
        <v>92.492085029398467</v>
      </c>
      <c r="M60" s="1095">
        <f>IF(O6=0,0,M54/O6*100)</f>
        <v>96.349206349206355</v>
      </c>
      <c r="N60" s="1095">
        <f>IF(O7=0,0,N54/O7*100)</f>
        <v>97.142857142857139</v>
      </c>
      <c r="O60" s="1095">
        <f>IF(O8=0,0,O54/O8*100)</f>
        <v>98.095238095238088</v>
      </c>
      <c r="P60" s="1095">
        <f>IF(O9=0,0,P54/O9*100)</f>
        <v>98.52459016393442</v>
      </c>
      <c r="Q60" s="1095">
        <f>IF(O10=0,0,Q54/O10*100)</f>
        <v>98.095238095238088</v>
      </c>
      <c r="R60" s="1095">
        <f>IF(O11=0,0,R54/O11*100)</f>
        <v>92.222222222222229</v>
      </c>
      <c r="S60" s="1095">
        <f>IF(O12=0,0,S54/O12*100)</f>
        <v>95.199999999999989</v>
      </c>
      <c r="T60" s="1095">
        <f>IF(O13=0,0,T54/O13*100)</f>
        <v>0</v>
      </c>
      <c r="U60" s="1093">
        <f>IF(O14=0,0,U54/O14*100)</f>
        <v>96.510832383124296</v>
      </c>
      <c r="V60" s="1134">
        <f>IF((F14+O14)=0,0,V54/(F14+O14)*100)</f>
        <v>94.493016918360397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4.3760129659643443</v>
      </c>
      <c r="E61" s="188">
        <f>IF(E54=0,0,E55/E54*100)</f>
        <v>9.3567251461988299</v>
      </c>
      <c r="F61" s="188">
        <f t="shared" ref="F61:V61" si="23">IF(F54=0,0,F55/F54*100)</f>
        <v>1.622187336473051</v>
      </c>
      <c r="G61" s="188">
        <f t="shared" si="23"/>
        <v>6.8443051201671894</v>
      </c>
      <c r="H61" s="188">
        <f t="shared" si="23"/>
        <v>5.60177481974487</v>
      </c>
      <c r="I61" s="188">
        <f t="shared" si="23"/>
        <v>7.3868882733148666</v>
      </c>
      <c r="J61" s="188">
        <f t="shared" si="23"/>
        <v>9.031198686371102</v>
      </c>
      <c r="K61" s="188">
        <f t="shared" si="23"/>
        <v>0</v>
      </c>
      <c r="L61" s="217">
        <f t="shared" si="23"/>
        <v>6.2347188264058673</v>
      </c>
      <c r="M61" s="188">
        <f t="shared" si="23"/>
        <v>6.8094453596924769</v>
      </c>
      <c r="N61" s="188">
        <f t="shared" si="23"/>
        <v>4.9564270152505445</v>
      </c>
      <c r="O61" s="188">
        <f t="shared" si="23"/>
        <v>4.4228694714131604</v>
      </c>
      <c r="P61" s="188">
        <f t="shared" si="23"/>
        <v>7.7648363838047683</v>
      </c>
      <c r="Q61" s="188">
        <f t="shared" si="23"/>
        <v>6.5803667745415311</v>
      </c>
      <c r="R61" s="188">
        <f t="shared" si="23"/>
        <v>7.4010327022375213</v>
      </c>
      <c r="S61" s="188">
        <f t="shared" si="23"/>
        <v>6.4985994397759095</v>
      </c>
      <c r="T61" s="188">
        <f t="shared" si="23"/>
        <v>0</v>
      </c>
      <c r="U61" s="251">
        <f t="shared" si="23"/>
        <v>6.3327032136105856</v>
      </c>
      <c r="V61" s="217">
        <f t="shared" si="23"/>
        <v>6.2845469838981014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4">IF(D54=0,0,D26/D54*100)</f>
        <v>31.982712047541867</v>
      </c>
      <c r="E62" s="1090">
        <f t="shared" si="24"/>
        <v>26.847421584263699</v>
      </c>
      <c r="F62" s="1090">
        <f t="shared" si="24"/>
        <v>42.386185243328086</v>
      </c>
      <c r="G62" s="1090">
        <f t="shared" si="24"/>
        <v>10.292580982236167</v>
      </c>
      <c r="H62" s="1090">
        <f t="shared" si="24"/>
        <v>11.203549639489729</v>
      </c>
      <c r="I62" s="1090">
        <f t="shared" si="24"/>
        <v>37.211449676823648</v>
      </c>
      <c r="J62" s="1090">
        <f t="shared" si="24"/>
        <v>12.096332785987945</v>
      </c>
      <c r="K62" s="1090">
        <f t="shared" si="24"/>
        <v>0</v>
      </c>
      <c r="L62" s="1132">
        <f t="shared" si="24"/>
        <v>23.87938060309698</v>
      </c>
      <c r="M62" s="1090">
        <f t="shared" si="24"/>
        <v>36.518396485447553</v>
      </c>
      <c r="N62" s="1090">
        <f t="shared" si="24"/>
        <v>36.764705882352935</v>
      </c>
      <c r="O62" s="1090">
        <f t="shared" si="24"/>
        <v>45.361380798273998</v>
      </c>
      <c r="P62" s="1090">
        <f t="shared" si="24"/>
        <v>31.225734886300629</v>
      </c>
      <c r="Q62" s="1090">
        <f t="shared" si="24"/>
        <v>34.088457389428264</v>
      </c>
      <c r="R62" s="1090">
        <f t="shared" si="24"/>
        <v>36.374067699368901</v>
      </c>
      <c r="S62" s="1090">
        <f t="shared" si="24"/>
        <v>18.599439775910369</v>
      </c>
      <c r="T62" s="1090">
        <f t="shared" si="24"/>
        <v>0</v>
      </c>
      <c r="U62" s="1133">
        <f t="shared" si="24"/>
        <v>34.199747952110904</v>
      </c>
      <c r="V62" s="1132">
        <f t="shared" si="24"/>
        <v>29.127613554434028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5">IF(D54=0,0,D56/D54*100)</f>
        <v>63.641274986493791</v>
      </c>
      <c r="E63" s="1095">
        <f t="shared" si="25"/>
        <v>63.795853269537481</v>
      </c>
      <c r="F63" s="1095">
        <f t="shared" si="25"/>
        <v>55.991627420198867</v>
      </c>
      <c r="G63" s="1095">
        <f t="shared" si="25"/>
        <v>82.863113897596648</v>
      </c>
      <c r="H63" s="1095">
        <f t="shared" si="25"/>
        <v>83.194675540765402</v>
      </c>
      <c r="I63" s="1095">
        <f t="shared" si="25"/>
        <v>55.4016620498615</v>
      </c>
      <c r="J63" s="1095">
        <f t="shared" si="25"/>
        <v>78.872468527640947</v>
      </c>
      <c r="K63" s="1095">
        <f t="shared" si="25"/>
        <v>0</v>
      </c>
      <c r="L63" s="1134">
        <f t="shared" si="25"/>
        <v>69.885900570497157</v>
      </c>
      <c r="M63" s="1095">
        <f t="shared" si="25"/>
        <v>56.672158154859964</v>
      </c>
      <c r="N63" s="1095">
        <f t="shared" si="25"/>
        <v>58.278867102396518</v>
      </c>
      <c r="O63" s="1095">
        <f t="shared" si="25"/>
        <v>50.21574973031283</v>
      </c>
      <c r="P63" s="1095">
        <f t="shared" si="25"/>
        <v>61.009428729894609</v>
      </c>
      <c r="Q63" s="1095">
        <f t="shared" si="25"/>
        <v>59.331175836030205</v>
      </c>
      <c r="R63" s="1095">
        <f t="shared" si="25"/>
        <v>56.224899598393577</v>
      </c>
      <c r="S63" s="1095">
        <f t="shared" si="25"/>
        <v>74.901960784313729</v>
      </c>
      <c r="T63" s="1095">
        <f t="shared" si="25"/>
        <v>0</v>
      </c>
      <c r="U63" s="1093">
        <f t="shared" si="25"/>
        <v>59.467548834278503</v>
      </c>
      <c r="V63" s="1134">
        <f t="shared" si="25"/>
        <v>64.587839461667869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102.81774580335733</v>
      </c>
      <c r="E64" s="190">
        <f>IF(E74=0,0,D74/E74*100)</f>
        <v>102.81774580335733</v>
      </c>
      <c r="F64" s="190">
        <f>IF(E74=0,0,D74/E74*100)</f>
        <v>102.81774580335733</v>
      </c>
      <c r="G64" s="190">
        <f>IF(E74=0,0,D74/E74*100)</f>
        <v>102.81774580335733</v>
      </c>
      <c r="H64" s="190">
        <f>IF(E74=0,0,D74/E74*100)</f>
        <v>102.81774580335733</v>
      </c>
      <c r="I64" s="190">
        <f>IF(E74=0,0,D74/E74*100)</f>
        <v>102.81774580335733</v>
      </c>
      <c r="J64" s="190">
        <f>IF(E74=0,0,D74/E74*100)</f>
        <v>102.81774580335733</v>
      </c>
      <c r="K64" s="190">
        <f>IF(E74=0,0,D74/E74*100)</f>
        <v>102.81774580335733</v>
      </c>
      <c r="L64" s="218">
        <f>IF(E74=0,0,D74/E74*100)</f>
        <v>102.81774580335733</v>
      </c>
      <c r="M64" s="219">
        <f>IF(N74=0,0,M74/N74*100)</f>
        <v>90.375867847737609</v>
      </c>
      <c r="N64" s="219">
        <f>IF(N74=0,0,M74/N74*100)</f>
        <v>90.375867847737609</v>
      </c>
      <c r="O64" s="219">
        <f>IF(N74=0,0,M74/N74*100)</f>
        <v>90.375867847737609</v>
      </c>
      <c r="P64" s="219">
        <f>IF(N74=0,0,M74/N74*100)</f>
        <v>90.375867847737609</v>
      </c>
      <c r="Q64" s="219">
        <f>IF(N74=0,0,M74/N74*100)</f>
        <v>90.375867847737609</v>
      </c>
      <c r="R64" s="219">
        <f>IF(N74=0,0,M74/N74*100)</f>
        <v>90.375867847737609</v>
      </c>
      <c r="S64" s="219">
        <f>IF(N74=0,0,M74/N74*100)</f>
        <v>90.375867847737609</v>
      </c>
      <c r="T64" s="219">
        <f>IF(N74=0,0,M74/N74*100)</f>
        <v>90.375867847737609</v>
      </c>
      <c r="U64" s="190">
        <f>IF(N74=0,0,M74/N74*100)</f>
        <v>90.375867847737609</v>
      </c>
      <c r="V64" s="218">
        <f>IF(N78=0,0,M78/N78*100)</f>
        <v>96.59158979273991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6">(D60*D63*D64)/10000</f>
        <v>63.579687431157453</v>
      </c>
      <c r="E65" s="190">
        <f t="shared" si="26"/>
        <v>63.078371658501425</v>
      </c>
      <c r="F65" s="190">
        <f t="shared" si="26"/>
        <v>56.331279062771308</v>
      </c>
      <c r="G65" s="190">
        <f t="shared" si="26"/>
        <v>83.113631419023818</v>
      </c>
      <c r="H65" s="190">
        <f t="shared" si="26"/>
        <v>81.601385558220102</v>
      </c>
      <c r="I65" s="190">
        <f t="shared" si="26"/>
        <v>36.076402036265733</v>
      </c>
      <c r="J65" s="190">
        <f t="shared" si="26"/>
        <v>78.391731059596779</v>
      </c>
      <c r="K65" s="190">
        <f t="shared" si="26"/>
        <v>0</v>
      </c>
      <c r="L65" s="190">
        <f t="shared" si="26"/>
        <v>66.460287220246443</v>
      </c>
      <c r="M65" s="219">
        <f t="shared" si="26"/>
        <v>49.348092920034503</v>
      </c>
      <c r="N65" s="219">
        <f t="shared" si="26"/>
        <v>51.165173860888487</v>
      </c>
      <c r="O65" s="219">
        <f t="shared" si="26"/>
        <v>44.518483050922597</v>
      </c>
      <c r="P65" s="219">
        <f t="shared" si="26"/>
        <v>54.324292148913301</v>
      </c>
      <c r="Q65" s="219">
        <f t="shared" si="26"/>
        <v>52.59971144577321</v>
      </c>
      <c r="R65" s="219">
        <f t="shared" si="26"/>
        <v>46.861561106234326</v>
      </c>
      <c r="S65" s="219">
        <f t="shared" si="26"/>
        <v>64.444018833293427</v>
      </c>
      <c r="T65" s="219">
        <f t="shared" si="26"/>
        <v>0</v>
      </c>
      <c r="U65" s="190">
        <f>IF(10000=0,0,(U60*U63*U64)/10000)</f>
        <v>51.869084169549133</v>
      </c>
      <c r="V65" s="218">
        <f>IF(10000=0,0,(V60*V63*V64)/10000)</f>
        <v>58.95081130191631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/>
      <c r="E72" s="260"/>
      <c r="F72" s="260"/>
      <c r="G72" s="260"/>
      <c r="H72" s="260"/>
      <c r="I72" s="260"/>
      <c r="J72" s="260"/>
      <c r="K72" s="260"/>
      <c r="L72" s="260"/>
      <c r="M72" s="1096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8575</v>
      </c>
      <c r="E74" s="1099">
        <v>8340</v>
      </c>
      <c r="F74" s="264">
        <f>8/E74</f>
        <v>9.5923261390887292E-4</v>
      </c>
      <c r="G74" s="260"/>
      <c r="H74" s="260"/>
      <c r="I74" s="260"/>
      <c r="J74" s="260"/>
      <c r="K74" s="260"/>
      <c r="L74" s="260"/>
      <c r="M74" s="1099">
        <v>7550</v>
      </c>
      <c r="N74" s="1099">
        <v>8354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16125</v>
      </c>
      <c r="N78" s="1135">
        <f>E74+N74</f>
        <v>16694</v>
      </c>
      <c r="O78" s="281">
        <f>M78/N78</f>
        <v>0.96591589792739907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5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D52:J52"/>
    <mergeCell ref="N45:T45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K8:L8"/>
    <mergeCell ref="P8:Q8"/>
    <mergeCell ref="R8:S8"/>
    <mergeCell ref="T8:U8"/>
    <mergeCell ref="T4:U4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C2BD-C2E4-42B3-B627-200DF0502325}">
  <sheetPr codeName="Sheet23">
    <tabColor rgb="FFFFFF00"/>
    <pageSetUpPr fitToPage="1"/>
  </sheetPr>
  <dimension ref="A1:IV122"/>
  <sheetViews>
    <sheetView showGridLines="0" topLeftCell="A34" zoomScale="87" zoomScaleNormal="87" zoomScaleSheetLayoutView="70" workbookViewId="0">
      <selection activeCell="N32" sqref="N3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3892</v>
      </c>
      <c r="AB4" s="256">
        <f>L54</f>
        <v>3556</v>
      </c>
      <c r="AC4" s="256">
        <f>L55</f>
        <v>265.66666666666669</v>
      </c>
      <c r="AD4" s="256">
        <f>L56</f>
        <v>2423.6666666666665</v>
      </c>
      <c r="AE4" s="256">
        <f>L21</f>
        <v>96</v>
      </c>
      <c r="AF4" s="256">
        <f>L26</f>
        <v>866.66666666666606</v>
      </c>
      <c r="AG4" s="256">
        <f>L28</f>
        <v>240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3755</v>
      </c>
      <c r="AB5" s="256">
        <f>U54</f>
        <v>3476</v>
      </c>
      <c r="AC5" s="256">
        <f>U55</f>
        <v>238.99999999999997</v>
      </c>
      <c r="AD5" s="256">
        <f>U56</f>
        <v>2358.3333333333335</v>
      </c>
      <c r="AE5" s="256">
        <f>U21</f>
        <v>117</v>
      </c>
      <c r="AF5" s="256">
        <f>U26</f>
        <v>878.66666666666674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696</v>
      </c>
      <c r="C6" s="144">
        <v>3</v>
      </c>
      <c r="D6" s="145">
        <v>0.39930555555555558</v>
      </c>
      <c r="E6" s="145">
        <v>0.79166666666666663</v>
      </c>
      <c r="F6" s="146">
        <f>(E6-D6)*1440</f>
        <v>564.99999999999989</v>
      </c>
      <c r="G6" s="1365">
        <v>1219</v>
      </c>
      <c r="H6" s="1365"/>
      <c r="I6" s="1405">
        <v>1073</v>
      </c>
      <c r="J6" s="1406"/>
      <c r="K6" s="1370">
        <f>G6-I6</f>
        <v>146</v>
      </c>
      <c r="L6" s="1407"/>
      <c r="M6" s="145">
        <v>0.79166666666666663</v>
      </c>
      <c r="N6" s="145">
        <v>0.22916666666666666</v>
      </c>
      <c r="O6" s="146">
        <f t="shared" ref="O6:O12" si="0">(N6-M6+(N6&lt;M6))*1440</f>
        <v>630</v>
      </c>
      <c r="P6" s="1408">
        <v>1070</v>
      </c>
      <c r="Q6" s="1408"/>
      <c r="R6" s="1409">
        <v>1028</v>
      </c>
      <c r="S6" s="1408"/>
      <c r="T6" s="1421">
        <f>P6-R6</f>
        <v>42</v>
      </c>
      <c r="U6" s="1421"/>
      <c r="V6" s="224">
        <f t="shared" ref="V6:V13" si="1">F6+O6</f>
        <v>1195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0.39444444444444443</v>
      </c>
      <c r="E7" s="145">
        <v>0.79166666666666663</v>
      </c>
      <c r="F7" s="146">
        <f>(E7-D7)*1440</f>
        <v>572</v>
      </c>
      <c r="G7" s="1403">
        <v>1129</v>
      </c>
      <c r="H7" s="1404"/>
      <c r="I7" s="1403">
        <v>1039</v>
      </c>
      <c r="J7" s="1404"/>
      <c r="K7" s="1368">
        <f>G7-I7</f>
        <v>90</v>
      </c>
      <c r="L7" s="1397"/>
      <c r="M7" s="145">
        <v>0.79166666666666663</v>
      </c>
      <c r="N7" s="145">
        <v>0.22916666666666666</v>
      </c>
      <c r="O7" s="146">
        <f t="shared" si="0"/>
        <v>630</v>
      </c>
      <c r="P7" s="1398">
        <v>1144</v>
      </c>
      <c r="Q7" s="1398"/>
      <c r="R7" s="1398">
        <v>980</v>
      </c>
      <c r="S7" s="1398"/>
      <c r="T7" s="1399">
        <f t="shared" ref="T7:T12" si="2">P7-R7</f>
        <v>164</v>
      </c>
      <c r="U7" s="1399"/>
      <c r="V7" s="224">
        <f t="shared" si="1"/>
        <v>1202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>
        <v>0.39583333333333331</v>
      </c>
      <c r="E8" s="145">
        <v>0.79166666666666663</v>
      </c>
      <c r="F8" s="146">
        <f>(E8-D8)*1440</f>
        <v>570</v>
      </c>
      <c r="G8" s="1403">
        <v>1167</v>
      </c>
      <c r="H8" s="1404"/>
      <c r="I8" s="1403">
        <v>992</v>
      </c>
      <c r="J8" s="1404"/>
      <c r="K8" s="1368">
        <f t="shared" ref="K8:K12" si="3">G8-I8</f>
        <v>175</v>
      </c>
      <c r="L8" s="1397"/>
      <c r="M8" s="145">
        <v>0.79166666666666663</v>
      </c>
      <c r="N8" s="145">
        <v>0.22916666666666666</v>
      </c>
      <c r="O8" s="146">
        <f t="shared" si="0"/>
        <v>630</v>
      </c>
      <c r="P8" s="1398">
        <v>1149</v>
      </c>
      <c r="Q8" s="1398"/>
      <c r="R8" s="1398">
        <v>1042</v>
      </c>
      <c r="S8" s="1398"/>
      <c r="T8" s="1399">
        <f t="shared" si="2"/>
        <v>107</v>
      </c>
      <c r="U8" s="1399"/>
      <c r="V8" s="224">
        <f t="shared" si="1"/>
        <v>1200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0.38819444444444445</v>
      </c>
      <c r="E9" s="145">
        <v>0.79166666666666663</v>
      </c>
      <c r="F9" s="146">
        <f>(E9-D9)*1440</f>
        <v>580.99999999999989</v>
      </c>
      <c r="G9" s="1403">
        <v>1243</v>
      </c>
      <c r="H9" s="1404"/>
      <c r="I9" s="1403">
        <v>1140</v>
      </c>
      <c r="J9" s="1404"/>
      <c r="K9" s="1368">
        <f t="shared" si="3"/>
        <v>103</v>
      </c>
      <c r="L9" s="1397"/>
      <c r="M9" s="145">
        <v>0.79166666666666663</v>
      </c>
      <c r="N9" s="145">
        <v>0.21527777777777779</v>
      </c>
      <c r="O9" s="146">
        <f t="shared" si="0"/>
        <v>610.00000000000011</v>
      </c>
      <c r="P9" s="1398">
        <v>1453</v>
      </c>
      <c r="Q9" s="1398"/>
      <c r="R9" s="1398">
        <v>1280</v>
      </c>
      <c r="S9" s="1398"/>
      <c r="T9" s="1399">
        <f t="shared" si="2"/>
        <v>173</v>
      </c>
      <c r="U9" s="1399"/>
      <c r="V9" s="224">
        <f t="shared" si="1"/>
        <v>1191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0.38611111111111113</v>
      </c>
      <c r="E10" s="145">
        <v>0.79166666666666663</v>
      </c>
      <c r="F10" s="146">
        <f>(E10-D10)*1440</f>
        <v>583.99999999999989</v>
      </c>
      <c r="G10" s="1403">
        <v>1201</v>
      </c>
      <c r="H10" s="1404"/>
      <c r="I10" s="1396">
        <v>1110</v>
      </c>
      <c r="J10" s="1396"/>
      <c r="K10" s="1368">
        <f t="shared" si="3"/>
        <v>91</v>
      </c>
      <c r="L10" s="1397"/>
      <c r="M10" s="145">
        <v>0.79166666666666663</v>
      </c>
      <c r="N10" s="145">
        <v>0.22916666666666666</v>
      </c>
      <c r="O10" s="146">
        <f t="shared" si="0"/>
        <v>630</v>
      </c>
      <c r="P10" s="1398">
        <v>1521</v>
      </c>
      <c r="Q10" s="1398"/>
      <c r="R10" s="1398">
        <v>1309</v>
      </c>
      <c r="S10" s="1398"/>
      <c r="T10" s="1399">
        <f t="shared" si="2"/>
        <v>212</v>
      </c>
      <c r="U10" s="1399"/>
      <c r="V10" s="224">
        <f t="shared" si="1"/>
        <v>1214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0.47916666666666669</v>
      </c>
      <c r="E11" s="145">
        <v>0.79166666666666663</v>
      </c>
      <c r="F11" s="146">
        <f t="shared" ref="F11:F12" si="4">(E11-D11)*1440</f>
        <v>449.99999999999994</v>
      </c>
      <c r="G11" s="1396">
        <v>819</v>
      </c>
      <c r="H11" s="1396"/>
      <c r="I11" s="1396">
        <v>700</v>
      </c>
      <c r="J11" s="1396"/>
      <c r="K11" s="1368">
        <f t="shared" si="3"/>
        <v>119</v>
      </c>
      <c r="L11" s="1397"/>
      <c r="M11" s="145"/>
      <c r="N11" s="145"/>
      <c r="O11" s="146"/>
      <c r="P11" s="1398"/>
      <c r="Q11" s="1398"/>
      <c r="R11" s="1398"/>
      <c r="S11" s="1398"/>
      <c r="T11" s="1399">
        <f t="shared" si="2"/>
        <v>0</v>
      </c>
      <c r="U11" s="1399"/>
      <c r="V11" s="224">
        <f t="shared" si="1"/>
        <v>449.99999999999994</v>
      </c>
      <c r="W11" s="909"/>
    </row>
    <row r="12" spans="1:256" ht="18.75" customHeight="1">
      <c r="A12" s="142" t="s">
        <v>297</v>
      </c>
      <c r="B12" s="1059" t="s">
        <v>697</v>
      </c>
      <c r="C12" s="914">
        <v>3</v>
      </c>
      <c r="D12" s="145">
        <v>0.39583333333333331</v>
      </c>
      <c r="E12" s="145">
        <v>0.79166666666666663</v>
      </c>
      <c r="F12" s="146">
        <f t="shared" si="4"/>
        <v>570</v>
      </c>
      <c r="G12" s="1396">
        <v>1290</v>
      </c>
      <c r="H12" s="1396"/>
      <c r="I12" s="1396">
        <v>1217</v>
      </c>
      <c r="J12" s="1396"/>
      <c r="K12" s="1368">
        <f t="shared" si="3"/>
        <v>73</v>
      </c>
      <c r="L12" s="1397"/>
      <c r="M12" s="145">
        <v>0.79166666666666663</v>
      </c>
      <c r="N12" s="145">
        <v>0.22569444444444445</v>
      </c>
      <c r="O12" s="146">
        <f t="shared" si="0"/>
        <v>625</v>
      </c>
      <c r="P12" s="1398">
        <v>1455</v>
      </c>
      <c r="Q12" s="1398"/>
      <c r="R12" s="1398">
        <v>1436</v>
      </c>
      <c r="S12" s="1398"/>
      <c r="T12" s="1399">
        <f t="shared" si="2"/>
        <v>19</v>
      </c>
      <c r="U12" s="1399"/>
      <c r="V12" s="224">
        <f t="shared" si="1"/>
        <v>1195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9"/>
      <c r="G13" s="1400"/>
      <c r="H13" s="1400"/>
      <c r="I13" s="1400"/>
      <c r="J13" s="1400"/>
      <c r="K13" s="1428">
        <f t="shared" ref="K13" si="5">G13-I13</f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ref="T13" si="6">P13-R13</f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0.40555555555555556</v>
      </c>
      <c r="E14" s="152">
        <f>AVERAGE(E6:E13)</f>
        <v>0.79166666666666674</v>
      </c>
      <c r="F14" s="153">
        <f>SUM(F6:F13)</f>
        <v>3892</v>
      </c>
      <c r="G14" s="1362">
        <f>SUM(G6:H13)</f>
        <v>8068</v>
      </c>
      <c r="H14" s="1363"/>
      <c r="I14" s="1362">
        <f>SUM(I6:I13)</f>
        <v>7271</v>
      </c>
      <c r="J14" s="1363"/>
      <c r="K14" s="1362">
        <f>SUM(K6:K13)</f>
        <v>797</v>
      </c>
      <c r="L14" s="1394"/>
      <c r="M14" s="198">
        <f>AVERAGE(M6:M13)</f>
        <v>0.79166666666666663</v>
      </c>
      <c r="N14" s="199">
        <f>AVERAGE(N6:N13)</f>
        <v>0.22627314814814814</v>
      </c>
      <c r="O14" s="200">
        <f>SUM(O6:O13)</f>
        <v>3755</v>
      </c>
      <c r="P14" s="1392">
        <f>SUM(P6:P13)</f>
        <v>7792</v>
      </c>
      <c r="Q14" s="1393"/>
      <c r="R14" s="1392">
        <f>SUM(R6:R13)</f>
        <v>7075</v>
      </c>
      <c r="S14" s="1393"/>
      <c r="T14" s="1392">
        <f>SUM(T6:T13)</f>
        <v>717</v>
      </c>
      <c r="U14" s="1393"/>
      <c r="V14" s="228">
        <f>SUM(V6:V13)</f>
        <v>7647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7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8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7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8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7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8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3*6</f>
        <v>18</v>
      </c>
      <c r="E19" s="1070">
        <f>2*6</f>
        <v>12</v>
      </c>
      <c r="F19" s="1070">
        <f>18+2</f>
        <v>20</v>
      </c>
      <c r="G19" s="1070">
        <v>8</v>
      </c>
      <c r="H19" s="1070">
        <v>8</v>
      </c>
      <c r="I19" s="1070">
        <v>12</v>
      </c>
      <c r="J19" s="1070">
        <f>3*6</f>
        <v>18</v>
      </c>
      <c r="K19" s="1070"/>
      <c r="L19" s="1112">
        <f t="shared" si="7"/>
        <v>96</v>
      </c>
      <c r="M19" s="1070">
        <f>10</f>
        <v>10</v>
      </c>
      <c r="N19" s="1059">
        <v>15</v>
      </c>
      <c r="O19" s="1070">
        <f>3*6</f>
        <v>18</v>
      </c>
      <c r="P19" s="1070">
        <v>12</v>
      </c>
      <c r="Q19" s="1070">
        <v>12</v>
      </c>
      <c r="R19" s="1070"/>
      <c r="S19" s="1070">
        <v>50</v>
      </c>
      <c r="T19" s="1070"/>
      <c r="U19" s="1113">
        <f t="shared" si="8"/>
        <v>117</v>
      </c>
      <c r="V19" s="1114">
        <f>L19+U19</f>
        <v>213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7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8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9">SUM(D16:D20)</f>
        <v>18</v>
      </c>
      <c r="E21" s="165">
        <f t="shared" si="9"/>
        <v>12</v>
      </c>
      <c r="F21" s="165">
        <f t="shared" si="9"/>
        <v>20</v>
      </c>
      <c r="G21" s="165">
        <f t="shared" si="9"/>
        <v>8</v>
      </c>
      <c r="H21" s="165">
        <f t="shared" si="9"/>
        <v>8</v>
      </c>
      <c r="I21" s="165">
        <f t="shared" si="9"/>
        <v>12</v>
      </c>
      <c r="J21" s="165">
        <f t="shared" si="9"/>
        <v>18</v>
      </c>
      <c r="K21" s="165">
        <f t="shared" si="9"/>
        <v>0</v>
      </c>
      <c r="L21" s="206">
        <f t="shared" si="7"/>
        <v>96</v>
      </c>
      <c r="M21" s="165">
        <f t="shared" ref="M21:T21" si="10">SUM(M16:M20)</f>
        <v>10</v>
      </c>
      <c r="N21" s="165">
        <f t="shared" si="10"/>
        <v>15</v>
      </c>
      <c r="O21" s="165">
        <f t="shared" si="10"/>
        <v>18</v>
      </c>
      <c r="P21" s="165">
        <f t="shared" si="10"/>
        <v>12</v>
      </c>
      <c r="Q21" s="165">
        <f t="shared" si="10"/>
        <v>12</v>
      </c>
      <c r="R21" s="165">
        <f t="shared" si="10"/>
        <v>0</v>
      </c>
      <c r="S21" s="165">
        <f t="shared" si="10"/>
        <v>50</v>
      </c>
      <c r="T21" s="165">
        <f t="shared" si="10"/>
        <v>0</v>
      </c>
      <c r="U21" s="165">
        <f t="shared" si="8"/>
        <v>117</v>
      </c>
      <c r="V21" s="1117">
        <f>L21+U21</f>
        <v>213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7</f>
        <v>7</v>
      </c>
      <c r="E23" s="159"/>
      <c r="F23" s="159">
        <v>7</v>
      </c>
      <c r="G23" s="159"/>
      <c r="H23" s="159">
        <v>5</v>
      </c>
      <c r="I23" s="159"/>
      <c r="J23" s="159"/>
      <c r="K23" s="159"/>
      <c r="L23" s="208">
        <f>SUM(D23:K23)</f>
        <v>19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19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2+4+7+6+4+6+7+4+5+7+9+14+8+5+5+9+9+3+8+3+8+10+7+4+28+15+34+2</f>
        <v>233</v>
      </c>
      <c r="E24" s="169">
        <f>4+6+8+5+7+9+14+8+5+5+9+9+3+8+3+8+6+4+7+33+24</f>
        <v>185</v>
      </c>
      <c r="F24" s="169">
        <f>2+2+2+3+2+7+5+4+4+7+9+11+3+3+8+5+5+6+3+9+3+8+3+8+10+7+40+14</f>
        <v>193</v>
      </c>
      <c r="G24" s="169">
        <f>10+4+2+7+9+11+2+4+8+5+5+9+9+3+8+3+6+7+40+29+7</f>
        <v>188</v>
      </c>
      <c r="H24" s="169">
        <f>1+3+1+7+7+2+11+3+8+3+5+5+9+9+3+8+9+7+3+40+29</f>
        <v>173</v>
      </c>
      <c r="I24" s="169">
        <f>7+9+9+20+70+35</f>
        <v>150</v>
      </c>
      <c r="J24" s="169">
        <f>2+3+8+5+7+8+13+35+40</f>
        <v>121</v>
      </c>
      <c r="K24" s="169"/>
      <c r="L24" s="1115">
        <f>SUM(D24:K24)</f>
        <v>1243</v>
      </c>
      <c r="M24" s="1118">
        <f>18+2+6+2+5+5+7+3+15+8+7+2+6+5+3+8+5+2+6+24+5</f>
        <v>144</v>
      </c>
      <c r="N24" s="1119">
        <f>18+2+6+2+5+5+5+5+10+5+8+3+6+6+3+5+8+5+2+4+3+21+5</f>
        <v>142</v>
      </c>
      <c r="O24" s="1119">
        <f>145+18</f>
        <v>163</v>
      </c>
      <c r="P24" s="1119">
        <f>18+2+4+4+5+5+7+3+6+5+8+7+2+6+5+3+8+5+2+6+24+5</f>
        <v>140</v>
      </c>
      <c r="Q24" s="1119">
        <f>18+6+4+5+5+7+3+10+5+8+7+2+6+3+5+8+5+2+6+3+21+5</f>
        <v>144</v>
      </c>
      <c r="R24" s="1119"/>
      <c r="S24" s="1251">
        <f>5+13+7+3+10+3+20+3+6+4+5+3+6+2+6+2+8+7+10+20+10+15</f>
        <v>168</v>
      </c>
      <c r="T24" s="1119"/>
      <c r="U24" s="1120">
        <f>SUM(M24:T24)</f>
        <v>901</v>
      </c>
      <c r="V24" s="1112">
        <f>L24+U24</f>
        <v>2144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-99.333333333333428</v>
      </c>
      <c r="E25" s="171">
        <f>$F7-E$55-E$56-E$21-E$23-E$24-E$34-E$43</f>
        <v>-1.3333333333333144</v>
      </c>
      <c r="F25" s="171">
        <f>$F8-F$55-F$56-F$21-F$23-F$24-F$34-F$43</f>
        <v>-39</v>
      </c>
      <c r="G25" s="171">
        <f>$F9-G$55-G$56-G$21-G$23-G$24-G$34-G$43</f>
        <v>-29.333333333333485</v>
      </c>
      <c r="H25" s="171">
        <f>$F10-H$55-H$56-H$21-H$23-H$24-H$34-H$43</f>
        <v>-2.3333333333334849</v>
      </c>
      <c r="I25" s="171">
        <f>$F11-I$55-I$56-I$21-I$23-I$24-I$34-I$43</f>
        <v>-225.00000000000009</v>
      </c>
      <c r="J25" s="171">
        <f>$F12-J$55-J$56-J$21-J$23-J$24-J$34-J$43</f>
        <v>0.99999999999994316</v>
      </c>
      <c r="K25" s="171">
        <f>$F13-K$55-K$56-K$21-K$23-K$24-K$34-K$43</f>
        <v>0</v>
      </c>
      <c r="L25" s="209">
        <f>SUM(D25:K25)</f>
        <v>-395.33333333333388</v>
      </c>
      <c r="M25" s="171">
        <f>$O6-M$55-M$56-M$21-M$23-M$24-M$34-M$43</f>
        <v>92.333333333333314</v>
      </c>
      <c r="N25" s="171">
        <f>$O7-N$55-N$56-N$21-N$23-N$24-N$34-N$43</f>
        <v>64.666666666666686</v>
      </c>
      <c r="O25" s="171">
        <f>$O8-O$55-O$56-O$21-O$23-O$24-O$34-O$43</f>
        <v>39.000000000000057</v>
      </c>
      <c r="P25" s="171">
        <f>$O9-P$55-P$56-P$21-P$23-P$24-P$34-P$43</f>
        <v>-53.333333333333201</v>
      </c>
      <c r="Q25" s="171">
        <f>$O10-Q$55-Q$56-Q$21-Q$23-Q$24-Q$34-Q$43</f>
        <v>-59.999999999999943</v>
      </c>
      <c r="R25" s="171">
        <f>$O11-R$55-R$56-R$21-R$23-R$24-R$34-R$43</f>
        <v>0</v>
      </c>
      <c r="S25" s="171">
        <f>$O12-S$55-S$56-S$21-S$23-S$24-S$34-S$43</f>
        <v>-105.00000000000006</v>
      </c>
      <c r="T25" s="171">
        <f>$O13-T$55-T$56-T$21-T$23-T$24-T$34-T$43</f>
        <v>0</v>
      </c>
      <c r="U25" s="239">
        <f>SUM(M25:T25)</f>
        <v>-22.333333333333144</v>
      </c>
      <c r="V25" s="1112">
        <f>L25+U25</f>
        <v>-417.66666666666703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140.66666666666657</v>
      </c>
      <c r="E26" s="172">
        <f t="shared" ref="E26:K26" si="11">SUM(E23:E25)</f>
        <v>183.66666666666669</v>
      </c>
      <c r="F26" s="172">
        <f t="shared" si="11"/>
        <v>161</v>
      </c>
      <c r="G26" s="172">
        <f t="shared" si="11"/>
        <v>158.66666666666652</v>
      </c>
      <c r="H26" s="172">
        <f t="shared" si="11"/>
        <v>175.66666666666652</v>
      </c>
      <c r="I26" s="172">
        <f t="shared" si="11"/>
        <v>-75.000000000000085</v>
      </c>
      <c r="J26" s="172">
        <f t="shared" si="11"/>
        <v>121.99999999999994</v>
      </c>
      <c r="K26" s="172">
        <f t="shared" si="11"/>
        <v>0</v>
      </c>
      <c r="L26" s="210">
        <f>SUM(D26:K26)</f>
        <v>866.66666666666606</v>
      </c>
      <c r="M26" s="211">
        <f>SUM(M23:M25)</f>
        <v>236.33333333333331</v>
      </c>
      <c r="N26" s="211">
        <f t="shared" ref="N26:T26" si="12">SUM(N23:N25)</f>
        <v>206.66666666666669</v>
      </c>
      <c r="O26" s="211">
        <f t="shared" si="12"/>
        <v>202.00000000000006</v>
      </c>
      <c r="P26" s="211">
        <f t="shared" si="12"/>
        <v>86.666666666666799</v>
      </c>
      <c r="Q26" s="211">
        <f t="shared" si="12"/>
        <v>84.000000000000057</v>
      </c>
      <c r="R26" s="211">
        <f t="shared" si="12"/>
        <v>0</v>
      </c>
      <c r="S26" s="211">
        <f t="shared" si="12"/>
        <v>62.999999999999943</v>
      </c>
      <c r="T26" s="211">
        <f t="shared" si="12"/>
        <v>0</v>
      </c>
      <c r="U26" s="240">
        <f>SUM(M26:T26)</f>
        <v>878.66666666666674</v>
      </c>
      <c r="V26" s="210">
        <f>L26+U26</f>
        <v>1745.3333333333328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>
        <f>60*4</f>
        <v>240</v>
      </c>
      <c r="J28" s="159"/>
      <c r="K28" s="159"/>
      <c r="L28" s="202">
        <f t="shared" ref="L28:L34" si="13">SUM(D28:K28)</f>
        <v>240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4">SUM(M28:T28)</f>
        <v>0</v>
      </c>
      <c r="V28" s="243">
        <f t="shared" ref="V28:V34" si="15">L28+U28</f>
        <v>240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3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4"/>
        <v>0</v>
      </c>
      <c r="V29" s="244">
        <f t="shared" si="15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3"/>
        <v>0</v>
      </c>
      <c r="M30" s="1070">
        <f>5+4+18</f>
        <v>27</v>
      </c>
      <c r="N30" s="1070">
        <v>27</v>
      </c>
      <c r="O30" s="1070">
        <v>27</v>
      </c>
      <c r="P30" s="1070">
        <v>27</v>
      </c>
      <c r="Q30" s="1070">
        <v>27</v>
      </c>
      <c r="R30" s="1070"/>
      <c r="S30" s="1070">
        <v>27</v>
      </c>
      <c r="T30" s="1070"/>
      <c r="U30" s="1121">
        <f t="shared" si="14"/>
        <v>162</v>
      </c>
      <c r="V30" s="1112">
        <f t="shared" si="15"/>
        <v>162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3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4"/>
        <v>0</v>
      </c>
      <c r="V31" s="1112">
        <f t="shared" si="15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3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4"/>
        <v>0</v>
      </c>
      <c r="V32" s="1112">
        <f t="shared" si="15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3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4"/>
        <v>0</v>
      </c>
      <c r="V33" s="1112">
        <f t="shared" si="15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6">SUM(D28:D33)</f>
        <v>0</v>
      </c>
      <c r="E34" s="175">
        <f t="shared" si="16"/>
        <v>0</v>
      </c>
      <c r="F34" s="176">
        <f t="shared" si="16"/>
        <v>0</v>
      </c>
      <c r="G34" s="176">
        <f t="shared" si="16"/>
        <v>0</v>
      </c>
      <c r="H34" s="176">
        <f t="shared" si="16"/>
        <v>0</v>
      </c>
      <c r="I34" s="176">
        <f t="shared" si="16"/>
        <v>240</v>
      </c>
      <c r="J34" s="176">
        <f t="shared" si="16"/>
        <v>0</v>
      </c>
      <c r="K34" s="176">
        <f t="shared" si="16"/>
        <v>0</v>
      </c>
      <c r="L34" s="213">
        <f t="shared" si="13"/>
        <v>240</v>
      </c>
      <c r="M34" s="175">
        <f t="shared" ref="M34:T34" si="17">SUM(M28:M33)</f>
        <v>27</v>
      </c>
      <c r="N34" s="176">
        <f t="shared" si="17"/>
        <v>27</v>
      </c>
      <c r="O34" s="176">
        <f t="shared" si="17"/>
        <v>27</v>
      </c>
      <c r="P34" s="176">
        <f t="shared" si="17"/>
        <v>27</v>
      </c>
      <c r="Q34" s="176">
        <f t="shared" si="17"/>
        <v>27</v>
      </c>
      <c r="R34" s="176">
        <f t="shared" si="17"/>
        <v>0</v>
      </c>
      <c r="S34" s="176">
        <f t="shared" si="17"/>
        <v>27</v>
      </c>
      <c r="T34" s="176">
        <f t="shared" si="17"/>
        <v>0</v>
      </c>
      <c r="U34" s="246">
        <f t="shared" si="14"/>
        <v>162</v>
      </c>
      <c r="V34" s="213">
        <f t="shared" si="15"/>
        <v>402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8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9">SUM(M36:T36)</f>
        <v>0</v>
      </c>
      <c r="V36" s="243">
        <f t="shared" ref="V36:V43" si="20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8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9"/>
        <v>0</v>
      </c>
      <c r="V37" s="1114">
        <f t="shared" si="20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8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9"/>
        <v>0</v>
      </c>
      <c r="V38" s="1114">
        <f t="shared" si="20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8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9"/>
        <v>0</v>
      </c>
      <c r="V39" s="1114">
        <f t="shared" si="20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8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9"/>
        <v>0</v>
      </c>
      <c r="V40" s="1114">
        <f t="shared" si="20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8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9"/>
        <v>0</v>
      </c>
      <c r="V41" s="1114">
        <f t="shared" si="20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8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9"/>
        <v>0</v>
      </c>
      <c r="V42" s="1114">
        <f t="shared" si="20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1">SUM(D36:D42)</f>
        <v>0</v>
      </c>
      <c r="E43" s="177">
        <f t="shared" si="21"/>
        <v>0</v>
      </c>
      <c r="F43" s="177">
        <f t="shared" si="21"/>
        <v>0</v>
      </c>
      <c r="G43" s="177">
        <f t="shared" si="21"/>
        <v>0</v>
      </c>
      <c r="H43" s="177">
        <f t="shared" si="21"/>
        <v>0</v>
      </c>
      <c r="I43" s="177">
        <f t="shared" si="21"/>
        <v>0</v>
      </c>
      <c r="J43" s="177">
        <f t="shared" si="21"/>
        <v>0</v>
      </c>
      <c r="K43" s="177">
        <f t="shared" si="21"/>
        <v>0</v>
      </c>
      <c r="L43" s="213">
        <f t="shared" si="18"/>
        <v>0</v>
      </c>
      <c r="M43" s="177">
        <f t="shared" ref="M43:T43" si="22">SUM(M36:M42)</f>
        <v>0</v>
      </c>
      <c r="N43" s="177">
        <f t="shared" si="22"/>
        <v>0</v>
      </c>
      <c r="O43" s="177">
        <f t="shared" si="22"/>
        <v>0</v>
      </c>
      <c r="P43" s="177">
        <f t="shared" si="22"/>
        <v>0</v>
      </c>
      <c r="Q43" s="177">
        <f t="shared" si="22"/>
        <v>0</v>
      </c>
      <c r="R43" s="177">
        <f t="shared" si="22"/>
        <v>0</v>
      </c>
      <c r="S43" s="177">
        <f t="shared" si="22"/>
        <v>0</v>
      </c>
      <c r="T43" s="177">
        <f t="shared" si="22"/>
        <v>0</v>
      </c>
      <c r="U43" s="165">
        <f t="shared" si="19"/>
        <v>0</v>
      </c>
      <c r="V43" s="213">
        <f t="shared" si="20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704</v>
      </c>
      <c r="B45" s="1039">
        <v>12</v>
      </c>
      <c r="C45" s="1038">
        <v>240</v>
      </c>
      <c r="D45" s="1349" t="s">
        <v>705</v>
      </c>
      <c r="E45" s="1350"/>
      <c r="F45" s="1350"/>
      <c r="G45" s="1350"/>
      <c r="H45" s="1350"/>
      <c r="I45" s="1350"/>
      <c r="J45" s="1351"/>
      <c r="K45" s="1059" t="s">
        <v>296</v>
      </c>
      <c r="L45" s="1060"/>
      <c r="M45" s="1060"/>
      <c r="N45" s="1061" t="s">
        <v>706</v>
      </c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76"/>
      <c r="C46" s="1124"/>
      <c r="D46" s="1077"/>
      <c r="E46" s="1063"/>
      <c r="F46" s="1063"/>
      <c r="G46" s="1063"/>
      <c r="H46" s="1063"/>
      <c r="I46" s="1063"/>
      <c r="J46" s="1063"/>
      <c r="K46" s="1071"/>
      <c r="L46" s="1069"/>
      <c r="M46" s="1070"/>
      <c r="N46" s="106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349"/>
      <c r="O48" s="1350"/>
      <c r="P48" s="1350"/>
      <c r="Q48" s="1350"/>
      <c r="R48" s="1350"/>
      <c r="S48" s="1350"/>
      <c r="T48" s="1350"/>
      <c r="U48" s="1350"/>
      <c r="V48" s="1426"/>
      <c r="W48" s="250"/>
    </row>
    <row r="49" spans="1:25" ht="15" customHeight="1">
      <c r="A49" s="1058"/>
      <c r="B49" s="1039"/>
      <c r="C49" s="1038"/>
      <c r="D49" s="1349"/>
      <c r="E49" s="1350"/>
      <c r="F49" s="1350"/>
      <c r="G49" s="1350"/>
      <c r="H49" s="1350"/>
      <c r="I49" s="1350"/>
      <c r="J49" s="1351"/>
      <c r="K49" s="1059"/>
      <c r="L49" s="1065"/>
      <c r="M49" s="1065"/>
      <c r="N49" s="1349"/>
      <c r="O49" s="1350"/>
      <c r="P49" s="1350"/>
      <c r="Q49" s="1350"/>
      <c r="R49" s="1350"/>
      <c r="S49" s="1350"/>
      <c r="T49" s="1350"/>
      <c r="U49" s="1350"/>
      <c r="V49" s="1426"/>
      <c r="W49" s="250"/>
    </row>
    <row r="50" spans="1:25" ht="15" customHeight="1">
      <c r="A50" s="1058"/>
      <c r="B50" s="1076"/>
      <c r="C50" s="1123"/>
      <c r="D50" s="1077"/>
      <c r="E50" s="1063"/>
      <c r="F50" s="1063"/>
      <c r="G50" s="1063"/>
      <c r="H50" s="1063"/>
      <c r="I50" s="1063"/>
      <c r="J50" s="1063"/>
      <c r="K50" s="1071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546.99999999999989</v>
      </c>
      <c r="E54" s="187">
        <f>$F7-E$21-E$43-E$34</f>
        <v>560</v>
      </c>
      <c r="F54" s="187">
        <f>$F8-F$21-F$43-F$34</f>
        <v>550</v>
      </c>
      <c r="G54" s="187">
        <f>$F9-G$21-G$43-G$34</f>
        <v>572.99999999999989</v>
      </c>
      <c r="H54" s="187">
        <f>$F10-H$21-H$43-H$34</f>
        <v>575.99999999999989</v>
      </c>
      <c r="I54" s="187">
        <f>$F11-I$21-I$43-I$34</f>
        <v>197.99999999999994</v>
      </c>
      <c r="J54" s="187">
        <f>$F12-J$21-J$43-J$34</f>
        <v>552</v>
      </c>
      <c r="K54" s="187">
        <f>$F13-K$21-K$43-K$34</f>
        <v>0</v>
      </c>
      <c r="L54" s="202">
        <f>SUM(D54:K54)</f>
        <v>3556</v>
      </c>
      <c r="M54" s="187">
        <f>O6-M21-M43-M34</f>
        <v>593</v>
      </c>
      <c r="N54" s="187">
        <f>O7-N21-N43-N34</f>
        <v>588</v>
      </c>
      <c r="O54" s="187">
        <f>O8-O21-O43-O34</f>
        <v>585</v>
      </c>
      <c r="P54" s="187">
        <f>O9-P21-P43-P34</f>
        <v>571.00000000000011</v>
      </c>
      <c r="Q54" s="187">
        <f>O10-Q21-Q43-Q34</f>
        <v>591</v>
      </c>
      <c r="R54" s="187">
        <f>O11-R21-R43-R34</f>
        <v>0</v>
      </c>
      <c r="S54" s="187">
        <f>O12-S21-S43-S34</f>
        <v>548</v>
      </c>
      <c r="T54" s="187">
        <f>O13-T21-T43-T34</f>
        <v>0</v>
      </c>
      <c r="U54" s="242">
        <f>SUM(M54:T54)</f>
        <v>3476</v>
      </c>
      <c r="V54" s="202">
        <f>L54+U54</f>
        <v>7032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48.666666666666664</v>
      </c>
      <c r="E55" s="1087">
        <f>$K7/$C7</f>
        <v>30</v>
      </c>
      <c r="F55" s="1087">
        <f>$K8/$C8</f>
        <v>58.333333333333336</v>
      </c>
      <c r="G55" s="1087">
        <f>$K9/$C9</f>
        <v>34.333333333333336</v>
      </c>
      <c r="H55" s="1087">
        <f>$K10/$C10</f>
        <v>30.333333333333332</v>
      </c>
      <c r="I55" s="1087">
        <f>$K11/$C11</f>
        <v>39.666666666666664</v>
      </c>
      <c r="J55" s="1087">
        <f>$K12/$C12</f>
        <v>24.333333333333332</v>
      </c>
      <c r="K55" s="1087">
        <f>$K13/$C13</f>
        <v>0</v>
      </c>
      <c r="L55" s="1112">
        <f>SUM(D55:K55)</f>
        <v>265.66666666666669</v>
      </c>
      <c r="M55" s="1087">
        <f>T6/C6</f>
        <v>14</v>
      </c>
      <c r="N55" s="1087">
        <f>T7/C7</f>
        <v>54.666666666666664</v>
      </c>
      <c r="O55" s="1087">
        <f>$T$8/$C$8</f>
        <v>35.666666666666664</v>
      </c>
      <c r="P55" s="1087">
        <f>$T$9/$C$9</f>
        <v>57.666666666666664</v>
      </c>
      <c r="Q55" s="1087">
        <f>$T$10/$C$10</f>
        <v>70.666666666666671</v>
      </c>
      <c r="R55" s="1087">
        <f>$T$11/$C$11</f>
        <v>0</v>
      </c>
      <c r="S55" s="1087">
        <f>$T$12/$C$12</f>
        <v>6.333333333333333</v>
      </c>
      <c r="T55" s="1087">
        <f>$T$13/$C$13</f>
        <v>0</v>
      </c>
      <c r="U55" s="1129">
        <f>SUM(M55:T55)</f>
        <v>238.99999999999997</v>
      </c>
      <c r="V55" s="1112">
        <f>L55+U55</f>
        <v>504.66666666666663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357.66666666666669</v>
      </c>
      <c r="E56" s="1087">
        <f>$I7/$C7</f>
        <v>346.33333333333331</v>
      </c>
      <c r="F56" s="1087">
        <f>$I8/$C8</f>
        <v>330.66666666666669</v>
      </c>
      <c r="G56" s="1087">
        <f>$I9/$C9</f>
        <v>380</v>
      </c>
      <c r="H56" s="1087">
        <f>$I10/$C10</f>
        <v>370</v>
      </c>
      <c r="I56" s="1087">
        <f>$I11/$C11</f>
        <v>233.33333333333334</v>
      </c>
      <c r="J56" s="1087">
        <f>$I12/$C12</f>
        <v>405.66666666666669</v>
      </c>
      <c r="K56" s="1087">
        <f>$I13/$C13</f>
        <v>0</v>
      </c>
      <c r="L56" s="1115">
        <f>SUM(D56:K56)</f>
        <v>2423.6666666666665</v>
      </c>
      <c r="M56" s="1130">
        <f>R6/C6</f>
        <v>342.66666666666669</v>
      </c>
      <c r="N56" s="1130">
        <f>R7/C7</f>
        <v>326.66666666666669</v>
      </c>
      <c r="O56" s="1130">
        <f>R8/C8</f>
        <v>347.33333333333331</v>
      </c>
      <c r="P56" s="1130">
        <f>R9/C9</f>
        <v>426.66666666666669</v>
      </c>
      <c r="Q56" s="1130">
        <f>R10/C10</f>
        <v>436.33333333333331</v>
      </c>
      <c r="R56" s="1130">
        <f>R11/C11</f>
        <v>0</v>
      </c>
      <c r="S56" s="1130">
        <f>R12/C12</f>
        <v>478.66666666666669</v>
      </c>
      <c r="T56" s="1130">
        <f>R13/C13</f>
        <v>0</v>
      </c>
      <c r="U56" s="1131">
        <f>SUM(M56:T56)</f>
        <v>2358.3333333333335</v>
      </c>
      <c r="V56" s="1115">
        <f>L56+U56</f>
        <v>4782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3.1858407079646023</v>
      </c>
      <c r="E57" s="188">
        <f>IF(F7=0,0,E21/F7*100)</f>
        <v>2.0979020979020979</v>
      </c>
      <c r="F57" s="188">
        <f>IF(F8=0,0,F21/F8*100)</f>
        <v>3.5087719298245612</v>
      </c>
      <c r="G57" s="188">
        <f>IF(F9=0,0,G21/F9*100)</f>
        <v>1.376936316695353</v>
      </c>
      <c r="H57" s="188">
        <f>IF(F10=0,0,H21/F10*100)</f>
        <v>1.3698630136986305</v>
      </c>
      <c r="I57" s="188">
        <f>IF(F11=0,0,I21/F11*100)</f>
        <v>2.666666666666667</v>
      </c>
      <c r="J57" s="188">
        <f>IF(F12=0,0,J21/F12*100)</f>
        <v>3.1578947368421053</v>
      </c>
      <c r="K57" s="188">
        <f>IF(F13=0,0,K21/F13*100)</f>
        <v>0</v>
      </c>
      <c r="L57" s="217">
        <f>IF(F14=0,0,L21/F14*100)</f>
        <v>2.4665981500513872</v>
      </c>
      <c r="M57" s="188">
        <f>IF(O6=0,0,M21/O6*100)</f>
        <v>1.5873015873015872</v>
      </c>
      <c r="N57" s="188">
        <f>IF(O7=0,0,N21/O7*100)</f>
        <v>2.3809523809523809</v>
      </c>
      <c r="O57" s="188">
        <f>IF(O8=0,0,O21/O8*100)</f>
        <v>2.8571428571428572</v>
      </c>
      <c r="P57" s="188">
        <f>IF(O9=0,0,P21/O9*100)</f>
        <v>1.9672131147540979</v>
      </c>
      <c r="Q57" s="188">
        <f>IF(O10=0,0,Q21/O10*100)</f>
        <v>1.9047619047619049</v>
      </c>
      <c r="R57" s="188">
        <f>IF(O11=0,0,R21/O11*100)</f>
        <v>0</v>
      </c>
      <c r="S57" s="188">
        <f>IF(O12=0,0,S21/O12*100)</f>
        <v>8</v>
      </c>
      <c r="T57" s="188">
        <f>IF(O13=0,0,T21/O13*100)</f>
        <v>0</v>
      </c>
      <c r="U57" s="251">
        <f>IF(O14=0,0,U21/O14*100)</f>
        <v>3.1158455392809588</v>
      </c>
      <c r="V57" s="217">
        <f>IF((F14+O14)=0,0,V21/(F14+O14)*100)</f>
        <v>2.7854060415849351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53.333333333333343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6.166495375128469</v>
      </c>
      <c r="M58" s="1090">
        <f>IF(O6=0,0,M34/O6*100)</f>
        <v>4.2857142857142856</v>
      </c>
      <c r="N58" s="1090">
        <f>IF(O7=0,0,N34/O7*100)</f>
        <v>4.2857142857142856</v>
      </c>
      <c r="O58" s="1090">
        <f>IF(O8=0,0,O34/O8*100)</f>
        <v>4.2857142857142856</v>
      </c>
      <c r="P58" s="1090">
        <f>IF(O9=0,0,P34/O9*100)</f>
        <v>4.4262295081967205</v>
      </c>
      <c r="Q58" s="1090">
        <f>IF(O10=0,0,Q34/O10*100)</f>
        <v>4.2857142857142856</v>
      </c>
      <c r="R58" s="1090">
        <f>IF(O11=0,0,R34/O11*100)</f>
        <v>0</v>
      </c>
      <c r="S58" s="1090">
        <f>IF(O12=0,0,S34/O12*100)</f>
        <v>4.32</v>
      </c>
      <c r="T58" s="1090">
        <f>IF(O13=0,0,T34/O13*100)</f>
        <v>0</v>
      </c>
      <c r="U58" s="1133">
        <f>IF(O14=0,0,U34/O14*100)</f>
        <v>4.3142476697736356</v>
      </c>
      <c r="V58" s="1132">
        <f>IF((F14+O14)=0,0,V34/(F14+O14)*100)</f>
        <v>5.256963515103962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96.814159292035399</v>
      </c>
      <c r="E60" s="1093">
        <f>IF(F7=0,0,E54/F7*100)</f>
        <v>97.902097902097907</v>
      </c>
      <c r="F60" s="1093">
        <f>IF(F8=0,0,F54/F8*100)</f>
        <v>96.491228070175438</v>
      </c>
      <c r="G60" s="1093">
        <f>IF(F9=0,0,G54/F9*100)</f>
        <v>98.62306368330465</v>
      </c>
      <c r="H60" s="1093">
        <f>IF(F10=0,0,H54/F10*100)</f>
        <v>98.630136986301366</v>
      </c>
      <c r="I60" s="1093">
        <f>IF(F11=0,0,I54/F11*100)</f>
        <v>43.999999999999993</v>
      </c>
      <c r="J60" s="1093">
        <f>IF(F12=0,0,J54/F12*100)</f>
        <v>96.84210526315789</v>
      </c>
      <c r="K60" s="1093">
        <f>IF(F13=0,0,K54/F13*100)</f>
        <v>0</v>
      </c>
      <c r="L60" s="1134">
        <f>IF(F14=0,0,L54/F14*100)</f>
        <v>91.366906474820141</v>
      </c>
      <c r="M60" s="1095">
        <f>IF(O6=0,0,M54/O6*100)</f>
        <v>94.126984126984127</v>
      </c>
      <c r="N60" s="1095">
        <f>IF(O7=0,0,N54/O7*100)</f>
        <v>93.333333333333329</v>
      </c>
      <c r="O60" s="1095">
        <f>IF(O8=0,0,O54/O8*100)</f>
        <v>92.857142857142861</v>
      </c>
      <c r="P60" s="1095">
        <f>IF(O9=0,0,P54/O9*100)</f>
        <v>93.606557377049185</v>
      </c>
      <c r="Q60" s="1095">
        <f>IF(O10=0,0,Q54/O10*100)</f>
        <v>93.80952380952381</v>
      </c>
      <c r="R60" s="1095">
        <f>IF(O11=0,0,R54/O11*100)</f>
        <v>0</v>
      </c>
      <c r="S60" s="1095">
        <f>IF(O12=0,0,S54/O12*100)</f>
        <v>87.68</v>
      </c>
      <c r="T60" s="1095">
        <f>IF(O13=0,0,T54/O13*100)</f>
        <v>0</v>
      </c>
      <c r="U60" s="1093">
        <f>IF(O14=0,0,U54/O14*100)</f>
        <v>92.56990679094541</v>
      </c>
      <c r="V60" s="1134">
        <f>IF((F14+O14)=0,0,V54/(F14+O14)*100)</f>
        <v>91.957630443311103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8.8970140158439985</v>
      </c>
      <c r="E61" s="188">
        <f>IF(E54=0,0,E55/E54*100)</f>
        <v>5.3571428571428568</v>
      </c>
      <c r="F61" s="188">
        <f t="shared" ref="F61:V61" si="23">IF(F54=0,0,F55/F54*100)</f>
        <v>10.606060606060606</v>
      </c>
      <c r="G61" s="188">
        <f t="shared" si="23"/>
        <v>5.9918557300756268</v>
      </c>
      <c r="H61" s="188">
        <f t="shared" si="23"/>
        <v>5.2662037037037042</v>
      </c>
      <c r="I61" s="188">
        <f t="shared" si="23"/>
        <v>20.033670033670038</v>
      </c>
      <c r="J61" s="188">
        <f t="shared" si="23"/>
        <v>4.408212560386473</v>
      </c>
      <c r="K61" s="188">
        <f t="shared" si="23"/>
        <v>0</v>
      </c>
      <c r="L61" s="217">
        <f t="shared" si="23"/>
        <v>7.4709411323584547</v>
      </c>
      <c r="M61" s="188">
        <f t="shared" si="23"/>
        <v>2.3608768971332208</v>
      </c>
      <c r="N61" s="188">
        <f t="shared" si="23"/>
        <v>9.2970521541950113</v>
      </c>
      <c r="O61" s="188">
        <f t="shared" si="23"/>
        <v>6.0968660968660968</v>
      </c>
      <c r="P61" s="188">
        <f t="shared" si="23"/>
        <v>10.099241097489783</v>
      </c>
      <c r="Q61" s="188">
        <f t="shared" si="23"/>
        <v>11.957134799774396</v>
      </c>
      <c r="R61" s="188">
        <f t="shared" si="23"/>
        <v>0</v>
      </c>
      <c r="S61" s="188">
        <f t="shared" si="23"/>
        <v>1.1557177615571776</v>
      </c>
      <c r="T61" s="188">
        <f t="shared" si="23"/>
        <v>0</v>
      </c>
      <c r="U61" s="251">
        <f t="shared" si="23"/>
        <v>6.8757192174913691</v>
      </c>
      <c r="V61" s="217">
        <f t="shared" si="23"/>
        <v>7.1767159651118684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4">IF(D54=0,0,D26/D54*100)</f>
        <v>25.71602681291894</v>
      </c>
      <c r="E62" s="1090">
        <f t="shared" si="24"/>
        <v>32.797619047619051</v>
      </c>
      <c r="F62" s="1090">
        <f t="shared" si="24"/>
        <v>29.272727272727273</v>
      </c>
      <c r="G62" s="1090">
        <f t="shared" si="24"/>
        <v>27.690517742873745</v>
      </c>
      <c r="H62" s="1090">
        <f t="shared" si="24"/>
        <v>30.497685185185162</v>
      </c>
      <c r="I62" s="1090">
        <f t="shared" si="24"/>
        <v>-37.878787878787932</v>
      </c>
      <c r="J62" s="1090">
        <f t="shared" si="24"/>
        <v>22.10144927536231</v>
      </c>
      <c r="K62" s="1090">
        <f t="shared" si="24"/>
        <v>0</v>
      </c>
      <c r="L62" s="1132">
        <f t="shared" si="24"/>
        <v>24.371953505811756</v>
      </c>
      <c r="M62" s="1090">
        <f t="shared" si="24"/>
        <v>39.853850477796513</v>
      </c>
      <c r="N62" s="1090">
        <f t="shared" si="24"/>
        <v>35.147392290249435</v>
      </c>
      <c r="O62" s="1090">
        <f t="shared" si="24"/>
        <v>34.529914529914542</v>
      </c>
      <c r="P62" s="1090">
        <f t="shared" si="24"/>
        <v>15.178050204319927</v>
      </c>
      <c r="Q62" s="1090">
        <f t="shared" si="24"/>
        <v>14.213197969543156</v>
      </c>
      <c r="R62" s="1090">
        <f t="shared" si="24"/>
        <v>0</v>
      </c>
      <c r="S62" s="1090">
        <f t="shared" si="24"/>
        <v>11.496350364963494</v>
      </c>
      <c r="T62" s="1090">
        <f t="shared" si="24"/>
        <v>0</v>
      </c>
      <c r="U62" s="1133">
        <f t="shared" si="24"/>
        <v>25.278097429996166</v>
      </c>
      <c r="V62" s="1132">
        <f t="shared" si="24"/>
        <v>24.819871065604847</v>
      </c>
      <c r="W62" s="252"/>
      <c r="Y62" s="258">
        <f>SUM(V61:V63)</f>
        <v>99.999999999999986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5">IF(D54=0,0,D56/D54*100)</f>
        <v>65.386959171237066</v>
      </c>
      <c r="E63" s="1095">
        <f t="shared" si="25"/>
        <v>61.845238095238088</v>
      </c>
      <c r="F63" s="1095">
        <f t="shared" si="25"/>
        <v>60.121212121212118</v>
      </c>
      <c r="G63" s="1095">
        <f t="shared" si="25"/>
        <v>66.317626527050621</v>
      </c>
      <c r="H63" s="1095">
        <f t="shared" si="25"/>
        <v>64.236111111111128</v>
      </c>
      <c r="I63" s="1095">
        <f t="shared" si="25"/>
        <v>117.84511784511788</v>
      </c>
      <c r="J63" s="1095">
        <f t="shared" si="25"/>
        <v>73.490338164251213</v>
      </c>
      <c r="K63" s="1095">
        <f t="shared" si="25"/>
        <v>0</v>
      </c>
      <c r="L63" s="1134">
        <f t="shared" si="25"/>
        <v>68.157105361829764</v>
      </c>
      <c r="M63" s="1095">
        <f t="shared" si="25"/>
        <v>57.78527262507027</v>
      </c>
      <c r="N63" s="1095">
        <f t="shared" si="25"/>
        <v>55.555555555555557</v>
      </c>
      <c r="O63" s="1095">
        <f t="shared" si="25"/>
        <v>59.373219373219364</v>
      </c>
      <c r="P63" s="1095">
        <f t="shared" si="25"/>
        <v>74.722708698190303</v>
      </c>
      <c r="Q63" s="1095">
        <f t="shared" si="25"/>
        <v>73.82966723068246</v>
      </c>
      <c r="R63" s="1095">
        <f t="shared" si="25"/>
        <v>0</v>
      </c>
      <c r="S63" s="1095">
        <f t="shared" si="25"/>
        <v>87.347931873479325</v>
      </c>
      <c r="T63" s="1095">
        <f t="shared" si="25"/>
        <v>0</v>
      </c>
      <c r="U63" s="1093">
        <f t="shared" si="25"/>
        <v>67.846183352512469</v>
      </c>
      <c r="V63" s="1134">
        <f t="shared" si="25"/>
        <v>68.003412969283275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90.121467526028752</v>
      </c>
      <c r="E64" s="190">
        <f>IF(E74=0,0,D74/E74*100)</f>
        <v>90.121467526028752</v>
      </c>
      <c r="F64" s="190">
        <f>IF(E74=0,0,D74/E74*100)</f>
        <v>90.121467526028752</v>
      </c>
      <c r="G64" s="190">
        <f>IF(E74=0,0,D74/E74*100)</f>
        <v>90.121467526028752</v>
      </c>
      <c r="H64" s="190">
        <f>IF(E74=0,0,D74/E74*100)</f>
        <v>90.121467526028752</v>
      </c>
      <c r="I64" s="190">
        <f>IF(E74=0,0,D74/E74*100)</f>
        <v>90.121467526028752</v>
      </c>
      <c r="J64" s="190">
        <f>IF(E74=0,0,D74/E74*100)</f>
        <v>90.121467526028752</v>
      </c>
      <c r="K64" s="190">
        <f>IF(E74=0,0,D74/E74*100)</f>
        <v>90.121467526028752</v>
      </c>
      <c r="L64" s="218">
        <f>IF(E74=0,0,D74/E74*100)</f>
        <v>90.121467526028752</v>
      </c>
      <c r="M64" s="219">
        <f>IF(N74=0,0,M74/N74*100)</f>
        <v>90.798254620123203</v>
      </c>
      <c r="N64" s="219">
        <f>IF(N74=0,0,M74/N74*100)</f>
        <v>90.798254620123203</v>
      </c>
      <c r="O64" s="219">
        <f>IF(N74=0,0,M74/N74*100)</f>
        <v>90.798254620123203</v>
      </c>
      <c r="P64" s="219">
        <f>IF(N74=0,0,M74/N74*100)</f>
        <v>90.798254620123203</v>
      </c>
      <c r="Q64" s="219">
        <f>IF(N74=0,0,M74/N74*100)</f>
        <v>90.798254620123203</v>
      </c>
      <c r="R64" s="219">
        <f>IF(N74=0,0,M74/N74*100)</f>
        <v>90.798254620123203</v>
      </c>
      <c r="S64" s="219">
        <f>IF(N74=0,0,M74/N74*100)</f>
        <v>90.798254620123203</v>
      </c>
      <c r="T64" s="219">
        <f>IF(N74=0,0,M74/N74*100)</f>
        <v>90.798254620123203</v>
      </c>
      <c r="U64" s="190">
        <f>IF(N74=0,0,M74/N74*100)</f>
        <v>90.798254620123203</v>
      </c>
      <c r="V64" s="218">
        <f>IF(N78=0,0,M78/N78*100)</f>
        <v>90.453972257250953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6">(D60*D63*D64)/10000</f>
        <v>57.050344929456557</v>
      </c>
      <c r="E65" s="190">
        <f t="shared" si="26"/>
        <v>54.566552890177086</v>
      </c>
      <c r="F65" s="190">
        <f t="shared" si="26"/>
        <v>52.280991687614339</v>
      </c>
      <c r="G65" s="190">
        <f t="shared" si="26"/>
        <v>58.943472736473204</v>
      </c>
      <c r="H65" s="190">
        <f t="shared" si="26"/>
        <v>57.097505110668912</v>
      </c>
      <c r="I65" s="190">
        <f t="shared" si="26"/>
        <v>46.72964982831121</v>
      </c>
      <c r="J65" s="190">
        <f t="shared" si="26"/>
        <v>64.139079519986552</v>
      </c>
      <c r="K65" s="190">
        <f t="shared" si="26"/>
        <v>0</v>
      </c>
      <c r="L65" s="190">
        <f t="shared" si="26"/>
        <v>56.121376360205119</v>
      </c>
      <c r="M65" s="219">
        <f t="shared" si="26"/>
        <v>49.386563888617282</v>
      </c>
      <c r="N65" s="219">
        <f t="shared" si="26"/>
        <v>47.080576469693511</v>
      </c>
      <c r="O65" s="219">
        <f t="shared" si="26"/>
        <v>50.05914355247004</v>
      </c>
      <c r="P65" s="219">
        <f t="shared" si="26"/>
        <v>63.509161701506933</v>
      </c>
      <c r="Q65" s="219">
        <f t="shared" si="26"/>
        <v>62.886198570233482</v>
      </c>
      <c r="R65" s="219">
        <f t="shared" si="26"/>
        <v>0</v>
      </c>
      <c r="S65" s="219">
        <f t="shared" si="26"/>
        <v>69.539356605065038</v>
      </c>
      <c r="T65" s="219">
        <f t="shared" si="26"/>
        <v>0</v>
      </c>
      <c r="U65" s="190">
        <f>IF(10000=0,0,(U60*U63*U64)/10000)</f>
        <v>57.025978822669479</v>
      </c>
      <c r="V65" s="218">
        <f>IF(10000=0,0,(V60*V63*V64)/10000)</f>
        <v>56.564782965107113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7271</v>
      </c>
      <c r="E74" s="1099">
        <v>8068</v>
      </c>
      <c r="F74" s="264">
        <f>8/E74</f>
        <v>9.9157164105106587E-4</v>
      </c>
      <c r="G74" s="260"/>
      <c r="H74" s="260"/>
      <c r="I74" s="260"/>
      <c r="J74" s="260"/>
      <c r="K74" s="260"/>
      <c r="L74" s="260"/>
      <c r="M74" s="1099">
        <v>7075</v>
      </c>
      <c r="N74" s="1099">
        <v>7792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14346</v>
      </c>
      <c r="N78" s="1135">
        <f>E74+N74</f>
        <v>15860</v>
      </c>
      <c r="O78" s="281">
        <f>M78/N78</f>
        <v>0.90453972257250947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4">
    <mergeCell ref="D48:J48"/>
    <mergeCell ref="A67:B67"/>
    <mergeCell ref="T14:U14"/>
    <mergeCell ref="D45:J45"/>
    <mergeCell ref="D49:J49"/>
    <mergeCell ref="N49:V49"/>
    <mergeCell ref="D47:J47"/>
    <mergeCell ref="N47:V47"/>
    <mergeCell ref="A14:B14"/>
    <mergeCell ref="G14:H14"/>
    <mergeCell ref="I14:J14"/>
    <mergeCell ref="K14:L14"/>
    <mergeCell ref="P14:Q14"/>
    <mergeCell ref="R14:S14"/>
    <mergeCell ref="N48:V4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8" orientation="landscape" verticalDpi="36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1B1D-5E5E-478C-B158-28DD513C0598}">
  <sheetPr codeName="Sheet41">
    <tabColor rgb="FFFFFF00"/>
    <pageSetUpPr fitToPage="1"/>
  </sheetPr>
  <dimension ref="A1:IV124"/>
  <sheetViews>
    <sheetView showGridLines="0" topLeftCell="A19" zoomScale="87" zoomScaleNormal="87" zoomScaleSheetLayoutView="70" workbookViewId="0">
      <selection activeCell="B6" sqref="B6:U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19" width="6.83203125" style="136" customWidth="1"/>
    <col min="20" max="20" width="8.08203125" style="136" customWidth="1"/>
    <col min="21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244578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4087</v>
      </c>
      <c r="AB4" s="256">
        <f>L56</f>
        <v>3999</v>
      </c>
      <c r="AC4" s="256">
        <f>L57</f>
        <v>237.33333333333334</v>
      </c>
      <c r="AD4" s="256">
        <f>L58</f>
        <v>2770.3333333333335</v>
      </c>
      <c r="AE4" s="256">
        <f>L21</f>
        <v>88</v>
      </c>
      <c r="AF4" s="256">
        <f>L26</f>
        <v>991.33333333333303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4529</v>
      </c>
      <c r="AB5" s="256">
        <f>U56</f>
        <v>3657</v>
      </c>
      <c r="AC5" s="256">
        <f>U57</f>
        <v>336.66666666666669</v>
      </c>
      <c r="AD5" s="256">
        <f>U58</f>
        <v>2585.333333333333</v>
      </c>
      <c r="AE5" s="256">
        <f>U21</f>
        <v>144</v>
      </c>
      <c r="AF5" s="256">
        <f>U26</f>
        <v>735.00000000000011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696</v>
      </c>
      <c r="C6" s="144">
        <v>3</v>
      </c>
      <c r="D6" s="145">
        <v>0.34722222222222227</v>
      </c>
      <c r="E6" s="145">
        <v>0.75</v>
      </c>
      <c r="F6" s="146">
        <f>(E6-D6)*1440</f>
        <v>579.99999999999989</v>
      </c>
      <c r="G6" s="1365">
        <v>1130</v>
      </c>
      <c r="H6" s="1365"/>
      <c r="I6" s="1405">
        <v>1023</v>
      </c>
      <c r="J6" s="1406"/>
      <c r="K6" s="1370">
        <f>G6-I6</f>
        <v>107</v>
      </c>
      <c r="L6" s="1407"/>
      <c r="M6" s="145">
        <v>0.77777777777777779</v>
      </c>
      <c r="N6" s="145">
        <v>0.24305555555555555</v>
      </c>
      <c r="O6" s="146">
        <f t="shared" ref="O6" si="0">(N6-M6+(N6&lt;M6))*1440</f>
        <v>670</v>
      </c>
      <c r="P6" s="1408">
        <v>1174</v>
      </c>
      <c r="Q6" s="1408"/>
      <c r="R6" s="1409">
        <v>1100</v>
      </c>
      <c r="S6" s="1408"/>
      <c r="T6" s="1421">
        <f>P6-R6</f>
        <v>74</v>
      </c>
      <c r="U6" s="1421"/>
      <c r="V6" s="224">
        <f t="shared" ref="V6:V13" si="1">F6+O6</f>
        <v>1250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0.34513888888888888</v>
      </c>
      <c r="E7" s="145">
        <v>0.75</v>
      </c>
      <c r="F7" s="146">
        <f>(E7-D7)*1440</f>
        <v>583</v>
      </c>
      <c r="G7" s="1403">
        <v>1191</v>
      </c>
      <c r="H7" s="1404"/>
      <c r="I7" s="1403">
        <v>1113</v>
      </c>
      <c r="J7" s="1404"/>
      <c r="K7" s="1368">
        <f>G7-I7</f>
        <v>78</v>
      </c>
      <c r="L7" s="1397"/>
      <c r="M7" s="145">
        <v>0.77083333333333337</v>
      </c>
      <c r="N7" s="145">
        <v>0.23958333333333334</v>
      </c>
      <c r="O7" s="146">
        <f t="shared" ref="O7:O12" si="2">(N7-M7+(N7&lt;M7))*1440</f>
        <v>675</v>
      </c>
      <c r="P7" s="1398">
        <v>1154</v>
      </c>
      <c r="Q7" s="1398"/>
      <c r="R7" s="1398">
        <v>1000</v>
      </c>
      <c r="S7" s="1398"/>
      <c r="T7" s="1399">
        <f t="shared" ref="T7:T13" si="3">P7-R7</f>
        <v>154</v>
      </c>
      <c r="U7" s="1399"/>
      <c r="V7" s="224">
        <f t="shared" si="1"/>
        <v>1258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>
        <v>0.33888888888888885</v>
      </c>
      <c r="E8" s="145">
        <v>0.75</v>
      </c>
      <c r="F8" s="146">
        <f>(E8-D8)*1440</f>
        <v>592</v>
      </c>
      <c r="G8" s="1403">
        <v>1091</v>
      </c>
      <c r="H8" s="1404"/>
      <c r="I8" s="1403">
        <v>917</v>
      </c>
      <c r="J8" s="1404"/>
      <c r="K8" s="1368">
        <f t="shared" ref="K8:K13" si="4">G8-I8</f>
        <v>174</v>
      </c>
      <c r="L8" s="1397"/>
      <c r="M8" s="145">
        <v>0.78402777777777777</v>
      </c>
      <c r="N8" s="145">
        <v>0.22916666666666666</v>
      </c>
      <c r="O8" s="146">
        <f t="shared" si="2"/>
        <v>641</v>
      </c>
      <c r="P8" s="1398">
        <v>1065</v>
      </c>
      <c r="Q8" s="1398"/>
      <c r="R8" s="1398">
        <v>916</v>
      </c>
      <c r="S8" s="1398"/>
      <c r="T8" s="1399">
        <f t="shared" si="3"/>
        <v>149</v>
      </c>
      <c r="U8" s="1399"/>
      <c r="V8" s="224">
        <f t="shared" si="1"/>
        <v>1233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0.33749999999999997</v>
      </c>
      <c r="E9" s="145">
        <v>0.75</v>
      </c>
      <c r="F9" s="146">
        <f>(E9-D9)*1440</f>
        <v>594</v>
      </c>
      <c r="G9" s="1403">
        <v>1460</v>
      </c>
      <c r="H9" s="1404"/>
      <c r="I9" s="1403">
        <v>1365</v>
      </c>
      <c r="J9" s="1404"/>
      <c r="K9" s="1368">
        <f t="shared" si="4"/>
        <v>95</v>
      </c>
      <c r="L9" s="1397"/>
      <c r="M9" s="145">
        <v>0.77916666666666667</v>
      </c>
      <c r="N9" s="145">
        <v>0.22916666666666666</v>
      </c>
      <c r="O9" s="146">
        <f t="shared" ref="O9" si="5">(N9-M9+(N9&lt;M9))*1440</f>
        <v>647.99999999999989</v>
      </c>
      <c r="P9" s="1398">
        <v>1335</v>
      </c>
      <c r="Q9" s="1398"/>
      <c r="R9" s="1398">
        <v>1150</v>
      </c>
      <c r="S9" s="1398"/>
      <c r="T9" s="1399">
        <f t="shared" si="3"/>
        <v>185</v>
      </c>
      <c r="U9" s="1399"/>
      <c r="V9" s="224">
        <f t="shared" si="1"/>
        <v>1242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0.3347222222222222</v>
      </c>
      <c r="E10" s="145">
        <v>0.75</v>
      </c>
      <c r="F10" s="146">
        <f>(E10-D10)*1440</f>
        <v>598</v>
      </c>
      <c r="G10" s="1403">
        <v>1401</v>
      </c>
      <c r="H10" s="1404"/>
      <c r="I10" s="1396">
        <v>1310</v>
      </c>
      <c r="J10" s="1396"/>
      <c r="K10" s="1368">
        <f t="shared" si="4"/>
        <v>91</v>
      </c>
      <c r="L10" s="1397"/>
      <c r="M10" s="145">
        <v>0.78125</v>
      </c>
      <c r="N10" s="145">
        <v>0.22916666666666666</v>
      </c>
      <c r="O10" s="146">
        <f t="shared" si="2"/>
        <v>645</v>
      </c>
      <c r="P10" s="1398">
        <v>1441</v>
      </c>
      <c r="Q10" s="1398"/>
      <c r="R10" s="1398">
        <v>1232</v>
      </c>
      <c r="S10" s="1398"/>
      <c r="T10" s="1399">
        <f t="shared" si="3"/>
        <v>209</v>
      </c>
      <c r="U10" s="1399"/>
      <c r="V10" s="224">
        <f t="shared" si="1"/>
        <v>1243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0.35416666666666669</v>
      </c>
      <c r="E11" s="145">
        <v>0.75</v>
      </c>
      <c r="F11" s="146">
        <f t="shared" ref="F11:F12" si="6">(E11-D11)*1440</f>
        <v>570</v>
      </c>
      <c r="G11" s="1396">
        <v>1300</v>
      </c>
      <c r="H11" s="1396"/>
      <c r="I11" s="1396">
        <v>1176</v>
      </c>
      <c r="J11" s="1396"/>
      <c r="K11" s="1368">
        <f t="shared" si="4"/>
        <v>124</v>
      </c>
      <c r="L11" s="1397"/>
      <c r="M11" s="145">
        <v>0.79166666666666663</v>
      </c>
      <c r="N11" s="145">
        <v>0.22222222222222221</v>
      </c>
      <c r="O11" s="146">
        <f t="shared" si="2"/>
        <v>620</v>
      </c>
      <c r="P11" s="1398">
        <v>1388</v>
      </c>
      <c r="Q11" s="1398"/>
      <c r="R11" s="1398">
        <v>1236</v>
      </c>
      <c r="S11" s="1398"/>
      <c r="T11" s="1399">
        <f t="shared" si="3"/>
        <v>152</v>
      </c>
      <c r="U11" s="1399"/>
      <c r="V11" s="224">
        <f t="shared" si="1"/>
        <v>1190</v>
      </c>
      <c r="W11" s="909"/>
    </row>
    <row r="12" spans="1:256" ht="18.75" customHeight="1">
      <c r="A12" s="142" t="s">
        <v>297</v>
      </c>
      <c r="B12" s="1059" t="s">
        <v>697</v>
      </c>
      <c r="C12" s="914">
        <v>3</v>
      </c>
      <c r="D12" s="145">
        <v>0.35416666666666669</v>
      </c>
      <c r="E12" s="145">
        <v>0.75</v>
      </c>
      <c r="F12" s="146">
        <f t="shared" si="6"/>
        <v>570</v>
      </c>
      <c r="G12" s="1396">
        <v>1450</v>
      </c>
      <c r="H12" s="1396"/>
      <c r="I12" s="1396">
        <v>1407</v>
      </c>
      <c r="J12" s="1396"/>
      <c r="K12" s="1368">
        <f t="shared" si="4"/>
        <v>43</v>
      </c>
      <c r="L12" s="1397"/>
      <c r="M12" s="145">
        <v>0.79166666666666663</v>
      </c>
      <c r="N12" s="145">
        <v>0.22916666666666666</v>
      </c>
      <c r="O12" s="146">
        <f t="shared" si="2"/>
        <v>630</v>
      </c>
      <c r="P12" s="1398">
        <v>1209</v>
      </c>
      <c r="Q12" s="1398"/>
      <c r="R12" s="1398">
        <v>1122</v>
      </c>
      <c r="S12" s="1398"/>
      <c r="T12" s="1399">
        <f t="shared" si="3"/>
        <v>87</v>
      </c>
      <c r="U12" s="1399"/>
      <c r="V12" s="224">
        <f t="shared" si="1"/>
        <v>1200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366">
        <f t="shared" si="4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0.34454365079365074</v>
      </c>
      <c r="E14" s="152">
        <f>AVERAGE(E6:E13)</f>
        <v>0.75</v>
      </c>
      <c r="F14" s="153">
        <f>SUM(F6:F13)</f>
        <v>4087</v>
      </c>
      <c r="G14" s="1362">
        <f>SUM(G6:H13)</f>
        <v>9023</v>
      </c>
      <c r="H14" s="1363"/>
      <c r="I14" s="1362">
        <f>SUM(I6:I13)</f>
        <v>8311</v>
      </c>
      <c r="J14" s="1363"/>
      <c r="K14" s="1362">
        <f>SUM(K6:K13)</f>
        <v>712</v>
      </c>
      <c r="L14" s="1394"/>
      <c r="M14" s="198">
        <f>AVERAGE(M6:M13)</f>
        <v>0.78234126984126995</v>
      </c>
      <c r="N14" s="199">
        <f>AVERAGE(N6:N13)</f>
        <v>0.23164682539682541</v>
      </c>
      <c r="O14" s="200">
        <f>SUM(O6:O13)</f>
        <v>4529</v>
      </c>
      <c r="P14" s="1392">
        <f>SUM(P6:P13)</f>
        <v>8766</v>
      </c>
      <c r="Q14" s="1393"/>
      <c r="R14" s="1392">
        <f>SUM(R6:R13)</f>
        <v>7756</v>
      </c>
      <c r="S14" s="1393"/>
      <c r="T14" s="1392">
        <f>SUM(T6:T13)</f>
        <v>1010</v>
      </c>
      <c r="U14" s="1393"/>
      <c r="V14" s="228">
        <f>SUM(V6:V13)</f>
        <v>8616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7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8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7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8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7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8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12</f>
        <v>12</v>
      </c>
      <c r="E19" s="1070">
        <v>8</v>
      </c>
      <c r="F19" s="1070">
        <f>2*7</f>
        <v>14</v>
      </c>
      <c r="G19" s="1070">
        <v>14</v>
      </c>
      <c r="H19" s="1070">
        <v>10</v>
      </c>
      <c r="I19" s="1070">
        <v>12</v>
      </c>
      <c r="J19" s="1070">
        <f>3*6</f>
        <v>18</v>
      </c>
      <c r="K19" s="1070"/>
      <c r="L19" s="1112">
        <f t="shared" si="7"/>
        <v>88</v>
      </c>
      <c r="M19" s="1070">
        <f>25</f>
        <v>25</v>
      </c>
      <c r="N19" s="1059">
        <f>20</f>
        <v>20</v>
      </c>
      <c r="O19" s="1059">
        <f>3+3+4+6</f>
        <v>16</v>
      </c>
      <c r="P19" s="1070">
        <v>12</v>
      </c>
      <c r="Q19" s="1070">
        <v>12</v>
      </c>
      <c r="R19" s="1070">
        <v>12</v>
      </c>
      <c r="S19" s="1070">
        <f>7+40</f>
        <v>47</v>
      </c>
      <c r="T19" s="1070"/>
      <c r="U19" s="1113">
        <f t="shared" si="8"/>
        <v>144</v>
      </c>
      <c r="V19" s="1114">
        <f>L19+U19</f>
        <v>232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7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8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9">SUM(D16:D20)</f>
        <v>12</v>
      </c>
      <c r="E21" s="165">
        <f t="shared" si="9"/>
        <v>8</v>
      </c>
      <c r="F21" s="165">
        <f t="shared" si="9"/>
        <v>14</v>
      </c>
      <c r="G21" s="165">
        <f t="shared" si="9"/>
        <v>14</v>
      </c>
      <c r="H21" s="165">
        <f t="shared" si="9"/>
        <v>10</v>
      </c>
      <c r="I21" s="165">
        <f t="shared" si="9"/>
        <v>12</v>
      </c>
      <c r="J21" s="165">
        <f t="shared" si="9"/>
        <v>18</v>
      </c>
      <c r="K21" s="165">
        <f t="shared" si="9"/>
        <v>0</v>
      </c>
      <c r="L21" s="206">
        <f t="shared" si="7"/>
        <v>88</v>
      </c>
      <c r="M21" s="165">
        <f t="shared" ref="M21:T21" si="10">SUM(M16:M20)</f>
        <v>25</v>
      </c>
      <c r="N21" s="165">
        <f t="shared" si="10"/>
        <v>20</v>
      </c>
      <c r="O21" s="165">
        <f t="shared" si="10"/>
        <v>16</v>
      </c>
      <c r="P21" s="165">
        <f t="shared" si="10"/>
        <v>12</v>
      </c>
      <c r="Q21" s="165">
        <f t="shared" si="10"/>
        <v>12</v>
      </c>
      <c r="R21" s="165">
        <f t="shared" si="10"/>
        <v>12</v>
      </c>
      <c r="S21" s="165">
        <f t="shared" si="10"/>
        <v>47</v>
      </c>
      <c r="T21" s="165">
        <f t="shared" si="10"/>
        <v>0</v>
      </c>
      <c r="U21" s="165">
        <f t="shared" si="8"/>
        <v>144</v>
      </c>
      <c r="V21" s="1117">
        <f>L21+U21</f>
        <v>232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4+10+10</f>
        <v>24</v>
      </c>
      <c r="E23" s="159">
        <f>6</f>
        <v>6</v>
      </c>
      <c r="F23" s="159">
        <f>8+5+6+2</f>
        <v>21</v>
      </c>
      <c r="G23" s="159">
        <f>3+6</f>
        <v>9</v>
      </c>
      <c r="H23" s="159">
        <f>5+4</f>
        <v>9</v>
      </c>
      <c r="I23" s="159"/>
      <c r="J23" s="159"/>
      <c r="K23" s="159"/>
      <c r="L23" s="208">
        <f>SUM(D23:K23)</f>
        <v>69</v>
      </c>
      <c r="M23" s="160"/>
      <c r="N23" s="160"/>
      <c r="O23" s="160">
        <f>1+2+1</f>
        <v>4</v>
      </c>
      <c r="P23" s="160"/>
      <c r="Q23" s="160"/>
      <c r="R23" s="160"/>
      <c r="S23" s="160"/>
      <c r="T23" s="160"/>
      <c r="U23" s="238">
        <f>SUM(M23:T23)</f>
        <v>4</v>
      </c>
      <c r="V23" s="1112">
        <f>L23+U23</f>
        <v>73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8+8+6+6+6+5+6+3+4+8+6+6+4+6+5+5+4+4+2+9+1+7+12+4+10+3+6+8+5+7+4+2+2+3+6+2+2+2+3+3+5+4+5+2+6</f>
        <v>225</v>
      </c>
      <c r="E24" s="169">
        <f>4+4+4+6+4+6+5+5+4+4+2+9+1+7+12+4+10+3+6+8+5+7+4+2+2+3+6+2+2+2+3+3+5+4+5</f>
        <v>163</v>
      </c>
      <c r="F24" s="169">
        <f>2+2+2+2+2+1+2+2+3+2+2+2+2+2+2+4+2+4+2+9+1+7+12+4+10+3+6+8+5+7+6+5+8+2+5+3+5+9+25+3</f>
        <v>185</v>
      </c>
      <c r="G24" s="169">
        <f>1+1+3+2+4+6+2+4+2+4+2+9+1+7+12+4+10+3+6+8+5+7+4+2+2+3+6+2+2+2+3+3+5+4+5</f>
        <v>146</v>
      </c>
      <c r="H24" s="169">
        <f>1+2+6+1+5+7+6+4+2+9+1+7+16+13+6+8+5+7+6+5+6+2+2+5+8+9</f>
        <v>149</v>
      </c>
      <c r="I24" s="169">
        <f>11+10+5+9+4+25+55+20</f>
        <v>139</v>
      </c>
      <c r="J24" s="169">
        <f>7+9+7+5+13+5+10+35</f>
        <v>91</v>
      </c>
      <c r="K24" s="169"/>
      <c r="L24" s="1115">
        <f>SUM(D24:K24)</f>
        <v>1098</v>
      </c>
      <c r="M24" s="1118">
        <f>5+6+12+5+9+9+8+8+10+8+5+10+14+5+3+9+11+4+13+10+4+8+9+4+7</f>
        <v>196</v>
      </c>
      <c r="N24" s="1119">
        <f>5+6+12+5+9+9+8+8+10+8+5+10+14+8+9+11+4+13+10+4+8+9+4+7</f>
        <v>196</v>
      </c>
      <c r="O24" s="1119">
        <f>6+12+5+9+9+8+8+18+5+10+14+8+9+11+4+13+10+4+8+9+4+7+5</f>
        <v>196</v>
      </c>
      <c r="P24" s="1119">
        <f>6+12+5+9+9+8+8+18+5+10+14+8+9+11+4+13+10+4+8+9+4+7</f>
        <v>191</v>
      </c>
      <c r="Q24" s="1119">
        <f>6+12+5+9+9+8+8+18+5+10+14+8+9+11+4+13+10+4+8+9+4+7+5+5</f>
        <v>201</v>
      </c>
      <c r="R24" s="1119">
        <f>15+5+13+6+13+9+8+3+11+5+15+7+4+15+10+13+5+7</f>
        <v>164</v>
      </c>
      <c r="S24" s="1251">
        <f>5+18+8+8+5+17+8+7+9+8+8+7+9+2+7+5+8+15</f>
        <v>154</v>
      </c>
      <c r="T24" s="1119"/>
      <c r="U24" s="1120">
        <f>SUM(M24:T24)</f>
        <v>1298</v>
      </c>
      <c r="V24" s="1112">
        <f>L24+U24</f>
        <v>2396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$F6-D$57-D$58-D$21-D$23-D$24-D$34-D$43</f>
        <v>-57.666666666666742</v>
      </c>
      <c r="E25" s="171">
        <f>$F7-E$57-E$58-E$21-E$23-E$24-E$34-E$43</f>
        <v>9</v>
      </c>
      <c r="F25" s="171">
        <f>$F8-F$57-F$58-F$21-F$23-F$24-F$34-F$43</f>
        <v>8.3333333333333144</v>
      </c>
      <c r="G25" s="171">
        <f>$F9-G$57-G$58-G$21-G$23-G$24-G$34-G$43</f>
        <v>-61.666666666666629</v>
      </c>
      <c r="H25" s="171">
        <f>$F10-H$57-H$58-H$21-H$23-H$24-H$34-H$43</f>
        <v>-37.000000000000057</v>
      </c>
      <c r="I25" s="171">
        <f>$F11-I$57-I$58-I$21-I$23-I$24-I$34-I$43</f>
        <v>-14.333333333333371</v>
      </c>
      <c r="J25" s="171">
        <f>$F12-J$57-J$58-J$21-J$23-J$24-J$34-J$43</f>
        <v>-22.333333333333371</v>
      </c>
      <c r="K25" s="171">
        <f>$F13-K$57-K$58-K$21-K$23-K$24-K$34-K$43</f>
        <v>0</v>
      </c>
      <c r="L25" s="209">
        <f>SUM(D25:K25)</f>
        <v>-175.66666666666686</v>
      </c>
      <c r="M25" s="171">
        <f>$O6-M$57-M$58-M$21-M$23-M$24-M$34-M$43</f>
        <v>-46.333333333333314</v>
      </c>
      <c r="N25" s="171">
        <f>$O7-N$57-N$58-N$21-N$23-N$24-N$34-N$43</f>
        <v>-29.666666666666686</v>
      </c>
      <c r="O25" s="171">
        <f>$O8-O$57-O$58-O$21-O$23-O$24-O$34-O$43</f>
        <v>-33.999999999999943</v>
      </c>
      <c r="P25" s="171">
        <f>$O9-P$57-P$58-P$21-P$23-P$24-P$34-P$43</f>
        <v>-104.00000000000006</v>
      </c>
      <c r="Q25" s="171">
        <f>$O10-Q$57-Q$58-Q$21-Q$23-Q$24-Q$34-Q$43</f>
        <v>-152.33333333333331</v>
      </c>
      <c r="R25" s="171">
        <f>$O11-R$57-R$58-R$21-R$23-R$24-R$34-R$43</f>
        <v>-122.66666666666663</v>
      </c>
      <c r="S25" s="171">
        <f>$O12-S$57-S$58-S$21-S$23-S$24-S$34-S$43</f>
        <v>-78</v>
      </c>
      <c r="T25" s="171">
        <f>$O13-T$57-T$58-T$21-T$23-T$24-T$34-T$43</f>
        <v>0</v>
      </c>
      <c r="U25" s="239">
        <f>SUM(M25:T25)</f>
        <v>-567</v>
      </c>
      <c r="V25" s="1112">
        <f>L25+U25</f>
        <v>-742.66666666666686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191.33333333333326</v>
      </c>
      <c r="E26" s="172">
        <f t="shared" ref="E26:K26" si="11">SUM(E23:E25)</f>
        <v>178</v>
      </c>
      <c r="F26" s="172">
        <f t="shared" si="11"/>
        <v>214.33333333333331</v>
      </c>
      <c r="G26" s="172">
        <f t="shared" si="11"/>
        <v>93.333333333333371</v>
      </c>
      <c r="H26" s="172">
        <f t="shared" si="11"/>
        <v>120.99999999999994</v>
      </c>
      <c r="I26" s="172">
        <f t="shared" si="11"/>
        <v>124.66666666666663</v>
      </c>
      <c r="J26" s="172">
        <f t="shared" si="11"/>
        <v>68.666666666666629</v>
      </c>
      <c r="K26" s="172">
        <f t="shared" si="11"/>
        <v>0</v>
      </c>
      <c r="L26" s="210">
        <f>SUM(D26:K26)</f>
        <v>991.33333333333303</v>
      </c>
      <c r="M26" s="211">
        <f>SUM(M23:M25)</f>
        <v>149.66666666666669</v>
      </c>
      <c r="N26" s="211">
        <f t="shared" ref="N26:T26" si="12">SUM(N23:N25)</f>
        <v>166.33333333333331</v>
      </c>
      <c r="O26" s="211">
        <f t="shared" si="12"/>
        <v>166.00000000000006</v>
      </c>
      <c r="P26" s="211">
        <f t="shared" si="12"/>
        <v>86.999999999999943</v>
      </c>
      <c r="Q26" s="211">
        <f t="shared" si="12"/>
        <v>48.666666666666686</v>
      </c>
      <c r="R26" s="211">
        <f t="shared" si="12"/>
        <v>41.333333333333371</v>
      </c>
      <c r="S26" s="211">
        <f t="shared" si="12"/>
        <v>76</v>
      </c>
      <c r="T26" s="211">
        <f t="shared" si="12"/>
        <v>0</v>
      </c>
      <c r="U26" s="240">
        <f>SUM(M26:T26)</f>
        <v>735.00000000000011</v>
      </c>
      <c r="V26" s="210">
        <f>L26+U26</f>
        <v>1726.333333333333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3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4">SUM(M28:T28)</f>
        <v>0</v>
      </c>
      <c r="V28" s="243">
        <f t="shared" ref="V28:V34" si="15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3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4"/>
        <v>0</v>
      </c>
      <c r="V29" s="244">
        <f t="shared" si="15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3"/>
        <v>0</v>
      </c>
      <c r="M30" s="1070">
        <f t="shared" ref="M30:S30" si="16">2+4+7+5+2+3+2+5+10+8+8+6+7+6+6+4+3+4+2+10</f>
        <v>104</v>
      </c>
      <c r="N30" s="1070">
        <f t="shared" si="16"/>
        <v>104</v>
      </c>
      <c r="O30" s="1070">
        <f t="shared" si="16"/>
        <v>104</v>
      </c>
      <c r="P30" s="1070">
        <f t="shared" si="16"/>
        <v>104</v>
      </c>
      <c r="Q30" s="1070">
        <f t="shared" si="16"/>
        <v>104</v>
      </c>
      <c r="R30" s="1070">
        <f t="shared" si="16"/>
        <v>104</v>
      </c>
      <c r="S30" s="1070">
        <f t="shared" si="16"/>
        <v>104</v>
      </c>
      <c r="T30" s="1070"/>
      <c r="U30" s="1121">
        <f t="shared" si="14"/>
        <v>728</v>
      </c>
      <c r="V30" s="1112">
        <f t="shared" si="15"/>
        <v>728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3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4"/>
        <v>0</v>
      </c>
      <c r="V31" s="1112">
        <f t="shared" si="15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3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4"/>
        <v>0</v>
      </c>
      <c r="V32" s="1112">
        <f t="shared" si="15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3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4"/>
        <v>0</v>
      </c>
      <c r="V33" s="1112">
        <f t="shared" si="15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7">SUM(D28:D33)</f>
        <v>0</v>
      </c>
      <c r="E34" s="175">
        <f t="shared" si="17"/>
        <v>0</v>
      </c>
      <c r="F34" s="176">
        <f t="shared" si="17"/>
        <v>0</v>
      </c>
      <c r="G34" s="176">
        <f t="shared" si="17"/>
        <v>0</v>
      </c>
      <c r="H34" s="176">
        <f t="shared" si="17"/>
        <v>0</v>
      </c>
      <c r="I34" s="176">
        <f t="shared" si="17"/>
        <v>0</v>
      </c>
      <c r="J34" s="176">
        <f t="shared" si="17"/>
        <v>0</v>
      </c>
      <c r="K34" s="176">
        <f t="shared" si="17"/>
        <v>0</v>
      </c>
      <c r="L34" s="213">
        <f t="shared" si="13"/>
        <v>0</v>
      </c>
      <c r="M34" s="175">
        <f t="shared" ref="M34:T34" si="18">SUM(M28:M33)</f>
        <v>104</v>
      </c>
      <c r="N34" s="176">
        <f t="shared" si="18"/>
        <v>104</v>
      </c>
      <c r="O34" s="176">
        <f t="shared" si="18"/>
        <v>104</v>
      </c>
      <c r="P34" s="176">
        <f t="shared" si="18"/>
        <v>104</v>
      </c>
      <c r="Q34" s="176">
        <f t="shared" si="18"/>
        <v>104</v>
      </c>
      <c r="R34" s="176">
        <f t="shared" si="18"/>
        <v>104</v>
      </c>
      <c r="S34" s="176">
        <f t="shared" si="18"/>
        <v>104</v>
      </c>
      <c r="T34" s="176">
        <f t="shared" si="18"/>
        <v>0</v>
      </c>
      <c r="U34" s="246">
        <f t="shared" si="14"/>
        <v>728</v>
      </c>
      <c r="V34" s="213">
        <f t="shared" si="15"/>
        <v>728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9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20">SUM(M36:T36)</f>
        <v>0</v>
      </c>
      <c r="V36" s="243">
        <f t="shared" ref="V36:V43" si="21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9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20"/>
        <v>0</v>
      </c>
      <c r="V37" s="1114">
        <f t="shared" si="21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9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20"/>
        <v>0</v>
      </c>
      <c r="V38" s="1114">
        <f t="shared" si="21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9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20"/>
        <v>0</v>
      </c>
      <c r="V39" s="1114">
        <f t="shared" si="21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9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20"/>
        <v>0</v>
      </c>
      <c r="V40" s="1114">
        <f t="shared" si="21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9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20"/>
        <v>0</v>
      </c>
      <c r="V41" s="1114">
        <f t="shared" si="21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9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20"/>
        <v>0</v>
      </c>
      <c r="V42" s="1114">
        <f t="shared" si="21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2">SUM(D36:D42)</f>
        <v>0</v>
      </c>
      <c r="E43" s="177">
        <f t="shared" si="22"/>
        <v>0</v>
      </c>
      <c r="F43" s="177">
        <f t="shared" si="22"/>
        <v>0</v>
      </c>
      <c r="G43" s="177">
        <f t="shared" si="22"/>
        <v>0</v>
      </c>
      <c r="H43" s="177">
        <f t="shared" si="22"/>
        <v>0</v>
      </c>
      <c r="I43" s="177">
        <f t="shared" si="22"/>
        <v>0</v>
      </c>
      <c r="J43" s="177">
        <f t="shared" si="22"/>
        <v>0</v>
      </c>
      <c r="K43" s="177">
        <f t="shared" si="22"/>
        <v>0</v>
      </c>
      <c r="L43" s="213">
        <f t="shared" si="19"/>
        <v>0</v>
      </c>
      <c r="M43" s="177">
        <f t="shared" ref="M43:T43" si="23">SUM(M36:M42)</f>
        <v>0</v>
      </c>
      <c r="N43" s="177">
        <f t="shared" si="23"/>
        <v>0</v>
      </c>
      <c r="O43" s="177">
        <f t="shared" si="23"/>
        <v>0</v>
      </c>
      <c r="P43" s="177">
        <f t="shared" si="23"/>
        <v>0</v>
      </c>
      <c r="Q43" s="177">
        <f t="shared" si="23"/>
        <v>0</v>
      </c>
      <c r="R43" s="177">
        <f t="shared" si="23"/>
        <v>0</v>
      </c>
      <c r="S43" s="177">
        <f t="shared" si="23"/>
        <v>0</v>
      </c>
      <c r="T43" s="177">
        <f t="shared" si="23"/>
        <v>0</v>
      </c>
      <c r="U43" s="165">
        <f t="shared" si="20"/>
        <v>0</v>
      </c>
      <c r="V43" s="213">
        <f t="shared" si="21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8"/>
      <c r="M45" s="1068"/>
      <c r="N45" s="1067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49"/>
      <c r="E47" s="1350"/>
      <c r="F47" s="1350"/>
      <c r="G47" s="1350"/>
      <c r="H47" s="1350"/>
      <c r="I47" s="1350"/>
      <c r="J47" s="1351"/>
      <c r="K47" s="1059"/>
      <c r="L47" s="1069"/>
      <c r="M47" s="1070"/>
      <c r="N47" s="1349"/>
      <c r="O47" s="1350"/>
      <c r="P47" s="1350"/>
      <c r="Q47" s="1350"/>
      <c r="R47" s="1350"/>
      <c r="S47" s="1350"/>
      <c r="T47" s="1350"/>
      <c r="U47" s="1350"/>
      <c r="V47" s="1426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5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5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>
      <c r="A52" s="1194"/>
      <c r="B52" s="1195"/>
      <c r="C52" s="1196"/>
      <c r="D52" s="1197"/>
      <c r="E52" s="932"/>
      <c r="F52" s="932"/>
      <c r="G52" s="932"/>
      <c r="H52" s="932"/>
      <c r="I52" s="932"/>
      <c r="J52" s="932"/>
      <c r="K52" s="1059"/>
      <c r="L52" s="1198"/>
      <c r="M52" s="929"/>
      <c r="N52" s="1199"/>
      <c r="O52" s="931"/>
      <c r="P52" s="932"/>
      <c r="Q52" s="932"/>
      <c r="R52" s="932"/>
      <c r="S52" s="932"/>
      <c r="T52" s="932"/>
      <c r="U52" s="932"/>
      <c r="V52" s="934"/>
      <c r="W52" s="250"/>
    </row>
    <row r="53" spans="1:25" ht="15" customHeight="1">
      <c r="A53" s="1194"/>
      <c r="B53" s="1195"/>
      <c r="C53" s="1196"/>
      <c r="D53" s="1197"/>
      <c r="E53" s="932"/>
      <c r="F53" s="932"/>
      <c r="G53" s="932"/>
      <c r="H53" s="932"/>
      <c r="I53" s="932"/>
      <c r="J53" s="932"/>
      <c r="K53" s="1198"/>
      <c r="L53" s="1198"/>
      <c r="M53" s="929"/>
      <c r="N53" s="1199"/>
      <c r="O53" s="931"/>
      <c r="P53" s="932"/>
      <c r="Q53" s="932"/>
      <c r="R53" s="932"/>
      <c r="S53" s="932"/>
      <c r="T53" s="932"/>
      <c r="U53" s="932"/>
      <c r="V53" s="934"/>
      <c r="W53" s="250"/>
    </row>
    <row r="54" spans="1:25" ht="15" customHeight="1" thickBot="1">
      <c r="A54" s="1080"/>
      <c r="B54" s="1081"/>
      <c r="C54" s="1125"/>
      <c r="D54" s="1082"/>
      <c r="E54" s="1083"/>
      <c r="F54" s="1083"/>
      <c r="G54" s="1083"/>
      <c r="H54" s="1083"/>
      <c r="I54" s="1083"/>
      <c r="J54" s="1083"/>
      <c r="K54" s="1084"/>
      <c r="L54" s="1084"/>
      <c r="M54" s="1126"/>
      <c r="N54" s="216"/>
      <c r="O54" s="1127"/>
      <c r="P54" s="1083"/>
      <c r="Q54" s="1083"/>
      <c r="R54" s="1083"/>
      <c r="S54" s="1083"/>
      <c r="T54" s="1083"/>
      <c r="U54" s="1083"/>
      <c r="V54" s="1128"/>
      <c r="W54" s="250"/>
    </row>
    <row r="55" spans="1:25" ht="18" customHeight="1" thickBot="1">
      <c r="A55" s="183" t="s">
        <v>337</v>
      </c>
      <c r="B55" s="184" t="s">
        <v>338</v>
      </c>
      <c r="C55" s="184"/>
      <c r="D55" s="166" t="s">
        <v>300</v>
      </c>
      <c r="E55" s="166" t="s">
        <v>301</v>
      </c>
      <c r="F55" s="166" t="s">
        <v>302</v>
      </c>
      <c r="G55" s="166" t="s">
        <v>303</v>
      </c>
      <c r="H55" s="166" t="s">
        <v>304</v>
      </c>
      <c r="I55" s="166" t="s">
        <v>305</v>
      </c>
      <c r="J55" s="166" t="s">
        <v>306</v>
      </c>
      <c r="K55" s="166" t="s">
        <v>307</v>
      </c>
      <c r="L55" s="207" t="s">
        <v>173</v>
      </c>
      <c r="M55" s="166" t="s">
        <v>300</v>
      </c>
      <c r="N55" s="166" t="s">
        <v>301</v>
      </c>
      <c r="O55" s="166" t="s">
        <v>302</v>
      </c>
      <c r="P55" s="166" t="s">
        <v>303</v>
      </c>
      <c r="Q55" s="166" t="s">
        <v>304</v>
      </c>
      <c r="R55" s="166" t="s">
        <v>305</v>
      </c>
      <c r="S55" s="166" t="s">
        <v>306</v>
      </c>
      <c r="T55" s="166" t="s">
        <v>307</v>
      </c>
      <c r="U55" s="166" t="s">
        <v>173</v>
      </c>
      <c r="V55" s="207" t="s">
        <v>367</v>
      </c>
      <c r="W55" s="231"/>
    </row>
    <row r="56" spans="1:25" ht="18" customHeight="1">
      <c r="A56" s="185">
        <v>1</v>
      </c>
      <c r="B56" s="186" t="s">
        <v>223</v>
      </c>
      <c r="C56" s="158"/>
      <c r="D56" s="187">
        <f>$F6-D$21-D$43-D$34</f>
        <v>567.99999999999989</v>
      </c>
      <c r="E56" s="187">
        <f>$F7-E$21-E$43-E$34</f>
        <v>575</v>
      </c>
      <c r="F56" s="187">
        <f>$F8-F$21-F$43-F$34</f>
        <v>578</v>
      </c>
      <c r="G56" s="187">
        <f>$F9-G$21-G$43-G$34</f>
        <v>580</v>
      </c>
      <c r="H56" s="187">
        <f>$F10-H$21-H$43-H$34</f>
        <v>588</v>
      </c>
      <c r="I56" s="187">
        <f>$F11-I$21-I$43-I$34</f>
        <v>558</v>
      </c>
      <c r="J56" s="187">
        <f>$F12-J$21-J$43-J$34</f>
        <v>552</v>
      </c>
      <c r="K56" s="187">
        <f>$F13-K$21-K$43-K$34</f>
        <v>0</v>
      </c>
      <c r="L56" s="202">
        <f>SUM(D56:K56)</f>
        <v>3999</v>
      </c>
      <c r="M56" s="187">
        <f>O6-M21-M43-M34</f>
        <v>541</v>
      </c>
      <c r="N56" s="187">
        <f>O7-N21-N43-N34</f>
        <v>551</v>
      </c>
      <c r="O56" s="187">
        <f>O8-O21-O43-O34</f>
        <v>521</v>
      </c>
      <c r="P56" s="187">
        <f>O9-P21-P43-P34</f>
        <v>531.99999999999989</v>
      </c>
      <c r="Q56" s="187">
        <f>O10-Q21-Q43-Q34</f>
        <v>529</v>
      </c>
      <c r="R56" s="187">
        <f>O11-R21-R43-R34</f>
        <v>504</v>
      </c>
      <c r="S56" s="187">
        <f>O12-S21-S43-S34</f>
        <v>479</v>
      </c>
      <c r="T56" s="187">
        <f>O13-T21-T43-T34</f>
        <v>0</v>
      </c>
      <c r="U56" s="242">
        <f>SUM(M56:T56)</f>
        <v>3657</v>
      </c>
      <c r="V56" s="202">
        <f>L56+U56</f>
        <v>7656</v>
      </c>
      <c r="W56" s="233"/>
    </row>
    <row r="57" spans="1:25" ht="18" customHeight="1">
      <c r="A57" s="1085">
        <v>2</v>
      </c>
      <c r="B57" s="1086" t="s">
        <v>339</v>
      </c>
      <c r="C57" s="1046"/>
      <c r="D57" s="1087">
        <f>$K6/$C6</f>
        <v>35.666666666666664</v>
      </c>
      <c r="E57" s="1087">
        <f>$K7/$C7</f>
        <v>26</v>
      </c>
      <c r="F57" s="1087">
        <f>$K8/$C8</f>
        <v>58</v>
      </c>
      <c r="G57" s="1087">
        <f>$K9/$C9</f>
        <v>31.666666666666668</v>
      </c>
      <c r="H57" s="1087">
        <f>$K10/$C10</f>
        <v>30.333333333333332</v>
      </c>
      <c r="I57" s="1087">
        <f>$K11/$C11</f>
        <v>41.333333333333336</v>
      </c>
      <c r="J57" s="1087">
        <f>$K12/$C12</f>
        <v>14.333333333333334</v>
      </c>
      <c r="K57" s="1087">
        <f>$K13/$C13</f>
        <v>0</v>
      </c>
      <c r="L57" s="1112">
        <f>SUM(D57:K57)</f>
        <v>237.33333333333334</v>
      </c>
      <c r="M57" s="1087">
        <f>T6/C6</f>
        <v>24.666666666666668</v>
      </c>
      <c r="N57" s="1087">
        <f>T7/C7</f>
        <v>51.333333333333336</v>
      </c>
      <c r="O57" s="1087">
        <f>$T$8/$C$8</f>
        <v>49.666666666666664</v>
      </c>
      <c r="P57" s="1087">
        <f>$T$9/$C$9</f>
        <v>61.666666666666664</v>
      </c>
      <c r="Q57" s="1087">
        <f>$T$10/$C$10</f>
        <v>69.666666666666671</v>
      </c>
      <c r="R57" s="1087">
        <f>$T$11/$C$11</f>
        <v>50.666666666666664</v>
      </c>
      <c r="S57" s="1087">
        <f>$T$12/$C$12</f>
        <v>29</v>
      </c>
      <c r="T57" s="1087">
        <f>$T$13/$C$13</f>
        <v>0</v>
      </c>
      <c r="U57" s="1129">
        <f>SUM(M57:T57)</f>
        <v>336.66666666666669</v>
      </c>
      <c r="V57" s="1112">
        <f>L57+U57</f>
        <v>574</v>
      </c>
      <c r="W57" s="233"/>
    </row>
    <row r="58" spans="1:25" ht="18" customHeight="1" thickBot="1">
      <c r="A58" s="1031">
        <v>3</v>
      </c>
      <c r="B58" s="1088" t="s">
        <v>340</v>
      </c>
      <c r="C58" s="1056"/>
      <c r="D58" s="1087">
        <f>$I6/$C6</f>
        <v>341</v>
      </c>
      <c r="E58" s="1087">
        <f>$I7/$C7</f>
        <v>371</v>
      </c>
      <c r="F58" s="1087">
        <f>$I8/$C8</f>
        <v>305.66666666666669</v>
      </c>
      <c r="G58" s="1087">
        <f>$I9/$C9</f>
        <v>455</v>
      </c>
      <c r="H58" s="1087">
        <f>$I10/$C10</f>
        <v>436.66666666666669</v>
      </c>
      <c r="I58" s="1087">
        <f>$I11/$C11</f>
        <v>392</v>
      </c>
      <c r="J58" s="1087">
        <f>$I12/$C12</f>
        <v>469</v>
      </c>
      <c r="K58" s="1087">
        <f>$I13/$C13</f>
        <v>0</v>
      </c>
      <c r="L58" s="1115">
        <f>SUM(D58:K58)</f>
        <v>2770.3333333333335</v>
      </c>
      <c r="M58" s="1130">
        <f>R6/C6</f>
        <v>366.66666666666669</v>
      </c>
      <c r="N58" s="1130">
        <f>R7/C7</f>
        <v>333.33333333333331</v>
      </c>
      <c r="O58" s="1130">
        <f>R8/C8</f>
        <v>305.33333333333331</v>
      </c>
      <c r="P58" s="1130">
        <f>R9/C9</f>
        <v>383.33333333333331</v>
      </c>
      <c r="Q58" s="1130">
        <f>R10/C10</f>
        <v>410.66666666666669</v>
      </c>
      <c r="R58" s="1130">
        <f>R11/C11</f>
        <v>412</v>
      </c>
      <c r="S58" s="1130">
        <f>R12/C12</f>
        <v>374</v>
      </c>
      <c r="T58" s="1130">
        <f>R13/C13</f>
        <v>0</v>
      </c>
      <c r="U58" s="1131">
        <f>SUM(M58:T58)</f>
        <v>2585.333333333333</v>
      </c>
      <c r="V58" s="1115">
        <f>L58+U58</f>
        <v>5355.6666666666661</v>
      </c>
      <c r="W58" s="233"/>
    </row>
    <row r="59" spans="1:25" ht="18" customHeight="1">
      <c r="A59" s="185">
        <v>4</v>
      </c>
      <c r="B59" s="186" t="s">
        <v>341</v>
      </c>
      <c r="C59" s="158"/>
      <c r="D59" s="188">
        <f>IF(F6=0,0,D21/F6*100)</f>
        <v>2.0689655172413794</v>
      </c>
      <c r="E59" s="188">
        <f>IF(F7=0,0,E21/F7*100)</f>
        <v>1.3722126929674099</v>
      </c>
      <c r="F59" s="188">
        <f>IF(F8=0,0,F21/F8*100)</f>
        <v>2.3648648648648649</v>
      </c>
      <c r="G59" s="188">
        <f>IF(F9=0,0,G21/F9*100)</f>
        <v>2.3569023569023568</v>
      </c>
      <c r="H59" s="188">
        <f>IF(F10=0,0,H21/F10*100)</f>
        <v>1.6722408026755853</v>
      </c>
      <c r="I59" s="188">
        <f>IF(F11=0,0,I21/F11*100)</f>
        <v>2.1052631578947367</v>
      </c>
      <c r="J59" s="188">
        <f>IF(F12=0,0,J21/F12*100)</f>
        <v>3.1578947368421053</v>
      </c>
      <c r="K59" s="188">
        <f>IF(F13=0,0,K21/F13*100)</f>
        <v>0</v>
      </c>
      <c r="L59" s="217">
        <f>IF(F14=0,0,L21/F14*100)</f>
        <v>2.1531685833129437</v>
      </c>
      <c r="M59" s="188">
        <f>IF(O6=0,0,M21/O6*100)</f>
        <v>3.7313432835820892</v>
      </c>
      <c r="N59" s="188">
        <f>IF(O7=0,0,N21/O7*100)</f>
        <v>2.9629629629629632</v>
      </c>
      <c r="O59" s="188">
        <f>IF(O8=0,0,O21/O8*100)</f>
        <v>2.4960998439937598</v>
      </c>
      <c r="P59" s="188">
        <f>IF(O9=0,0,P21/O9*100)</f>
        <v>1.8518518518518521</v>
      </c>
      <c r="Q59" s="188">
        <f>IF(O10=0,0,Q21/O10*100)</f>
        <v>1.8604651162790697</v>
      </c>
      <c r="R59" s="188">
        <f>IF(O11=0,0,R21/O11*100)</f>
        <v>1.935483870967742</v>
      </c>
      <c r="S59" s="188">
        <f>IF(O12=0,0,S21/O12*100)</f>
        <v>7.4603174603174605</v>
      </c>
      <c r="T59" s="188">
        <f>IF(O13=0,0,T21/O13*100)</f>
        <v>0</v>
      </c>
      <c r="U59" s="251">
        <f>IF(O14=0,0,U21/O14*100)</f>
        <v>3.1795098255685583</v>
      </c>
      <c r="V59" s="217">
        <f>IF((F14+O14)=0,0,V21/(F14+O14)*100)</f>
        <v>2.6926648096564532</v>
      </c>
      <c r="W59" s="252"/>
    </row>
    <row r="60" spans="1:25" ht="18" customHeight="1">
      <c r="A60" s="1085">
        <v>5</v>
      </c>
      <c r="B60" s="1086" t="s">
        <v>342</v>
      </c>
      <c r="C60" s="1046"/>
      <c r="D60" s="1090">
        <f>IF(F6=0,0,D34/F6*100)</f>
        <v>0</v>
      </c>
      <c r="E60" s="1090">
        <f>IF(F7=0,0,E34/F7*100)</f>
        <v>0</v>
      </c>
      <c r="F60" s="1090">
        <f>IF(F8=0,0,F34/F8*100)</f>
        <v>0</v>
      </c>
      <c r="G60" s="1090">
        <f>IF(F9=0,0,G34/F9*100)</f>
        <v>0</v>
      </c>
      <c r="H60" s="1090">
        <f>IF(F10=0,0,H34/F10*100)</f>
        <v>0</v>
      </c>
      <c r="I60" s="1090">
        <f>IF(F11=0,0,I34/F11*100)</f>
        <v>0</v>
      </c>
      <c r="J60" s="1090">
        <f>IF(F12=0,0,J34/F12*100)</f>
        <v>0</v>
      </c>
      <c r="K60" s="1090">
        <f>IF(F13=0,0,K34/F13*100)</f>
        <v>0</v>
      </c>
      <c r="L60" s="1132">
        <f>IF(F14=0,0,L34/F14*100)</f>
        <v>0</v>
      </c>
      <c r="M60" s="1090">
        <f>IF(O6=0,0,M34/O6*100)</f>
        <v>15.522388059701491</v>
      </c>
      <c r="N60" s="1090">
        <f>IF(O7=0,0,N34/O7*100)</f>
        <v>15.407407407407408</v>
      </c>
      <c r="O60" s="1090">
        <f>IF(O8=0,0,O34/O8*100)</f>
        <v>16.22464898595944</v>
      </c>
      <c r="P60" s="1090">
        <f>IF(O9=0,0,P34/O9*100)</f>
        <v>16.049382716049383</v>
      </c>
      <c r="Q60" s="1090">
        <f>IF(O10=0,0,Q34/O10*100)</f>
        <v>16.124031007751938</v>
      </c>
      <c r="R60" s="1090">
        <f>IF(O11=0,0,R34/O11*100)</f>
        <v>16.7741935483871</v>
      </c>
      <c r="S60" s="1090">
        <f>IF(O12=0,0,S34/O12*100)</f>
        <v>16.507936507936506</v>
      </c>
      <c r="T60" s="1090">
        <f>IF(O13=0,0,T34/O13*100)</f>
        <v>0</v>
      </c>
      <c r="U60" s="1133">
        <f>IF(O14=0,0,U34/O14*100)</f>
        <v>16.0741885625966</v>
      </c>
      <c r="V60" s="1132">
        <f>IF((F14+O14)=0,0,V34/(F14+O14)*100)</f>
        <v>8.4493964716805934</v>
      </c>
      <c r="W60" s="252"/>
      <c r="Y60" s="258">
        <f>SUM(V59:V62)</f>
        <v>100</v>
      </c>
    </row>
    <row r="61" spans="1:25" ht="18" customHeight="1">
      <c r="A61" s="1085">
        <v>6</v>
      </c>
      <c r="B61" s="1086" t="s">
        <v>343</v>
      </c>
      <c r="C61" s="1046"/>
      <c r="D61" s="1090">
        <f>IF(F6=0,0,D43/F6*100)</f>
        <v>0</v>
      </c>
      <c r="E61" s="1090">
        <f>IF(F7=0,0,E43/F7*100)</f>
        <v>0</v>
      </c>
      <c r="F61" s="1090">
        <f>IF(F8=0,0,F43/F8*100)</f>
        <v>0</v>
      </c>
      <c r="G61" s="1090">
        <f>IF(F9=0,0,G43/F9*100)</f>
        <v>0</v>
      </c>
      <c r="H61" s="1090">
        <f>IF(F10=0,0,H43/F10*100)</f>
        <v>0</v>
      </c>
      <c r="I61" s="1090">
        <f>IF(F11=0,0,I43/F11*100)</f>
        <v>0</v>
      </c>
      <c r="J61" s="1090">
        <f>IF(F12=0,0,J43/F12*100)</f>
        <v>0</v>
      </c>
      <c r="K61" s="1090">
        <f>IF(F13=0,0,K43/F13*100)</f>
        <v>0</v>
      </c>
      <c r="L61" s="1132">
        <f>IF(F14=0,0,L43/F14*100)</f>
        <v>0</v>
      </c>
      <c r="M61" s="1090">
        <f>IF(O6=0,0,M43/O6*100)</f>
        <v>0</v>
      </c>
      <c r="N61" s="1090">
        <f>IF(O7=0,0,N43/O7*100)</f>
        <v>0</v>
      </c>
      <c r="O61" s="1090">
        <f>IF(O8=0,0,O43/O8*100)</f>
        <v>0</v>
      </c>
      <c r="P61" s="1090">
        <f>IF(O9=0,0,P43/O9*100)</f>
        <v>0</v>
      </c>
      <c r="Q61" s="1090">
        <f>IF(O10=0,0,Q43/O10*100)</f>
        <v>0</v>
      </c>
      <c r="R61" s="1090">
        <f>IF(O11=0,0,R43/O11*100)</f>
        <v>0</v>
      </c>
      <c r="S61" s="1090">
        <f>IF(O12=0,0,S43/O12*100)</f>
        <v>0</v>
      </c>
      <c r="T61" s="1090">
        <f>IF(O13=0,0,T43/O13*100)</f>
        <v>0</v>
      </c>
      <c r="U61" s="1133">
        <f>IF(O14=0,0,U43/O14*100)</f>
        <v>0</v>
      </c>
      <c r="V61" s="1132">
        <f>IF((F14+O14)=0,0,V43/(F14+O14)*100)</f>
        <v>0</v>
      </c>
      <c r="W61" s="252"/>
    </row>
    <row r="62" spans="1:25" ht="18" customHeight="1" thickBot="1">
      <c r="A62" s="1031">
        <v>7</v>
      </c>
      <c r="B62" s="1092" t="s">
        <v>344</v>
      </c>
      <c r="C62" s="1056"/>
      <c r="D62" s="1093">
        <f>IF(F6=0,0,D56/F6*100)</f>
        <v>97.931034482758619</v>
      </c>
      <c r="E62" s="1093">
        <f>IF(F7=0,0,E56/F7*100)</f>
        <v>98.627787307032591</v>
      </c>
      <c r="F62" s="1093">
        <f>IF(F8=0,0,F56/F8*100)</f>
        <v>97.63513513513513</v>
      </c>
      <c r="G62" s="1093">
        <f>IF(F9=0,0,G56/F9*100)</f>
        <v>97.643097643097647</v>
      </c>
      <c r="H62" s="1093">
        <f>IF(F10=0,0,H56/F10*100)</f>
        <v>98.327759197324411</v>
      </c>
      <c r="I62" s="1093">
        <f>IF(F11=0,0,I56/F11*100)</f>
        <v>97.894736842105274</v>
      </c>
      <c r="J62" s="1093">
        <f>IF(F12=0,0,J56/F12*100)</f>
        <v>96.84210526315789</v>
      </c>
      <c r="K62" s="1093">
        <f>IF(F13=0,0,K56/F13*100)</f>
        <v>0</v>
      </c>
      <c r="L62" s="1134">
        <f>IF(F14=0,0,L56/F14*100)</f>
        <v>97.846831416687053</v>
      </c>
      <c r="M62" s="1095">
        <f>IF(O6=0,0,M56/O6*100)</f>
        <v>80.74626865671641</v>
      </c>
      <c r="N62" s="1095">
        <f>IF(O7=0,0,N56/O7*100)</f>
        <v>81.629629629629633</v>
      </c>
      <c r="O62" s="1095">
        <f>IF(O8=0,0,O56/O8*100)</f>
        <v>81.279251170046805</v>
      </c>
      <c r="P62" s="1095">
        <f>IF(O9=0,0,P56/O9*100)</f>
        <v>82.098765432098759</v>
      </c>
      <c r="Q62" s="1095">
        <f>IF(O10=0,0,Q56/O10*100)</f>
        <v>82.015503875968989</v>
      </c>
      <c r="R62" s="1095">
        <f>IF(O11=0,0,R56/O11*100)</f>
        <v>81.290322580645153</v>
      </c>
      <c r="S62" s="1095">
        <f>IF(O12=0,0,S56/O12*100)</f>
        <v>76.031746031746025</v>
      </c>
      <c r="T62" s="1095">
        <f>IF(O13=0,0,T56/O13*100)</f>
        <v>0</v>
      </c>
      <c r="U62" s="1093">
        <f>IF(O14=0,0,U56/O14*100)</f>
        <v>80.746301611834852</v>
      </c>
      <c r="V62" s="1134">
        <f>IF((F14+O14)=0,0,V56/(F14+O14)*100)</f>
        <v>88.85793871866295</v>
      </c>
      <c r="W62" s="252"/>
    </row>
    <row r="63" spans="1:25" ht="18" customHeight="1">
      <c r="A63" s="185">
        <v>8</v>
      </c>
      <c r="B63" s="186" t="s">
        <v>345</v>
      </c>
      <c r="C63" s="158"/>
      <c r="D63" s="188">
        <f>IF(D56=0,0,D57/D56*100)</f>
        <v>6.279342723004695</v>
      </c>
      <c r="E63" s="188">
        <f>IF(E56=0,0,E57/E56*100)</f>
        <v>4.5217391304347831</v>
      </c>
      <c r="F63" s="188">
        <f t="shared" ref="F63:V63" si="24">IF(F56=0,0,F57/F56*100)</f>
        <v>10.034602076124568</v>
      </c>
      <c r="G63" s="188">
        <f t="shared" si="24"/>
        <v>5.4597701149425291</v>
      </c>
      <c r="H63" s="188">
        <f t="shared" si="24"/>
        <v>5.1587301587301582</v>
      </c>
      <c r="I63" s="188">
        <f t="shared" si="24"/>
        <v>7.4074074074074083</v>
      </c>
      <c r="J63" s="188">
        <f t="shared" si="24"/>
        <v>2.5966183574879227</v>
      </c>
      <c r="K63" s="188">
        <f t="shared" si="24"/>
        <v>0</v>
      </c>
      <c r="L63" s="217">
        <f t="shared" si="24"/>
        <v>5.9348170375927314</v>
      </c>
      <c r="M63" s="188">
        <f t="shared" si="24"/>
        <v>4.5594577942082566</v>
      </c>
      <c r="N63" s="188">
        <f t="shared" si="24"/>
        <v>9.3163944343617668</v>
      </c>
      <c r="O63" s="188">
        <f t="shared" si="24"/>
        <v>9.5329494561740233</v>
      </c>
      <c r="P63" s="188">
        <f t="shared" si="24"/>
        <v>11.591478696741857</v>
      </c>
      <c r="Q63" s="188">
        <f t="shared" si="24"/>
        <v>13.169502205419031</v>
      </c>
      <c r="R63" s="188">
        <f t="shared" si="24"/>
        <v>10.052910052910052</v>
      </c>
      <c r="S63" s="188">
        <f t="shared" si="24"/>
        <v>6.0542797494780798</v>
      </c>
      <c r="T63" s="188">
        <f t="shared" si="24"/>
        <v>0</v>
      </c>
      <c r="U63" s="251">
        <f t="shared" si="24"/>
        <v>9.2060887795096171</v>
      </c>
      <c r="V63" s="217">
        <f t="shared" si="24"/>
        <v>7.497387669801463</v>
      </c>
      <c r="W63" s="252"/>
    </row>
    <row r="64" spans="1:25" ht="18" customHeight="1">
      <c r="A64" s="1085">
        <v>9</v>
      </c>
      <c r="B64" s="1086" t="s">
        <v>346</v>
      </c>
      <c r="C64" s="1046"/>
      <c r="D64" s="1090">
        <f t="shared" ref="D64:V64" si="25">IF(D56=0,0,D26/D56*100)</f>
        <v>33.685446009389665</v>
      </c>
      <c r="E64" s="1090">
        <f t="shared" si="25"/>
        <v>30.956521739130434</v>
      </c>
      <c r="F64" s="1090">
        <f t="shared" si="25"/>
        <v>37.081891580161475</v>
      </c>
      <c r="G64" s="1090">
        <f t="shared" si="25"/>
        <v>16.09195402298851</v>
      </c>
      <c r="H64" s="1090">
        <f t="shared" si="25"/>
        <v>20.578231292516996</v>
      </c>
      <c r="I64" s="1090">
        <f t="shared" si="25"/>
        <v>22.341696535244914</v>
      </c>
      <c r="J64" s="1090">
        <f t="shared" si="25"/>
        <v>12.43961352657004</v>
      </c>
      <c r="K64" s="1090">
        <f t="shared" si="25"/>
        <v>0</v>
      </c>
      <c r="L64" s="1132">
        <f t="shared" si="25"/>
        <v>24.789530716012329</v>
      </c>
      <c r="M64" s="1090">
        <f t="shared" si="25"/>
        <v>27.664818237831177</v>
      </c>
      <c r="N64" s="1090">
        <f t="shared" si="25"/>
        <v>30.187537810042343</v>
      </c>
      <c r="O64" s="1090">
        <f t="shared" si="25"/>
        <v>31.861804222648765</v>
      </c>
      <c r="P64" s="1090">
        <f t="shared" si="25"/>
        <v>16.353383458646608</v>
      </c>
      <c r="Q64" s="1090">
        <f t="shared" si="25"/>
        <v>9.199747952110906</v>
      </c>
      <c r="R64" s="1090">
        <f t="shared" si="25"/>
        <v>8.2010582010582098</v>
      </c>
      <c r="S64" s="1090">
        <f t="shared" si="25"/>
        <v>15.866388308977037</v>
      </c>
      <c r="T64" s="1090">
        <f t="shared" si="25"/>
        <v>0</v>
      </c>
      <c r="U64" s="1133">
        <f t="shared" si="25"/>
        <v>20.098441345365057</v>
      </c>
      <c r="V64" s="1132">
        <f t="shared" si="25"/>
        <v>22.548763497039356</v>
      </c>
      <c r="W64" s="252"/>
      <c r="Y64" s="258">
        <f>SUM(V63:V65)</f>
        <v>99.999999999999986</v>
      </c>
    </row>
    <row r="65" spans="1:23" ht="18" customHeight="1" thickBot="1">
      <c r="A65" s="1031">
        <v>10</v>
      </c>
      <c r="B65" s="1092" t="s">
        <v>347</v>
      </c>
      <c r="C65" s="1056"/>
      <c r="D65" s="1095">
        <f t="shared" ref="D65:V65" si="26">IF(D56=0,0,D58/D56*100)</f>
        <v>60.035211267605646</v>
      </c>
      <c r="E65" s="1095">
        <f t="shared" si="26"/>
        <v>64.521739130434781</v>
      </c>
      <c r="F65" s="1095">
        <f t="shared" si="26"/>
        <v>52.883506343713961</v>
      </c>
      <c r="G65" s="1095">
        <f t="shared" si="26"/>
        <v>78.448275862068968</v>
      </c>
      <c r="H65" s="1095">
        <f t="shared" si="26"/>
        <v>74.263038548752832</v>
      </c>
      <c r="I65" s="1095">
        <f t="shared" si="26"/>
        <v>70.25089605734766</v>
      </c>
      <c r="J65" s="1095">
        <f t="shared" si="26"/>
        <v>84.963768115942031</v>
      </c>
      <c r="K65" s="1095">
        <f t="shared" si="26"/>
        <v>0</v>
      </c>
      <c r="L65" s="1134">
        <f t="shared" si="26"/>
        <v>69.275652246394941</v>
      </c>
      <c r="M65" s="1095">
        <f t="shared" si="26"/>
        <v>67.775723967960573</v>
      </c>
      <c r="N65" s="1095">
        <f t="shared" si="26"/>
        <v>60.496067755595881</v>
      </c>
      <c r="O65" s="1095">
        <f t="shared" si="26"/>
        <v>58.605246321177219</v>
      </c>
      <c r="P65" s="1095">
        <f t="shared" si="26"/>
        <v>72.055137844611536</v>
      </c>
      <c r="Q65" s="1095">
        <f t="shared" si="26"/>
        <v>77.630749842470067</v>
      </c>
      <c r="R65" s="1095">
        <f t="shared" si="26"/>
        <v>81.746031746031747</v>
      </c>
      <c r="S65" s="1095">
        <f t="shared" si="26"/>
        <v>78.079331941544879</v>
      </c>
      <c r="T65" s="1095">
        <f t="shared" si="26"/>
        <v>0</v>
      </c>
      <c r="U65" s="1093">
        <f t="shared" si="26"/>
        <v>70.695469875125326</v>
      </c>
      <c r="V65" s="1134">
        <f t="shared" si="26"/>
        <v>69.953848833159171</v>
      </c>
      <c r="W65" s="252"/>
    </row>
    <row r="66" spans="1:23" ht="18" customHeight="1" thickBot="1">
      <c r="A66" s="183">
        <v>11</v>
      </c>
      <c r="B66" s="189" t="s">
        <v>254</v>
      </c>
      <c r="C66" s="155"/>
      <c r="D66" s="190">
        <f>IF(E76=0,0,D76/E76*100)</f>
        <v>95.892812421738043</v>
      </c>
      <c r="E66" s="190">
        <f>IF(E76=0,0,D76/E76*100)</f>
        <v>95.892812421738043</v>
      </c>
      <c r="F66" s="190">
        <f>IF(E76=0,0,D76/E76*100)</f>
        <v>95.892812421738043</v>
      </c>
      <c r="G66" s="190">
        <f>IF(E76=0,0,D76/E76*100)</f>
        <v>95.892812421738043</v>
      </c>
      <c r="H66" s="190">
        <f>IF(E76=0,0,D76/E76*100)</f>
        <v>95.892812421738043</v>
      </c>
      <c r="I66" s="190">
        <f>IF(E76=0,0,D76/E76*100)</f>
        <v>95.892812421738043</v>
      </c>
      <c r="J66" s="190">
        <f>IF(E76=0,0,D76/E76*100)</f>
        <v>95.892812421738043</v>
      </c>
      <c r="K66" s="190">
        <f>IF(E76=0,0,D76/E76*100)</f>
        <v>95.892812421738043</v>
      </c>
      <c r="L66" s="218">
        <f>IF(E76=0,0,D76/E76*100)</f>
        <v>95.892812421738043</v>
      </c>
      <c r="M66" s="219">
        <f>IF(N76=0,0,M76/N76*100)</f>
        <v>88.296903460837882</v>
      </c>
      <c r="N66" s="219">
        <f>IF(N76=0,0,M76/N76*100)</f>
        <v>88.296903460837882</v>
      </c>
      <c r="O66" s="219">
        <f>IF(N76=0,0,M76/N76*100)</f>
        <v>88.296903460837882</v>
      </c>
      <c r="P66" s="219">
        <f>IF(N76=0,0,M76/N76*100)</f>
        <v>88.296903460837882</v>
      </c>
      <c r="Q66" s="219">
        <f>IF(N76=0,0,M76/N76*100)</f>
        <v>88.296903460837882</v>
      </c>
      <c r="R66" s="219">
        <f>IF(N76=0,0,M76/N76*100)</f>
        <v>88.296903460837882</v>
      </c>
      <c r="S66" s="219">
        <f>IF(N76=0,0,M76/N76*100)</f>
        <v>88.296903460837882</v>
      </c>
      <c r="T66" s="219">
        <f>IF(N76=0,0,M76/N76*100)</f>
        <v>88.296903460837882</v>
      </c>
      <c r="U66" s="190">
        <f>IF(N76=0,0,M76/N76*100)</f>
        <v>88.296903460837882</v>
      </c>
      <c r="V66" s="218">
        <f>IF(N80=0,0,M80/N80*100)</f>
        <v>91.914132379248656</v>
      </c>
      <c r="W66" s="252"/>
    </row>
    <row r="67" spans="1:23" ht="18" customHeight="1" thickBot="1">
      <c r="A67" s="183">
        <v>12</v>
      </c>
      <c r="B67" s="189" t="s">
        <v>348</v>
      </c>
      <c r="C67" s="155"/>
      <c r="D67" s="190">
        <f t="shared" ref="D67:T67" si="27">(D62*D65*D66)/10000</f>
        <v>56.378360406573584</v>
      </c>
      <c r="E67" s="190">
        <f t="shared" si="27"/>
        <v>61.022698813833308</v>
      </c>
      <c r="F67" s="190">
        <f t="shared" si="27"/>
        <v>49.512223530818574</v>
      </c>
      <c r="G67" s="190">
        <f t="shared" si="27"/>
        <v>73.453248572206746</v>
      </c>
      <c r="H67" s="190">
        <f t="shared" si="27"/>
        <v>70.022064811860005</v>
      </c>
      <c r="I67" s="190">
        <f t="shared" si="27"/>
        <v>65.947337665475985</v>
      </c>
      <c r="J67" s="190">
        <f t="shared" si="27"/>
        <v>78.901278992623048</v>
      </c>
      <c r="K67" s="190">
        <f t="shared" si="27"/>
        <v>0</v>
      </c>
      <c r="L67" s="190">
        <f t="shared" si="27"/>
        <v>65.000013378767221</v>
      </c>
      <c r="M67" s="219">
        <f t="shared" si="27"/>
        <v>48.321688461155055</v>
      </c>
      <c r="N67" s="219">
        <f t="shared" si="27"/>
        <v>43.603409116463155</v>
      </c>
      <c r="O67" s="219">
        <f t="shared" si="27"/>
        <v>42.05926342700338</v>
      </c>
      <c r="P67" s="219">
        <f t="shared" si="27"/>
        <v>52.233250504096482</v>
      </c>
      <c r="Q67" s="219">
        <f t="shared" si="27"/>
        <v>56.217976777132947</v>
      </c>
      <c r="R67" s="219">
        <f t="shared" si="27"/>
        <v>58.674716493330976</v>
      </c>
      <c r="S67" s="219">
        <f t="shared" si="27"/>
        <v>52.417526816433906</v>
      </c>
      <c r="T67" s="219">
        <f t="shared" si="27"/>
        <v>0</v>
      </c>
      <c r="U67" s="190">
        <f>IF(10000=0,0,(U62*U65*U66)/10000)</f>
        <v>50.403384355800299</v>
      </c>
      <c r="V67" s="218">
        <f>IF(10000=0,0,(V62*V65*V66)/10000)</f>
        <v>57.133409352266639</v>
      </c>
      <c r="W67" s="252"/>
    </row>
    <row r="68" spans="1:23" ht="12.75" customHeight="1">
      <c r="A68" s="259"/>
      <c r="B68" s="259"/>
      <c r="C68" s="259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84"/>
    </row>
    <row r="69" spans="1:23" ht="18" customHeight="1">
      <c r="A69" s="1352" t="s">
        <v>349</v>
      </c>
      <c r="B69" s="1352"/>
      <c r="C69" s="261" t="s">
        <v>350</v>
      </c>
      <c r="D69" s="260"/>
      <c r="E69" s="260"/>
      <c r="F69" s="260"/>
      <c r="G69" s="262" t="s">
        <v>263</v>
      </c>
      <c r="H69" s="262"/>
      <c r="I69" s="262"/>
      <c r="J69" s="262"/>
      <c r="K69" s="260"/>
      <c r="L69" s="260"/>
      <c r="M69" s="260"/>
      <c r="N69" s="262"/>
      <c r="O69" s="260"/>
      <c r="P69" s="262" t="s">
        <v>351</v>
      </c>
      <c r="Q69" s="262"/>
      <c r="R69" s="262"/>
      <c r="S69" s="262"/>
      <c r="T69" s="260"/>
      <c r="U69" s="260"/>
      <c r="V69" s="260"/>
      <c r="W69" s="284"/>
    </row>
    <row r="70" spans="1:23" ht="3.75" customHeight="1">
      <c r="D70" s="263"/>
      <c r="E70" s="263"/>
      <c r="G70" s="263"/>
      <c r="H70" s="263"/>
      <c r="I70" s="263"/>
      <c r="J70" s="263"/>
      <c r="K70" s="263"/>
      <c r="L70" s="263"/>
      <c r="M70" s="262"/>
      <c r="N70" s="263"/>
      <c r="O70" s="263"/>
      <c r="P70" s="280"/>
      <c r="Q70" s="280"/>
      <c r="R70" s="280"/>
      <c r="S70" s="280"/>
      <c r="T70" s="280"/>
      <c r="U70" s="260"/>
      <c r="V70" s="260"/>
      <c r="W70" s="284"/>
    </row>
    <row r="71" spans="1:23" ht="16.5" customHeight="1">
      <c r="B71" s="261"/>
      <c r="C71" s="261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0"/>
      <c r="V71" s="260"/>
      <c r="W71" s="284"/>
    </row>
    <row r="72" spans="1:23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A73" s="259"/>
      <c r="B73" s="259"/>
      <c r="C73" s="259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84"/>
    </row>
    <row r="74" spans="1:23">
      <c r="A74" s="259"/>
      <c r="B74" s="259"/>
      <c r="C74" s="259"/>
      <c r="D74" s="1096"/>
      <c r="E74" s="260"/>
      <c r="F74" s="260"/>
      <c r="G74" s="260"/>
      <c r="H74" s="260"/>
      <c r="I74" s="260"/>
      <c r="J74" s="260"/>
      <c r="K74" s="260"/>
      <c r="L74" s="260"/>
      <c r="M74" s="1096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B75" s="259"/>
      <c r="C75" s="1097"/>
      <c r="D75" s="1098" t="s">
        <v>51</v>
      </c>
      <c r="E75" s="1098" t="s">
        <v>50</v>
      </c>
      <c r="F75" s="260"/>
      <c r="G75" s="260"/>
      <c r="H75" s="260"/>
      <c r="I75" s="260"/>
      <c r="J75" s="260"/>
      <c r="K75" s="260"/>
      <c r="M75" s="1098" t="s">
        <v>51</v>
      </c>
      <c r="N75" s="1098" t="s">
        <v>50</v>
      </c>
      <c r="O75" s="260"/>
      <c r="P75" s="260"/>
      <c r="Q75" s="260"/>
      <c r="R75" s="260"/>
      <c r="S75" s="260"/>
      <c r="T75" s="260"/>
      <c r="U75" s="260"/>
    </row>
    <row r="76" spans="1:23">
      <c r="A76" s="259"/>
      <c r="B76" s="259"/>
      <c r="C76" s="259"/>
      <c r="D76" s="1099">
        <v>7658</v>
      </c>
      <c r="E76" s="1099">
        <v>7986</v>
      </c>
      <c r="F76" s="264">
        <f>8/E76</f>
        <v>1.0017530678687703E-3</v>
      </c>
      <c r="G76" s="260"/>
      <c r="H76" s="260"/>
      <c r="I76" s="260"/>
      <c r="J76" s="260"/>
      <c r="K76" s="260"/>
      <c r="L76" s="260"/>
      <c r="M76" s="1099">
        <v>7756</v>
      </c>
      <c r="N76" s="1099">
        <v>8784</v>
      </c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912"/>
      <c r="E77" s="265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5"/>
      <c r="E78" s="265"/>
      <c r="F78" s="260"/>
      <c r="G78" s="260"/>
      <c r="H78" s="260"/>
      <c r="I78" s="260"/>
      <c r="J78" s="260"/>
      <c r="K78" s="260"/>
      <c r="L78" s="260"/>
      <c r="M78" s="1096" t="s">
        <v>368</v>
      </c>
      <c r="N78" s="260"/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1098" t="s">
        <v>51</v>
      </c>
      <c r="N79" s="1098" t="s">
        <v>50</v>
      </c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1135">
        <f>D76+M76</f>
        <v>15414</v>
      </c>
      <c r="N80" s="1135">
        <f>E76+N76</f>
        <v>16770</v>
      </c>
      <c r="O80" s="281">
        <f>M80/N80</f>
        <v>0.91914132379248659</v>
      </c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 ht="28" thickBot="1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 ht="28" thickBot="1">
      <c r="A83" s="266" t="s">
        <v>353</v>
      </c>
      <c r="B83" s="267"/>
      <c r="C83" s="268"/>
      <c r="D83" s="269"/>
      <c r="E83" s="270" t="s">
        <v>354</v>
      </c>
      <c r="F83" s="270"/>
      <c r="G83" s="270"/>
      <c r="H83" s="270"/>
      <c r="I83" s="270"/>
      <c r="J83" s="270"/>
      <c r="K83" s="270"/>
      <c r="L83" s="282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71">
        <v>1</v>
      </c>
      <c r="B84" s="272" t="s">
        <v>223</v>
      </c>
      <c r="C84" s="273"/>
      <c r="D84" s="274"/>
      <c r="E84" s="275" t="s">
        <v>355</v>
      </c>
      <c r="F84" s="275"/>
      <c r="G84" s="275"/>
      <c r="H84" s="275"/>
      <c r="I84" s="275"/>
      <c r="J84" s="275"/>
      <c r="K84" s="275"/>
      <c r="L84" s="28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2</v>
      </c>
      <c r="B85" s="1101" t="s">
        <v>339</v>
      </c>
      <c r="C85" s="1102"/>
      <c r="D85" s="1103"/>
      <c r="E85" s="1104" t="s">
        <v>227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3</v>
      </c>
      <c r="B86" s="1101" t="s">
        <v>340</v>
      </c>
      <c r="C86" s="1102"/>
      <c r="D86" s="1103"/>
      <c r="E86" s="1104" t="s">
        <v>230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4</v>
      </c>
      <c r="B87" s="1101" t="s">
        <v>356</v>
      </c>
      <c r="C87" s="1102"/>
      <c r="D87" s="1103"/>
      <c r="E87" s="1104" t="s">
        <v>357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5</v>
      </c>
      <c r="B88" s="1101" t="s">
        <v>358</v>
      </c>
      <c r="C88" s="1102"/>
      <c r="D88" s="1103"/>
      <c r="E88" s="1104" t="s">
        <v>359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6</v>
      </c>
      <c r="B89" s="1101" t="s">
        <v>360</v>
      </c>
      <c r="C89" s="1102"/>
      <c r="D89" s="1103"/>
      <c r="E89" s="1104" t="s">
        <v>236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7</v>
      </c>
      <c r="B90" s="1101" t="s">
        <v>344</v>
      </c>
      <c r="C90" s="1102"/>
      <c r="D90" s="1103"/>
      <c r="E90" s="1104" t="s">
        <v>240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8</v>
      </c>
      <c r="B91" s="1101" t="s">
        <v>361</v>
      </c>
      <c r="C91" s="1102"/>
      <c r="D91" s="1103"/>
      <c r="E91" s="1104" t="s">
        <v>243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9</v>
      </c>
      <c r="B92" s="1101" t="s">
        <v>362</v>
      </c>
      <c r="C92" s="1102"/>
      <c r="D92" s="1103"/>
      <c r="E92" s="1104" t="s">
        <v>246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10</v>
      </c>
      <c r="B93" s="1101" t="s">
        <v>347</v>
      </c>
      <c r="C93" s="1102"/>
      <c r="D93" s="1103"/>
      <c r="E93" s="1104" t="s">
        <v>363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11</v>
      </c>
      <c r="B94" s="1105" t="s">
        <v>254</v>
      </c>
      <c r="C94" s="1102"/>
      <c r="D94" s="1103"/>
      <c r="E94" s="1104" t="s">
        <v>364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 ht="28" thickBot="1">
      <c r="A95" s="1106">
        <v>12</v>
      </c>
      <c r="B95" s="1107" t="s">
        <v>348</v>
      </c>
      <c r="C95" s="276"/>
      <c r="D95" s="277"/>
      <c r="E95" s="1108" t="s">
        <v>365</v>
      </c>
      <c r="F95" s="1108"/>
      <c r="G95" s="1108"/>
      <c r="H95" s="1108"/>
      <c r="I95" s="1108"/>
      <c r="J95" s="1108"/>
      <c r="K95" s="1108"/>
      <c r="L95" s="1109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34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34" s="134" customFormat="1">
      <c r="D111" s="278"/>
      <c r="E111" s="278"/>
      <c r="F111" s="278"/>
      <c r="G111" s="279"/>
      <c r="H111" s="279"/>
      <c r="I111" s="279"/>
      <c r="J111" s="279"/>
      <c r="K111" s="279"/>
      <c r="L111" s="278"/>
      <c r="M111" s="278"/>
      <c r="N111" s="278"/>
      <c r="O111" s="278"/>
      <c r="P111" s="279"/>
      <c r="Q111" s="279"/>
      <c r="R111" s="279"/>
      <c r="S111" s="279"/>
      <c r="T111" s="279"/>
      <c r="U111" s="279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34" s="134" customFormat="1"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 s="134" customFormat="1"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</sheetData>
  <mergeCells count="83">
    <mergeCell ref="D48:J48"/>
    <mergeCell ref="A69:B69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8" orientation="landscape" verticalDpi="36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6B1B-27FC-4DC3-8EF5-D3D31BD142B0}">
  <sheetPr codeName="Sheet24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46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46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ref="K8:K13" si="2">G8-I8</f>
        <v>0</v>
      </c>
      <c r="L8" s="1397"/>
      <c r="M8" s="145"/>
      <c r="N8" s="145"/>
      <c r="O8" s="146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2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>G10-I10</f>
        <v>0</v>
      </c>
      <c r="L10" s="1397"/>
      <c r="M10" s="145"/>
      <c r="N10" s="145"/>
      <c r="O10" s="146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46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>G12-I12</f>
        <v>0</v>
      </c>
      <c r="L12" s="1397"/>
      <c r="M12" s="145"/>
      <c r="N12" s="145"/>
      <c r="O12" s="146"/>
      <c r="P12" s="1398"/>
      <c r="Q12" s="1398"/>
      <c r="R12" s="1398"/>
      <c r="S12" s="1398"/>
      <c r="T12" s="1399">
        <f>P12-R12</f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366">
        <f t="shared" si="2"/>
        <v>0</v>
      </c>
      <c r="L13" s="1401"/>
      <c r="M13" s="145"/>
      <c r="N13" s="145"/>
      <c r="O13" s="146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71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AF3-A033-4A3D-8A25-3EA7A4E78CB7}">
  <sheetPr codeName="Sheet25">
    <tabColor rgb="FFFFFF00"/>
    <pageSetUpPr fitToPage="1"/>
  </sheetPr>
  <dimension ref="A1:IV122"/>
  <sheetViews>
    <sheetView showGridLines="0" topLeftCell="A22" zoomScale="87" zoomScaleNormal="87" zoomScaleSheetLayoutView="70" workbookViewId="0">
      <selection activeCell="B6" sqref="B6:F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244576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2958</v>
      </c>
      <c r="AB4" s="256">
        <f>L54</f>
        <v>2832</v>
      </c>
      <c r="AC4" s="256">
        <f>L55</f>
        <v>186.66666666666666</v>
      </c>
      <c r="AD4" s="256">
        <f>L56</f>
        <v>1917.6666666666667</v>
      </c>
      <c r="AE4" s="256">
        <f>L21</f>
        <v>66</v>
      </c>
      <c r="AF4" s="256">
        <f>L26</f>
        <v>727.66666666666674</v>
      </c>
      <c r="AG4" s="256">
        <f>L28</f>
        <v>60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2160</v>
      </c>
      <c r="AB5" s="256">
        <f>U54</f>
        <v>2060</v>
      </c>
      <c r="AC5" s="256">
        <f>U55</f>
        <v>94.666666666666671</v>
      </c>
      <c r="AD5" s="256">
        <f>U56</f>
        <v>1653.3333333333335</v>
      </c>
      <c r="AE5" s="256">
        <f>U21</f>
        <v>55</v>
      </c>
      <c r="AF5" s="256">
        <f>U26</f>
        <v>327.66666666666663</v>
      </c>
      <c r="AG5" s="256">
        <f>U28</f>
        <v>45</v>
      </c>
      <c r="AH5" s="256">
        <f>U43</f>
        <v>0</v>
      </c>
    </row>
    <row r="6" spans="1:256" ht="18.75" customHeight="1">
      <c r="A6" s="142" t="s">
        <v>291</v>
      </c>
      <c r="B6" s="910" t="s">
        <v>696</v>
      </c>
      <c r="C6" s="144">
        <v>3</v>
      </c>
      <c r="D6" s="145">
        <v>0.33888888888888885</v>
      </c>
      <c r="E6" s="145">
        <v>0.75</v>
      </c>
      <c r="F6" s="146">
        <f>(E6-D6)*1440</f>
        <v>592</v>
      </c>
      <c r="G6" s="1365">
        <v>1397</v>
      </c>
      <c r="H6" s="1365"/>
      <c r="I6" s="1405">
        <v>1262</v>
      </c>
      <c r="J6" s="1406"/>
      <c r="K6" s="1370">
        <f>G6-I6</f>
        <v>135</v>
      </c>
      <c r="L6" s="1407"/>
      <c r="M6" s="145">
        <v>0.75</v>
      </c>
      <c r="N6" s="145">
        <v>24</v>
      </c>
      <c r="O6" s="1266">
        <v>360</v>
      </c>
      <c r="P6" s="1408">
        <v>865</v>
      </c>
      <c r="Q6" s="1408"/>
      <c r="R6" s="1409">
        <v>805</v>
      </c>
      <c r="S6" s="1408"/>
      <c r="T6" s="1421">
        <f>P6-R6</f>
        <v>60</v>
      </c>
      <c r="U6" s="1421"/>
      <c r="V6" s="224">
        <f t="shared" ref="V6:V13" si="0">F6+O6</f>
        <v>952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0.34166666666666662</v>
      </c>
      <c r="E7" s="145">
        <v>0.75</v>
      </c>
      <c r="F7" s="146">
        <f>(E7-D7)*1440</f>
        <v>588.00000000000011</v>
      </c>
      <c r="G7" s="1403">
        <v>1058</v>
      </c>
      <c r="H7" s="1404"/>
      <c r="I7" s="1403">
        <v>1000</v>
      </c>
      <c r="J7" s="1404"/>
      <c r="K7" s="1368">
        <f>G7-I7</f>
        <v>58</v>
      </c>
      <c r="L7" s="1397"/>
      <c r="M7" s="145">
        <v>0.75</v>
      </c>
      <c r="N7" s="145">
        <v>24</v>
      </c>
      <c r="O7" s="1266">
        <v>360</v>
      </c>
      <c r="P7" s="1398">
        <v>934</v>
      </c>
      <c r="Q7" s="1398"/>
      <c r="R7" s="1398">
        <v>911</v>
      </c>
      <c r="S7" s="1398"/>
      <c r="T7" s="1399">
        <f t="shared" ref="T7:T13" si="1">P7-R7</f>
        <v>23</v>
      </c>
      <c r="U7" s="1399"/>
      <c r="V7" s="224">
        <f t="shared" si="0"/>
        <v>948.00000000000011</v>
      </c>
      <c r="W7" s="226"/>
    </row>
    <row r="8" spans="1:256" ht="18.75" customHeight="1">
      <c r="A8" s="142" t="s">
        <v>293</v>
      </c>
      <c r="B8" s="910" t="s">
        <v>695</v>
      </c>
      <c r="C8" s="144">
        <v>3</v>
      </c>
      <c r="D8" s="145">
        <v>0.33680555555555558</v>
      </c>
      <c r="E8" s="145">
        <v>0.75</v>
      </c>
      <c r="F8" s="146">
        <f>(E8-D8)*1440</f>
        <v>595</v>
      </c>
      <c r="G8" s="1403">
        <v>1061</v>
      </c>
      <c r="H8" s="1404"/>
      <c r="I8" s="1403">
        <v>908</v>
      </c>
      <c r="J8" s="1404"/>
      <c r="K8" s="1368">
        <f t="shared" ref="K8:K13" si="2">G8-I8</f>
        <v>153</v>
      </c>
      <c r="L8" s="1397"/>
      <c r="M8" s="145">
        <v>0.75</v>
      </c>
      <c r="N8" s="145">
        <v>24</v>
      </c>
      <c r="O8" s="1266">
        <v>360</v>
      </c>
      <c r="P8" s="1398">
        <v>750</v>
      </c>
      <c r="Q8" s="1398"/>
      <c r="R8" s="1398">
        <v>648</v>
      </c>
      <c r="S8" s="1398"/>
      <c r="T8" s="1399">
        <f t="shared" si="1"/>
        <v>102</v>
      </c>
      <c r="U8" s="1399"/>
      <c r="V8" s="224">
        <f t="shared" si="0"/>
        <v>955</v>
      </c>
      <c r="W8" s="226"/>
    </row>
    <row r="9" spans="1:256" ht="18.75" customHeight="1">
      <c r="A9" s="142" t="s">
        <v>294</v>
      </c>
      <c r="B9" s="910" t="s">
        <v>647</v>
      </c>
      <c r="C9" s="144">
        <v>3</v>
      </c>
      <c r="D9" s="145">
        <v>0.3347222222222222</v>
      </c>
      <c r="E9" s="145">
        <v>0.75</v>
      </c>
      <c r="F9" s="146">
        <f>(E9-D9)*1440</f>
        <v>598</v>
      </c>
      <c r="G9" s="1403">
        <v>1218</v>
      </c>
      <c r="H9" s="1404"/>
      <c r="I9" s="1403">
        <v>1100</v>
      </c>
      <c r="J9" s="1404"/>
      <c r="K9" s="1368">
        <f t="shared" si="2"/>
        <v>118</v>
      </c>
      <c r="L9" s="1397"/>
      <c r="M9" s="145">
        <v>0.75</v>
      </c>
      <c r="N9" s="145">
        <v>24</v>
      </c>
      <c r="O9" s="1266">
        <v>360</v>
      </c>
      <c r="P9" s="1398">
        <v>902</v>
      </c>
      <c r="Q9" s="1398"/>
      <c r="R9" s="1398">
        <v>879</v>
      </c>
      <c r="S9" s="1398"/>
      <c r="T9" s="1399">
        <f t="shared" si="1"/>
        <v>23</v>
      </c>
      <c r="U9" s="1399"/>
      <c r="V9" s="224">
        <f t="shared" si="0"/>
        <v>958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0.34375</v>
      </c>
      <c r="E10" s="145">
        <v>0.75</v>
      </c>
      <c r="F10" s="146">
        <f>(E10-D10)*1440</f>
        <v>585</v>
      </c>
      <c r="G10" s="1403">
        <v>1579</v>
      </c>
      <c r="H10" s="1404"/>
      <c r="I10" s="1396">
        <v>1483</v>
      </c>
      <c r="J10" s="1396"/>
      <c r="K10" s="1368">
        <f t="shared" si="2"/>
        <v>96</v>
      </c>
      <c r="L10" s="1397"/>
      <c r="M10" s="145">
        <v>0.75</v>
      </c>
      <c r="N10" s="145">
        <v>24</v>
      </c>
      <c r="O10" s="1266">
        <v>360</v>
      </c>
      <c r="P10" s="1398">
        <v>947</v>
      </c>
      <c r="Q10" s="1398"/>
      <c r="R10" s="1398">
        <v>923</v>
      </c>
      <c r="S10" s="1398"/>
      <c r="T10" s="1399">
        <f t="shared" si="1"/>
        <v>24</v>
      </c>
      <c r="U10" s="1399"/>
      <c r="V10" s="224">
        <f t="shared" si="0"/>
        <v>945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266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1059" t="s">
        <v>697</v>
      </c>
      <c r="C12" s="91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>
        <v>0.75</v>
      </c>
      <c r="N12" s="145">
        <v>24</v>
      </c>
      <c r="O12" s="1266">
        <v>360</v>
      </c>
      <c r="P12" s="1398">
        <v>846</v>
      </c>
      <c r="Q12" s="1398"/>
      <c r="R12" s="1398">
        <v>794</v>
      </c>
      <c r="S12" s="1398"/>
      <c r="T12" s="1399">
        <f t="shared" si="1"/>
        <v>52</v>
      </c>
      <c r="U12" s="1399"/>
      <c r="V12" s="224">
        <f t="shared" si="0"/>
        <v>360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366">
        <f t="shared" si="2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0.33916666666666667</v>
      </c>
      <c r="E14" s="152">
        <f>AVERAGE(E6:E13)</f>
        <v>0.75</v>
      </c>
      <c r="F14" s="153">
        <f>SUM(F6:F13)</f>
        <v>2958</v>
      </c>
      <c r="G14" s="1362">
        <f>SUM(G6:H13)</f>
        <v>6313</v>
      </c>
      <c r="H14" s="1363"/>
      <c r="I14" s="1362">
        <f>SUM(I6:I13)</f>
        <v>5753</v>
      </c>
      <c r="J14" s="1363"/>
      <c r="K14" s="1362">
        <f>SUM(K6:K13)</f>
        <v>560</v>
      </c>
      <c r="L14" s="1394"/>
      <c r="M14" s="198">
        <f>AVERAGE(M6:M13)</f>
        <v>0.75</v>
      </c>
      <c r="N14" s="199">
        <f>AVERAGE(N6:N13)</f>
        <v>24</v>
      </c>
      <c r="O14" s="200">
        <f>SUM(O6:O13)</f>
        <v>2160</v>
      </c>
      <c r="P14" s="1392">
        <f>SUM(P6:P13)</f>
        <v>5244</v>
      </c>
      <c r="Q14" s="1393"/>
      <c r="R14" s="1392">
        <f>SUM(R6:R13)</f>
        <v>4960</v>
      </c>
      <c r="S14" s="1393"/>
      <c r="T14" s="1392">
        <f>SUM(T6:T13)</f>
        <v>284</v>
      </c>
      <c r="U14" s="1393"/>
      <c r="V14" s="228">
        <f>SUM(V6:V13)</f>
        <v>5118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12</v>
      </c>
      <c r="E19" s="1070">
        <v>15</v>
      </c>
      <c r="F19" s="1070">
        <f>3*7</f>
        <v>21</v>
      </c>
      <c r="G19" s="1070">
        <v>12</v>
      </c>
      <c r="H19" s="1070">
        <v>6</v>
      </c>
      <c r="I19" s="1070"/>
      <c r="J19" s="1070"/>
      <c r="K19" s="1070"/>
      <c r="L19" s="1112">
        <f t="shared" si="3"/>
        <v>66</v>
      </c>
      <c r="M19" s="1070">
        <v>9</v>
      </c>
      <c r="N19" s="1059">
        <v>6</v>
      </c>
      <c r="O19" s="1070">
        <f>8</f>
        <v>8</v>
      </c>
      <c r="P19" s="1070">
        <v>10</v>
      </c>
      <c r="Q19" s="1070">
        <f>3+4</f>
        <v>7</v>
      </c>
      <c r="R19" s="1070"/>
      <c r="S19" s="1070">
        <f>3*5</f>
        <v>15</v>
      </c>
      <c r="T19" s="1070"/>
      <c r="U19" s="1113">
        <f t="shared" si="4"/>
        <v>55</v>
      </c>
      <c r="V19" s="1114">
        <f>L19+U19</f>
        <v>121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12</v>
      </c>
      <c r="E21" s="165">
        <f t="shared" si="5"/>
        <v>15</v>
      </c>
      <c r="F21" s="165">
        <f t="shared" si="5"/>
        <v>21</v>
      </c>
      <c r="G21" s="165">
        <f t="shared" si="5"/>
        <v>12</v>
      </c>
      <c r="H21" s="165">
        <f t="shared" si="5"/>
        <v>6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66</v>
      </c>
      <c r="M21" s="165">
        <f t="shared" ref="M21:T21" si="6">SUM(M16:M20)</f>
        <v>9</v>
      </c>
      <c r="N21" s="165">
        <f t="shared" si="6"/>
        <v>6</v>
      </c>
      <c r="O21" s="165">
        <f t="shared" si="6"/>
        <v>8</v>
      </c>
      <c r="P21" s="165">
        <f t="shared" si="6"/>
        <v>10</v>
      </c>
      <c r="Q21" s="165">
        <f t="shared" si="6"/>
        <v>7</v>
      </c>
      <c r="R21" s="165">
        <f t="shared" si="6"/>
        <v>0</v>
      </c>
      <c r="S21" s="165">
        <f t="shared" si="6"/>
        <v>15</v>
      </c>
      <c r="T21" s="165">
        <f t="shared" si="6"/>
        <v>0</v>
      </c>
      <c r="U21" s="165">
        <f t="shared" si="4"/>
        <v>55</v>
      </c>
      <c r="V21" s="1117">
        <f>L21+U21</f>
        <v>121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v>5</v>
      </c>
      <c r="E23" s="159"/>
      <c r="F23" s="159">
        <f>5+6</f>
        <v>11</v>
      </c>
      <c r="G23" s="159"/>
      <c r="H23" s="159"/>
      <c r="I23" s="159"/>
      <c r="J23" s="159"/>
      <c r="K23" s="159"/>
      <c r="L23" s="208">
        <f>SUM(D23:K23)</f>
        <v>16</v>
      </c>
      <c r="M23" s="160"/>
      <c r="N23" s="160"/>
      <c r="O23" s="160">
        <f>5+5+5+4+14</f>
        <v>33</v>
      </c>
      <c r="P23" s="160">
        <f>10+7+8+3</f>
        <v>28</v>
      </c>
      <c r="Q23" s="160"/>
      <c r="R23" s="160"/>
      <c r="S23" s="160"/>
      <c r="T23" s="160"/>
      <c r="U23" s="238">
        <f>SUM(M23:T23)</f>
        <v>61</v>
      </c>
      <c r="V23" s="1112">
        <f>L23+U23</f>
        <v>77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4+14+3+5+6+2+5+2</f>
        <v>41</v>
      </c>
      <c r="E24" s="169">
        <f>4+14+3+5+6+2+5+2</f>
        <v>41</v>
      </c>
      <c r="F24" s="169">
        <f>4+14+3+5+6+2+5+2+1</f>
        <v>42</v>
      </c>
      <c r="G24" s="169">
        <f>4+14+3+5+6+2+5+2+6</f>
        <v>47</v>
      </c>
      <c r="H24" s="169">
        <f>4+17+5+6+2+5+2</f>
        <v>41</v>
      </c>
      <c r="I24" s="169"/>
      <c r="J24" s="169"/>
      <c r="K24" s="169"/>
      <c r="L24" s="1115">
        <f>SUM(D24:K24)</f>
        <v>212</v>
      </c>
      <c r="M24" s="1118">
        <f>6+7+8+6+2+7+6</f>
        <v>42</v>
      </c>
      <c r="N24" s="1119">
        <f>3+2+7+6</f>
        <v>18</v>
      </c>
      <c r="O24" s="1119">
        <f>2+2+2+2+2+2+2+2+2+2+2+4+2+7+4+2+9</f>
        <v>50</v>
      </c>
      <c r="P24" s="1119">
        <f>2+7+4+2</f>
        <v>15</v>
      </c>
      <c r="Q24" s="1119">
        <f>2+7+6</f>
        <v>15</v>
      </c>
      <c r="R24" s="1119"/>
      <c r="S24" s="1119">
        <f>3+3+13</f>
        <v>19</v>
      </c>
      <c r="T24" s="1119"/>
      <c r="U24" s="1120">
        <f>SUM(M24:T24)</f>
        <v>159</v>
      </c>
      <c r="V24" s="1112">
        <f>L24+U24</f>
        <v>371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68.333333333333314</v>
      </c>
      <c r="E25" s="171">
        <f>$F7-E$55-E$56-E$21-E$23-E$24-E$34-E$43</f>
        <v>119.33333333333343</v>
      </c>
      <c r="F25" s="171">
        <f>$F8-F$55-F$56-F$21-F$23-F$24-F$34-F$43</f>
        <v>167.33333333333331</v>
      </c>
      <c r="G25" s="171">
        <f>$F9-G$55-G$56-G$21-G$23-G$24-G$34-G$43</f>
        <v>132.99999999999994</v>
      </c>
      <c r="H25" s="171">
        <f>$F10-H$55-H$56-H$21-H$23-H$24-H$34-H$43</f>
        <v>11.666666666666686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499.66666666666669</v>
      </c>
      <c r="M25" s="171">
        <f>$O6-M$55-M$56-M$21-M$23-M$24-M$34-M$43</f>
        <v>20.666666666666686</v>
      </c>
      <c r="N25" s="171">
        <f>$O7-N$55-N$56-N$21-N$23-N$24-N$34-N$43</f>
        <v>24.666666666666629</v>
      </c>
      <c r="O25" s="171">
        <f>$O8-O$55-O$56-O$21-O$23-O$24-O$34-O$43</f>
        <v>-12</v>
      </c>
      <c r="P25" s="171">
        <v>8</v>
      </c>
      <c r="Q25" s="171">
        <f>$O10-Q$55-Q$56-Q$21-Q$23-Q$24-Q$34-Q$43</f>
        <v>22.333333333333314</v>
      </c>
      <c r="R25" s="171">
        <f>$O11-R$55-R$56-R$21-R$23-R$24-R$34-R$43</f>
        <v>0</v>
      </c>
      <c r="S25" s="171">
        <f>$O12-S$55-S$56-S$21-S$23-S$24-S$34-S$43</f>
        <v>44</v>
      </c>
      <c r="T25" s="171">
        <f>$O13-T$55-T$56-T$21-T$23-T$24-T$34-T$43</f>
        <v>0</v>
      </c>
      <c r="U25" s="239">
        <f>SUM(M25:T25)</f>
        <v>107.66666666666663</v>
      </c>
      <c r="V25" s="1112">
        <f>L25+U25</f>
        <v>607.33333333333326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114.33333333333331</v>
      </c>
      <c r="E26" s="172">
        <f t="shared" ref="E26:K26" si="7">SUM(E23:E25)</f>
        <v>160.33333333333343</v>
      </c>
      <c r="F26" s="172">
        <f t="shared" si="7"/>
        <v>220.33333333333331</v>
      </c>
      <c r="G26" s="172">
        <f t="shared" si="7"/>
        <v>179.99999999999994</v>
      </c>
      <c r="H26" s="172">
        <f t="shared" si="7"/>
        <v>52.666666666666686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727.66666666666674</v>
      </c>
      <c r="M26" s="211">
        <f>SUM(M23:M25)</f>
        <v>62.666666666666686</v>
      </c>
      <c r="N26" s="211">
        <f t="shared" ref="N26:T26" si="8">SUM(N23:N25)</f>
        <v>42.666666666666629</v>
      </c>
      <c r="O26" s="211">
        <f t="shared" si="8"/>
        <v>71</v>
      </c>
      <c r="P26" s="211">
        <f t="shared" si="8"/>
        <v>51</v>
      </c>
      <c r="Q26" s="211">
        <f t="shared" si="8"/>
        <v>37.333333333333314</v>
      </c>
      <c r="R26" s="211">
        <f t="shared" si="8"/>
        <v>0</v>
      </c>
      <c r="S26" s="211">
        <f t="shared" si="8"/>
        <v>63</v>
      </c>
      <c r="T26" s="211">
        <f t="shared" si="8"/>
        <v>0</v>
      </c>
      <c r="U26" s="240">
        <f>SUM(M26:T26)</f>
        <v>327.66666666666663</v>
      </c>
      <c r="V26" s="210">
        <f>L26+U26</f>
        <v>1055.3333333333335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>
        <v>60</v>
      </c>
      <c r="F28" s="159"/>
      <c r="G28" s="159"/>
      <c r="H28" s="159"/>
      <c r="I28" s="159"/>
      <c r="J28" s="159"/>
      <c r="K28" s="159"/>
      <c r="L28" s="202">
        <f t="shared" ref="L28:L34" si="9">SUM(D28:K28)</f>
        <v>60</v>
      </c>
      <c r="M28" s="159"/>
      <c r="N28" s="159"/>
      <c r="O28" s="159">
        <f>15+16</f>
        <v>31</v>
      </c>
      <c r="P28" s="159">
        <v>14</v>
      </c>
      <c r="Q28" s="159"/>
      <c r="R28" s="159"/>
      <c r="S28" s="159"/>
      <c r="T28" s="159"/>
      <c r="U28" s="242">
        <f t="shared" ref="U28:U34" si="10">SUM(M28:T28)</f>
        <v>45</v>
      </c>
      <c r="V28" s="243">
        <f t="shared" ref="V28:V34" si="11">L28+U28</f>
        <v>105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60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60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31</v>
      </c>
      <c r="P34" s="176">
        <f t="shared" si="13"/>
        <v>14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45</v>
      </c>
      <c r="V34" s="213">
        <f t="shared" si="11"/>
        <v>105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698</v>
      </c>
      <c r="B45" s="1039">
        <v>14.15</v>
      </c>
      <c r="C45" s="1038">
        <v>60</v>
      </c>
      <c r="D45" s="1349" t="s">
        <v>700</v>
      </c>
      <c r="E45" s="1350"/>
      <c r="F45" s="1350"/>
      <c r="G45" s="1350"/>
      <c r="H45" s="1350"/>
      <c r="I45" s="1350"/>
      <c r="J45" s="1351"/>
      <c r="K45" s="1059" t="s">
        <v>292</v>
      </c>
      <c r="L45" s="1060"/>
      <c r="M45" s="1060"/>
      <c r="N45" s="1061" t="s">
        <v>699</v>
      </c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604</v>
      </c>
      <c r="B46" s="1039" t="s">
        <v>604</v>
      </c>
      <c r="C46" s="1038">
        <v>14</v>
      </c>
      <c r="D46" s="1349" t="s">
        <v>701</v>
      </c>
      <c r="E46" s="1350"/>
      <c r="F46" s="1350"/>
      <c r="G46" s="1350"/>
      <c r="H46" s="1350"/>
      <c r="I46" s="1350"/>
      <c r="J46" s="1351"/>
      <c r="K46" s="1059" t="s">
        <v>294</v>
      </c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 t="s">
        <v>604</v>
      </c>
      <c r="B47" s="1066" t="s">
        <v>604</v>
      </c>
      <c r="C47" s="1070">
        <v>15</v>
      </c>
      <c r="D47" s="1356" t="s">
        <v>702</v>
      </c>
      <c r="E47" s="1357"/>
      <c r="F47" s="1357"/>
      <c r="G47" s="1357"/>
      <c r="H47" s="1357"/>
      <c r="I47" s="1357"/>
      <c r="J47" s="1357"/>
      <c r="K47" s="1059" t="s">
        <v>293</v>
      </c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 t="s">
        <v>604</v>
      </c>
      <c r="B48" s="1039" t="s">
        <v>604</v>
      </c>
      <c r="C48" s="1123">
        <v>16</v>
      </c>
      <c r="D48" s="1349" t="s">
        <v>703</v>
      </c>
      <c r="E48" s="1350"/>
      <c r="F48" s="1350"/>
      <c r="G48" s="1350"/>
      <c r="H48" s="1350"/>
      <c r="I48" s="1350"/>
      <c r="J48" s="1351"/>
      <c r="K48" s="1059" t="s">
        <v>293</v>
      </c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580</v>
      </c>
      <c r="E54" s="187">
        <f>$F7-E$21-E$43-E$34</f>
        <v>513.00000000000011</v>
      </c>
      <c r="F54" s="187">
        <f>$F8-F$21-F$43-F$34</f>
        <v>574</v>
      </c>
      <c r="G54" s="187">
        <f>$F9-G$21-G$43-G$34</f>
        <v>586</v>
      </c>
      <c r="H54" s="187">
        <f>$F10-H$21-H$43-H$34</f>
        <v>579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2832</v>
      </c>
      <c r="M54" s="187">
        <f>O6-M21-M43-M34</f>
        <v>351</v>
      </c>
      <c r="N54" s="187">
        <f>O7-N21-N43-N34</f>
        <v>354</v>
      </c>
      <c r="O54" s="187">
        <f>O8-O21-O43-O34</f>
        <v>321</v>
      </c>
      <c r="P54" s="187">
        <f>O9-P21-P43-P34</f>
        <v>336</v>
      </c>
      <c r="Q54" s="187">
        <f>O10-Q21-Q43-Q34</f>
        <v>353</v>
      </c>
      <c r="R54" s="187">
        <f>O11-R21-R43-R34</f>
        <v>0</v>
      </c>
      <c r="S54" s="187">
        <f>O12-S21-S43-S34</f>
        <v>345</v>
      </c>
      <c r="T54" s="187">
        <f>O13-T21-T43-T34</f>
        <v>0</v>
      </c>
      <c r="U54" s="242">
        <f>SUM(M54:T54)</f>
        <v>2060</v>
      </c>
      <c r="V54" s="202">
        <f>L54+U54</f>
        <v>4892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45</v>
      </c>
      <c r="E55" s="1087">
        <f>$K7/$C7</f>
        <v>19.333333333333332</v>
      </c>
      <c r="F55" s="1087">
        <f>$K8/$C8</f>
        <v>51</v>
      </c>
      <c r="G55" s="1087">
        <f>$K9/$C9</f>
        <v>39.333333333333336</v>
      </c>
      <c r="H55" s="1087">
        <f>$K10/$C10</f>
        <v>32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186.66666666666666</v>
      </c>
      <c r="M55" s="1087">
        <f>T6/C6</f>
        <v>20</v>
      </c>
      <c r="N55" s="1087">
        <f>T7/C7</f>
        <v>7.666666666666667</v>
      </c>
      <c r="O55" s="1087">
        <f>$T$8/$C$8</f>
        <v>34</v>
      </c>
      <c r="P55" s="1087">
        <f>$T$9/$C$9</f>
        <v>7.666666666666667</v>
      </c>
      <c r="Q55" s="1087">
        <f>$T$10/$C$10</f>
        <v>8</v>
      </c>
      <c r="R55" s="1087">
        <f>$T$11/$C$11</f>
        <v>0</v>
      </c>
      <c r="S55" s="1087">
        <f>$T$12/$C$12</f>
        <v>17.333333333333332</v>
      </c>
      <c r="T55" s="1087">
        <f>$T$13/$C$13</f>
        <v>0</v>
      </c>
      <c r="U55" s="1129">
        <f>SUM(M55:T55)</f>
        <v>94.666666666666671</v>
      </c>
      <c r="V55" s="1112">
        <f>L55+U55</f>
        <v>281.33333333333331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420.66666666666669</v>
      </c>
      <c r="E56" s="1087">
        <f>$I7/$C7</f>
        <v>333.33333333333331</v>
      </c>
      <c r="F56" s="1087">
        <f>$I8/$C8</f>
        <v>302.66666666666669</v>
      </c>
      <c r="G56" s="1087">
        <f>$I9/$C9</f>
        <v>366.66666666666669</v>
      </c>
      <c r="H56" s="1087">
        <f>$I10/$C10</f>
        <v>494.33333333333331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1917.6666666666667</v>
      </c>
      <c r="M56" s="1130">
        <f>R6/C6</f>
        <v>268.33333333333331</v>
      </c>
      <c r="N56" s="1130">
        <f>R7/C7</f>
        <v>303.66666666666669</v>
      </c>
      <c r="O56" s="1130">
        <f>R8/C8</f>
        <v>216</v>
      </c>
      <c r="P56" s="1130">
        <f>R9/C9</f>
        <v>293</v>
      </c>
      <c r="Q56" s="1130">
        <f>R10/C10</f>
        <v>307.66666666666669</v>
      </c>
      <c r="R56" s="1130">
        <f>R11/C11</f>
        <v>0</v>
      </c>
      <c r="S56" s="1130">
        <f>R12/C12</f>
        <v>264.66666666666669</v>
      </c>
      <c r="T56" s="1130">
        <f>R13/C13</f>
        <v>0</v>
      </c>
      <c r="U56" s="1131">
        <f>SUM(M56:T56)</f>
        <v>1653.3333333333335</v>
      </c>
      <c r="V56" s="1115">
        <f>L56+U56</f>
        <v>3571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2.0270270270270272</v>
      </c>
      <c r="E57" s="188">
        <f>IF(F7=0,0,E21/F7*100)</f>
        <v>2.5510204081632648</v>
      </c>
      <c r="F57" s="188">
        <f>IF(F8=0,0,F21/F8*100)</f>
        <v>3.5294117647058822</v>
      </c>
      <c r="G57" s="188">
        <f>IF(F9=0,0,G21/F9*100)</f>
        <v>2.0066889632107023</v>
      </c>
      <c r="H57" s="188">
        <f>IF(F10=0,0,H21/F10*100)</f>
        <v>1.0256410256410255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2.2312373225152129</v>
      </c>
      <c r="M57" s="188">
        <f>IF(O6=0,0,M21/O6*100)</f>
        <v>2.5</v>
      </c>
      <c r="N57" s="188">
        <f>IF(O7=0,0,N21/O7*100)</f>
        <v>1.6666666666666667</v>
      </c>
      <c r="O57" s="188">
        <f>IF(O8=0,0,O21/O8*100)</f>
        <v>2.2222222222222223</v>
      </c>
      <c r="P57" s="188">
        <f>IF(O9=0,0,P21/O9*100)</f>
        <v>2.7777777777777777</v>
      </c>
      <c r="Q57" s="188">
        <f>IF(O10=0,0,Q21/O10*100)</f>
        <v>1.9444444444444444</v>
      </c>
      <c r="R57" s="188">
        <f>IF(O11=0,0,R21/O11*100)</f>
        <v>0</v>
      </c>
      <c r="S57" s="188">
        <f>IF(O12=0,0,S21/O12*100)</f>
        <v>4.1666666666666661</v>
      </c>
      <c r="T57" s="188">
        <f>IF(O13=0,0,T21/O13*100)</f>
        <v>0</v>
      </c>
      <c r="U57" s="251">
        <f>IF(O14=0,0,U21/O14*100)</f>
        <v>2.5462962962962963</v>
      </c>
      <c r="V57" s="217">
        <f>IF((F14+O14)=0,0,V21/(F14+O14)*100)</f>
        <v>2.3642047674872999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10.204081632653059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2.028397565922921</v>
      </c>
      <c r="M58" s="1090">
        <f>IF(O6=0,0,M34/O6*100)</f>
        <v>0</v>
      </c>
      <c r="N58" s="1090">
        <f>IF(O7=0,0,N34/O7*100)</f>
        <v>0</v>
      </c>
      <c r="O58" s="1090">
        <f>IF(O8=0,0,O34/O8*100)</f>
        <v>8.6111111111111107</v>
      </c>
      <c r="P58" s="1090">
        <f>IF(O9=0,0,P34/O9*100)</f>
        <v>3.8888888888888888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2.083333333333333</v>
      </c>
      <c r="V58" s="1132">
        <f>IF((F14+O14)=0,0,V34/(F14+O14)*100)</f>
        <v>2.0515826494724503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97.972972972972968</v>
      </c>
      <c r="E60" s="1093">
        <f>IF(F7=0,0,E54/F7*100)</f>
        <v>87.244897959183675</v>
      </c>
      <c r="F60" s="1093">
        <f>IF(F8=0,0,F54/F8*100)</f>
        <v>96.470588235294116</v>
      </c>
      <c r="G60" s="1093">
        <f>IF(F9=0,0,G54/F9*100)</f>
        <v>97.993311036789294</v>
      </c>
      <c r="H60" s="1093">
        <f>IF(F10=0,0,H54/F10*100)</f>
        <v>98.974358974358978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95.740365111561871</v>
      </c>
      <c r="M60" s="1095">
        <f>IF(O6=0,0,M54/O6*100)</f>
        <v>97.5</v>
      </c>
      <c r="N60" s="1095">
        <f>IF(O7=0,0,N54/O7*100)</f>
        <v>98.333333333333329</v>
      </c>
      <c r="O60" s="1095">
        <f>IF(O8=0,0,O54/O8*100)</f>
        <v>89.166666666666671</v>
      </c>
      <c r="P60" s="1095">
        <f>IF(O9=0,0,P54/O9*100)</f>
        <v>93.333333333333329</v>
      </c>
      <c r="Q60" s="1095">
        <f>IF(O10=0,0,Q54/O10*100)</f>
        <v>98.055555555555557</v>
      </c>
      <c r="R60" s="1095">
        <f>IF(O11=0,0,R54/O11*100)</f>
        <v>0</v>
      </c>
      <c r="S60" s="1095">
        <f>IF(O12=0,0,S54/O12*100)</f>
        <v>95.833333333333343</v>
      </c>
      <c r="T60" s="1095">
        <f>IF(O13=0,0,T54/O13*100)</f>
        <v>0</v>
      </c>
      <c r="U60" s="1093">
        <f>IF(O14=0,0,U54/O14*100)</f>
        <v>95.370370370370367</v>
      </c>
      <c r="V60" s="1134">
        <f>IF((F14+O14)=0,0,V54/(F14+O14)*100)</f>
        <v>95.584212583040255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7.7586206896551726</v>
      </c>
      <c r="E61" s="188">
        <f>IF(E54=0,0,E55/E54*100)</f>
        <v>3.7686809616634167</v>
      </c>
      <c r="F61" s="188">
        <f t="shared" ref="F61:V61" si="19">IF(F54=0,0,F55/F54*100)</f>
        <v>8.8850174216027877</v>
      </c>
      <c r="G61" s="188">
        <f t="shared" si="19"/>
        <v>6.71217292377702</v>
      </c>
      <c r="H61" s="188">
        <f t="shared" si="19"/>
        <v>5.5267702936096716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6.5913370998116756</v>
      </c>
      <c r="M61" s="188">
        <f t="shared" si="19"/>
        <v>5.6980056980056979</v>
      </c>
      <c r="N61" s="188">
        <f t="shared" si="19"/>
        <v>2.1657250470809792</v>
      </c>
      <c r="O61" s="188">
        <f t="shared" si="19"/>
        <v>10.59190031152648</v>
      </c>
      <c r="P61" s="188">
        <f t="shared" si="19"/>
        <v>2.2817460317460321</v>
      </c>
      <c r="Q61" s="188">
        <f t="shared" si="19"/>
        <v>2.2662889518413598</v>
      </c>
      <c r="R61" s="188">
        <f t="shared" si="19"/>
        <v>0</v>
      </c>
      <c r="S61" s="188">
        <f t="shared" si="19"/>
        <v>5.0241545893719808</v>
      </c>
      <c r="T61" s="188">
        <f t="shared" si="19"/>
        <v>0</v>
      </c>
      <c r="U61" s="251">
        <f t="shared" si="19"/>
        <v>4.5954692556634305</v>
      </c>
      <c r="V61" s="217">
        <f t="shared" si="19"/>
        <v>5.7508857999454888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19.712643678160916</v>
      </c>
      <c r="E62" s="1090">
        <f t="shared" si="20"/>
        <v>31.254061078622492</v>
      </c>
      <c r="F62" s="1090">
        <f t="shared" si="20"/>
        <v>38.385598141695695</v>
      </c>
      <c r="G62" s="1090">
        <f t="shared" si="20"/>
        <v>30.716723549488044</v>
      </c>
      <c r="H62" s="1090">
        <f t="shared" si="20"/>
        <v>9.0961427748992545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25.694444444444446</v>
      </c>
      <c r="M62" s="1090">
        <f t="shared" si="20"/>
        <v>17.853751187084526</v>
      </c>
      <c r="N62" s="1090">
        <f t="shared" si="20"/>
        <v>12.052730696798482</v>
      </c>
      <c r="O62" s="1090">
        <f t="shared" si="20"/>
        <v>22.118380062305295</v>
      </c>
      <c r="P62" s="1090">
        <f t="shared" si="20"/>
        <v>15.178571428571427</v>
      </c>
      <c r="Q62" s="1090">
        <f t="shared" si="20"/>
        <v>10.576015108593007</v>
      </c>
      <c r="R62" s="1090">
        <f t="shared" si="20"/>
        <v>0</v>
      </c>
      <c r="S62" s="1090">
        <f t="shared" si="20"/>
        <v>18.260869565217391</v>
      </c>
      <c r="T62" s="1090">
        <f t="shared" si="20"/>
        <v>0</v>
      </c>
      <c r="U62" s="1133">
        <f t="shared" si="20"/>
        <v>15.906148867313913</v>
      </c>
      <c r="V62" s="1132">
        <f t="shared" si="20"/>
        <v>21.572635595530119</v>
      </c>
      <c r="W62" s="252"/>
      <c r="Y62" s="258">
        <f>SUM(V61:V63)</f>
        <v>100.32025074952304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72.52873563218391</v>
      </c>
      <c r="E63" s="1095">
        <f t="shared" si="21"/>
        <v>64.97725795971408</v>
      </c>
      <c r="F63" s="1095">
        <f t="shared" si="21"/>
        <v>52.729384436701508</v>
      </c>
      <c r="G63" s="1095">
        <f t="shared" si="21"/>
        <v>62.57110352673493</v>
      </c>
      <c r="H63" s="1095">
        <f t="shared" si="21"/>
        <v>85.377086931491078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67.714218455743875</v>
      </c>
      <c r="M63" s="1095">
        <f t="shared" si="21"/>
        <v>76.448243114909772</v>
      </c>
      <c r="N63" s="1095">
        <f t="shared" si="21"/>
        <v>85.78154425612054</v>
      </c>
      <c r="O63" s="1095">
        <f t="shared" si="21"/>
        <v>67.289719626168221</v>
      </c>
      <c r="P63" s="1095">
        <f t="shared" si="21"/>
        <v>87.202380952380949</v>
      </c>
      <c r="Q63" s="1095">
        <f t="shared" si="21"/>
        <v>87.157695939565642</v>
      </c>
      <c r="R63" s="1095">
        <f t="shared" si="21"/>
        <v>0</v>
      </c>
      <c r="S63" s="1095">
        <f t="shared" si="21"/>
        <v>76.714975845410635</v>
      </c>
      <c r="T63" s="1095">
        <f t="shared" si="21"/>
        <v>0</v>
      </c>
      <c r="U63" s="1093">
        <f t="shared" si="21"/>
        <v>80.258899676375421</v>
      </c>
      <c r="V63" s="1134">
        <f t="shared" si="21"/>
        <v>72.996729354047432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91.129415491842224</v>
      </c>
      <c r="E64" s="190">
        <f>IF(E74=0,0,D74/E74*100)</f>
        <v>91.129415491842224</v>
      </c>
      <c r="F64" s="190">
        <f>IF(E74=0,0,D74/E74*100)</f>
        <v>91.129415491842224</v>
      </c>
      <c r="G64" s="190">
        <f>IF(E74=0,0,D74/E74*100)</f>
        <v>91.129415491842224</v>
      </c>
      <c r="H64" s="190">
        <f>IF(E74=0,0,D74/E74*100)</f>
        <v>91.129415491842224</v>
      </c>
      <c r="I64" s="190">
        <f>IF(E74=0,0,D74/E74*100)</f>
        <v>91.129415491842224</v>
      </c>
      <c r="J64" s="190">
        <f>IF(E74=0,0,D74/E74*100)</f>
        <v>91.129415491842224</v>
      </c>
      <c r="K64" s="190">
        <f>IF(E74=0,0,D74/E74*100)</f>
        <v>91.129415491842224</v>
      </c>
      <c r="L64" s="218">
        <f>IF(E74=0,0,D74/E74*100)</f>
        <v>91.129415491842224</v>
      </c>
      <c r="M64" s="219">
        <f>IF(N74=0,0,M74/N74*100)</f>
        <v>90.214557850411069</v>
      </c>
      <c r="N64" s="219">
        <f>IF(N74=0,0,M74/N74*100)</f>
        <v>90.214557850411069</v>
      </c>
      <c r="O64" s="219">
        <f>IF(N74=0,0,M74/N74*100)</f>
        <v>90.214557850411069</v>
      </c>
      <c r="P64" s="219">
        <f>IF(N74=0,0,M74/N74*100)</f>
        <v>90.214557850411069</v>
      </c>
      <c r="Q64" s="219">
        <f>IF(N74=0,0,M74/N74*100)</f>
        <v>90.214557850411069</v>
      </c>
      <c r="R64" s="219">
        <f>IF(N74=0,0,M74/N74*100)</f>
        <v>90.214557850411069</v>
      </c>
      <c r="S64" s="219">
        <f>IF(N74=0,0,M74/N74*100)</f>
        <v>90.214557850411069</v>
      </c>
      <c r="T64" s="219">
        <f>IF(N74=0,0,M74/N74*100)</f>
        <v>90.214557850411069</v>
      </c>
      <c r="U64" s="190">
        <f>IF(N74=0,0,M74/N74*100)</f>
        <v>90.214557850411069</v>
      </c>
      <c r="V64" s="218">
        <f>IF(N78=0,0,M78/N78*100)</f>
        <v>90.725663716814168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64.755249071342845</v>
      </c>
      <c r="E65" s="190">
        <f t="shared" si="22"/>
        <v>51.660666378595351</v>
      </c>
      <c r="F65" s="190">
        <f t="shared" si="22"/>
        <v>46.356027600332062</v>
      </c>
      <c r="G65" s="190">
        <f t="shared" si="22"/>
        <v>55.876453200126228</v>
      </c>
      <c r="H65" s="190">
        <f t="shared" si="22"/>
        <v>77.005654230428505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59.079054239865705</v>
      </c>
      <c r="M65" s="219">
        <f t="shared" si="22"/>
        <v>67.243258397760087</v>
      </c>
      <c r="N65" s="219">
        <f t="shared" si="22"/>
        <v>76.097650186781934</v>
      </c>
      <c r="O65" s="219">
        <f t="shared" si="22"/>
        <v>54.12873471024664</v>
      </c>
      <c r="P65" s="219">
        <f t="shared" si="22"/>
        <v>73.424626250473452</v>
      </c>
      <c r="Q65" s="219">
        <f t="shared" si="22"/>
        <v>77.100034162897614</v>
      </c>
      <c r="R65" s="219">
        <f t="shared" si="22"/>
        <v>0</v>
      </c>
      <c r="S65" s="219">
        <f t="shared" si="22"/>
        <v>66.324406419654068</v>
      </c>
      <c r="T65" s="219">
        <f t="shared" si="22"/>
        <v>0</v>
      </c>
      <c r="U65" s="190">
        <f>IF(10000=0,0,(U60*U63*U64)/10000)</f>
        <v>69.053118354635657</v>
      </c>
      <c r="V65" s="218">
        <f>IF(10000=0,0,(V60*V63*V64)/10000)</f>
        <v>63.302333945436395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5753</v>
      </c>
      <c r="E74" s="1099">
        <v>6313</v>
      </c>
      <c r="F74" s="264">
        <f>8/E74</f>
        <v>1.2672263583082528E-3</v>
      </c>
      <c r="G74" s="260"/>
      <c r="H74" s="260"/>
      <c r="I74" s="260"/>
      <c r="J74" s="260"/>
      <c r="K74" s="260"/>
      <c r="L74" s="260"/>
      <c r="M74" s="1099">
        <v>4499</v>
      </c>
      <c r="N74" s="1099">
        <v>4987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10252</v>
      </c>
      <c r="N78" s="1135">
        <f>E74+N74</f>
        <v>11300</v>
      </c>
      <c r="O78" s="281">
        <f>M78/N78</f>
        <v>0.90725663716814164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52" orientation="landscape" verticalDpi="36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D907-DBB5-44C3-A237-B3AAAAA17FFC}">
  <sheetPr codeName="Sheet26">
    <tabColor rgb="FFFFFF00"/>
    <pageSetUpPr fitToPage="1"/>
  </sheetPr>
  <dimension ref="A1:IV126"/>
  <sheetViews>
    <sheetView showGridLines="0" topLeftCell="A19" zoomScale="87" zoomScaleNormal="87" zoomScaleSheetLayoutView="70" workbookViewId="0">
      <selection activeCell="E21" sqref="E2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8.83203125" style="136" customWidth="1"/>
    <col min="11" max="11" width="8.08203125" style="136" customWidth="1"/>
    <col min="12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244575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3885</v>
      </c>
      <c r="AB4" s="256">
        <f>L58</f>
        <v>3777</v>
      </c>
      <c r="AC4" s="256">
        <f>L59</f>
        <v>329.33333333333331</v>
      </c>
      <c r="AD4" s="256">
        <f>L60</f>
        <v>2550</v>
      </c>
      <c r="AE4" s="256">
        <f>L21</f>
        <v>108</v>
      </c>
      <c r="AF4" s="256">
        <f>L26</f>
        <v>897.66666666666652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3885</v>
      </c>
      <c r="AB5" s="256">
        <f>U58</f>
        <v>3467.0000000000005</v>
      </c>
      <c r="AC5" s="256">
        <f>U59</f>
        <v>188.66666666666669</v>
      </c>
      <c r="AD5" s="256">
        <f>U60</f>
        <v>2459.6666666666665</v>
      </c>
      <c r="AE5" s="256">
        <f>U21</f>
        <v>73</v>
      </c>
      <c r="AF5" s="256">
        <f>U26</f>
        <v>818.66666666666731</v>
      </c>
      <c r="AG5" s="256">
        <f>U28</f>
        <v>345</v>
      </c>
      <c r="AH5" s="256">
        <f>U43</f>
        <v>0</v>
      </c>
    </row>
    <row r="6" spans="1:256" ht="18.75" customHeight="1">
      <c r="A6" s="142" t="s">
        <v>291</v>
      </c>
      <c r="B6" s="910" t="s">
        <v>680</v>
      </c>
      <c r="C6" s="144">
        <v>3</v>
      </c>
      <c r="D6" s="145">
        <v>0.40972222222222227</v>
      </c>
      <c r="E6" s="145">
        <v>0.79166666666666663</v>
      </c>
      <c r="F6" s="146">
        <f>(E6-D6)*1440</f>
        <v>549.99999999999989</v>
      </c>
      <c r="G6" s="1365">
        <v>1050</v>
      </c>
      <c r="H6" s="1365"/>
      <c r="I6" s="1405">
        <v>994</v>
      </c>
      <c r="J6" s="1406"/>
      <c r="K6" s="1370">
        <f>G6-I6</f>
        <v>56</v>
      </c>
      <c r="L6" s="1407"/>
      <c r="M6" s="145">
        <v>0.79166666666666663</v>
      </c>
      <c r="N6" s="145">
        <v>0.1875</v>
      </c>
      <c r="O6" s="146">
        <f t="shared" ref="O6:O12" si="0">(N6-M6+(N6&lt;M6))*1440</f>
        <v>570</v>
      </c>
      <c r="P6" s="1408">
        <v>1020</v>
      </c>
      <c r="Q6" s="1408"/>
      <c r="R6" s="1409">
        <v>912</v>
      </c>
      <c r="S6" s="1408"/>
      <c r="T6" s="1421">
        <f>P6-R6</f>
        <v>108</v>
      </c>
      <c r="U6" s="1421"/>
      <c r="V6" s="224">
        <f t="shared" ref="V6:V13" si="1">F6+O6</f>
        <v>1120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0.39583333333333331</v>
      </c>
      <c r="E7" s="145">
        <v>0.79166666666666663</v>
      </c>
      <c r="F7" s="146">
        <f>(E7-D7)*1440</f>
        <v>570</v>
      </c>
      <c r="G7" s="1365">
        <v>1237</v>
      </c>
      <c r="H7" s="1365"/>
      <c r="I7" s="1403">
        <v>1034</v>
      </c>
      <c r="J7" s="1404"/>
      <c r="K7" s="1368">
        <f>G7-I7</f>
        <v>203</v>
      </c>
      <c r="L7" s="1397"/>
      <c r="M7" s="145">
        <v>0.79166666666666663</v>
      </c>
      <c r="N7" s="145">
        <v>0.17361111111111113</v>
      </c>
      <c r="O7" s="146">
        <f t="shared" si="0"/>
        <v>550.00000000000011</v>
      </c>
      <c r="P7" s="1398">
        <v>1001</v>
      </c>
      <c r="Q7" s="1398"/>
      <c r="R7" s="1398">
        <v>933</v>
      </c>
      <c r="S7" s="1398"/>
      <c r="T7" s="1399">
        <f t="shared" ref="T7:T13" si="2">P7-R7</f>
        <v>68</v>
      </c>
      <c r="U7" s="1399"/>
      <c r="V7" s="224">
        <f t="shared" si="1"/>
        <v>1120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0.40625</v>
      </c>
      <c r="E8" s="145">
        <v>0.79166666666666663</v>
      </c>
      <c r="F8" s="146">
        <f>(E8-D8)*1440</f>
        <v>555</v>
      </c>
      <c r="G8" s="1365">
        <v>982</v>
      </c>
      <c r="H8" s="1365"/>
      <c r="I8" s="1403">
        <v>821</v>
      </c>
      <c r="J8" s="1404"/>
      <c r="K8" s="1368">
        <f t="shared" ref="K8:K13" si="3">G8-I8</f>
        <v>161</v>
      </c>
      <c r="L8" s="1397"/>
      <c r="M8" s="145">
        <v>0.79166666666666663</v>
      </c>
      <c r="N8" s="145">
        <v>0.18055555555555555</v>
      </c>
      <c r="O8" s="146">
        <f t="shared" si="0"/>
        <v>560.00000000000011</v>
      </c>
      <c r="P8" s="1398">
        <v>1152</v>
      </c>
      <c r="Q8" s="1398"/>
      <c r="R8" s="1398">
        <v>1073</v>
      </c>
      <c r="S8" s="1398"/>
      <c r="T8" s="1399">
        <f t="shared" si="2"/>
        <v>79</v>
      </c>
      <c r="U8" s="1399"/>
      <c r="V8" s="224">
        <f t="shared" si="1"/>
        <v>1115</v>
      </c>
      <c r="W8" s="226"/>
    </row>
    <row r="9" spans="1:256" ht="18.75" customHeight="1">
      <c r="A9" s="142" t="s">
        <v>294</v>
      </c>
      <c r="B9" s="910" t="s">
        <v>634</v>
      </c>
      <c r="C9" s="144">
        <v>3</v>
      </c>
      <c r="D9" s="145">
        <v>0.40972222222222227</v>
      </c>
      <c r="E9" s="145">
        <v>0.79166666666666663</v>
      </c>
      <c r="F9" s="146">
        <f>(E9-D9)*1440</f>
        <v>549.99999999999989</v>
      </c>
      <c r="G9" s="1365">
        <v>1200</v>
      </c>
      <c r="H9" s="1365"/>
      <c r="I9" s="1403">
        <v>1003</v>
      </c>
      <c r="J9" s="1404"/>
      <c r="K9" s="1368">
        <f t="shared" si="3"/>
        <v>197</v>
      </c>
      <c r="L9" s="1397"/>
      <c r="M9" s="145">
        <v>0.79166666666666663</v>
      </c>
      <c r="N9" s="145">
        <v>0.17013888888888887</v>
      </c>
      <c r="O9" s="146">
        <f t="shared" si="0"/>
        <v>545</v>
      </c>
      <c r="P9" s="1398">
        <v>1266</v>
      </c>
      <c r="Q9" s="1398"/>
      <c r="R9" s="1398">
        <v>1180</v>
      </c>
      <c r="S9" s="1398"/>
      <c r="T9" s="1399">
        <f t="shared" si="2"/>
        <v>86</v>
      </c>
      <c r="U9" s="1399"/>
      <c r="V9" s="224">
        <f t="shared" si="1"/>
        <v>1095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0.3923611111111111</v>
      </c>
      <c r="E10" s="145">
        <v>0.79166666666666663</v>
      </c>
      <c r="F10" s="146">
        <f>(E10-D10)*1440</f>
        <v>575</v>
      </c>
      <c r="G10" s="1365">
        <v>1325</v>
      </c>
      <c r="H10" s="1365"/>
      <c r="I10" s="1396">
        <v>1108</v>
      </c>
      <c r="J10" s="1396"/>
      <c r="K10" s="1368">
        <f t="shared" si="3"/>
        <v>217</v>
      </c>
      <c r="L10" s="1397"/>
      <c r="M10" s="145">
        <v>0.79166666666666663</v>
      </c>
      <c r="N10" s="145">
        <v>0.18055555555555555</v>
      </c>
      <c r="O10" s="146">
        <f t="shared" si="0"/>
        <v>560.00000000000011</v>
      </c>
      <c r="P10" s="1398">
        <v>1099</v>
      </c>
      <c r="Q10" s="1398"/>
      <c r="R10" s="1398">
        <v>1024</v>
      </c>
      <c r="S10" s="1398"/>
      <c r="T10" s="1399">
        <f t="shared" si="2"/>
        <v>75</v>
      </c>
      <c r="U10" s="1399"/>
      <c r="V10" s="224">
        <f t="shared" si="1"/>
        <v>1135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0.43402777777777773</v>
      </c>
      <c r="E11" s="145">
        <v>0.79166666666666663</v>
      </c>
      <c r="F11" s="146">
        <f t="shared" ref="F11:F12" si="4">(E11-D11)*1440</f>
        <v>515</v>
      </c>
      <c r="G11" s="1365">
        <v>1422</v>
      </c>
      <c r="H11" s="1365"/>
      <c r="I11" s="1396">
        <v>1346</v>
      </c>
      <c r="J11" s="1396"/>
      <c r="K11" s="1368">
        <f t="shared" si="3"/>
        <v>76</v>
      </c>
      <c r="L11" s="1397"/>
      <c r="M11" s="145">
        <v>0.79166666666666663</v>
      </c>
      <c r="N11" s="145">
        <v>0.18055555555555555</v>
      </c>
      <c r="O11" s="146">
        <f t="shared" si="0"/>
        <v>560.00000000000011</v>
      </c>
      <c r="P11" s="1398">
        <v>1055</v>
      </c>
      <c r="Q11" s="1398"/>
      <c r="R11" s="1398">
        <v>943</v>
      </c>
      <c r="S11" s="1398"/>
      <c r="T11" s="1399">
        <f t="shared" si="2"/>
        <v>112</v>
      </c>
      <c r="U11" s="1399"/>
      <c r="V11" s="224">
        <f t="shared" si="1"/>
        <v>1075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0.39583333333333331</v>
      </c>
      <c r="E12" s="145">
        <v>0.79166666666666663</v>
      </c>
      <c r="F12" s="146">
        <f t="shared" si="4"/>
        <v>570</v>
      </c>
      <c r="G12" s="1365">
        <v>1422</v>
      </c>
      <c r="H12" s="1365"/>
      <c r="I12" s="1396">
        <v>1344</v>
      </c>
      <c r="J12" s="1396"/>
      <c r="K12" s="1368">
        <f t="shared" si="3"/>
        <v>78</v>
      </c>
      <c r="L12" s="1397"/>
      <c r="M12" s="145">
        <v>0.79166666666666663</v>
      </c>
      <c r="N12" s="145">
        <v>0.16666666666666666</v>
      </c>
      <c r="O12" s="146">
        <f t="shared" si="0"/>
        <v>540</v>
      </c>
      <c r="P12" s="1398">
        <v>1352</v>
      </c>
      <c r="Q12" s="1398"/>
      <c r="R12" s="1398">
        <v>1314</v>
      </c>
      <c r="S12" s="1398"/>
      <c r="T12" s="1399">
        <f t="shared" si="2"/>
        <v>38</v>
      </c>
      <c r="U12" s="1399"/>
      <c r="V12" s="224">
        <f t="shared" si="1"/>
        <v>1110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6"/>
      <c r="G13" s="1400"/>
      <c r="H13" s="1400"/>
      <c r="I13" s="1400"/>
      <c r="J13" s="1400"/>
      <c r="K13" s="1366">
        <f t="shared" si="3"/>
        <v>0</v>
      </c>
      <c r="L13" s="1401"/>
      <c r="M13" s="145"/>
      <c r="N13" s="145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0.40625</v>
      </c>
      <c r="E14" s="152">
        <f>AVERAGE(E6:E13)</f>
        <v>0.79166666666666674</v>
      </c>
      <c r="F14" s="153">
        <f>SUM(F6:F13)</f>
        <v>3885</v>
      </c>
      <c r="G14" s="1362">
        <f>SUM(G6:H13)</f>
        <v>8638</v>
      </c>
      <c r="H14" s="1363"/>
      <c r="I14" s="1362">
        <f>SUM(I6:I13)</f>
        <v>7650</v>
      </c>
      <c r="J14" s="1363"/>
      <c r="K14" s="1362">
        <f>SUM(K6:K13)</f>
        <v>988</v>
      </c>
      <c r="L14" s="1394"/>
      <c r="M14" s="198">
        <f>AVERAGE(M6:M13)</f>
        <v>0.79166666666666674</v>
      </c>
      <c r="N14" s="199">
        <f>AVERAGE(N6:N13)</f>
        <v>0.17708333333333334</v>
      </c>
      <c r="O14" s="200">
        <f>SUM(O6:O13)</f>
        <v>3885</v>
      </c>
      <c r="P14" s="1392">
        <f>SUM(P6:P13)</f>
        <v>7945</v>
      </c>
      <c r="Q14" s="1393"/>
      <c r="R14" s="1392">
        <f>SUM(R6:R13)</f>
        <v>7379</v>
      </c>
      <c r="S14" s="1393"/>
      <c r="T14" s="1392">
        <f>SUM(T6:T13)</f>
        <v>566</v>
      </c>
      <c r="U14" s="1393"/>
      <c r="V14" s="228">
        <f>SUM(V6:V13)</f>
        <v>7770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5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6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5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6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5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6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15</f>
        <v>15</v>
      </c>
      <c r="E19" s="1070">
        <f>5+6+5</f>
        <v>16</v>
      </c>
      <c r="F19" s="1070">
        <f>3+3+8+5+4</f>
        <v>23</v>
      </c>
      <c r="G19" s="1070">
        <v>12</v>
      </c>
      <c r="H19" s="1070">
        <v>12</v>
      </c>
      <c r="I19" s="1070">
        <f>3*5</f>
        <v>15</v>
      </c>
      <c r="J19" s="1070">
        <v>15</v>
      </c>
      <c r="K19" s="1070"/>
      <c r="L19" s="1112">
        <f t="shared" si="5"/>
        <v>108</v>
      </c>
      <c r="M19" s="1070">
        <f>3*5</f>
        <v>15</v>
      </c>
      <c r="N19" s="1070">
        <f>2*6</f>
        <v>12</v>
      </c>
      <c r="O19" s="1070">
        <f>2*6</f>
        <v>12</v>
      </c>
      <c r="P19" s="1070">
        <v>10</v>
      </c>
      <c r="Q19" s="1070">
        <v>8</v>
      </c>
      <c r="R19" s="1070">
        <v>12</v>
      </c>
      <c r="S19" s="1070">
        <v>4</v>
      </c>
      <c r="T19" s="1070"/>
      <c r="U19" s="1113">
        <f t="shared" si="6"/>
        <v>73</v>
      </c>
      <c r="V19" s="1114">
        <f>L19+U19</f>
        <v>181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5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6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7">SUM(D16:D20)</f>
        <v>15</v>
      </c>
      <c r="E21" s="165">
        <f t="shared" si="7"/>
        <v>16</v>
      </c>
      <c r="F21" s="165">
        <f t="shared" si="7"/>
        <v>23</v>
      </c>
      <c r="G21" s="165">
        <f t="shared" si="7"/>
        <v>12</v>
      </c>
      <c r="H21" s="165">
        <f t="shared" si="7"/>
        <v>12</v>
      </c>
      <c r="I21" s="165">
        <f t="shared" si="7"/>
        <v>15</v>
      </c>
      <c r="J21" s="165">
        <f t="shared" si="7"/>
        <v>15</v>
      </c>
      <c r="K21" s="165">
        <f t="shared" si="7"/>
        <v>0</v>
      </c>
      <c r="L21" s="206">
        <f t="shared" si="5"/>
        <v>108</v>
      </c>
      <c r="M21" s="165">
        <f t="shared" ref="M21:T21" si="8">SUM(M16:M20)</f>
        <v>15</v>
      </c>
      <c r="N21" s="165">
        <f t="shared" si="8"/>
        <v>12</v>
      </c>
      <c r="O21" s="165">
        <f t="shared" si="8"/>
        <v>12</v>
      </c>
      <c r="P21" s="165">
        <f t="shared" si="8"/>
        <v>10</v>
      </c>
      <c r="Q21" s="165">
        <f t="shared" si="8"/>
        <v>8</v>
      </c>
      <c r="R21" s="165">
        <f t="shared" si="8"/>
        <v>12</v>
      </c>
      <c r="S21" s="165">
        <f t="shared" si="8"/>
        <v>4</v>
      </c>
      <c r="T21" s="165">
        <f t="shared" si="8"/>
        <v>0</v>
      </c>
      <c r="U21" s="165">
        <f t="shared" si="6"/>
        <v>73</v>
      </c>
      <c r="V21" s="1117">
        <f>L21+U21</f>
        <v>181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v>5</v>
      </c>
      <c r="E23" s="159"/>
      <c r="F23" s="159">
        <f>7+5</f>
        <v>12</v>
      </c>
      <c r="G23" s="159">
        <v>5</v>
      </c>
      <c r="H23" s="159"/>
      <c r="I23" s="159"/>
      <c r="J23" s="159"/>
      <c r="K23" s="159"/>
      <c r="L23" s="208">
        <f>SUM(D23:K23)</f>
        <v>22</v>
      </c>
      <c r="M23" s="160">
        <f>5+6+12+7+8</f>
        <v>38</v>
      </c>
      <c r="N23" s="160"/>
      <c r="O23" s="160">
        <v>2</v>
      </c>
      <c r="P23" s="160"/>
      <c r="Q23" s="160">
        <f>7+8+5+10+18+21</f>
        <v>69</v>
      </c>
      <c r="R23" s="160"/>
      <c r="S23" s="160"/>
      <c r="T23" s="160"/>
      <c r="U23" s="238">
        <f>SUM(M23:T23)</f>
        <v>109</v>
      </c>
      <c r="V23" s="1112">
        <f>L23+U23</f>
        <v>131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6+4+5+2+4+8+7+3+5+2+6+5+7+5+6+7+3</f>
        <v>85</v>
      </c>
      <c r="E24" s="169">
        <f>4+5+2+4+8+7+3+5+2+6+5+7+5+6+7+3+5</f>
        <v>84</v>
      </c>
      <c r="F24" s="169">
        <f>5+4+5+2+4+8+7+3+5+2+6+5+7+5+6+7+3+5</f>
        <v>89</v>
      </c>
      <c r="G24" s="169">
        <f>4+5+2+4+4+7+3+5+2+6+5+7+5+6+7+3+9</f>
        <v>84</v>
      </c>
      <c r="H24" s="169">
        <f>4+5+2+4+8+7+3+5+2+6+5+7+5+6+7+3+5</f>
        <v>84</v>
      </c>
      <c r="I24" s="169">
        <f>2+4+9+5+9+10+7+5</f>
        <v>51</v>
      </c>
      <c r="J24" s="169">
        <f>10+5+5+8+6+7+5+7+2+10+10+13+45</f>
        <v>133</v>
      </c>
      <c r="K24" s="169"/>
      <c r="L24" s="1115">
        <f>SUM(D24:K24)</f>
        <v>610</v>
      </c>
      <c r="M24" s="1255">
        <f>6+7+6+6+7+9+7+14+3+5+8+4+7+7+5+8+20</f>
        <v>129</v>
      </c>
      <c r="N24" s="1122">
        <f>4+3+6+4+6+2+7+14+8+8+4+7+7+5+8</f>
        <v>93</v>
      </c>
      <c r="O24" s="1122">
        <f>2+2+2+4+2+2+2+2+3+3+2+3+3+3+2+3+2+4+3+1+14+8+8+4+7+7+5+8+7+3+7+11</f>
        <v>139</v>
      </c>
      <c r="P24" s="1122">
        <f>14+8+8+4+7+7+5+8+3</f>
        <v>64</v>
      </c>
      <c r="Q24" s="1122">
        <f>5+14+8+8+4+7+7+5+8</f>
        <v>66</v>
      </c>
      <c r="R24" s="1122">
        <f>12+10+7+10+20+45+35</f>
        <v>139</v>
      </c>
      <c r="S24" s="1265">
        <f>6+14+5+6+5+7+10+13+20+25</f>
        <v>111</v>
      </c>
      <c r="T24" s="1119"/>
      <c r="U24" s="1120">
        <f>SUM(M24:T24)</f>
        <v>741</v>
      </c>
      <c r="V24" s="1112">
        <f>L24+U24</f>
        <v>1351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$F6-D$59-D$60-D$21-D$23-D$24-D$34-D$43</f>
        <v>94.999999999999943</v>
      </c>
      <c r="E25" s="171">
        <f>$F7-E$59-E$60-E$21-E$23-E$24-E$34-E$43</f>
        <v>57.666666666666629</v>
      </c>
      <c r="F25" s="171">
        <f>$F8-F$59-F$60-F$21-F$23-F$24-F$34-F$43</f>
        <v>103.66666666666663</v>
      </c>
      <c r="G25" s="171">
        <f>$F9-G$59-G$60-G$21-G$23-G$24-G$34-G$43</f>
        <v>48.999999999999886</v>
      </c>
      <c r="H25" s="171">
        <f>$F10-H$59-H$60-H$21-H$23-H$24-H$34-H$43</f>
        <v>37.333333333333371</v>
      </c>
      <c r="I25" s="171">
        <f>$F11-I$59-I$60-I$21-I$23-I$24-I$34-I$43</f>
        <v>-25</v>
      </c>
      <c r="J25" s="171">
        <f>$F12-J$59-J$60-J$21-J$23-J$24-J$34-J$43</f>
        <v>-52</v>
      </c>
      <c r="K25" s="171">
        <f>$F13-K$59-K$60-K$21-K$23-K$24-K$34-K$43</f>
        <v>0</v>
      </c>
      <c r="L25" s="209">
        <f>SUM(D25:K25)</f>
        <v>265.66666666666646</v>
      </c>
      <c r="M25" s="171">
        <f>$O6-M$59-M$60-M$21-M$23-M$24-M$34-M$43</f>
        <v>-12</v>
      </c>
      <c r="N25" s="171">
        <f>$O7-N$59-N$60-N$21-N$23-N$24-N$34-N$43</f>
        <v>41.333333333333485</v>
      </c>
      <c r="O25" s="171">
        <f>$O8-O$59-O$60-O$21-O$23-O$24-O$34-O$43</f>
        <v>-11.999999999999943</v>
      </c>
      <c r="P25" s="171">
        <f>$O9-P$59-P$60-P$21-P$23-P$24-P$34-P$43</f>
        <v>14.000000000000057</v>
      </c>
      <c r="Q25" s="171">
        <f>$O10-Q$59-Q$60-Q$21-Q$23-Q$24-Q$34-Q$43</f>
        <v>15.666666666666799</v>
      </c>
      <c r="R25" s="171">
        <f>$O11-R$59-R$60-R$21-R$23-R$24-R$34-R$43</f>
        <v>-17.666666666666572</v>
      </c>
      <c r="S25" s="171">
        <f>$O12-S$59-S$60-S$21-S$23-S$24-S$34-S$43</f>
        <v>-60.666666666666629</v>
      </c>
      <c r="T25" s="171">
        <f>$O13-T$59-T$60-T$21-T$23-T$24-T$34-T$43</f>
        <v>0</v>
      </c>
      <c r="U25" s="239">
        <f>SUM(M25:T25)</f>
        <v>-31.333333333332803</v>
      </c>
      <c r="V25" s="1112">
        <f>L25+U25</f>
        <v>234.33333333333366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184.99999999999994</v>
      </c>
      <c r="E26" s="172">
        <f t="shared" ref="E26:K26" si="9">SUM(E23:E25)</f>
        <v>141.66666666666663</v>
      </c>
      <c r="F26" s="172">
        <f t="shared" si="9"/>
        <v>204.66666666666663</v>
      </c>
      <c r="G26" s="172">
        <f t="shared" si="9"/>
        <v>137.99999999999989</v>
      </c>
      <c r="H26" s="172">
        <f t="shared" si="9"/>
        <v>121.33333333333337</v>
      </c>
      <c r="I26" s="172">
        <f t="shared" si="9"/>
        <v>26</v>
      </c>
      <c r="J26" s="172">
        <f t="shared" si="9"/>
        <v>81</v>
      </c>
      <c r="K26" s="172">
        <f t="shared" si="9"/>
        <v>0</v>
      </c>
      <c r="L26" s="210">
        <f>SUM(D26:K26)</f>
        <v>897.66666666666652</v>
      </c>
      <c r="M26" s="211">
        <f>SUM(M23:M25)</f>
        <v>155</v>
      </c>
      <c r="N26" s="211">
        <f t="shared" ref="N26:T26" si="10">SUM(N23:N25)</f>
        <v>134.33333333333348</v>
      </c>
      <c r="O26" s="211">
        <f t="shared" si="10"/>
        <v>129.00000000000006</v>
      </c>
      <c r="P26" s="211">
        <f t="shared" si="10"/>
        <v>78.000000000000057</v>
      </c>
      <c r="Q26" s="211">
        <f t="shared" si="10"/>
        <v>150.6666666666668</v>
      </c>
      <c r="R26" s="211">
        <f t="shared" si="10"/>
        <v>121.33333333333343</v>
      </c>
      <c r="S26" s="211">
        <f t="shared" si="10"/>
        <v>50.333333333333371</v>
      </c>
      <c r="T26" s="211">
        <f t="shared" si="10"/>
        <v>0</v>
      </c>
      <c r="U26" s="240">
        <f>SUM(M26:T26)</f>
        <v>818.66666666666731</v>
      </c>
      <c r="V26" s="210">
        <f>L26+U26</f>
        <v>1716.3333333333339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1">SUM(D28:K28)</f>
        <v>0</v>
      </c>
      <c r="M28" s="159">
        <f>35+25</f>
        <v>60</v>
      </c>
      <c r="N28" s="159">
        <f>35+35</f>
        <v>70</v>
      </c>
      <c r="O28" s="159">
        <v>35</v>
      </c>
      <c r="P28" s="159">
        <v>35</v>
      </c>
      <c r="Q28" s="159">
        <v>35</v>
      </c>
      <c r="R28" s="159">
        <f>40+35</f>
        <v>75</v>
      </c>
      <c r="S28" s="159">
        <v>35</v>
      </c>
      <c r="T28" s="159"/>
      <c r="U28" s="242">
        <f t="shared" ref="U28:U34" si="12">SUM(M28:T28)</f>
        <v>345</v>
      </c>
      <c r="V28" s="243">
        <f t="shared" ref="V28:V34" si="13">L28+U28</f>
        <v>345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1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2"/>
        <v>0</v>
      </c>
      <c r="V29" s="244">
        <f t="shared" si="13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1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2"/>
        <v>0</v>
      </c>
      <c r="V30" s="1112">
        <f t="shared" si="13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1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2"/>
        <v>0</v>
      </c>
      <c r="V31" s="1112">
        <f t="shared" si="13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1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>SUM(M32:T32)</f>
        <v>0</v>
      </c>
      <c r="V32" s="1112">
        <f t="shared" si="13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1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2"/>
        <v>0</v>
      </c>
      <c r="V33" s="1112">
        <f t="shared" si="13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4">SUM(D28:D33)</f>
        <v>0</v>
      </c>
      <c r="E34" s="175">
        <f t="shared" si="14"/>
        <v>0</v>
      </c>
      <c r="F34" s="176">
        <f t="shared" si="14"/>
        <v>0</v>
      </c>
      <c r="G34" s="176">
        <f t="shared" si="14"/>
        <v>0</v>
      </c>
      <c r="H34" s="176">
        <f t="shared" si="14"/>
        <v>0</v>
      </c>
      <c r="I34" s="176">
        <f t="shared" si="14"/>
        <v>0</v>
      </c>
      <c r="J34" s="176">
        <f t="shared" si="14"/>
        <v>0</v>
      </c>
      <c r="K34" s="176">
        <f t="shared" si="14"/>
        <v>0</v>
      </c>
      <c r="L34" s="213">
        <f t="shared" si="11"/>
        <v>0</v>
      </c>
      <c r="M34" s="175">
        <f t="shared" ref="M34:T34" si="15">SUM(M28:M33)</f>
        <v>60</v>
      </c>
      <c r="N34" s="176">
        <f t="shared" si="15"/>
        <v>70</v>
      </c>
      <c r="O34" s="176">
        <f t="shared" si="15"/>
        <v>35</v>
      </c>
      <c r="P34" s="176">
        <f t="shared" si="15"/>
        <v>35</v>
      </c>
      <c r="Q34" s="176">
        <f t="shared" si="15"/>
        <v>35</v>
      </c>
      <c r="R34" s="176">
        <f t="shared" si="15"/>
        <v>75</v>
      </c>
      <c r="S34" s="176">
        <f t="shared" si="15"/>
        <v>35</v>
      </c>
      <c r="T34" s="176">
        <f t="shared" si="15"/>
        <v>0</v>
      </c>
      <c r="U34" s="246">
        <f t="shared" si="12"/>
        <v>345</v>
      </c>
      <c r="V34" s="213">
        <f t="shared" si="13"/>
        <v>345</v>
      </c>
      <c r="W34" s="247"/>
    </row>
    <row r="35" spans="1:23" ht="18.75" customHeight="1" thickBot="1">
      <c r="A35" s="154"/>
      <c r="B35" s="155"/>
      <c r="C35" s="155"/>
      <c r="D35" s="166"/>
      <c r="E35" s="166"/>
      <c r="F35" s="166"/>
      <c r="G35" s="166"/>
      <c r="H35" s="166"/>
      <c r="I35" s="166"/>
      <c r="J35" s="166"/>
      <c r="K35" s="166"/>
      <c r="L35" s="207"/>
      <c r="M35" s="166"/>
      <c r="N35" s="166"/>
      <c r="O35" s="166"/>
      <c r="P35" s="166"/>
      <c r="Q35" s="166"/>
      <c r="R35" s="166"/>
      <c r="S35" s="166"/>
      <c r="T35" s="166"/>
      <c r="U35" s="166"/>
      <c r="V35" s="207"/>
      <c r="W35" s="231"/>
    </row>
    <row r="36" spans="1:23" ht="18.75" customHeight="1">
      <c r="A36" s="157"/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/>
      <c r="M36" s="159"/>
      <c r="N36" s="159"/>
      <c r="O36" s="159"/>
      <c r="P36" s="159"/>
      <c r="Q36" s="159"/>
      <c r="R36" s="159"/>
      <c r="S36" s="159"/>
      <c r="T36" s="159"/>
      <c r="U36" s="242"/>
      <c r="V36" s="243"/>
      <c r="W36" s="234"/>
    </row>
    <row r="37" spans="1:23" ht="18.75" customHeight="1">
      <c r="A37" s="1048"/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/>
      <c r="M37" s="1070"/>
      <c r="N37" s="1070"/>
      <c r="O37" s="1070"/>
      <c r="P37" s="1070"/>
      <c r="Q37" s="1070"/>
      <c r="R37" s="1070"/>
      <c r="S37" s="1070"/>
      <c r="T37" s="1070"/>
      <c r="U37" s="1121"/>
      <c r="V37" s="1114"/>
      <c r="W37" s="234"/>
    </row>
    <row r="38" spans="1:23" ht="18.75" customHeight="1">
      <c r="A38" s="1048"/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/>
      <c r="M38" s="1070"/>
      <c r="N38" s="1070"/>
      <c r="O38" s="1070"/>
      <c r="P38" s="1070"/>
      <c r="Q38" s="1070"/>
      <c r="R38" s="1070"/>
      <c r="S38" s="1070"/>
      <c r="T38" s="1070"/>
      <c r="U38" s="1121"/>
      <c r="V38" s="1114"/>
      <c r="W38" s="234"/>
    </row>
    <row r="39" spans="1:23" ht="18.75" customHeight="1">
      <c r="A39" s="1048"/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/>
      <c r="M39" s="1070"/>
      <c r="N39" s="1070"/>
      <c r="O39" s="1070"/>
      <c r="P39" s="1070"/>
      <c r="Q39" s="1070"/>
      <c r="R39" s="1070"/>
      <c r="S39" s="1070"/>
      <c r="T39" s="1070"/>
      <c r="U39" s="1121"/>
      <c r="V39" s="1114"/>
      <c r="W39" s="234"/>
    </row>
    <row r="40" spans="1:23" ht="18.75" customHeight="1">
      <c r="A40" s="1048"/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/>
      <c r="M40" s="1070"/>
      <c r="N40" s="1070"/>
      <c r="O40" s="1070"/>
      <c r="P40" s="1070"/>
      <c r="Q40" s="1070"/>
      <c r="R40" s="1070"/>
      <c r="S40" s="1070"/>
      <c r="T40" s="1070"/>
      <c r="U40" s="1121"/>
      <c r="V40" s="1114"/>
      <c r="W40" s="234"/>
    </row>
    <row r="41" spans="1:23" ht="18.75" customHeight="1">
      <c r="A41" s="1048"/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/>
      <c r="M41" s="1070"/>
      <c r="N41" s="1070"/>
      <c r="O41" s="1070"/>
      <c r="P41" s="1070"/>
      <c r="Q41" s="1070"/>
      <c r="R41" s="1070"/>
      <c r="S41" s="1070"/>
      <c r="T41" s="1070"/>
      <c r="U41" s="1121"/>
      <c r="V41" s="1114"/>
      <c r="W41" s="234"/>
    </row>
    <row r="42" spans="1:23" ht="18.75" customHeight="1" thickBot="1">
      <c r="A42" s="1048"/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/>
      <c r="M42" s="1070"/>
      <c r="N42" s="1070"/>
      <c r="O42" s="1070"/>
      <c r="P42" s="1070"/>
      <c r="Q42" s="1070"/>
      <c r="R42" s="1070"/>
      <c r="S42" s="1070"/>
      <c r="T42" s="1070"/>
      <c r="U42" s="1121"/>
      <c r="V42" s="1114"/>
      <c r="W42" s="234"/>
    </row>
    <row r="43" spans="1:23" ht="18.75" customHeight="1" thickBot="1">
      <c r="A43" s="1245" t="s">
        <v>606</v>
      </c>
      <c r="B43" s="164"/>
      <c r="C43" s="164"/>
      <c r="D43" s="177">
        <f t="shared" ref="D43:K43" si="16">SUM(D36:D42)</f>
        <v>0</v>
      </c>
      <c r="E43" s="177">
        <f t="shared" si="16"/>
        <v>0</v>
      </c>
      <c r="F43" s="177">
        <f t="shared" si="16"/>
        <v>0</v>
      </c>
      <c r="G43" s="177">
        <f t="shared" si="16"/>
        <v>0</v>
      </c>
      <c r="H43" s="177">
        <f t="shared" si="16"/>
        <v>0</v>
      </c>
      <c r="I43" s="177">
        <f t="shared" si="16"/>
        <v>0</v>
      </c>
      <c r="J43" s="177">
        <f t="shared" si="16"/>
        <v>0</v>
      </c>
      <c r="K43" s="177">
        <f t="shared" si="16"/>
        <v>0</v>
      </c>
      <c r="L43" s="213">
        <f>SUM(D43:K43)</f>
        <v>0</v>
      </c>
      <c r="M43" s="177">
        <f t="shared" ref="M43:T43" si="17">SUM(M36:M42)</f>
        <v>0</v>
      </c>
      <c r="N43" s="177">
        <f t="shared" si="17"/>
        <v>0</v>
      </c>
      <c r="O43" s="177">
        <f t="shared" si="17"/>
        <v>0</v>
      </c>
      <c r="P43" s="177">
        <f t="shared" si="17"/>
        <v>0</v>
      </c>
      <c r="Q43" s="177">
        <f t="shared" si="17"/>
        <v>0</v>
      </c>
      <c r="R43" s="177">
        <f t="shared" si="17"/>
        <v>0</v>
      </c>
      <c r="S43" s="177">
        <f t="shared" si="17"/>
        <v>0</v>
      </c>
      <c r="T43" s="177">
        <f t="shared" si="17"/>
        <v>0</v>
      </c>
      <c r="U43" s="165">
        <f>SUM(M43:T43)</f>
        <v>0</v>
      </c>
      <c r="V43" s="213">
        <f>L43+U43</f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" customHeight="1">
      <c r="A45" s="1058" t="s">
        <v>693</v>
      </c>
      <c r="B45" s="1076" t="s">
        <v>694</v>
      </c>
      <c r="C45" s="1123">
        <v>35</v>
      </c>
      <c r="D45" s="1077" t="s">
        <v>688</v>
      </c>
      <c r="E45" s="1073"/>
      <c r="F45" s="1073"/>
      <c r="G45" s="1073"/>
      <c r="H45" s="1073"/>
      <c r="I45" s="1073"/>
      <c r="J45" s="1073"/>
      <c r="K45" s="1071" t="s">
        <v>292</v>
      </c>
      <c r="L45" s="1069"/>
      <c r="M45" s="1062"/>
      <c r="N45" s="1073"/>
      <c r="O45" s="1074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691</v>
      </c>
      <c r="B46" s="1039">
        <v>23.2</v>
      </c>
      <c r="C46" s="1123">
        <v>25</v>
      </c>
      <c r="D46" s="1349" t="s">
        <v>689</v>
      </c>
      <c r="E46" s="1350"/>
      <c r="F46" s="1350"/>
      <c r="G46" s="1350"/>
      <c r="H46" s="1350"/>
      <c r="I46" s="1350"/>
      <c r="J46" s="1351"/>
      <c r="K46" s="1071" t="s">
        <v>291</v>
      </c>
      <c r="L46" s="1069"/>
      <c r="M46" s="1072"/>
      <c r="N46" s="107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 t="s">
        <v>604</v>
      </c>
      <c r="B47" s="1076" t="s">
        <v>604</v>
      </c>
      <c r="C47" s="1123">
        <v>40</v>
      </c>
      <c r="D47" s="1077" t="s">
        <v>690</v>
      </c>
      <c r="E47" s="1063"/>
      <c r="F47" s="1063"/>
      <c r="G47" s="1063"/>
      <c r="H47" s="1063"/>
      <c r="I47" s="1063"/>
      <c r="J47" s="1063"/>
      <c r="K47" s="1071" t="s">
        <v>296</v>
      </c>
      <c r="L47" s="1069"/>
      <c r="M47" s="1072"/>
      <c r="N47" s="1063"/>
      <c r="O47" s="1074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 t="s">
        <v>604</v>
      </c>
      <c r="B48" s="1230" t="s">
        <v>604</v>
      </c>
      <c r="C48" s="1227">
        <v>35</v>
      </c>
      <c r="D48" s="1218" t="s">
        <v>692</v>
      </c>
      <c r="E48" s="1063"/>
      <c r="F48" s="1063"/>
      <c r="G48" s="1063"/>
      <c r="H48" s="1063"/>
      <c r="I48" s="1063"/>
      <c r="J48" s="1063"/>
      <c r="K48" s="1071" t="s">
        <v>625</v>
      </c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228"/>
      <c r="W48" s="250"/>
    </row>
    <row r="49" spans="1:25" ht="15" customHeight="1">
      <c r="A49" s="1058"/>
      <c r="B49" s="1230"/>
      <c r="C49" s="1227"/>
      <c r="D49" s="1218"/>
      <c r="E49" s="1063"/>
      <c r="F49" s="1063"/>
      <c r="G49" s="1063"/>
      <c r="H49" s="1063"/>
      <c r="I49" s="1063"/>
      <c r="J49" s="1063"/>
      <c r="K49" s="1071"/>
      <c r="L49" s="1069"/>
      <c r="M49" s="1072"/>
      <c r="N49" s="1063"/>
      <c r="O49" s="1074"/>
      <c r="P49" s="1063"/>
      <c r="Q49" s="1063"/>
      <c r="R49" s="1063"/>
      <c r="S49" s="1063"/>
      <c r="T49" s="1063"/>
      <c r="U49" s="1063"/>
      <c r="V49" s="1228"/>
      <c r="W49" s="250"/>
    </row>
    <row r="50" spans="1:25" ht="15" customHeight="1">
      <c r="A50" s="1058"/>
      <c r="B50" s="1230"/>
      <c r="C50" s="1227"/>
      <c r="D50" s="1218"/>
      <c r="E50" s="1063"/>
      <c r="F50" s="1063"/>
      <c r="G50" s="1063"/>
      <c r="H50" s="1063"/>
      <c r="I50" s="1063"/>
      <c r="J50" s="1063"/>
      <c r="K50" s="1071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228"/>
      <c r="W50" s="250"/>
    </row>
    <row r="51" spans="1:25" ht="15" customHeight="1">
      <c r="A51" s="1058"/>
      <c r="B51" s="1230"/>
      <c r="C51" s="1227"/>
      <c r="D51" s="1218"/>
      <c r="E51" s="1063"/>
      <c r="F51" s="1063"/>
      <c r="G51" s="1063"/>
      <c r="H51" s="1063"/>
      <c r="I51" s="1063"/>
      <c r="J51" s="1063"/>
      <c r="K51" s="1071"/>
      <c r="L51" s="1069"/>
      <c r="M51" s="1072"/>
      <c r="N51" s="1063"/>
      <c r="O51" s="1074"/>
      <c r="P51" s="1063"/>
      <c r="Q51" s="1063"/>
      <c r="R51" s="1063"/>
      <c r="S51" s="1063"/>
      <c r="T51" s="1063"/>
      <c r="U51" s="1063"/>
      <c r="V51" s="1228"/>
      <c r="W51" s="250"/>
    </row>
    <row r="52" spans="1:25" ht="15.75" customHeight="1">
      <c r="A52" s="1058"/>
      <c r="B52" s="1039"/>
      <c r="C52" s="1038"/>
      <c r="D52" s="1349"/>
      <c r="E52" s="1350"/>
      <c r="F52" s="1350"/>
      <c r="G52" s="1350"/>
      <c r="H52" s="1350"/>
      <c r="I52" s="1350"/>
      <c r="J52" s="1351"/>
      <c r="K52" s="1059"/>
      <c r="L52" s="1060"/>
      <c r="M52" s="1060"/>
      <c r="N52" s="1061"/>
      <c r="O52" s="1062"/>
      <c r="P52" s="1063"/>
      <c r="Q52" s="1063"/>
      <c r="R52" s="1063"/>
      <c r="S52" s="1063"/>
      <c r="T52" s="1063"/>
      <c r="U52" s="1063"/>
      <c r="V52" s="1064"/>
      <c r="W52" s="250"/>
    </row>
    <row r="53" spans="1:25" ht="15" customHeight="1">
      <c r="A53" s="1058"/>
      <c r="B53" s="1039"/>
      <c r="C53" s="1038"/>
      <c r="D53" s="1349"/>
      <c r="E53" s="1350"/>
      <c r="F53" s="1350"/>
      <c r="G53" s="1350"/>
      <c r="H53" s="1350"/>
      <c r="I53" s="1350"/>
      <c r="J53" s="1351"/>
      <c r="K53" s="1059"/>
      <c r="L53" s="1065"/>
      <c r="M53" s="1065"/>
      <c r="N53" s="1353"/>
      <c r="O53" s="1354"/>
      <c r="P53" s="1354"/>
      <c r="Q53" s="1354"/>
      <c r="R53" s="1354"/>
      <c r="S53" s="1354"/>
      <c r="T53" s="1354"/>
      <c r="U53" s="1354"/>
      <c r="V53" s="1355"/>
      <c r="W53" s="250"/>
    </row>
    <row r="54" spans="1:25" ht="15" customHeight="1">
      <c r="A54" s="1058"/>
      <c r="B54" s="1066"/>
      <c r="C54" s="1070"/>
      <c r="D54" s="1356"/>
      <c r="E54" s="1357"/>
      <c r="F54" s="1357"/>
      <c r="G54" s="1357"/>
      <c r="H54" s="1357"/>
      <c r="I54" s="1357"/>
      <c r="J54" s="1357"/>
      <c r="K54" s="1059"/>
      <c r="L54" s="1069"/>
      <c r="M54" s="1070"/>
      <c r="N54" s="1349"/>
      <c r="O54" s="1358"/>
      <c r="P54" s="1358"/>
      <c r="Q54" s="1358"/>
      <c r="R54" s="1358"/>
      <c r="S54" s="1358"/>
      <c r="T54" s="1358"/>
      <c r="U54" s="1358"/>
      <c r="V54" s="1359"/>
      <c r="W54" s="250"/>
    </row>
    <row r="55" spans="1:25" ht="15" customHeight="1">
      <c r="A55" s="1058"/>
      <c r="B55" s="1076"/>
      <c r="C55" s="1124"/>
      <c r="D55" s="1077"/>
      <c r="E55" s="1063"/>
      <c r="F55" s="1063"/>
      <c r="G55" s="1063"/>
      <c r="H55" s="1063"/>
      <c r="I55" s="1063"/>
      <c r="J55" s="1063"/>
      <c r="K55" s="1071"/>
      <c r="L55" s="1069"/>
      <c r="M55" s="1070"/>
      <c r="N55" s="1063"/>
      <c r="O55" s="1074"/>
      <c r="P55" s="1063"/>
      <c r="Q55" s="1063"/>
      <c r="R55" s="1063"/>
      <c r="S55" s="1063"/>
      <c r="T55" s="1063"/>
      <c r="U55" s="1063"/>
      <c r="V55" s="1064"/>
      <c r="W55" s="250"/>
    </row>
    <row r="56" spans="1:25" ht="15" customHeight="1" thickBot="1">
      <c r="A56" s="1080"/>
      <c r="B56" s="1081"/>
      <c r="C56" s="1125"/>
      <c r="D56" s="1082"/>
      <c r="E56" s="1083"/>
      <c r="F56" s="1083"/>
      <c r="G56" s="1083"/>
      <c r="H56" s="1083"/>
      <c r="I56" s="1083"/>
      <c r="J56" s="1083"/>
      <c r="K56" s="1084"/>
      <c r="L56" s="1084"/>
      <c r="M56" s="1126"/>
      <c r="N56" s="216"/>
      <c r="O56" s="1127"/>
      <c r="P56" s="1083"/>
      <c r="Q56" s="1083"/>
      <c r="R56" s="1083"/>
      <c r="S56" s="1083"/>
      <c r="T56" s="1083"/>
      <c r="U56" s="1083"/>
      <c r="V56" s="1128"/>
      <c r="W56" s="250"/>
    </row>
    <row r="57" spans="1:25" ht="18" customHeight="1" thickBot="1">
      <c r="A57" s="183" t="s">
        <v>337</v>
      </c>
      <c r="B57" s="184" t="s">
        <v>338</v>
      </c>
      <c r="C57" s="184"/>
      <c r="D57" s="166" t="s">
        <v>300</v>
      </c>
      <c r="E57" s="166" t="s">
        <v>301</v>
      </c>
      <c r="F57" s="166" t="s">
        <v>302</v>
      </c>
      <c r="G57" s="166" t="s">
        <v>303</v>
      </c>
      <c r="H57" s="166" t="s">
        <v>304</v>
      </c>
      <c r="I57" s="166" t="s">
        <v>305</v>
      </c>
      <c r="J57" s="166" t="s">
        <v>306</v>
      </c>
      <c r="K57" s="166" t="s">
        <v>307</v>
      </c>
      <c r="L57" s="207" t="s">
        <v>173</v>
      </c>
      <c r="M57" s="166" t="s">
        <v>300</v>
      </c>
      <c r="N57" s="166" t="s">
        <v>301</v>
      </c>
      <c r="O57" s="166" t="s">
        <v>302</v>
      </c>
      <c r="P57" s="166" t="s">
        <v>303</v>
      </c>
      <c r="Q57" s="166" t="s">
        <v>304</v>
      </c>
      <c r="R57" s="166" t="s">
        <v>305</v>
      </c>
      <c r="S57" s="166" t="s">
        <v>306</v>
      </c>
      <c r="T57" s="166" t="s">
        <v>307</v>
      </c>
      <c r="U57" s="166" t="s">
        <v>173</v>
      </c>
      <c r="V57" s="207" t="s">
        <v>367</v>
      </c>
      <c r="W57" s="231"/>
    </row>
    <row r="58" spans="1:25" ht="18" customHeight="1">
      <c r="A58" s="185">
        <v>1</v>
      </c>
      <c r="B58" s="186" t="s">
        <v>223</v>
      </c>
      <c r="C58" s="158"/>
      <c r="D58" s="187">
        <f>$F6-D$21-D$43-D$34</f>
        <v>534.99999999999989</v>
      </c>
      <c r="E58" s="187">
        <f>$F7-E$21-E$43-E$34</f>
        <v>554</v>
      </c>
      <c r="F58" s="187">
        <f>$F8-F$21-F$43-F$34</f>
        <v>532</v>
      </c>
      <c r="G58" s="187">
        <f>$F9-G$21-G$43-G$34</f>
        <v>537.99999999999989</v>
      </c>
      <c r="H58" s="187">
        <f>$F10-H$21-H$43-H$34</f>
        <v>563</v>
      </c>
      <c r="I58" s="187">
        <f>$F11-I$21-I$43-I$34</f>
        <v>500</v>
      </c>
      <c r="J58" s="187">
        <f>$F12-J$21-J$43-J$34</f>
        <v>555</v>
      </c>
      <c r="K58" s="187">
        <f>$F13-K$21-K$43-K$34</f>
        <v>0</v>
      </c>
      <c r="L58" s="202">
        <f>SUM(D58:K58)</f>
        <v>3777</v>
      </c>
      <c r="M58" s="187">
        <f>O6-M21-M43-M34</f>
        <v>495</v>
      </c>
      <c r="N58" s="187">
        <f>O7-N21-N43-N34</f>
        <v>468.00000000000011</v>
      </c>
      <c r="O58" s="187">
        <f>O8-O21-O43-O34</f>
        <v>513.00000000000011</v>
      </c>
      <c r="P58" s="187">
        <f>O9-P21-P43-P34</f>
        <v>500</v>
      </c>
      <c r="Q58" s="187">
        <f>O10-Q21-Q43-Q34</f>
        <v>517.00000000000011</v>
      </c>
      <c r="R58" s="187">
        <f>O11-R21-R43-R34</f>
        <v>473.00000000000011</v>
      </c>
      <c r="S58" s="187">
        <f>O12-S21-S43-S34</f>
        <v>501</v>
      </c>
      <c r="T58" s="187">
        <f>O13-T21-T43-T34</f>
        <v>0</v>
      </c>
      <c r="U58" s="242">
        <f>SUM(M58:T58)</f>
        <v>3467.0000000000005</v>
      </c>
      <c r="V58" s="202">
        <f>L58+U58</f>
        <v>7244</v>
      </c>
      <c r="W58" s="233"/>
    </row>
    <row r="59" spans="1:25" ht="18" customHeight="1">
      <c r="A59" s="1085">
        <v>2</v>
      </c>
      <c r="B59" s="1086" t="s">
        <v>339</v>
      </c>
      <c r="C59" s="1046"/>
      <c r="D59" s="1087">
        <f>$K6/$C6</f>
        <v>18.666666666666668</v>
      </c>
      <c r="E59" s="1087">
        <f>$K7/$C7</f>
        <v>67.666666666666671</v>
      </c>
      <c r="F59" s="1087">
        <f>$K8/$C8</f>
        <v>53.666666666666664</v>
      </c>
      <c r="G59" s="1087">
        <f>$K9/$C9</f>
        <v>65.666666666666671</v>
      </c>
      <c r="H59" s="1087">
        <f>$K10/$C10</f>
        <v>72.333333333333329</v>
      </c>
      <c r="I59" s="1087">
        <f>$K11/$C11</f>
        <v>25.333333333333332</v>
      </c>
      <c r="J59" s="1087">
        <f>$K12/$C12</f>
        <v>26</v>
      </c>
      <c r="K59" s="1087">
        <f>$K13/$C13</f>
        <v>0</v>
      </c>
      <c r="L59" s="1112">
        <f>SUM(D59:K59)</f>
        <v>329.33333333333331</v>
      </c>
      <c r="M59" s="1087">
        <f>T6/C6</f>
        <v>36</v>
      </c>
      <c r="N59" s="1087">
        <f>T7/C7</f>
        <v>22.666666666666668</v>
      </c>
      <c r="O59" s="1087">
        <f>$T$8/$C$8</f>
        <v>26.333333333333332</v>
      </c>
      <c r="P59" s="1087">
        <f>$T$9/$C$9</f>
        <v>28.666666666666668</v>
      </c>
      <c r="Q59" s="1087">
        <f>$T$10/$C$10</f>
        <v>25</v>
      </c>
      <c r="R59" s="1087">
        <f>$T$11/$C$11</f>
        <v>37.333333333333336</v>
      </c>
      <c r="S59" s="1087">
        <f>$T$12/$C$12</f>
        <v>12.666666666666666</v>
      </c>
      <c r="T59" s="1087">
        <f>$T$13/$C$13</f>
        <v>0</v>
      </c>
      <c r="U59" s="1129">
        <f>SUM(M59:T59)</f>
        <v>188.66666666666669</v>
      </c>
      <c r="V59" s="1112">
        <f>L59+U59</f>
        <v>518</v>
      </c>
      <c r="W59" s="233"/>
    </row>
    <row r="60" spans="1:25" ht="18" customHeight="1" thickBot="1">
      <c r="A60" s="1031">
        <v>3</v>
      </c>
      <c r="B60" s="1088" t="s">
        <v>340</v>
      </c>
      <c r="C60" s="1056"/>
      <c r="D60" s="1087">
        <f>$I6/$C6</f>
        <v>331.33333333333331</v>
      </c>
      <c r="E60" s="1087">
        <f>$I7/$C7</f>
        <v>344.66666666666669</v>
      </c>
      <c r="F60" s="1087">
        <f>$I8/$C8</f>
        <v>273.66666666666669</v>
      </c>
      <c r="G60" s="1087">
        <f>$I9/$C9</f>
        <v>334.33333333333331</v>
      </c>
      <c r="H60" s="1087">
        <f>$I10/$C10</f>
        <v>369.33333333333331</v>
      </c>
      <c r="I60" s="1087">
        <f>$I11/$C11</f>
        <v>448.66666666666669</v>
      </c>
      <c r="J60" s="1087">
        <f>$I12/$C12</f>
        <v>448</v>
      </c>
      <c r="K60" s="1087">
        <f>$I13/$C13</f>
        <v>0</v>
      </c>
      <c r="L60" s="1115">
        <f>SUM(D60:K60)</f>
        <v>2550</v>
      </c>
      <c r="M60" s="1130">
        <f>R6/C6</f>
        <v>304</v>
      </c>
      <c r="N60" s="1130">
        <f>R7/C7</f>
        <v>311</v>
      </c>
      <c r="O60" s="1130">
        <f>R8/C8</f>
        <v>357.66666666666669</v>
      </c>
      <c r="P60" s="1130">
        <f>R9/C9</f>
        <v>393.33333333333331</v>
      </c>
      <c r="Q60" s="1130">
        <f>R10/C10</f>
        <v>341.33333333333331</v>
      </c>
      <c r="R60" s="1130">
        <f>R11/C11</f>
        <v>314.33333333333331</v>
      </c>
      <c r="S60" s="1130">
        <f>R12/C12</f>
        <v>438</v>
      </c>
      <c r="T60" s="1130">
        <f>R13/C13</f>
        <v>0</v>
      </c>
      <c r="U60" s="1131">
        <f>SUM(M60:T60)</f>
        <v>2459.6666666666665</v>
      </c>
      <c r="V60" s="1115">
        <f>L60+U60</f>
        <v>5009.6666666666661</v>
      </c>
      <c r="W60" s="233"/>
    </row>
    <row r="61" spans="1:25" ht="18" customHeight="1">
      <c r="A61" s="185">
        <v>4</v>
      </c>
      <c r="B61" s="186" t="s">
        <v>341</v>
      </c>
      <c r="C61" s="158"/>
      <c r="D61" s="188">
        <f>IF(F6=0,0,D21/F6*100)</f>
        <v>2.727272727272728</v>
      </c>
      <c r="E61" s="188">
        <f>IF(F7=0,0,E21/F7*100)</f>
        <v>2.807017543859649</v>
      </c>
      <c r="F61" s="188">
        <f>IF(F8=0,0,F21/F8*100)</f>
        <v>4.1441441441441444</v>
      </c>
      <c r="G61" s="188">
        <f>IF(F9=0,0,G21/F9*100)</f>
        <v>2.1818181818181825</v>
      </c>
      <c r="H61" s="188">
        <f>IF(F10=0,0,H21/F10*100)</f>
        <v>2.0869565217391308</v>
      </c>
      <c r="I61" s="188">
        <f>IF(F11=0,0,I21/F11*100)</f>
        <v>2.912621359223301</v>
      </c>
      <c r="J61" s="188">
        <f>IF(F12=0,0,J21/F12*100)</f>
        <v>2.6315789473684208</v>
      </c>
      <c r="K61" s="188">
        <f>IF(F13=0,0,K21/F13*100)</f>
        <v>0</v>
      </c>
      <c r="L61" s="217">
        <f>IF(F14=0,0,L21/F14*100)</f>
        <v>2.7799227799227797</v>
      </c>
      <c r="M61" s="188">
        <f>IF(O6=0,0,M21/O6*100)</f>
        <v>2.6315789473684208</v>
      </c>
      <c r="N61" s="188">
        <f>IF(O7=0,0,N21/O7*100)</f>
        <v>2.1818181818181812</v>
      </c>
      <c r="O61" s="188">
        <f>IF(O8=0,0,O21/O8*100)</f>
        <v>2.1428571428571423</v>
      </c>
      <c r="P61" s="188">
        <f>IF(O9=0,0,P21/O9*100)</f>
        <v>1.834862385321101</v>
      </c>
      <c r="Q61" s="188">
        <f>IF(O10=0,0,Q21/O10*100)</f>
        <v>1.4285714285714284</v>
      </c>
      <c r="R61" s="188">
        <f>IF(O11=0,0,R21/O11*100)</f>
        <v>2.1428571428571423</v>
      </c>
      <c r="S61" s="188">
        <f>IF(O12=0,0,S21/O12*100)</f>
        <v>0.74074074074074081</v>
      </c>
      <c r="T61" s="188">
        <f>IF(O13=0,0,T21/O13*100)</f>
        <v>0</v>
      </c>
      <c r="U61" s="251">
        <f>IF(O14=0,0,U21/O14*100)</f>
        <v>1.8790218790218791</v>
      </c>
      <c r="V61" s="217">
        <f>IF((F14+O14)=0,0,V21/(F14+O14)*100)</f>
        <v>2.3294723294723294</v>
      </c>
      <c r="W61" s="252"/>
    </row>
    <row r="62" spans="1:25" ht="18" customHeight="1">
      <c r="A62" s="1085">
        <v>5</v>
      </c>
      <c r="B62" s="1086" t="s">
        <v>342</v>
      </c>
      <c r="C62" s="1046"/>
      <c r="D62" s="1090">
        <f>IF(F6=0,0,D34/F6*100)</f>
        <v>0</v>
      </c>
      <c r="E62" s="1090">
        <f>IF(F7=0,0,E34/F7*100)</f>
        <v>0</v>
      </c>
      <c r="F62" s="1090">
        <f>IF(F8=0,0,F34/F8*100)</f>
        <v>0</v>
      </c>
      <c r="G62" s="1090">
        <f>IF(F9=0,0,G34/F9*100)</f>
        <v>0</v>
      </c>
      <c r="H62" s="1090">
        <f>IF(F10=0,0,H34/F10*100)</f>
        <v>0</v>
      </c>
      <c r="I62" s="1090">
        <f>IF(F11=0,0,I34/F11*100)</f>
        <v>0</v>
      </c>
      <c r="J62" s="1090">
        <f>IF(F12=0,0,J34/F12*100)</f>
        <v>0</v>
      </c>
      <c r="K62" s="1090">
        <f>IF(F13=0,0,K34/F13*100)</f>
        <v>0</v>
      </c>
      <c r="L62" s="1132">
        <f>IF(F14=0,0,L34/F14*100)</f>
        <v>0</v>
      </c>
      <c r="M62" s="1090">
        <f>IF(O6=0,0,M34/O6*100)</f>
        <v>10.526315789473683</v>
      </c>
      <c r="N62" s="1090">
        <f>IF(O7=0,0,N34/O7*100)</f>
        <v>12.727272727272727</v>
      </c>
      <c r="O62" s="1090">
        <f>IF(O8=0,0,O34/O8*100)</f>
        <v>6.2499999999999982</v>
      </c>
      <c r="P62" s="1090">
        <f>IF(O9=0,0,P34/O9*100)</f>
        <v>6.4220183486238538</v>
      </c>
      <c r="Q62" s="1090">
        <f>IF(O10=0,0,Q34/O10*100)</f>
        <v>6.2499999999999982</v>
      </c>
      <c r="R62" s="1090">
        <f>IF(O11=0,0,R34/O11*100)</f>
        <v>13.392857142857139</v>
      </c>
      <c r="S62" s="1090">
        <f>IF(O12=0,0,S34/O12*100)</f>
        <v>6.481481481481481</v>
      </c>
      <c r="T62" s="1090">
        <f>IF(O13=0,0,T34/O13*100)</f>
        <v>0</v>
      </c>
      <c r="U62" s="1133">
        <f>IF(O14=0,0,U34/O14*100)</f>
        <v>8.8803088803088812</v>
      </c>
      <c r="V62" s="1132">
        <f>IF((F14+O14)=0,0,V34/(F14+O14)*100)</f>
        <v>4.4401544401544406</v>
      </c>
      <c r="W62" s="252"/>
      <c r="Y62" s="258">
        <f>SUM(V61:V64)</f>
        <v>100</v>
      </c>
    </row>
    <row r="63" spans="1:25" ht="18" customHeight="1">
      <c r="A63" s="1085">
        <v>6</v>
      </c>
      <c r="B63" s="1086" t="s">
        <v>343</v>
      </c>
      <c r="C63" s="1046"/>
      <c r="D63" s="1090">
        <f>IF(F6=0,0,D43/F6*100)</f>
        <v>0</v>
      </c>
      <c r="E63" s="1090">
        <f>IF(F7=0,0,E43/F7*100)</f>
        <v>0</v>
      </c>
      <c r="F63" s="1090">
        <f>IF(F8=0,0,F43/F8*100)</f>
        <v>0</v>
      </c>
      <c r="G63" s="1090">
        <f>IF(F9=0,0,G43/F9*100)</f>
        <v>0</v>
      </c>
      <c r="H63" s="1090">
        <f>IF(F10=0,0,H43/F10*100)</f>
        <v>0</v>
      </c>
      <c r="I63" s="1090">
        <f>IF(F11=0,0,I43/F11*100)</f>
        <v>0</v>
      </c>
      <c r="J63" s="1090">
        <f>IF(F12=0,0,J43/F12*100)</f>
        <v>0</v>
      </c>
      <c r="K63" s="1090">
        <f>IF(F13=0,0,K43/F13*100)</f>
        <v>0</v>
      </c>
      <c r="L63" s="1132">
        <f>IF(F14=0,0,L43/F14*100)</f>
        <v>0</v>
      </c>
      <c r="M63" s="1090">
        <f>IF(O6=0,0,M43/O6*100)</f>
        <v>0</v>
      </c>
      <c r="N63" s="1090">
        <f>IF(O7=0,0,N43/O7*100)</f>
        <v>0</v>
      </c>
      <c r="O63" s="1090">
        <f>IF(O8=0,0,O43/O8*100)</f>
        <v>0</v>
      </c>
      <c r="P63" s="1090">
        <f>IF(O9=0,0,P43/O9*100)</f>
        <v>0</v>
      </c>
      <c r="Q63" s="1090">
        <f>IF(O10=0,0,Q43/O10*100)</f>
        <v>0</v>
      </c>
      <c r="R63" s="1090">
        <f>IF(O11=0,0,R43/O11*100)</f>
        <v>0</v>
      </c>
      <c r="S63" s="1090">
        <f>IF(O12=0,0,S43/O12*100)</f>
        <v>0</v>
      </c>
      <c r="T63" s="1090">
        <f>IF(O13=0,0,T43/O13*100)</f>
        <v>0</v>
      </c>
      <c r="U63" s="1133">
        <f>IF(O14=0,0,U43/O14*100)</f>
        <v>0</v>
      </c>
      <c r="V63" s="1132">
        <f>IF((F14+O14)=0,0,V43/(F14+O14)*100)</f>
        <v>0</v>
      </c>
      <c r="W63" s="252"/>
    </row>
    <row r="64" spans="1:25" ht="18" customHeight="1" thickBot="1">
      <c r="A64" s="1031">
        <v>7</v>
      </c>
      <c r="B64" s="1092" t="s">
        <v>344</v>
      </c>
      <c r="C64" s="1056"/>
      <c r="D64" s="1093">
        <f>IF(F6=0,0,D58/F6*100)</f>
        <v>97.27272727272728</v>
      </c>
      <c r="E64" s="1093">
        <f>IF(F7=0,0,E58/F7*100)</f>
        <v>97.192982456140356</v>
      </c>
      <c r="F64" s="1093">
        <f>IF(F8=0,0,F58/F8*100)</f>
        <v>95.85585585585585</v>
      </c>
      <c r="G64" s="1093">
        <f>IF(F9=0,0,G58/F9*100)</f>
        <v>97.818181818181813</v>
      </c>
      <c r="H64" s="1093">
        <f>IF(F10=0,0,H58/F10*100)</f>
        <v>97.913043478260875</v>
      </c>
      <c r="I64" s="1093">
        <f>IF(F11=0,0,I58/F11*100)</f>
        <v>97.087378640776706</v>
      </c>
      <c r="J64" s="1093">
        <f>IF(F12=0,0,J58/F12*100)</f>
        <v>97.368421052631575</v>
      </c>
      <c r="K64" s="1093">
        <f>IF(F13=0,0,K58/F13*100)</f>
        <v>0</v>
      </c>
      <c r="L64" s="1134">
        <f>IF(F14=0,0,L58/F14*100)</f>
        <v>97.220077220077215</v>
      </c>
      <c r="M64" s="1095">
        <f>IF(O6=0,0,M58/O6*100)</f>
        <v>86.842105263157904</v>
      </c>
      <c r="N64" s="1095">
        <f>IF(O7=0,0,N58/O7*100)</f>
        <v>85.090909090909093</v>
      </c>
      <c r="O64" s="1095">
        <f>IF(O8=0,0,O58/O8*100)</f>
        <v>91.607142857142847</v>
      </c>
      <c r="P64" s="1095">
        <f>IF(O9=0,0,P58/O9*100)</f>
        <v>91.743119266055047</v>
      </c>
      <c r="Q64" s="1095">
        <f>IF(O10=0,0,Q58/O10*100)</f>
        <v>92.321428571428584</v>
      </c>
      <c r="R64" s="1095">
        <f>IF(O11=0,0,R58/O11*100)</f>
        <v>84.464285714285708</v>
      </c>
      <c r="S64" s="1095">
        <f>IF(O12=0,0,S58/O12*100)</f>
        <v>92.777777777777786</v>
      </c>
      <c r="T64" s="1095">
        <f>IF(O13=0,0,T58/O13*100)</f>
        <v>0</v>
      </c>
      <c r="U64" s="1093">
        <f>IF(O14=0,0,U58/O14*100)</f>
        <v>89.240669240669263</v>
      </c>
      <c r="V64" s="1134">
        <f>IF((F14+O14)=0,0,V58/(F14+O14)*100)</f>
        <v>93.230373230373232</v>
      </c>
      <c r="W64" s="252"/>
    </row>
    <row r="65" spans="1:25" ht="18" customHeight="1">
      <c r="A65" s="185">
        <v>8</v>
      </c>
      <c r="B65" s="186" t="s">
        <v>345</v>
      </c>
      <c r="C65" s="158"/>
      <c r="D65" s="188">
        <f>IF(D58=0,0,D59/D58*100)</f>
        <v>3.4890965732087236</v>
      </c>
      <c r="E65" s="188">
        <f>IF(E58=0,0,E59/E58*100)</f>
        <v>12.214199759326114</v>
      </c>
      <c r="F65" s="188">
        <f t="shared" ref="F65:V65" si="18">IF(F58=0,0,F59/F58*100)</f>
        <v>10.087719298245613</v>
      </c>
      <c r="G65" s="188">
        <f t="shared" si="18"/>
        <v>12.205700123915742</v>
      </c>
      <c r="H65" s="188">
        <f t="shared" si="18"/>
        <v>12.847838957963292</v>
      </c>
      <c r="I65" s="188">
        <f t="shared" si="18"/>
        <v>5.0666666666666664</v>
      </c>
      <c r="J65" s="188">
        <f t="shared" si="18"/>
        <v>4.6846846846846848</v>
      </c>
      <c r="K65" s="188">
        <f t="shared" si="18"/>
        <v>0</v>
      </c>
      <c r="L65" s="217">
        <f t="shared" si="18"/>
        <v>8.7194422381078454</v>
      </c>
      <c r="M65" s="188">
        <f t="shared" si="18"/>
        <v>7.2727272727272725</v>
      </c>
      <c r="N65" s="188">
        <f t="shared" si="18"/>
        <v>4.8433048433048427</v>
      </c>
      <c r="O65" s="188">
        <f t="shared" si="18"/>
        <v>5.1332033788174121</v>
      </c>
      <c r="P65" s="188">
        <f t="shared" si="18"/>
        <v>5.7333333333333334</v>
      </c>
      <c r="Q65" s="188">
        <f t="shared" si="18"/>
        <v>4.8355899419729198</v>
      </c>
      <c r="R65" s="188">
        <f t="shared" si="18"/>
        <v>7.8928823114869608</v>
      </c>
      <c r="S65" s="188">
        <f t="shared" si="18"/>
        <v>2.5282767797737855</v>
      </c>
      <c r="T65" s="188">
        <f t="shared" si="18"/>
        <v>0</v>
      </c>
      <c r="U65" s="251">
        <f t="shared" si="18"/>
        <v>5.4417844438034804</v>
      </c>
      <c r="V65" s="217">
        <f t="shared" si="18"/>
        <v>7.1507454445057972</v>
      </c>
      <c r="W65" s="252"/>
    </row>
    <row r="66" spans="1:25" ht="18" customHeight="1">
      <c r="A66" s="1085">
        <v>9</v>
      </c>
      <c r="B66" s="1086" t="s">
        <v>346</v>
      </c>
      <c r="C66" s="1046"/>
      <c r="D66" s="1090">
        <f t="shared" ref="D66:V66" si="19">IF(D58=0,0,D26/D58*100)</f>
        <v>34.579439252336449</v>
      </c>
      <c r="E66" s="1090">
        <f t="shared" si="19"/>
        <v>25.571600481347765</v>
      </c>
      <c r="F66" s="1090">
        <f t="shared" si="19"/>
        <v>38.471177944862148</v>
      </c>
      <c r="G66" s="1090">
        <f t="shared" si="19"/>
        <v>25.650557620817828</v>
      </c>
      <c r="H66" s="1090">
        <f t="shared" si="19"/>
        <v>21.551213735938433</v>
      </c>
      <c r="I66" s="1090">
        <f t="shared" si="19"/>
        <v>5.2</v>
      </c>
      <c r="J66" s="1090">
        <f t="shared" si="19"/>
        <v>14.594594594594595</v>
      </c>
      <c r="K66" s="1090">
        <f t="shared" si="19"/>
        <v>0</v>
      </c>
      <c r="L66" s="1132">
        <f t="shared" si="19"/>
        <v>23.766657841320267</v>
      </c>
      <c r="M66" s="1090">
        <f t="shared" si="19"/>
        <v>31.313131313131315</v>
      </c>
      <c r="N66" s="1090">
        <f t="shared" si="19"/>
        <v>28.703703703703731</v>
      </c>
      <c r="O66" s="1090">
        <f t="shared" si="19"/>
        <v>25.146198830409361</v>
      </c>
      <c r="P66" s="1090">
        <f t="shared" si="19"/>
        <v>15.60000000000001</v>
      </c>
      <c r="Q66" s="1090">
        <f t="shared" si="19"/>
        <v>29.142488716956823</v>
      </c>
      <c r="R66" s="1090">
        <f t="shared" si="19"/>
        <v>25.651867512332643</v>
      </c>
      <c r="S66" s="1090">
        <f t="shared" si="19"/>
        <v>10.046573519627419</v>
      </c>
      <c r="T66" s="1090">
        <f t="shared" si="19"/>
        <v>0</v>
      </c>
      <c r="U66" s="1133">
        <f t="shared" si="19"/>
        <v>23.613114123641974</v>
      </c>
      <c r="V66" s="1132">
        <f t="shared" si="19"/>
        <v>23.693171360206154</v>
      </c>
      <c r="W66" s="252"/>
      <c r="Y66" s="258">
        <f>SUM(V65:V67)</f>
        <v>100</v>
      </c>
    </row>
    <row r="67" spans="1:25" ht="18" customHeight="1" thickBot="1">
      <c r="A67" s="1031">
        <v>10</v>
      </c>
      <c r="B67" s="1092" t="s">
        <v>347</v>
      </c>
      <c r="C67" s="1056"/>
      <c r="D67" s="1095">
        <f t="shared" ref="D67:V67" si="20">IF(D58=0,0,D60/D58*100)</f>
        <v>61.931464174454845</v>
      </c>
      <c r="E67" s="1095">
        <f t="shared" si="20"/>
        <v>62.214199759326114</v>
      </c>
      <c r="F67" s="1095">
        <f t="shared" si="20"/>
        <v>51.441102756892235</v>
      </c>
      <c r="G67" s="1095">
        <f t="shared" si="20"/>
        <v>62.143742255266432</v>
      </c>
      <c r="H67" s="1095">
        <f t="shared" si="20"/>
        <v>65.600947306098277</v>
      </c>
      <c r="I67" s="1095">
        <f t="shared" si="20"/>
        <v>89.733333333333334</v>
      </c>
      <c r="J67" s="1095">
        <f t="shared" si="20"/>
        <v>80.72072072072072</v>
      </c>
      <c r="K67" s="1095">
        <f t="shared" si="20"/>
        <v>0</v>
      </c>
      <c r="L67" s="1134">
        <f t="shared" si="20"/>
        <v>67.513899920571887</v>
      </c>
      <c r="M67" s="1095">
        <f t="shared" si="20"/>
        <v>61.414141414141412</v>
      </c>
      <c r="N67" s="1095">
        <f t="shared" si="20"/>
        <v>66.452991452991441</v>
      </c>
      <c r="O67" s="1095">
        <f t="shared" si="20"/>
        <v>69.720597790773226</v>
      </c>
      <c r="P67" s="1095">
        <f t="shared" si="20"/>
        <v>78.666666666666657</v>
      </c>
      <c r="Q67" s="1095">
        <f t="shared" si="20"/>
        <v>66.021921341070254</v>
      </c>
      <c r="R67" s="1095">
        <f t="shared" si="20"/>
        <v>66.455250176180385</v>
      </c>
      <c r="S67" s="1095">
        <f t="shared" si="20"/>
        <v>87.425149700598809</v>
      </c>
      <c r="T67" s="1095">
        <f t="shared" si="20"/>
        <v>0</v>
      </c>
      <c r="U67" s="1093">
        <f t="shared" si="20"/>
        <v>70.945101432554551</v>
      </c>
      <c r="V67" s="1134">
        <f t="shared" si="20"/>
        <v>69.156083195288048</v>
      </c>
      <c r="W67" s="252"/>
    </row>
    <row r="68" spans="1:25" ht="18" customHeight="1" thickBot="1">
      <c r="A68" s="183">
        <v>11</v>
      </c>
      <c r="B68" s="189" t="s">
        <v>254</v>
      </c>
      <c r="C68" s="155"/>
      <c r="D68" s="190">
        <f>IF(E78=0,0,D78/E78*100)</f>
        <v>91.909068687362506</v>
      </c>
      <c r="E68" s="190">
        <f>IF(E78=0,0,D78/E78*100)</f>
        <v>91.909068687362506</v>
      </c>
      <c r="F68" s="190">
        <f>IF(E78=0,0,D78/E78*100)</f>
        <v>91.909068687362506</v>
      </c>
      <c r="G68" s="190">
        <f>IF(E78=0,0,D78/E78*100)</f>
        <v>91.909068687362506</v>
      </c>
      <c r="H68" s="190">
        <f>IF(E78=0,0,D78/E78*100)</f>
        <v>91.909068687362506</v>
      </c>
      <c r="I68" s="190">
        <f>IF(E78=0,0,D78/E78*100)</f>
        <v>91.909068687362506</v>
      </c>
      <c r="J68" s="190">
        <f>IF(E78=0,0,D78/E78*100)</f>
        <v>91.909068687362506</v>
      </c>
      <c r="K68" s="190">
        <f>IF(E78=0,0,D78/E78*100)</f>
        <v>91.909068687362506</v>
      </c>
      <c r="L68" s="218">
        <f>IF(E78=0,0,D78/E78*100)</f>
        <v>91.909068687362506</v>
      </c>
      <c r="M68" s="219">
        <f>IF(N78=0,0,M78/N78*100)</f>
        <v>88.78455230789578</v>
      </c>
      <c r="N68" s="219">
        <f>IF(N78=0,0,M78/N78*100)</f>
        <v>88.78455230789578</v>
      </c>
      <c r="O68" s="219">
        <f>IF(N78=0,0,M78/N78*100)</f>
        <v>88.78455230789578</v>
      </c>
      <c r="P68" s="219">
        <f>IF(N78=0,0,M78/N78*100)</f>
        <v>88.78455230789578</v>
      </c>
      <c r="Q68" s="219">
        <f>IF(N78=0,0,M78/N78*100)</f>
        <v>88.78455230789578</v>
      </c>
      <c r="R68" s="219">
        <f>IF(N78=0,0,M78/N78*100)</f>
        <v>88.78455230789578</v>
      </c>
      <c r="S68" s="219">
        <f>IF(N78=0,0,M78/N78*100)</f>
        <v>88.78455230789578</v>
      </c>
      <c r="T68" s="219">
        <f>IF(N78=0,0,M78/N78*100)</f>
        <v>88.78455230789578</v>
      </c>
      <c r="U68" s="190">
        <f>IF(N78=0,0,M78/N78*100)</f>
        <v>88.78455230789578</v>
      </c>
      <c r="V68" s="218">
        <f>IF(N82=0,0,M82/N82*100)</f>
        <v>90.408435495140694</v>
      </c>
      <c r="W68" s="252"/>
    </row>
    <row r="69" spans="1:25" ht="18" customHeight="1" thickBot="1">
      <c r="A69" s="183">
        <v>12</v>
      </c>
      <c r="B69" s="189" t="s">
        <v>348</v>
      </c>
      <c r="C69" s="155"/>
      <c r="D69" s="190">
        <f t="shared" ref="D69:T69" si="21">(D64*D67*D68)/10000</f>
        <v>55.368251075902045</v>
      </c>
      <c r="E69" s="190">
        <f t="shared" si="21"/>
        <v>55.575425159492887</v>
      </c>
      <c r="F69" s="190">
        <f t="shared" si="21"/>
        <v>45.31972696235713</v>
      </c>
      <c r="G69" s="190">
        <f t="shared" si="21"/>
        <v>55.869573268742187</v>
      </c>
      <c r="H69" s="190">
        <f t="shared" si="21"/>
        <v>59.034926438027618</v>
      </c>
      <c r="I69" s="190">
        <f t="shared" si="21"/>
        <v>80.070942688148833</v>
      </c>
      <c r="J69" s="190">
        <f t="shared" si="21"/>
        <v>72.237303108663852</v>
      </c>
      <c r="K69" s="190">
        <f t="shared" si="21"/>
        <v>0</v>
      </c>
      <c r="L69" s="190">
        <f t="shared" si="21"/>
        <v>60.326415740739868</v>
      </c>
      <c r="M69" s="219">
        <f t="shared" si="21"/>
        <v>47.351761230877749</v>
      </c>
      <c r="N69" s="219">
        <f t="shared" si="21"/>
        <v>50.203628668646523</v>
      </c>
      <c r="O69" s="219">
        <f t="shared" si="21"/>
        <v>56.705847991888191</v>
      </c>
      <c r="P69" s="219">
        <f t="shared" si="21"/>
        <v>64.076924601417133</v>
      </c>
      <c r="Q69" s="219">
        <f t="shared" si="21"/>
        <v>54.116298549574559</v>
      </c>
      <c r="R69" s="219">
        <f t="shared" si="21"/>
        <v>49.83561477758672</v>
      </c>
      <c r="S69" s="219">
        <f t="shared" si="21"/>
        <v>72.01413687195992</v>
      </c>
      <c r="T69" s="219">
        <f t="shared" si="21"/>
        <v>0</v>
      </c>
      <c r="U69" s="190">
        <f>IF(10000=0,0,(U64*U67*U68)/10000)</f>
        <v>56.21117215615299</v>
      </c>
      <c r="V69" s="218">
        <f>IF(10000=0,0,(V64*V67*V68)/10000)</f>
        <v>58.290363666086201</v>
      </c>
      <c r="W69" s="252"/>
    </row>
    <row r="70" spans="1:25" ht="12.75" customHeight="1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5" ht="18" customHeight="1">
      <c r="A71" s="1352" t="s">
        <v>349</v>
      </c>
      <c r="B71" s="1352"/>
      <c r="C71" s="261" t="s">
        <v>350</v>
      </c>
      <c r="D71" s="260"/>
      <c r="E71" s="260"/>
      <c r="F71" s="260"/>
      <c r="G71" s="262" t="s">
        <v>263</v>
      </c>
      <c r="H71" s="262"/>
      <c r="I71" s="262"/>
      <c r="J71" s="262"/>
      <c r="K71" s="260"/>
      <c r="L71" s="260"/>
      <c r="M71" s="260"/>
      <c r="N71" s="262"/>
      <c r="O71" s="260"/>
      <c r="P71" s="262" t="s">
        <v>351</v>
      </c>
      <c r="Q71" s="262"/>
      <c r="R71" s="262"/>
      <c r="S71" s="262"/>
      <c r="T71" s="260"/>
      <c r="U71" s="260"/>
      <c r="V71" s="260"/>
      <c r="W71" s="284"/>
    </row>
    <row r="72" spans="1:25" ht="3.75" customHeight="1">
      <c r="D72" s="263"/>
      <c r="E72" s="263"/>
      <c r="G72" s="263"/>
      <c r="H72" s="263"/>
      <c r="I72" s="263"/>
      <c r="J72" s="263"/>
      <c r="K72" s="263"/>
      <c r="L72" s="263"/>
      <c r="M72" s="262"/>
      <c r="N72" s="263"/>
      <c r="O72" s="263"/>
      <c r="P72" s="280"/>
      <c r="Q72" s="280"/>
      <c r="R72" s="280"/>
      <c r="S72" s="280"/>
      <c r="T72" s="280"/>
      <c r="U72" s="260"/>
      <c r="V72" s="260"/>
      <c r="W72" s="284"/>
    </row>
    <row r="73" spans="1:25" ht="16.5" customHeight="1">
      <c r="B73" s="261"/>
      <c r="C73" s="261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0"/>
      <c r="V73" s="260"/>
      <c r="W73" s="284"/>
    </row>
    <row r="74" spans="1:25">
      <c r="A74" s="259"/>
      <c r="B74" s="259"/>
      <c r="C74" s="259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5">
      <c r="A75" s="259"/>
      <c r="B75" s="259"/>
      <c r="C75" s="259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5">
      <c r="A76" s="259"/>
      <c r="B76" s="259"/>
      <c r="C76" s="259"/>
      <c r="D76" s="1096" t="s">
        <v>70</v>
      </c>
      <c r="E76" s="260"/>
      <c r="F76" s="260"/>
      <c r="G76" s="260"/>
      <c r="H76" s="260"/>
      <c r="I76" s="260"/>
      <c r="J76" s="260"/>
      <c r="K76" s="260"/>
      <c r="L76" s="260"/>
      <c r="M76" s="1096" t="s">
        <v>73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B77" s="259"/>
      <c r="C77" s="1097"/>
      <c r="D77" s="1098" t="s">
        <v>51</v>
      </c>
      <c r="E77" s="1098" t="s">
        <v>50</v>
      </c>
      <c r="F77" s="260"/>
      <c r="G77" s="260"/>
      <c r="H77" s="260"/>
      <c r="I77" s="260"/>
      <c r="J77" s="260"/>
      <c r="K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</row>
    <row r="78" spans="1:25">
      <c r="A78" s="259"/>
      <c r="B78" s="259"/>
      <c r="C78" s="259"/>
      <c r="D78" s="1099">
        <v>7520</v>
      </c>
      <c r="E78" s="1099">
        <v>8182</v>
      </c>
      <c r="F78" s="264">
        <f>8/E78</f>
        <v>9.777560498655585E-4</v>
      </c>
      <c r="G78" s="260"/>
      <c r="H78" s="260"/>
      <c r="I78" s="260"/>
      <c r="J78" s="260"/>
      <c r="K78" s="260"/>
      <c r="L78" s="260"/>
      <c r="M78" s="1099">
        <v>6713</v>
      </c>
      <c r="N78" s="1099">
        <v>7561</v>
      </c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5">
      <c r="A79" s="259"/>
      <c r="B79" s="259"/>
      <c r="C79" s="259"/>
      <c r="D79" s="912"/>
      <c r="E79" s="265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265"/>
      <c r="E80" s="265"/>
      <c r="F80" s="260"/>
      <c r="G80" s="260"/>
      <c r="H80" s="260"/>
      <c r="I80" s="260"/>
      <c r="J80" s="260"/>
      <c r="K80" s="260"/>
      <c r="L80" s="260"/>
      <c r="M80" s="1096" t="s">
        <v>368</v>
      </c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1098" t="s">
        <v>51</v>
      </c>
      <c r="N81" s="1098" t="s">
        <v>50</v>
      </c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135">
        <f>D78+M78</f>
        <v>14233</v>
      </c>
      <c r="N82" s="1135">
        <f>E78+N78</f>
        <v>15743</v>
      </c>
      <c r="O82" s="281">
        <f>M82/N82</f>
        <v>0.90408435495140693</v>
      </c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 ht="28" thickBot="1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 ht="28" thickBot="1">
      <c r="A85" s="266" t="s">
        <v>353</v>
      </c>
      <c r="B85" s="267"/>
      <c r="C85" s="268"/>
      <c r="D85" s="269"/>
      <c r="E85" s="270" t="s">
        <v>354</v>
      </c>
      <c r="F85" s="270"/>
      <c r="G85" s="270"/>
      <c r="H85" s="270"/>
      <c r="I85" s="270"/>
      <c r="J85" s="270"/>
      <c r="K85" s="270"/>
      <c r="L85" s="282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271">
        <v>1</v>
      </c>
      <c r="B86" s="272" t="s">
        <v>223</v>
      </c>
      <c r="C86" s="273"/>
      <c r="D86" s="274"/>
      <c r="E86" s="275" t="s">
        <v>355</v>
      </c>
      <c r="F86" s="275"/>
      <c r="G86" s="275"/>
      <c r="H86" s="275"/>
      <c r="I86" s="275"/>
      <c r="J86" s="275"/>
      <c r="K86" s="275"/>
      <c r="L86" s="28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2</v>
      </c>
      <c r="B87" s="1101" t="s">
        <v>339</v>
      </c>
      <c r="C87" s="1102"/>
      <c r="D87" s="1103"/>
      <c r="E87" s="1104" t="s">
        <v>227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3</v>
      </c>
      <c r="B88" s="1101" t="s">
        <v>340</v>
      </c>
      <c r="C88" s="1102"/>
      <c r="D88" s="1103"/>
      <c r="E88" s="1104" t="s">
        <v>230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4</v>
      </c>
      <c r="B89" s="1101" t="s">
        <v>356</v>
      </c>
      <c r="C89" s="1102"/>
      <c r="D89" s="1103"/>
      <c r="E89" s="1104" t="s">
        <v>357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5</v>
      </c>
      <c r="B90" s="1101" t="s">
        <v>358</v>
      </c>
      <c r="C90" s="1102"/>
      <c r="D90" s="1103"/>
      <c r="E90" s="1104" t="s">
        <v>359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6</v>
      </c>
      <c r="B91" s="1101" t="s">
        <v>360</v>
      </c>
      <c r="C91" s="1102"/>
      <c r="D91" s="1103"/>
      <c r="E91" s="1104" t="s">
        <v>236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7</v>
      </c>
      <c r="B92" s="1101" t="s">
        <v>344</v>
      </c>
      <c r="C92" s="1102"/>
      <c r="D92" s="1103"/>
      <c r="E92" s="1104" t="s">
        <v>240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8</v>
      </c>
      <c r="B93" s="1101" t="s">
        <v>361</v>
      </c>
      <c r="C93" s="1102"/>
      <c r="D93" s="1103"/>
      <c r="E93" s="1104" t="s">
        <v>243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9</v>
      </c>
      <c r="B94" s="1101" t="s">
        <v>362</v>
      </c>
      <c r="C94" s="1102"/>
      <c r="D94" s="1103"/>
      <c r="E94" s="1104" t="s">
        <v>246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10</v>
      </c>
      <c r="B95" s="1101" t="s">
        <v>347</v>
      </c>
      <c r="C95" s="1102"/>
      <c r="D95" s="1103"/>
      <c r="E95" s="1104" t="s">
        <v>363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11</v>
      </c>
      <c r="B96" s="1105" t="s">
        <v>254</v>
      </c>
      <c r="C96" s="1102"/>
      <c r="D96" s="1103"/>
      <c r="E96" s="1104" t="s">
        <v>364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 ht="28" thickBot="1">
      <c r="A97" s="1106">
        <v>12</v>
      </c>
      <c r="B97" s="1107" t="s">
        <v>348</v>
      </c>
      <c r="C97" s="276"/>
      <c r="D97" s="277"/>
      <c r="E97" s="1108" t="s">
        <v>365</v>
      </c>
      <c r="F97" s="1108"/>
      <c r="G97" s="1108"/>
      <c r="H97" s="1108"/>
      <c r="I97" s="1108"/>
      <c r="J97" s="1108"/>
      <c r="K97" s="1108"/>
      <c r="L97" s="1109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 s="134" customFormat="1">
      <c r="D113" s="278"/>
      <c r="E113" s="278"/>
      <c r="F113" s="278"/>
      <c r="G113" s="279"/>
      <c r="H113" s="279"/>
      <c r="I113" s="279"/>
      <c r="J113" s="279"/>
      <c r="K113" s="279"/>
      <c r="L113" s="278"/>
      <c r="M113" s="278"/>
      <c r="N113" s="278"/>
      <c r="O113" s="278"/>
      <c r="P113" s="279"/>
      <c r="Q113" s="279"/>
      <c r="R113" s="279"/>
      <c r="S113" s="279"/>
      <c r="T113" s="279"/>
      <c r="U113" s="279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 s="134" customFormat="1"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 s="134" customFormat="1"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6:J46"/>
    <mergeCell ref="A71:B71"/>
    <mergeCell ref="T14:U14"/>
    <mergeCell ref="D52:J52"/>
    <mergeCell ref="D53:J53"/>
    <mergeCell ref="N53:V53"/>
    <mergeCell ref="D54:J54"/>
    <mergeCell ref="N54:V54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79" orientation="landscape" verticalDpi="36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16A2-B839-433A-B89D-1F937A558AF6}">
  <sheetPr codeName="Sheet27">
    <tabColor rgb="FFFFFF00"/>
    <pageSetUpPr fitToPage="1"/>
  </sheetPr>
  <dimension ref="A1:IV127"/>
  <sheetViews>
    <sheetView showGridLines="0" topLeftCell="A16" zoomScale="85" zoomScaleNormal="85" zoomScaleSheetLayoutView="70" workbookViewId="0">
      <selection activeCell="O6" sqref="O6:O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7" width="6.83203125" style="136" customWidth="1"/>
    <col min="8" max="8" width="7.58203125" style="136" customWidth="1"/>
    <col min="9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244574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4452</v>
      </c>
      <c r="AB4" s="256">
        <f>L59</f>
        <v>4336</v>
      </c>
      <c r="AC4" s="256">
        <f>L60</f>
        <v>265</v>
      </c>
      <c r="AD4" s="256">
        <f>L61</f>
        <v>2872.6666666666665</v>
      </c>
      <c r="AE4" s="256">
        <f>L21</f>
        <v>116</v>
      </c>
      <c r="AF4" s="256">
        <f>L26</f>
        <v>1168.3333333333328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3885</v>
      </c>
      <c r="AB5" s="256">
        <f>U59</f>
        <v>3761</v>
      </c>
      <c r="AC5" s="256">
        <f>U60</f>
        <v>230.00000000000003</v>
      </c>
      <c r="AD5" s="256">
        <f>U61</f>
        <v>2639</v>
      </c>
      <c r="AE5" s="256">
        <f>U21</f>
        <v>83</v>
      </c>
      <c r="AF5" s="256">
        <f>U26</f>
        <v>892.00000000000023</v>
      </c>
      <c r="AG5" s="256">
        <f>U28</f>
        <v>41</v>
      </c>
      <c r="AH5" s="256">
        <f>U43</f>
        <v>0</v>
      </c>
    </row>
    <row r="6" spans="1:256" ht="18.75" customHeight="1">
      <c r="A6" s="142" t="s">
        <v>291</v>
      </c>
      <c r="B6" s="910" t="s">
        <v>680</v>
      </c>
      <c r="C6" s="144">
        <v>3</v>
      </c>
      <c r="D6" s="145">
        <v>0.35069444444444442</v>
      </c>
      <c r="E6" s="145">
        <v>0.79166666666666663</v>
      </c>
      <c r="F6" s="146">
        <f>(E6-D6)*1440</f>
        <v>635</v>
      </c>
      <c r="G6" s="1365">
        <v>1135</v>
      </c>
      <c r="H6" s="1365"/>
      <c r="I6" s="1405">
        <v>1036</v>
      </c>
      <c r="J6" s="1406"/>
      <c r="K6" s="1370">
        <f>G6-I6</f>
        <v>99</v>
      </c>
      <c r="L6" s="1407"/>
      <c r="M6" s="145">
        <v>0.79166666666666663</v>
      </c>
      <c r="N6" s="145">
        <v>0.18055555555555555</v>
      </c>
      <c r="O6" s="146">
        <f t="shared" ref="O6:O12" si="0">(N6-M6+(N6&lt;M6))*1440</f>
        <v>560.00000000000011</v>
      </c>
      <c r="P6" s="1408">
        <v>1282</v>
      </c>
      <c r="Q6" s="1408"/>
      <c r="R6" s="1409">
        <v>1161</v>
      </c>
      <c r="S6" s="1408"/>
      <c r="T6" s="1421">
        <f>P6-R6</f>
        <v>121</v>
      </c>
      <c r="U6" s="1421"/>
      <c r="V6" s="224">
        <f t="shared" ref="V6:V13" si="1">F6+O6</f>
        <v>1195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0.34375</v>
      </c>
      <c r="E7" s="145">
        <v>0.79166666666666663</v>
      </c>
      <c r="F7" s="146">
        <f>(E7-D7)*1440</f>
        <v>645</v>
      </c>
      <c r="G7" s="1403">
        <v>1311</v>
      </c>
      <c r="H7" s="1404"/>
      <c r="I7" s="1403">
        <v>1200</v>
      </c>
      <c r="J7" s="1404"/>
      <c r="K7" s="1368">
        <f>G7-I7</f>
        <v>111</v>
      </c>
      <c r="L7" s="1397"/>
      <c r="M7" s="145">
        <v>0.79166666666666663</v>
      </c>
      <c r="N7" s="145">
        <v>0.17361111111111113</v>
      </c>
      <c r="O7" s="146">
        <f t="shared" si="0"/>
        <v>550.00000000000011</v>
      </c>
      <c r="P7" s="1398">
        <v>1225</v>
      </c>
      <c r="Q7" s="1398"/>
      <c r="R7" s="1398">
        <v>1116</v>
      </c>
      <c r="S7" s="1398"/>
      <c r="T7" s="1399">
        <f t="shared" ref="T7:T13" si="2">P7-R7</f>
        <v>109</v>
      </c>
      <c r="U7" s="1399"/>
      <c r="V7" s="224">
        <f t="shared" si="1"/>
        <v>1195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0.34027777777777773</v>
      </c>
      <c r="E8" s="145">
        <v>0.79166666666666663</v>
      </c>
      <c r="F8" s="146">
        <f>(E8-D8)*1440</f>
        <v>650</v>
      </c>
      <c r="G8" s="1403">
        <v>1380</v>
      </c>
      <c r="H8" s="1404"/>
      <c r="I8" s="1403">
        <v>1230</v>
      </c>
      <c r="J8" s="1404"/>
      <c r="K8" s="1368">
        <f t="shared" ref="K8:K13" si="3">G8-I8</f>
        <v>150</v>
      </c>
      <c r="L8" s="1397"/>
      <c r="M8" s="145">
        <v>0.79166666666666663</v>
      </c>
      <c r="N8" s="145">
        <v>0.1875</v>
      </c>
      <c r="O8" s="146">
        <f t="shared" si="0"/>
        <v>570</v>
      </c>
      <c r="P8" s="1398">
        <v>1120</v>
      </c>
      <c r="Q8" s="1398"/>
      <c r="R8" s="1398">
        <v>1021</v>
      </c>
      <c r="S8" s="1398"/>
      <c r="T8" s="1399">
        <f t="shared" si="2"/>
        <v>99</v>
      </c>
      <c r="U8" s="1399"/>
      <c r="V8" s="224">
        <f t="shared" si="1"/>
        <v>1220</v>
      </c>
      <c r="W8" s="226"/>
    </row>
    <row r="9" spans="1:256" ht="18.75" customHeight="1">
      <c r="A9" s="142" t="s">
        <v>294</v>
      </c>
      <c r="B9" s="910" t="s">
        <v>634</v>
      </c>
      <c r="C9" s="144">
        <v>3</v>
      </c>
      <c r="D9" s="145">
        <v>0.34583333333333338</v>
      </c>
      <c r="E9" s="145">
        <v>0.79166666666666663</v>
      </c>
      <c r="F9" s="146">
        <f>(E9-D9)*1440</f>
        <v>641.99999999999989</v>
      </c>
      <c r="G9" s="1403">
        <v>1409</v>
      </c>
      <c r="H9" s="1404"/>
      <c r="I9" s="1403">
        <v>1270</v>
      </c>
      <c r="J9" s="1404"/>
      <c r="K9" s="1368">
        <f t="shared" si="3"/>
        <v>139</v>
      </c>
      <c r="L9" s="1397"/>
      <c r="M9" s="145">
        <v>0.79166666666666663</v>
      </c>
      <c r="N9" s="145">
        <v>0.1875</v>
      </c>
      <c r="O9" s="146">
        <f t="shared" si="0"/>
        <v>570</v>
      </c>
      <c r="P9" s="1398">
        <v>1205</v>
      </c>
      <c r="Q9" s="1398"/>
      <c r="R9" s="1398">
        <v>1098</v>
      </c>
      <c r="S9" s="1398"/>
      <c r="T9" s="1399">
        <f t="shared" si="2"/>
        <v>107</v>
      </c>
      <c r="U9" s="1399"/>
      <c r="V9" s="224">
        <f t="shared" si="1"/>
        <v>1212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0.34722222222222227</v>
      </c>
      <c r="E10" s="145">
        <v>0.79166666666666663</v>
      </c>
      <c r="F10" s="146">
        <f>(E10-D10)*1440</f>
        <v>639.99999999999989</v>
      </c>
      <c r="G10" s="1403">
        <v>1520</v>
      </c>
      <c r="H10" s="1404"/>
      <c r="I10" s="1396">
        <v>1369</v>
      </c>
      <c r="J10" s="1396"/>
      <c r="K10" s="1368">
        <f t="shared" si="3"/>
        <v>151</v>
      </c>
      <c r="L10" s="1397"/>
      <c r="M10" s="145">
        <v>0.79166666666666663</v>
      </c>
      <c r="N10" s="145">
        <v>0.17708333333333334</v>
      </c>
      <c r="O10" s="146">
        <f t="shared" si="0"/>
        <v>555.00000000000011</v>
      </c>
      <c r="P10" s="1398">
        <v>1330</v>
      </c>
      <c r="Q10" s="1398"/>
      <c r="R10" s="1398">
        <v>1212</v>
      </c>
      <c r="S10" s="1398"/>
      <c r="T10" s="1399">
        <f t="shared" si="2"/>
        <v>118</v>
      </c>
      <c r="U10" s="1399"/>
      <c r="V10" s="224">
        <f t="shared" si="1"/>
        <v>1195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0.36805555555555558</v>
      </c>
      <c r="E11" s="145">
        <v>0.79166666666666663</v>
      </c>
      <c r="F11" s="146">
        <f t="shared" ref="F11:F12" si="4">(E11-D11)*1440</f>
        <v>609.99999999999989</v>
      </c>
      <c r="G11" s="1396">
        <v>1101</v>
      </c>
      <c r="H11" s="1396"/>
      <c r="I11" s="1396">
        <v>1020</v>
      </c>
      <c r="J11" s="1396"/>
      <c r="K11" s="1368">
        <f t="shared" si="3"/>
        <v>81</v>
      </c>
      <c r="L11" s="1397"/>
      <c r="M11" s="145">
        <v>0.79166666666666663</v>
      </c>
      <c r="N11" s="145">
        <v>0.16666666666666666</v>
      </c>
      <c r="O11" s="146">
        <f t="shared" si="0"/>
        <v>540</v>
      </c>
      <c r="P11" s="1398">
        <v>1273</v>
      </c>
      <c r="Q11" s="1398"/>
      <c r="R11" s="1398">
        <v>1153</v>
      </c>
      <c r="S11" s="1398"/>
      <c r="T11" s="1399">
        <f t="shared" si="2"/>
        <v>120</v>
      </c>
      <c r="U11" s="1399"/>
      <c r="V11" s="224">
        <f t="shared" si="1"/>
        <v>1150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0.35416666666666669</v>
      </c>
      <c r="E12" s="145">
        <v>0.79166666666666663</v>
      </c>
      <c r="F12" s="146">
        <f t="shared" si="4"/>
        <v>629.99999999999989</v>
      </c>
      <c r="G12" s="1396">
        <v>1557</v>
      </c>
      <c r="H12" s="1396"/>
      <c r="I12" s="1396">
        <v>1493</v>
      </c>
      <c r="J12" s="1396"/>
      <c r="K12" s="1368">
        <f t="shared" si="3"/>
        <v>64</v>
      </c>
      <c r="L12" s="1397"/>
      <c r="M12" s="145">
        <v>0.79166666666666663</v>
      </c>
      <c r="N12" s="145">
        <v>0.16666666666666666</v>
      </c>
      <c r="O12" s="146">
        <f t="shared" si="0"/>
        <v>540</v>
      </c>
      <c r="P12" s="1398">
        <v>1172</v>
      </c>
      <c r="Q12" s="1398"/>
      <c r="R12" s="1398">
        <v>1156</v>
      </c>
      <c r="S12" s="1398"/>
      <c r="T12" s="1399">
        <f t="shared" si="2"/>
        <v>16</v>
      </c>
      <c r="U12" s="1399"/>
      <c r="V12" s="224">
        <f t="shared" si="1"/>
        <v>1170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9"/>
      <c r="G13" s="1400"/>
      <c r="H13" s="1400"/>
      <c r="I13" s="1400"/>
      <c r="J13" s="1400"/>
      <c r="K13" s="1366">
        <f t="shared" si="3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0.35</v>
      </c>
      <c r="E14" s="152">
        <f>AVERAGE(E6:E13)</f>
        <v>0.79166666666666674</v>
      </c>
      <c r="F14" s="153">
        <f>SUM(F6:F13)</f>
        <v>4452</v>
      </c>
      <c r="G14" s="1362">
        <f>SUM(G6:H13)</f>
        <v>9413</v>
      </c>
      <c r="H14" s="1363"/>
      <c r="I14" s="1362">
        <f>SUM(I6:I13)</f>
        <v>8618</v>
      </c>
      <c r="J14" s="1363"/>
      <c r="K14" s="1362">
        <f>SUM(K6:K13)</f>
        <v>795</v>
      </c>
      <c r="L14" s="1394"/>
      <c r="M14" s="198">
        <f>AVERAGE(M6:M13)</f>
        <v>0.79166666666666674</v>
      </c>
      <c r="N14" s="199">
        <f>AVERAGE(N6:N13)</f>
        <v>0.17708333333333334</v>
      </c>
      <c r="O14" s="200">
        <f>SUM(O6:O13)</f>
        <v>3885</v>
      </c>
      <c r="P14" s="1392">
        <f>SUM(P6:P13)</f>
        <v>8607</v>
      </c>
      <c r="Q14" s="1393"/>
      <c r="R14" s="1392">
        <f>SUM(R6:R13)</f>
        <v>7917</v>
      </c>
      <c r="S14" s="1393"/>
      <c r="T14" s="1392">
        <f>SUM(T6:T13)</f>
        <v>690</v>
      </c>
      <c r="U14" s="1393"/>
      <c r="V14" s="228">
        <f>SUM(V6:V13)</f>
        <v>8337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5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6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5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6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5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6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20</v>
      </c>
      <c r="E19" s="1070">
        <f>3*5</f>
        <v>15</v>
      </c>
      <c r="F19" s="1070">
        <v>15</v>
      </c>
      <c r="G19" s="1070">
        <f>3*5</f>
        <v>15</v>
      </c>
      <c r="H19" s="1070">
        <f>3*5</f>
        <v>15</v>
      </c>
      <c r="I19" s="1070">
        <f>3*6</f>
        <v>18</v>
      </c>
      <c r="J19" s="1070">
        <f>3*6</f>
        <v>18</v>
      </c>
      <c r="K19" s="1070"/>
      <c r="L19" s="1112">
        <f t="shared" si="5"/>
        <v>116</v>
      </c>
      <c r="M19" s="1070">
        <f>3*5+4</f>
        <v>19</v>
      </c>
      <c r="N19" s="1059">
        <f>10</f>
        <v>10</v>
      </c>
      <c r="O19" s="1070">
        <f>3+3+6</f>
        <v>12</v>
      </c>
      <c r="P19" s="1070">
        <f>3+3+4</f>
        <v>10</v>
      </c>
      <c r="Q19" s="1070">
        <v>15</v>
      </c>
      <c r="R19" s="1070">
        <v>12</v>
      </c>
      <c r="S19" s="1070">
        <v>5</v>
      </c>
      <c r="T19" s="1070"/>
      <c r="U19" s="1113">
        <f t="shared" si="6"/>
        <v>83</v>
      </c>
      <c r="V19" s="1114">
        <f>L19+U19</f>
        <v>199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5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6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7">SUM(D16:D20)</f>
        <v>20</v>
      </c>
      <c r="E21" s="165">
        <f t="shared" si="7"/>
        <v>15</v>
      </c>
      <c r="F21" s="165">
        <f t="shared" si="7"/>
        <v>15</v>
      </c>
      <c r="G21" s="165">
        <f t="shared" si="7"/>
        <v>15</v>
      </c>
      <c r="H21" s="165">
        <f t="shared" si="7"/>
        <v>15</v>
      </c>
      <c r="I21" s="165">
        <f t="shared" si="7"/>
        <v>18</v>
      </c>
      <c r="J21" s="165">
        <f t="shared" si="7"/>
        <v>18</v>
      </c>
      <c r="K21" s="165">
        <f t="shared" si="7"/>
        <v>0</v>
      </c>
      <c r="L21" s="206">
        <f t="shared" si="5"/>
        <v>116</v>
      </c>
      <c r="M21" s="165">
        <f t="shared" ref="M21:T21" si="8">SUM(M16:M20)</f>
        <v>19</v>
      </c>
      <c r="N21" s="165">
        <f t="shared" si="8"/>
        <v>10</v>
      </c>
      <c r="O21" s="165">
        <f t="shared" si="8"/>
        <v>12</v>
      </c>
      <c r="P21" s="165">
        <f t="shared" si="8"/>
        <v>10</v>
      </c>
      <c r="Q21" s="165">
        <f t="shared" si="8"/>
        <v>15</v>
      </c>
      <c r="R21" s="165">
        <f t="shared" si="8"/>
        <v>12</v>
      </c>
      <c r="S21" s="165">
        <f t="shared" si="8"/>
        <v>5</v>
      </c>
      <c r="T21" s="165">
        <f t="shared" si="8"/>
        <v>0</v>
      </c>
      <c r="U21" s="165">
        <f t="shared" si="6"/>
        <v>83</v>
      </c>
      <c r="V21" s="1117">
        <f>L21+U21</f>
        <v>199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8+5+8+5</f>
        <v>26</v>
      </c>
      <c r="E23" s="159">
        <v>9</v>
      </c>
      <c r="F23" s="159">
        <f>2+3+8</f>
        <v>13</v>
      </c>
      <c r="G23" s="159">
        <v>5</v>
      </c>
      <c r="H23" s="159"/>
      <c r="I23" s="159">
        <v>6</v>
      </c>
      <c r="J23" s="159"/>
      <c r="K23" s="159"/>
      <c r="L23" s="208">
        <f>SUM(D23:K23)</f>
        <v>59</v>
      </c>
      <c r="M23" s="160"/>
      <c r="N23" s="160"/>
      <c r="O23" s="160">
        <v>5</v>
      </c>
      <c r="P23" s="160">
        <v>6</v>
      </c>
      <c r="Q23" s="160">
        <v>5</v>
      </c>
      <c r="R23" s="160"/>
      <c r="S23" s="160"/>
      <c r="T23" s="160"/>
      <c r="U23" s="238">
        <f>SUM(M23:T23)</f>
        <v>16</v>
      </c>
      <c r="V23" s="1112">
        <f>L23+U23</f>
        <v>75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2+5+4+2+5+8+6+5+7+10+5+6+5</f>
        <v>70</v>
      </c>
      <c r="E24" s="169">
        <f>2+5+4+2+5+8+6+5+7+10+5+6+5</f>
        <v>70</v>
      </c>
      <c r="F24" s="169">
        <f>3+2+5+4+2+5+8+6+5+7+10+5+6+5+8+6</f>
        <v>87</v>
      </c>
      <c r="G24" s="169">
        <f>2+5+4+2+5+8+6+5+3+4+2+8+5+6+5+11</f>
        <v>81</v>
      </c>
      <c r="H24" s="169">
        <f>2+5+4+2+5+8+6+5+7+10+5+6+5</f>
        <v>70</v>
      </c>
      <c r="I24" s="169">
        <f>4+5+6+9+10+8+6+6+5+11+4+3</f>
        <v>77</v>
      </c>
      <c r="J24" s="169">
        <f>4+5+6+7+5+8+6+6+6+10</f>
        <v>63</v>
      </c>
      <c r="K24" s="169"/>
      <c r="L24" s="1115">
        <f>SUM(D24:K24)</f>
        <v>518</v>
      </c>
      <c r="M24" s="1118">
        <f>4+3+5+3+4+3+3+2+5+6+10+6+6+4+5+13+5+4+2+3+6+2+3</f>
        <v>107</v>
      </c>
      <c r="N24" s="1119">
        <f>3+3+3+3+3+2+5+6+10+6+6+4+5+13+5+4+2+9+2</f>
        <v>94</v>
      </c>
      <c r="O24" s="1119">
        <f>2+2+2+2+3+3+2+3+4+3+6+3+3+1+5+2+5+6+10+6+5+3+5+4+13+5+3+4+6+2+13</f>
        <v>136</v>
      </c>
      <c r="P24" s="1119">
        <f>2+2+3+2+10+6+1+3+3+2+5+6+10+6+6+4+5+13+5+4+2+6+5</f>
        <v>111</v>
      </c>
      <c r="Q24" s="1119">
        <f>3+3+2+5+6+10+6+6+4+5+13+5+4+2+9+2</f>
        <v>85</v>
      </c>
      <c r="R24" s="1119">
        <f>6+12+9+4+5+9+6+23</f>
        <v>74</v>
      </c>
      <c r="S24" s="1119">
        <f>3+5+3+10+4+5+10+80</f>
        <v>120</v>
      </c>
      <c r="T24" s="1119"/>
      <c r="U24" s="1120">
        <f>SUM(M24:T24)</f>
        <v>727</v>
      </c>
      <c r="V24" s="1112">
        <f>L24+U24</f>
        <v>1245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$F6-D$60-D$61-D$21-D$23-D$24-D$34-D$43</f>
        <v>140.66666666666669</v>
      </c>
      <c r="E25" s="171">
        <f>$F7-E$60-E$61-E$21-E$23-E$24-E$34-E$43</f>
        <v>114</v>
      </c>
      <c r="F25" s="171">
        <f>$F8-F$60-F$61-F$21-F$23-F$24-F$34-F$43</f>
        <v>75</v>
      </c>
      <c r="G25" s="171">
        <f>$F9-G$60-G$61-G$21-G$23-G$24-G$34-G$43</f>
        <v>71.333333333333201</v>
      </c>
      <c r="H25" s="171">
        <f>$F11-H$60-H$61-H$21-H$23-H$24-H$34-H$43</f>
        <v>18.333333333333201</v>
      </c>
      <c r="I25" s="171">
        <f>$F11-I$60-I$61-I$21-I$23-I$24-I$34-I$43</f>
        <v>141.99999999999989</v>
      </c>
      <c r="J25" s="171">
        <f>$F12-J$60-J$61-J$21-J$23-J$24-J$34-J$43</f>
        <v>29.999999999999829</v>
      </c>
      <c r="K25" s="171">
        <f>$F13-K$60-K$61-K$21-K$23-K$24-K$34-K$43</f>
        <v>0</v>
      </c>
      <c r="L25" s="209">
        <f>SUM(D25:K25)</f>
        <v>591.3333333333328</v>
      </c>
      <c r="M25" s="171">
        <f>$O6-M$60-M$61-M$21-M$23-M$24-M$34-M$43</f>
        <v>6.6666666666667425</v>
      </c>
      <c r="N25" s="171">
        <f>$O7-N$60-N$61-N$21-N$23-N$24-N$34-N$43</f>
        <v>37.666666666666742</v>
      </c>
      <c r="O25" s="171">
        <f>$O8-O$60-O$61-O$21-O$23-O$24-O$34-O$43</f>
        <v>17.666666666666686</v>
      </c>
      <c r="P25" s="171">
        <f>$O9-P$60-P$61-P$21-P$23-P$24-P$34-P$43</f>
        <v>41.333333333333371</v>
      </c>
      <c r="Q25" s="171">
        <f>$O10-Q$60-Q$61-Q$21-Q$23-Q$24-Q$34-Q$43</f>
        <v>6.6666666666667425</v>
      </c>
      <c r="R25" s="171">
        <f>$O11-R$60-R$61-R$21-R$23-R$24-R$34-R$43</f>
        <v>14.666666666666686</v>
      </c>
      <c r="S25" s="171">
        <f>$O12-S$60-S$61-S$21-S$23-S$24-S$34-S$43</f>
        <v>24.333333333333314</v>
      </c>
      <c r="T25" s="171">
        <f>$O13-T$60-T$61-T$21-T$23-T$24-T$34-T$43</f>
        <v>0</v>
      </c>
      <c r="U25" s="239">
        <f>SUM(M25:T25)</f>
        <v>149.00000000000028</v>
      </c>
      <c r="V25" s="1112">
        <f>L25+U25</f>
        <v>740.33333333333303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236.66666666666669</v>
      </c>
      <c r="E26" s="172">
        <f t="shared" ref="E26:K26" si="9">SUM(E23:E25)</f>
        <v>193</v>
      </c>
      <c r="F26" s="172">
        <f t="shared" si="9"/>
        <v>175</v>
      </c>
      <c r="G26" s="172">
        <f t="shared" si="9"/>
        <v>157.3333333333332</v>
      </c>
      <c r="H26" s="172">
        <f t="shared" si="9"/>
        <v>88.333333333333201</v>
      </c>
      <c r="I26" s="172">
        <f t="shared" si="9"/>
        <v>224.99999999999989</v>
      </c>
      <c r="J26" s="172">
        <f t="shared" si="9"/>
        <v>92.999999999999829</v>
      </c>
      <c r="K26" s="172">
        <f t="shared" si="9"/>
        <v>0</v>
      </c>
      <c r="L26" s="210">
        <f>SUM(D26:K26)</f>
        <v>1168.3333333333328</v>
      </c>
      <c r="M26" s="211">
        <f>SUM(M23:M25)</f>
        <v>113.66666666666674</v>
      </c>
      <c r="N26" s="211">
        <f t="shared" ref="N26:T26" si="10">SUM(N23:N25)</f>
        <v>131.66666666666674</v>
      </c>
      <c r="O26" s="211">
        <f t="shared" si="10"/>
        <v>158.66666666666669</v>
      </c>
      <c r="P26" s="211">
        <f t="shared" si="10"/>
        <v>158.33333333333337</v>
      </c>
      <c r="Q26" s="211">
        <f t="shared" si="10"/>
        <v>96.666666666666742</v>
      </c>
      <c r="R26" s="211">
        <f t="shared" si="10"/>
        <v>88.666666666666686</v>
      </c>
      <c r="S26" s="211">
        <f t="shared" si="10"/>
        <v>144.33333333333331</v>
      </c>
      <c r="T26" s="211">
        <f t="shared" si="10"/>
        <v>0</v>
      </c>
      <c r="U26" s="240">
        <f>SUM(M26:T26)</f>
        <v>892.00000000000023</v>
      </c>
      <c r="V26" s="210">
        <f>L26+U26</f>
        <v>2060.333333333333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1">SUM(D28:K28)</f>
        <v>0</v>
      </c>
      <c r="M28" s="159"/>
      <c r="N28" s="159"/>
      <c r="O28" s="159">
        <v>26</v>
      </c>
      <c r="P28" s="159"/>
      <c r="Q28" s="159"/>
      <c r="R28" s="159">
        <v>15</v>
      </c>
      <c r="S28" s="159"/>
      <c r="T28" s="159"/>
      <c r="U28" s="242">
        <f t="shared" ref="U28:U34" si="12">SUM(M28:T28)</f>
        <v>41</v>
      </c>
      <c r="V28" s="243">
        <f t="shared" ref="V28:V34" si="13">L28+U28</f>
        <v>41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1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2"/>
        <v>0</v>
      </c>
      <c r="V29" s="244">
        <f t="shared" si="13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1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2"/>
        <v>0</v>
      </c>
      <c r="V30" s="1112">
        <f t="shared" si="13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1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2"/>
        <v>0</v>
      </c>
      <c r="V31" s="1112">
        <f t="shared" si="13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1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2"/>
        <v>0</v>
      </c>
      <c r="V32" s="1112">
        <f t="shared" si="13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1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2"/>
        <v>0</v>
      </c>
      <c r="V33" s="1112">
        <f t="shared" si="13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4">SUM(D28:D33)</f>
        <v>0</v>
      </c>
      <c r="E34" s="175">
        <f t="shared" si="14"/>
        <v>0</v>
      </c>
      <c r="F34" s="176">
        <f t="shared" si="14"/>
        <v>0</v>
      </c>
      <c r="G34" s="176">
        <f t="shared" si="14"/>
        <v>0</v>
      </c>
      <c r="H34" s="176">
        <f t="shared" si="14"/>
        <v>0</v>
      </c>
      <c r="I34" s="176">
        <f t="shared" si="14"/>
        <v>0</v>
      </c>
      <c r="J34" s="176">
        <f t="shared" si="14"/>
        <v>0</v>
      </c>
      <c r="K34" s="176">
        <f t="shared" si="14"/>
        <v>0</v>
      </c>
      <c r="L34" s="213">
        <f t="shared" si="11"/>
        <v>0</v>
      </c>
      <c r="M34" s="175">
        <f t="shared" ref="M34:T34" si="15">SUM(M28:M33)</f>
        <v>0</v>
      </c>
      <c r="N34" s="176">
        <f t="shared" si="15"/>
        <v>0</v>
      </c>
      <c r="O34" s="176">
        <f t="shared" si="15"/>
        <v>26</v>
      </c>
      <c r="P34" s="176">
        <f t="shared" si="15"/>
        <v>0</v>
      </c>
      <c r="Q34" s="176">
        <f t="shared" si="15"/>
        <v>0</v>
      </c>
      <c r="R34" s="176">
        <f t="shared" si="15"/>
        <v>15</v>
      </c>
      <c r="S34" s="176">
        <f t="shared" si="15"/>
        <v>0</v>
      </c>
      <c r="T34" s="176">
        <f t="shared" si="15"/>
        <v>0</v>
      </c>
      <c r="U34" s="246">
        <f t="shared" si="12"/>
        <v>41</v>
      </c>
      <c r="V34" s="213">
        <f t="shared" si="13"/>
        <v>41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6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7">SUM(M36:T36)</f>
        <v>0</v>
      </c>
      <c r="V36" s="243">
        <f t="shared" ref="V36:V43" si="18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6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7"/>
        <v>0</v>
      </c>
      <c r="V37" s="1114">
        <f t="shared" si="18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6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7"/>
        <v>0</v>
      </c>
      <c r="V38" s="1114">
        <f t="shared" si="18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6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7"/>
        <v>0</v>
      </c>
      <c r="V39" s="1114">
        <f t="shared" si="18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6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7"/>
        <v>0</v>
      </c>
      <c r="V40" s="1114">
        <f t="shared" si="18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6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7"/>
        <v>0</v>
      </c>
      <c r="V41" s="1114">
        <f t="shared" si="18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6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7"/>
        <v>0</v>
      </c>
      <c r="V42" s="1114">
        <f t="shared" si="18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9">SUM(D36:D42)</f>
        <v>0</v>
      </c>
      <c r="E43" s="177">
        <f t="shared" si="19"/>
        <v>0</v>
      </c>
      <c r="F43" s="177">
        <f t="shared" si="19"/>
        <v>0</v>
      </c>
      <c r="G43" s="177">
        <f t="shared" si="19"/>
        <v>0</v>
      </c>
      <c r="H43" s="177">
        <f t="shared" si="19"/>
        <v>0</v>
      </c>
      <c r="I43" s="177">
        <f t="shared" si="19"/>
        <v>0</v>
      </c>
      <c r="J43" s="177">
        <f t="shared" si="19"/>
        <v>0</v>
      </c>
      <c r="K43" s="177">
        <f t="shared" si="19"/>
        <v>0</v>
      </c>
      <c r="L43" s="213">
        <f t="shared" si="16"/>
        <v>0</v>
      </c>
      <c r="M43" s="177">
        <f t="shared" ref="M43:T43" si="20">SUM(M36:M42)</f>
        <v>0</v>
      </c>
      <c r="N43" s="177">
        <f t="shared" si="20"/>
        <v>0</v>
      </c>
      <c r="O43" s="177">
        <f t="shared" si="20"/>
        <v>0</v>
      </c>
      <c r="P43" s="177">
        <f t="shared" si="20"/>
        <v>0</v>
      </c>
      <c r="Q43" s="177">
        <f t="shared" si="20"/>
        <v>0</v>
      </c>
      <c r="R43" s="177">
        <f t="shared" si="20"/>
        <v>0</v>
      </c>
      <c r="S43" s="177">
        <f t="shared" si="20"/>
        <v>0</v>
      </c>
      <c r="T43" s="177">
        <f t="shared" si="20"/>
        <v>0</v>
      </c>
      <c r="U43" s="165">
        <f t="shared" si="17"/>
        <v>0</v>
      </c>
      <c r="V43" s="213">
        <f t="shared" si="18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687</v>
      </c>
      <c r="B45" s="1039">
        <v>21.26</v>
      </c>
      <c r="C45" s="1038">
        <v>26</v>
      </c>
      <c r="D45" s="1349" t="s">
        <v>686</v>
      </c>
      <c r="E45" s="1350"/>
      <c r="F45" s="1350"/>
      <c r="G45" s="1350"/>
      <c r="H45" s="1350"/>
      <c r="I45" s="1350"/>
      <c r="J45" s="1351"/>
      <c r="K45" s="1059" t="s">
        <v>293</v>
      </c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645</v>
      </c>
      <c r="B46" s="1039">
        <v>21.45</v>
      </c>
      <c r="C46" s="1123">
        <v>15</v>
      </c>
      <c r="D46" s="1349" t="s">
        <v>685</v>
      </c>
      <c r="E46" s="1350"/>
      <c r="F46" s="1350"/>
      <c r="G46" s="1350"/>
      <c r="H46" s="1350"/>
      <c r="I46" s="1350"/>
      <c r="J46" s="1351"/>
      <c r="K46" s="1059" t="s">
        <v>296</v>
      </c>
      <c r="L46" s="1069"/>
      <c r="M46" s="1072"/>
      <c r="N46" s="107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/>
      <c r="B47" s="1039"/>
      <c r="C47" s="1038"/>
      <c r="D47" s="1349"/>
      <c r="E47" s="1350"/>
      <c r="F47" s="1350"/>
      <c r="G47" s="1350"/>
      <c r="H47" s="1350"/>
      <c r="I47" s="1350"/>
      <c r="J47" s="1351"/>
      <c r="K47" s="1059"/>
      <c r="L47" s="1065"/>
      <c r="M47" s="1065"/>
      <c r="N47" s="1353"/>
      <c r="O47" s="1354"/>
      <c r="P47" s="1354"/>
      <c r="Q47" s="1354"/>
      <c r="R47" s="1354"/>
      <c r="S47" s="1354"/>
      <c r="T47" s="1354"/>
      <c r="U47" s="1354"/>
      <c r="V47" s="1355"/>
      <c r="W47" s="250"/>
    </row>
    <row r="48" spans="1:23" ht="15" customHeight="1">
      <c r="A48" s="1231"/>
      <c r="B48" s="1232"/>
      <c r="C48" s="1196"/>
      <c r="D48" s="1234"/>
      <c r="E48" s="932"/>
      <c r="F48" s="932"/>
      <c r="G48" s="932"/>
      <c r="H48" s="932"/>
      <c r="I48" s="932"/>
      <c r="J48" s="932"/>
      <c r="K48" s="1059"/>
      <c r="L48" s="1198"/>
      <c r="M48" s="929"/>
      <c r="N48" s="1242"/>
      <c r="O48" s="931"/>
      <c r="P48" s="932"/>
      <c r="Q48" s="932"/>
      <c r="R48" s="932"/>
      <c r="S48" s="932"/>
      <c r="T48" s="932"/>
      <c r="U48" s="932"/>
      <c r="V48" s="934"/>
      <c r="W48" s="250"/>
    </row>
    <row r="49" spans="1:25" ht="15" customHeight="1">
      <c r="A49" s="1058"/>
      <c r="B49" s="1066"/>
      <c r="C49" s="1070"/>
      <c r="D49" s="1356"/>
      <c r="E49" s="1357"/>
      <c r="F49" s="1357"/>
      <c r="G49" s="1357"/>
      <c r="H49" s="1357"/>
      <c r="I49" s="1357"/>
      <c r="J49" s="1357"/>
      <c r="K49" s="1059"/>
      <c r="L49" s="1069"/>
      <c r="M49" s="1070"/>
      <c r="N49" s="1349"/>
      <c r="O49" s="1358"/>
      <c r="P49" s="1358"/>
      <c r="Q49" s="1358"/>
      <c r="R49" s="1358"/>
      <c r="S49" s="1358"/>
      <c r="T49" s="1358"/>
      <c r="U49" s="1358"/>
      <c r="V49" s="1359"/>
      <c r="W49" s="250"/>
    </row>
    <row r="50" spans="1:25" ht="15" customHeight="1">
      <c r="A50" s="1075"/>
      <c r="B50" s="1076"/>
      <c r="C50" s="1124"/>
      <c r="D50" s="1077"/>
      <c r="E50" s="1063"/>
      <c r="F50" s="1063"/>
      <c r="G50" s="1063"/>
      <c r="H50" s="1063"/>
      <c r="I50" s="1063"/>
      <c r="J50" s="1063"/>
      <c r="K50" s="1059"/>
      <c r="L50" s="1069"/>
      <c r="M50" s="1070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6"/>
      <c r="C51" s="1124"/>
      <c r="D51" s="1077"/>
      <c r="E51" s="1063"/>
      <c r="F51" s="1063"/>
      <c r="G51" s="1063"/>
      <c r="H51" s="1063"/>
      <c r="I51" s="1063"/>
      <c r="J51" s="1063"/>
      <c r="K51" s="1059"/>
      <c r="L51" s="1069"/>
      <c r="M51" s="1070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>
      <c r="A52" s="1075"/>
      <c r="B52" s="1076"/>
      <c r="C52" s="1124"/>
      <c r="D52" s="1077"/>
      <c r="E52" s="1063"/>
      <c r="F52" s="1063"/>
      <c r="G52" s="1063"/>
      <c r="H52" s="1063"/>
      <c r="I52" s="1063"/>
      <c r="J52" s="1063"/>
      <c r="K52" s="1059"/>
      <c r="L52" s="1069"/>
      <c r="M52" s="1070"/>
      <c r="N52" s="1063"/>
      <c r="O52" s="1074"/>
      <c r="P52" s="1063"/>
      <c r="Q52" s="1063"/>
      <c r="R52" s="1063"/>
      <c r="S52" s="1063"/>
      <c r="T52" s="1063"/>
      <c r="U52" s="1063"/>
      <c r="V52" s="1064"/>
      <c r="W52" s="250"/>
    </row>
    <row r="53" spans="1:25" ht="15" customHeight="1">
      <c r="A53" s="1075"/>
      <c r="B53" s="1078"/>
      <c r="C53" s="1123"/>
      <c r="D53" s="1079"/>
      <c r="E53" s="1063"/>
      <c r="F53" s="1063"/>
      <c r="G53" s="1063"/>
      <c r="H53" s="1063"/>
      <c r="I53" s="1063"/>
      <c r="J53" s="1063"/>
      <c r="K53" s="1059"/>
      <c r="L53" s="1069"/>
      <c r="M53" s="1072"/>
      <c r="N53" s="1063"/>
      <c r="O53" s="1074"/>
      <c r="P53" s="1063"/>
      <c r="Q53" s="1063"/>
      <c r="R53" s="1063"/>
      <c r="S53" s="1063"/>
      <c r="T53" s="1063"/>
      <c r="U53" s="1063"/>
      <c r="V53" s="1064"/>
      <c r="W53" s="250"/>
    </row>
    <row r="54" spans="1:25" ht="15" customHeight="1">
      <c r="A54" s="1231"/>
      <c r="B54" s="1232"/>
      <c r="C54" s="1196"/>
      <c r="D54" s="1234"/>
      <c r="E54" s="932"/>
      <c r="F54" s="932"/>
      <c r="G54" s="932"/>
      <c r="H54" s="932"/>
      <c r="I54" s="932"/>
      <c r="J54" s="932"/>
      <c r="K54" s="1059"/>
      <c r="L54" s="1198"/>
      <c r="M54" s="1243"/>
      <c r="N54" s="1244"/>
      <c r="O54" s="931"/>
      <c r="P54" s="932"/>
      <c r="Q54" s="932"/>
      <c r="R54" s="932"/>
      <c r="S54" s="932"/>
      <c r="T54" s="932"/>
      <c r="U54" s="932"/>
      <c r="V54" s="934"/>
      <c r="W54" s="250"/>
    </row>
    <row r="55" spans="1:25" ht="15" customHeight="1">
      <c r="A55" s="1231"/>
      <c r="B55" s="1232"/>
      <c r="C55" s="1196"/>
      <c r="D55" s="1197"/>
      <c r="E55" s="932"/>
      <c r="F55" s="932"/>
      <c r="G55" s="932"/>
      <c r="H55" s="932"/>
      <c r="I55" s="932"/>
      <c r="J55" s="932"/>
      <c r="K55" s="1059"/>
      <c r="L55" s="1198"/>
      <c r="M55" s="929"/>
      <c r="N55" s="1199"/>
      <c r="O55" s="931"/>
      <c r="P55" s="932"/>
      <c r="Q55" s="932"/>
      <c r="R55" s="932"/>
      <c r="S55" s="932"/>
      <c r="T55" s="932"/>
      <c r="U55" s="932"/>
      <c r="V55" s="934"/>
      <c r="W55" s="250"/>
    </row>
    <row r="56" spans="1:25" ht="15" customHeight="1">
      <c r="A56" s="1231"/>
      <c r="B56" s="1232"/>
      <c r="C56" s="1196"/>
      <c r="D56" s="1197"/>
      <c r="E56" s="932"/>
      <c r="F56" s="932"/>
      <c r="G56" s="932"/>
      <c r="H56" s="932"/>
      <c r="I56" s="932"/>
      <c r="J56" s="932"/>
      <c r="K56" s="1059"/>
      <c r="L56" s="1198"/>
      <c r="M56" s="929"/>
      <c r="N56" s="1239"/>
      <c r="O56" s="931"/>
      <c r="P56" s="932"/>
      <c r="Q56" s="932"/>
      <c r="R56" s="932"/>
      <c r="S56" s="932"/>
      <c r="T56" s="932"/>
      <c r="U56" s="932"/>
      <c r="V56" s="934"/>
      <c r="W56" s="250"/>
    </row>
    <row r="57" spans="1:25" ht="15" customHeight="1" thickBot="1">
      <c r="A57" s="1080"/>
      <c r="B57" s="1081"/>
      <c r="C57" s="1125"/>
      <c r="D57" s="1082"/>
      <c r="E57" s="1083"/>
      <c r="F57" s="1083"/>
      <c r="G57" s="1083"/>
      <c r="H57" s="1083"/>
      <c r="I57" s="1083"/>
      <c r="J57" s="1083"/>
      <c r="K57" s="1069"/>
      <c r="L57" s="1084"/>
      <c r="M57" s="1126"/>
      <c r="N57" s="216"/>
      <c r="O57" s="1127"/>
      <c r="P57" s="1083"/>
      <c r="Q57" s="1083"/>
      <c r="R57" s="1083"/>
      <c r="S57" s="1083"/>
      <c r="T57" s="1083"/>
      <c r="U57" s="1083"/>
      <c r="V57" s="1128"/>
      <c r="W57" s="250"/>
    </row>
    <row r="58" spans="1:25" ht="18" customHeight="1" thickBot="1">
      <c r="A58" s="183" t="s">
        <v>337</v>
      </c>
      <c r="B58" s="184" t="s">
        <v>338</v>
      </c>
      <c r="C58" s="184"/>
      <c r="D58" s="166" t="s">
        <v>300</v>
      </c>
      <c r="E58" s="166" t="s">
        <v>301</v>
      </c>
      <c r="F58" s="166" t="s">
        <v>302</v>
      </c>
      <c r="G58" s="166" t="s">
        <v>303</v>
      </c>
      <c r="H58" s="166" t="s">
        <v>304</v>
      </c>
      <c r="I58" s="166" t="s">
        <v>305</v>
      </c>
      <c r="J58" s="166" t="s">
        <v>306</v>
      </c>
      <c r="K58" s="166" t="s">
        <v>307</v>
      </c>
      <c r="L58" s="207" t="s">
        <v>173</v>
      </c>
      <c r="M58" s="166" t="s">
        <v>300</v>
      </c>
      <c r="N58" s="166" t="s">
        <v>301</v>
      </c>
      <c r="O58" s="166" t="s">
        <v>302</v>
      </c>
      <c r="P58" s="166" t="s">
        <v>303</v>
      </c>
      <c r="Q58" s="166" t="s">
        <v>304</v>
      </c>
      <c r="R58" s="166" t="s">
        <v>305</v>
      </c>
      <c r="S58" s="166" t="s">
        <v>306</v>
      </c>
      <c r="T58" s="166" t="s">
        <v>307</v>
      </c>
      <c r="U58" s="166" t="s">
        <v>173</v>
      </c>
      <c r="V58" s="207" t="s">
        <v>367</v>
      </c>
      <c r="W58" s="231"/>
    </row>
    <row r="59" spans="1:25" ht="18" customHeight="1">
      <c r="A59" s="185">
        <v>1</v>
      </c>
      <c r="B59" s="186" t="s">
        <v>223</v>
      </c>
      <c r="C59" s="158"/>
      <c r="D59" s="187">
        <f>$F6-D$21-D$43-D$34</f>
        <v>615</v>
      </c>
      <c r="E59" s="187">
        <f>$F7-E$21-E$43-E$34</f>
        <v>630</v>
      </c>
      <c r="F59" s="187">
        <f>$F8-F$21-F$43-F$34</f>
        <v>635</v>
      </c>
      <c r="G59" s="187">
        <f>$F9-G$21-G$43-G$34</f>
        <v>626.99999999999989</v>
      </c>
      <c r="H59" s="187">
        <f>$F10-H$21-H$43-H$34</f>
        <v>624.99999999999989</v>
      </c>
      <c r="I59" s="187">
        <f>$F11-I$21-I$43-I$34</f>
        <v>591.99999999999989</v>
      </c>
      <c r="J59" s="187">
        <f>$F12-J$21-J$43-J$34</f>
        <v>611.99999999999989</v>
      </c>
      <c r="K59" s="187">
        <f>$F13-K$21-K$43-K$34</f>
        <v>0</v>
      </c>
      <c r="L59" s="202">
        <f>SUM(D59:K59)</f>
        <v>4336</v>
      </c>
      <c r="M59" s="187">
        <f>O6-M21-M43-M34</f>
        <v>541.00000000000011</v>
      </c>
      <c r="N59" s="187">
        <f>O7-N21-N43-N34</f>
        <v>540.00000000000011</v>
      </c>
      <c r="O59" s="187">
        <f>O8-O21-O43-O34</f>
        <v>532</v>
      </c>
      <c r="P59" s="187">
        <f>O9-P21-P43-P34</f>
        <v>560</v>
      </c>
      <c r="Q59" s="187">
        <f>O10-Q21-Q43-Q34</f>
        <v>540.00000000000011</v>
      </c>
      <c r="R59" s="187">
        <f>O11-R21-R43-R34</f>
        <v>513</v>
      </c>
      <c r="S59" s="187">
        <f>O12-S21-S43-S34</f>
        <v>535</v>
      </c>
      <c r="T59" s="187">
        <f>O13-T21-T43-T34</f>
        <v>0</v>
      </c>
      <c r="U59" s="242">
        <f>SUM(M59:T59)</f>
        <v>3761</v>
      </c>
      <c r="V59" s="202">
        <f>L59+U59</f>
        <v>8097</v>
      </c>
      <c r="W59" s="233"/>
    </row>
    <row r="60" spans="1:25" ht="18" customHeight="1">
      <c r="A60" s="1085">
        <v>2</v>
      </c>
      <c r="B60" s="1086" t="s">
        <v>339</v>
      </c>
      <c r="C60" s="1046"/>
      <c r="D60" s="1087">
        <f>$K6/$C6</f>
        <v>33</v>
      </c>
      <c r="E60" s="1087">
        <f>$K7/$C7</f>
        <v>37</v>
      </c>
      <c r="F60" s="1087">
        <f>$K8/$C8</f>
        <v>50</v>
      </c>
      <c r="G60" s="1087">
        <f>$K9/$C9</f>
        <v>46.333333333333336</v>
      </c>
      <c r="H60" s="1087">
        <f>$K10/$C10</f>
        <v>50.333333333333336</v>
      </c>
      <c r="I60" s="1087">
        <f>$K11/$C11</f>
        <v>27</v>
      </c>
      <c r="J60" s="1087">
        <f>$K12/$C12</f>
        <v>21.333333333333332</v>
      </c>
      <c r="K60" s="1087">
        <f>$K13/$C13</f>
        <v>0</v>
      </c>
      <c r="L60" s="1112">
        <f>SUM(D60:K60)</f>
        <v>265</v>
      </c>
      <c r="M60" s="1087">
        <f>T6/C6</f>
        <v>40.333333333333336</v>
      </c>
      <c r="N60" s="1087">
        <f>T7/C7</f>
        <v>36.333333333333336</v>
      </c>
      <c r="O60" s="1087">
        <f>$T$8/$C$8</f>
        <v>33</v>
      </c>
      <c r="P60" s="1087">
        <f>$T$9/$C$9</f>
        <v>35.666666666666664</v>
      </c>
      <c r="Q60" s="1087">
        <f>$T$10/$C$10</f>
        <v>39.333333333333336</v>
      </c>
      <c r="R60" s="1087">
        <f>$T$11/$C$11</f>
        <v>40</v>
      </c>
      <c r="S60" s="1087">
        <f>$T$12/$C$12</f>
        <v>5.333333333333333</v>
      </c>
      <c r="T60" s="1087">
        <f>$T$13/$C$13</f>
        <v>0</v>
      </c>
      <c r="U60" s="1129">
        <f>SUM(M60:T60)</f>
        <v>230.00000000000003</v>
      </c>
      <c r="V60" s="1112">
        <f>L60+U60</f>
        <v>495</v>
      </c>
      <c r="W60" s="233"/>
    </row>
    <row r="61" spans="1:25" ht="18" customHeight="1" thickBot="1">
      <c r="A61" s="1031">
        <v>3</v>
      </c>
      <c r="B61" s="1088" t="s">
        <v>340</v>
      </c>
      <c r="C61" s="1056"/>
      <c r="D61" s="1087">
        <f>$I6/$C6</f>
        <v>345.33333333333331</v>
      </c>
      <c r="E61" s="1087">
        <f>$I7/$C7</f>
        <v>400</v>
      </c>
      <c r="F61" s="1087">
        <f>$I8/$C8</f>
        <v>410</v>
      </c>
      <c r="G61" s="1087">
        <f>$I9/$C9</f>
        <v>423.33333333333331</v>
      </c>
      <c r="H61" s="1087">
        <f>$I10/$C10</f>
        <v>456.33333333333331</v>
      </c>
      <c r="I61" s="1087">
        <f>$I11/$C11</f>
        <v>340</v>
      </c>
      <c r="J61" s="1087">
        <f>$I12/$C12</f>
        <v>497.66666666666669</v>
      </c>
      <c r="K61" s="1087">
        <f>$I13/$C13</f>
        <v>0</v>
      </c>
      <c r="L61" s="1115">
        <f>SUM(D61:K61)</f>
        <v>2872.6666666666665</v>
      </c>
      <c r="M61" s="1130">
        <f>R6/C6</f>
        <v>387</v>
      </c>
      <c r="N61" s="1130">
        <f>R7/C7</f>
        <v>372</v>
      </c>
      <c r="O61" s="1130">
        <f>R8/C8</f>
        <v>340.33333333333331</v>
      </c>
      <c r="P61" s="1130">
        <f>R9/C9</f>
        <v>366</v>
      </c>
      <c r="Q61" s="1130">
        <f>R10/C10</f>
        <v>404</v>
      </c>
      <c r="R61" s="1130">
        <f>R11/C11</f>
        <v>384.33333333333331</v>
      </c>
      <c r="S61" s="1130">
        <f>R12/C12</f>
        <v>385.33333333333331</v>
      </c>
      <c r="T61" s="1130">
        <f>R13/C13</f>
        <v>0</v>
      </c>
      <c r="U61" s="1131">
        <f>SUM(M61:T61)</f>
        <v>2639</v>
      </c>
      <c r="V61" s="1115">
        <f>L61+U61</f>
        <v>5511.6666666666661</v>
      </c>
      <c r="W61" s="233"/>
    </row>
    <row r="62" spans="1:25" ht="18" customHeight="1">
      <c r="A62" s="185">
        <v>4</v>
      </c>
      <c r="B62" s="186" t="s">
        <v>341</v>
      </c>
      <c r="C62" s="158"/>
      <c r="D62" s="188">
        <f>IF(F6=0,0,D21/F6*100)</f>
        <v>3.1496062992125982</v>
      </c>
      <c r="E62" s="188">
        <f>IF(F7=0,0,E21/F7*100)</f>
        <v>2.3255813953488373</v>
      </c>
      <c r="F62" s="188">
        <f>IF(F8=0,0,F21/F8*100)</f>
        <v>2.3076923076923079</v>
      </c>
      <c r="G62" s="188">
        <f>IF(F9=0,0,G21/F9*100)</f>
        <v>2.3364485981308416</v>
      </c>
      <c r="H62" s="188">
        <f>IF(F10=0,0,H21/F10*100)</f>
        <v>2.3437500000000004</v>
      </c>
      <c r="I62" s="188">
        <f>IF(F11=0,0,I21/F11*100)</f>
        <v>2.9508196721311482</v>
      </c>
      <c r="J62" s="188">
        <f>IF(F12=0,0,J21/F12*100)</f>
        <v>2.8571428571428577</v>
      </c>
      <c r="K62" s="188">
        <f>IF(F13=0,0,K21/F13*100)</f>
        <v>0</v>
      </c>
      <c r="L62" s="217">
        <f>IF(F14=0,0,L21/F14*100)</f>
        <v>2.6055705300988321</v>
      </c>
      <c r="M62" s="188">
        <f>IF(O6=0,0,M21/O6*100)</f>
        <v>3.3928571428571419</v>
      </c>
      <c r="N62" s="188">
        <f>IF(O7=0,0,N21/O7*100)</f>
        <v>1.8181818181818177</v>
      </c>
      <c r="O62" s="188">
        <f>IF(O8=0,0,O21/O8*100)</f>
        <v>2.1052631578947367</v>
      </c>
      <c r="P62" s="188">
        <f>IF(O9=0,0,P21/O9*100)</f>
        <v>1.7543859649122806</v>
      </c>
      <c r="Q62" s="188">
        <f>IF(O10=0,0,Q21/O10*100)</f>
        <v>2.7027027027027022</v>
      </c>
      <c r="R62" s="188">
        <f>IF(O11=0,0,R21/O11*100)</f>
        <v>2.2222222222222223</v>
      </c>
      <c r="S62" s="188">
        <f>IF(O12=0,0,S21/O12*100)</f>
        <v>0.92592592592592582</v>
      </c>
      <c r="T62" s="188">
        <f>IF(O13=0,0,T21/O13*100)</f>
        <v>0</v>
      </c>
      <c r="U62" s="251">
        <f>IF(O14=0,0,U21/O14*100)</f>
        <v>2.1364221364221363</v>
      </c>
      <c r="V62" s="217">
        <f>IF((F14+O14)=0,0,V21/(F14+O14)*100)</f>
        <v>2.3869497421134698</v>
      </c>
      <c r="W62" s="252"/>
    </row>
    <row r="63" spans="1:25" ht="18" customHeight="1">
      <c r="A63" s="1085">
        <v>5</v>
      </c>
      <c r="B63" s="1086" t="s">
        <v>342</v>
      </c>
      <c r="C63" s="1046"/>
      <c r="D63" s="1090">
        <f>IF(F6=0,0,D34/F6*100)</f>
        <v>0</v>
      </c>
      <c r="E63" s="1090">
        <f>IF(F7=0,0,E34/F7*100)</f>
        <v>0</v>
      </c>
      <c r="F63" s="1090">
        <f>IF(F8=0,0,F34/F8*100)</f>
        <v>0</v>
      </c>
      <c r="G63" s="1090">
        <f>IF(F9=0,0,G34/F9*100)</f>
        <v>0</v>
      </c>
      <c r="H63" s="1090">
        <f>IF(F10=0,0,H34/F10*100)</f>
        <v>0</v>
      </c>
      <c r="I63" s="1090">
        <f>IF(F11=0,0,I34/F11*100)</f>
        <v>0</v>
      </c>
      <c r="J63" s="1090">
        <f>IF(F12=0,0,J34/F12*100)</f>
        <v>0</v>
      </c>
      <c r="K63" s="1090">
        <f>IF(F13=0,0,K34/F13*100)</f>
        <v>0</v>
      </c>
      <c r="L63" s="1132">
        <f>IF(F14=0,0,L34/F14*100)</f>
        <v>0</v>
      </c>
      <c r="M63" s="1090">
        <f>IF(O6=0,0,M34/O6*100)</f>
        <v>0</v>
      </c>
      <c r="N63" s="1090">
        <f>IF(O7=0,0,N34/O7*100)</f>
        <v>0</v>
      </c>
      <c r="O63" s="1090">
        <f>IF(O8=0,0,O34/O8*100)</f>
        <v>4.5614035087719298</v>
      </c>
      <c r="P63" s="1090">
        <f>IF(O9=0,0,P34/O9*100)</f>
        <v>0</v>
      </c>
      <c r="Q63" s="1090">
        <f>IF(O10=0,0,Q34/O10*100)</f>
        <v>0</v>
      </c>
      <c r="R63" s="1090">
        <f>IF(O11=0,0,R34/O11*100)</f>
        <v>2.7777777777777777</v>
      </c>
      <c r="S63" s="1090">
        <f>IF(O12=0,0,S34/O12*100)</f>
        <v>0</v>
      </c>
      <c r="T63" s="1090">
        <f>IF(O13=0,0,T34/O13*100)</f>
        <v>0</v>
      </c>
      <c r="U63" s="1133">
        <f>IF(O14=0,0,U34/O14*100)</f>
        <v>1.0553410553410552</v>
      </c>
      <c r="V63" s="1132">
        <f>IF((F14+O14)=0,0,V34/(F14+O14)*100)</f>
        <v>0.49178361520930786</v>
      </c>
      <c r="W63" s="252"/>
      <c r="Y63" s="258">
        <f>SUM(V62:V65)</f>
        <v>99.999999999999986</v>
      </c>
    </row>
    <row r="64" spans="1:25" ht="18" customHeight="1">
      <c r="A64" s="1085">
        <v>6</v>
      </c>
      <c r="B64" s="1086" t="s">
        <v>343</v>
      </c>
      <c r="C64" s="1046"/>
      <c r="D64" s="1090">
        <f>IF(F6=0,0,D43/F6*100)</f>
        <v>0</v>
      </c>
      <c r="E64" s="1090">
        <f>IF(F7=0,0,E43/F7*100)</f>
        <v>0</v>
      </c>
      <c r="F64" s="1090">
        <f>IF(F8=0,0,F43/F8*100)</f>
        <v>0</v>
      </c>
      <c r="G64" s="1090">
        <f>IF(F9=0,0,G43/F9*100)</f>
        <v>0</v>
      </c>
      <c r="H64" s="1090">
        <f>IF(F10=0,0,H43/F10*100)</f>
        <v>0</v>
      </c>
      <c r="I64" s="1090">
        <f>IF(F11=0,0,I43/F11*100)</f>
        <v>0</v>
      </c>
      <c r="J64" s="1090">
        <f>IF(F12=0,0,J43/F12*100)</f>
        <v>0</v>
      </c>
      <c r="K64" s="1090">
        <f>IF(F13=0,0,K43/F13*100)</f>
        <v>0</v>
      </c>
      <c r="L64" s="1132">
        <f>IF(F14=0,0,L43/F14*100)</f>
        <v>0</v>
      </c>
      <c r="M64" s="1090">
        <f>IF(O6=0,0,M43/O6*100)</f>
        <v>0</v>
      </c>
      <c r="N64" s="1090">
        <f>IF(O7=0,0,N43/O7*100)</f>
        <v>0</v>
      </c>
      <c r="O64" s="1090">
        <f>IF(O8=0,0,O43/O8*100)</f>
        <v>0</v>
      </c>
      <c r="P64" s="1090">
        <f>IF(O9=0,0,P43/O9*100)</f>
        <v>0</v>
      </c>
      <c r="Q64" s="1090">
        <f>IF(O10=0,0,Q43/O10*100)</f>
        <v>0</v>
      </c>
      <c r="R64" s="1090">
        <f>IF(O11=0,0,R43/O11*100)</f>
        <v>0</v>
      </c>
      <c r="S64" s="1090">
        <f>IF(O12=0,0,S43/O12*100)</f>
        <v>0</v>
      </c>
      <c r="T64" s="1090">
        <f>IF(O13=0,0,T43/O13*100)</f>
        <v>0</v>
      </c>
      <c r="U64" s="1133">
        <f>IF(O14=0,0,U43/O14*100)</f>
        <v>0</v>
      </c>
      <c r="V64" s="1132">
        <f>IF((F14+O14)=0,0,V43/(F14+O14)*100)</f>
        <v>0</v>
      </c>
      <c r="W64" s="252"/>
    </row>
    <row r="65" spans="1:25" ht="18" customHeight="1" thickBot="1">
      <c r="A65" s="1031">
        <v>7</v>
      </c>
      <c r="B65" s="1092" t="s">
        <v>344</v>
      </c>
      <c r="C65" s="1056"/>
      <c r="D65" s="1093">
        <f>IF(F6=0,0,D59/F6*100)</f>
        <v>96.850393700787393</v>
      </c>
      <c r="E65" s="1093">
        <f>IF(F7=0,0,E59/F7*100)</f>
        <v>97.674418604651152</v>
      </c>
      <c r="F65" s="1093">
        <f>IF(F8=0,0,F59/F8*100)</f>
        <v>97.692307692307693</v>
      </c>
      <c r="G65" s="1093">
        <f>IF(F9=0,0,G59/F9*100)</f>
        <v>97.663551401869157</v>
      </c>
      <c r="H65" s="1093">
        <f>IF(F10=0,0,H59/F10*100)</f>
        <v>97.65625</v>
      </c>
      <c r="I65" s="1093">
        <f>IF(F11=0,0,I59/F11*100)</f>
        <v>97.049180327868854</v>
      </c>
      <c r="J65" s="1093">
        <f>IF(F12=0,0,J59/F12*100)</f>
        <v>97.142857142857139</v>
      </c>
      <c r="K65" s="1093">
        <f>IF(F13=0,0,K59/F13*100)</f>
        <v>0</v>
      </c>
      <c r="L65" s="1134">
        <f>IF(F14=0,0,L59/F14*100)</f>
        <v>97.394429469901169</v>
      </c>
      <c r="M65" s="1095">
        <f>IF(O6=0,0,M59/O6*100)</f>
        <v>96.607142857142861</v>
      </c>
      <c r="N65" s="1095">
        <f>IF(O7=0,0,N59/O7*100)</f>
        <v>98.181818181818187</v>
      </c>
      <c r="O65" s="1095">
        <f>IF(O8=0,0,O59/O8*100)</f>
        <v>93.333333333333329</v>
      </c>
      <c r="P65" s="1095">
        <f>IF(O9=0,0,P59/O9*100)</f>
        <v>98.245614035087712</v>
      </c>
      <c r="Q65" s="1095">
        <f>IF(O10=0,0,Q59/O10*100)</f>
        <v>97.297297297297305</v>
      </c>
      <c r="R65" s="1095">
        <f>IF(O11=0,0,R59/O11*100)</f>
        <v>95</v>
      </c>
      <c r="S65" s="1095">
        <f>IF(O12=0,0,S59/O12*100)</f>
        <v>99.074074074074076</v>
      </c>
      <c r="T65" s="1095">
        <f>IF(O13=0,0,T59/O13*100)</f>
        <v>0</v>
      </c>
      <c r="U65" s="1093">
        <f>IF(O14=0,0,U59/O14*100)</f>
        <v>96.808236808236799</v>
      </c>
      <c r="V65" s="1134">
        <f>IF((F14+O14)=0,0,V59/(F14+O14)*100)</f>
        <v>97.121266642677213</v>
      </c>
      <c r="W65" s="252"/>
    </row>
    <row r="66" spans="1:25" ht="18" customHeight="1">
      <c r="A66" s="185">
        <v>8</v>
      </c>
      <c r="B66" s="186" t="s">
        <v>345</v>
      </c>
      <c r="C66" s="158"/>
      <c r="D66" s="188">
        <f>IF(D59=0,0,D60/D59*100)</f>
        <v>5.3658536585365857</v>
      </c>
      <c r="E66" s="188">
        <f>IF(E59=0,0,E60/E59*100)</f>
        <v>5.8730158730158726</v>
      </c>
      <c r="F66" s="188">
        <f t="shared" ref="F66:V66" si="21">IF(F59=0,0,F60/F59*100)</f>
        <v>7.8740157480314963</v>
      </c>
      <c r="G66" s="188">
        <f t="shared" si="21"/>
        <v>7.3896863370547603</v>
      </c>
      <c r="H66" s="188">
        <f t="shared" si="21"/>
        <v>8.0533333333333346</v>
      </c>
      <c r="I66" s="188">
        <f t="shared" si="21"/>
        <v>4.5608108108108114</v>
      </c>
      <c r="J66" s="188">
        <f t="shared" si="21"/>
        <v>3.4858387799564272</v>
      </c>
      <c r="K66" s="188">
        <f t="shared" si="21"/>
        <v>0</v>
      </c>
      <c r="L66" s="217">
        <f t="shared" si="21"/>
        <v>6.1116236162361623</v>
      </c>
      <c r="M66" s="188">
        <f t="shared" si="21"/>
        <v>7.4553296364756623</v>
      </c>
      <c r="N66" s="188">
        <f t="shared" si="21"/>
        <v>6.7283950617283939</v>
      </c>
      <c r="O66" s="188">
        <f t="shared" si="21"/>
        <v>6.2030075187969924</v>
      </c>
      <c r="P66" s="188">
        <f t="shared" si="21"/>
        <v>6.3690476190476186</v>
      </c>
      <c r="Q66" s="188">
        <f t="shared" si="21"/>
        <v>7.2839506172839492</v>
      </c>
      <c r="R66" s="188">
        <f t="shared" si="21"/>
        <v>7.7972709551656916</v>
      </c>
      <c r="S66" s="188">
        <f t="shared" si="21"/>
        <v>0.9968847352024921</v>
      </c>
      <c r="T66" s="188">
        <f t="shared" si="21"/>
        <v>0</v>
      </c>
      <c r="U66" s="251">
        <f t="shared" si="21"/>
        <v>6.1153948417973956</v>
      </c>
      <c r="V66" s="217">
        <f t="shared" si="21"/>
        <v>6.1133753241941458</v>
      </c>
      <c r="W66" s="252"/>
    </row>
    <row r="67" spans="1:25" ht="18" customHeight="1">
      <c r="A67" s="1085">
        <v>9</v>
      </c>
      <c r="B67" s="1086" t="s">
        <v>346</v>
      </c>
      <c r="C67" s="1046"/>
      <c r="D67" s="1090">
        <f t="shared" ref="D67:V67" si="22">IF(D59=0,0,D26/D59*100)</f>
        <v>38.482384823848243</v>
      </c>
      <c r="E67" s="1090">
        <f t="shared" si="22"/>
        <v>30.634920634920636</v>
      </c>
      <c r="F67" s="1090">
        <f t="shared" si="22"/>
        <v>27.559055118110237</v>
      </c>
      <c r="G67" s="1090">
        <f t="shared" si="22"/>
        <v>25.093035619351394</v>
      </c>
      <c r="H67" s="1090">
        <f t="shared" si="22"/>
        <v>14.133333333333315</v>
      </c>
      <c r="I67" s="1090">
        <f t="shared" si="22"/>
        <v>38.006756756756744</v>
      </c>
      <c r="J67" s="1090">
        <f t="shared" si="22"/>
        <v>15.196078431372523</v>
      </c>
      <c r="K67" s="1090">
        <f t="shared" si="22"/>
        <v>0</v>
      </c>
      <c r="L67" s="1132">
        <f t="shared" si="22"/>
        <v>26.94495694956948</v>
      </c>
      <c r="M67" s="1090">
        <f t="shared" si="22"/>
        <v>21.010474430067784</v>
      </c>
      <c r="N67" s="1090">
        <f t="shared" si="22"/>
        <v>24.382716049382726</v>
      </c>
      <c r="O67" s="1090">
        <f t="shared" si="22"/>
        <v>29.824561403508774</v>
      </c>
      <c r="P67" s="1090">
        <f t="shared" si="22"/>
        <v>28.273809523809529</v>
      </c>
      <c r="Q67" s="1090">
        <f t="shared" si="22"/>
        <v>17.901234567901245</v>
      </c>
      <c r="R67" s="1090">
        <f t="shared" si="22"/>
        <v>17.283950617283956</v>
      </c>
      <c r="S67" s="1090">
        <f t="shared" si="22"/>
        <v>26.978193146417439</v>
      </c>
      <c r="T67" s="1090">
        <f t="shared" si="22"/>
        <v>0</v>
      </c>
      <c r="U67" s="1133">
        <f t="shared" si="22"/>
        <v>23.717096516883814</v>
      </c>
      <c r="V67" s="1132">
        <f t="shared" si="22"/>
        <v>25.445638302251862</v>
      </c>
      <c r="W67" s="252"/>
      <c r="Y67" s="258">
        <f>SUM(V66:V68)</f>
        <v>99.629492404594288</v>
      </c>
    </row>
    <row r="68" spans="1:25" ht="18" customHeight="1" thickBot="1">
      <c r="A68" s="1031">
        <v>10</v>
      </c>
      <c r="B68" s="1092" t="s">
        <v>347</v>
      </c>
      <c r="C68" s="1056"/>
      <c r="D68" s="1095">
        <f t="shared" ref="D68:V68" si="23">IF(D59=0,0,D61/D59*100)</f>
        <v>56.151761517615171</v>
      </c>
      <c r="E68" s="1095">
        <f t="shared" si="23"/>
        <v>63.492063492063487</v>
      </c>
      <c r="F68" s="1095">
        <f t="shared" si="23"/>
        <v>64.566929133858267</v>
      </c>
      <c r="G68" s="1095">
        <f t="shared" si="23"/>
        <v>67.517278043593848</v>
      </c>
      <c r="H68" s="1095">
        <f t="shared" si="23"/>
        <v>73.013333333333335</v>
      </c>
      <c r="I68" s="1095">
        <f t="shared" si="23"/>
        <v>57.432432432432442</v>
      </c>
      <c r="J68" s="1095">
        <f t="shared" si="23"/>
        <v>81.318082788671049</v>
      </c>
      <c r="K68" s="1095">
        <f t="shared" si="23"/>
        <v>0</v>
      </c>
      <c r="L68" s="1134">
        <f t="shared" si="23"/>
        <v>66.251537515375148</v>
      </c>
      <c r="M68" s="1095">
        <f t="shared" si="23"/>
        <v>71.534195933456544</v>
      </c>
      <c r="N68" s="1095">
        <f t="shared" si="23"/>
        <v>68.888888888888872</v>
      </c>
      <c r="O68" s="1095">
        <f t="shared" si="23"/>
        <v>63.972431077694239</v>
      </c>
      <c r="P68" s="1095">
        <f t="shared" si="23"/>
        <v>65.357142857142861</v>
      </c>
      <c r="Q68" s="1095">
        <f t="shared" si="23"/>
        <v>74.814814814814795</v>
      </c>
      <c r="R68" s="1095">
        <f t="shared" si="23"/>
        <v>74.918778427550365</v>
      </c>
      <c r="S68" s="1095">
        <f t="shared" si="23"/>
        <v>72.024922118380061</v>
      </c>
      <c r="T68" s="1095">
        <f t="shared" si="23"/>
        <v>0</v>
      </c>
      <c r="U68" s="1093">
        <f t="shared" si="23"/>
        <v>70.167508641318804</v>
      </c>
      <c r="V68" s="1134">
        <f t="shared" si="23"/>
        <v>68.070478778148285</v>
      </c>
      <c r="W68" s="252"/>
    </row>
    <row r="69" spans="1:25" ht="18" customHeight="1" thickBot="1">
      <c r="A69" s="183">
        <v>11</v>
      </c>
      <c r="B69" s="189" t="s">
        <v>254</v>
      </c>
      <c r="C69" s="155"/>
      <c r="D69" s="190">
        <f>IF(E79=0,0,D79/E79*100)</f>
        <v>91.554233506852228</v>
      </c>
      <c r="E69" s="190">
        <f>IF(E79=0,0,D79/E79*100)</f>
        <v>91.554233506852228</v>
      </c>
      <c r="F69" s="190">
        <f>IF(E79=0,0,D79/E79*100)</f>
        <v>91.554233506852228</v>
      </c>
      <c r="G69" s="190">
        <f>IF(E79=0,0,D79/E79*100)</f>
        <v>91.554233506852228</v>
      </c>
      <c r="H69" s="190">
        <f>IF(E79=0,0,D79/E79*100)</f>
        <v>91.554233506852228</v>
      </c>
      <c r="I69" s="190">
        <f>IF(E79=0,0,D79/E79*100)</f>
        <v>91.554233506852228</v>
      </c>
      <c r="J69" s="190">
        <f>IF(E79=0,0,D79/E79*100)</f>
        <v>91.554233506852228</v>
      </c>
      <c r="K69" s="190">
        <f>IF(E79=0,0,D79/E79*100)</f>
        <v>91.554233506852228</v>
      </c>
      <c r="L69" s="218">
        <f>IF(E79=0,0,D79/E79*100)</f>
        <v>91.554233506852228</v>
      </c>
      <c r="M69" s="219">
        <f>IF(N79=0,0,M79/N79*100)</f>
        <v>96.215372610222389</v>
      </c>
      <c r="N69" s="219">
        <f>IF(N79=0,0,M79/N79*100)</f>
        <v>96.215372610222389</v>
      </c>
      <c r="O69" s="219">
        <f>IF(N79=0,0,M79/N79*100)</f>
        <v>96.215372610222389</v>
      </c>
      <c r="P69" s="219">
        <f>IF(N79=0,0,M79/N79*100)</f>
        <v>96.215372610222389</v>
      </c>
      <c r="Q69" s="219">
        <f>IF(N79=0,0,M79/N79*100)</f>
        <v>96.215372610222389</v>
      </c>
      <c r="R69" s="219">
        <f>IF(N79=0,0,M79/N79*100)</f>
        <v>96.215372610222389</v>
      </c>
      <c r="S69" s="219">
        <f>IF(N79=0,0,M79/N79*100)</f>
        <v>96.215372610222389</v>
      </c>
      <c r="T69" s="219">
        <f>IF(N79=0,0,M79/N79*100)</f>
        <v>96.215372610222389</v>
      </c>
      <c r="U69" s="190">
        <f>IF(N79=0,0,M79/N79*100)</f>
        <v>96.215372610222389</v>
      </c>
      <c r="V69" s="218">
        <f>IF(N83=0,0,M83/N83*100)</f>
        <v>93.649865512805519</v>
      </c>
      <c r="W69" s="252"/>
    </row>
    <row r="70" spans="1:25" ht="18" customHeight="1" thickBot="1">
      <c r="A70" s="183">
        <v>12</v>
      </c>
      <c r="B70" s="189" t="s">
        <v>348</v>
      </c>
      <c r="C70" s="155"/>
      <c r="D70" s="190">
        <f t="shared" ref="D70:T70" si="24">(D65*D68*D69)/10000</f>
        <v>49.790123838897053</v>
      </c>
      <c r="E70" s="190">
        <f t="shared" si="24"/>
        <v>56.777819229055638</v>
      </c>
      <c r="F70" s="190">
        <f t="shared" si="24"/>
        <v>57.749593442783713</v>
      </c>
      <c r="G70" s="190">
        <f t="shared" si="24"/>
        <v>60.370652416252518</v>
      </c>
      <c r="H70" s="190">
        <f t="shared" si="24"/>
        <v>65.280075870250371</v>
      </c>
      <c r="I70" s="190">
        <f t="shared" si="24"/>
        <v>51.030228512016002</v>
      </c>
      <c r="J70" s="190">
        <f t="shared" si="24"/>
        <v>72.323000331074297</v>
      </c>
      <c r="K70" s="190">
        <f t="shared" si="24"/>
        <v>0</v>
      </c>
      <c r="L70" s="190">
        <f t="shared" si="24"/>
        <v>59.075650221776918</v>
      </c>
      <c r="M70" s="219">
        <f t="shared" si="24"/>
        <v>66.491695000278668</v>
      </c>
      <c r="N70" s="219">
        <f t="shared" si="24"/>
        <v>65.07657929273222</v>
      </c>
      <c r="O70" s="219">
        <f t="shared" si="24"/>
        <v>57.447892067273138</v>
      </c>
      <c r="P70" s="219">
        <f t="shared" si="24"/>
        <v>61.780397149721743</v>
      </c>
      <c r="Q70" s="219">
        <f t="shared" si="24"/>
        <v>70.037856818972685</v>
      </c>
      <c r="R70" s="219">
        <f t="shared" si="24"/>
        <v>68.479212728139771</v>
      </c>
      <c r="S70" s="219">
        <f t="shared" si="24"/>
        <v>68.657389344084606</v>
      </c>
      <c r="T70" s="219">
        <f t="shared" si="24"/>
        <v>0</v>
      </c>
      <c r="U70" s="190">
        <f>IF(10000=0,0,(U65*U68*U69)/10000)</f>
        <v>65.357108962259176</v>
      </c>
      <c r="V70" s="218">
        <f>IF(10000=0,0,(V65*V68*V69)/10000)</f>
        <v>61.912779427221579</v>
      </c>
      <c r="W70" s="252"/>
    </row>
    <row r="71" spans="1:25" ht="12.75" customHeight="1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5" ht="18" customHeight="1">
      <c r="A72" s="1352" t="s">
        <v>349</v>
      </c>
      <c r="B72" s="1352"/>
      <c r="C72" s="261" t="s">
        <v>350</v>
      </c>
      <c r="D72" s="260"/>
      <c r="E72" s="260"/>
      <c r="F72" s="260"/>
      <c r="G72" s="262" t="s">
        <v>263</v>
      </c>
      <c r="H72" s="262"/>
      <c r="I72" s="262"/>
      <c r="J72" s="262"/>
      <c r="K72" s="260"/>
      <c r="L72" s="260"/>
      <c r="M72" s="260"/>
      <c r="N72" s="262"/>
      <c r="O72" s="260"/>
      <c r="P72" s="262" t="s">
        <v>351</v>
      </c>
      <c r="Q72" s="262"/>
      <c r="R72" s="262"/>
      <c r="S72" s="262"/>
      <c r="T72" s="260"/>
      <c r="U72" s="260"/>
      <c r="V72" s="260"/>
      <c r="W72" s="284"/>
    </row>
    <row r="73" spans="1:25" ht="3.75" customHeight="1">
      <c r="D73" s="263"/>
      <c r="E73" s="263"/>
      <c r="G73" s="263"/>
      <c r="H73" s="263"/>
      <c r="I73" s="263"/>
      <c r="J73" s="263"/>
      <c r="K73" s="263"/>
      <c r="L73" s="263"/>
      <c r="M73" s="262"/>
      <c r="N73" s="263"/>
      <c r="O73" s="263"/>
      <c r="P73" s="280"/>
      <c r="Q73" s="280"/>
      <c r="R73" s="280"/>
      <c r="S73" s="280"/>
      <c r="T73" s="280"/>
      <c r="U73" s="260"/>
      <c r="V73" s="260"/>
      <c r="W73" s="284"/>
    </row>
    <row r="74" spans="1:25" ht="16.5" customHeight="1">
      <c r="B74" s="261"/>
      <c r="C74" s="261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0"/>
      <c r="V74" s="260"/>
      <c r="W74" s="284"/>
    </row>
    <row r="75" spans="1:25">
      <c r="A75" s="259"/>
      <c r="B75" s="259"/>
      <c r="C75" s="259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5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A77" s="259"/>
      <c r="B77" s="259"/>
      <c r="C77" s="259"/>
      <c r="D77" s="1096" t="s">
        <v>70</v>
      </c>
      <c r="E77" s="260"/>
      <c r="F77" s="260"/>
      <c r="G77" s="260"/>
      <c r="H77" s="260"/>
      <c r="I77" s="260"/>
      <c r="J77" s="260"/>
      <c r="K77" s="260"/>
      <c r="L77" s="260"/>
      <c r="M77" s="1096" t="s">
        <v>73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5">
      <c r="B78" s="259"/>
      <c r="C78" s="1097"/>
      <c r="D78" s="1098" t="s">
        <v>51</v>
      </c>
      <c r="E78" s="1098" t="s">
        <v>50</v>
      </c>
      <c r="F78" s="260"/>
      <c r="G78" s="260"/>
      <c r="H78" s="260"/>
      <c r="I78" s="260"/>
      <c r="J78" s="260"/>
      <c r="K78" s="260"/>
      <c r="M78" s="1098" t="s">
        <v>51</v>
      </c>
      <c r="N78" s="1098" t="s">
        <v>50</v>
      </c>
      <c r="O78" s="260"/>
      <c r="P78" s="260"/>
      <c r="Q78" s="260"/>
      <c r="R78" s="260"/>
      <c r="S78" s="260"/>
      <c r="T78" s="260"/>
      <c r="U78" s="260"/>
    </row>
    <row r="79" spans="1:25">
      <c r="A79" s="259"/>
      <c r="B79" s="259"/>
      <c r="C79" s="259"/>
      <c r="D79" s="1099">
        <v>8618</v>
      </c>
      <c r="E79" s="1099">
        <v>9413</v>
      </c>
      <c r="F79" s="264">
        <f>8/E79</f>
        <v>8.4988845214065654E-4</v>
      </c>
      <c r="G79" s="260"/>
      <c r="H79" s="260"/>
      <c r="I79" s="260"/>
      <c r="J79" s="260"/>
      <c r="K79" s="260"/>
      <c r="L79" s="260"/>
      <c r="M79" s="1099">
        <v>7398</v>
      </c>
      <c r="N79" s="1099">
        <v>7689</v>
      </c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912"/>
      <c r="E80" s="265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5"/>
      <c r="E81" s="265"/>
      <c r="F81" s="260"/>
      <c r="G81" s="260"/>
      <c r="H81" s="260"/>
      <c r="I81" s="260"/>
      <c r="J81" s="260"/>
      <c r="K81" s="260"/>
      <c r="L81" s="260"/>
      <c r="M81" s="1096" t="s">
        <v>368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098" t="s">
        <v>51</v>
      </c>
      <c r="N82" s="1098" t="s">
        <v>50</v>
      </c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1135">
        <f>D79+M79</f>
        <v>16016</v>
      </c>
      <c r="N83" s="1135">
        <f>E79+N79</f>
        <v>17102</v>
      </c>
      <c r="O83" s="281">
        <f>M83/N83</f>
        <v>0.93649865512805519</v>
      </c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 ht="28" thickBot="1">
      <c r="A85" s="259"/>
      <c r="B85" s="259"/>
      <c r="C85" s="259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 ht="28" thickBot="1">
      <c r="A86" s="266" t="s">
        <v>353</v>
      </c>
      <c r="B86" s="267"/>
      <c r="C86" s="268"/>
      <c r="D86" s="269"/>
      <c r="E86" s="270" t="s">
        <v>354</v>
      </c>
      <c r="F86" s="270"/>
      <c r="G86" s="270"/>
      <c r="H86" s="270"/>
      <c r="I86" s="270"/>
      <c r="J86" s="270"/>
      <c r="K86" s="270"/>
      <c r="L86" s="282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271">
        <v>1</v>
      </c>
      <c r="B87" s="272" t="s">
        <v>223</v>
      </c>
      <c r="C87" s="273"/>
      <c r="D87" s="274"/>
      <c r="E87" s="275" t="s">
        <v>355</v>
      </c>
      <c r="F87" s="275"/>
      <c r="G87" s="275"/>
      <c r="H87" s="275"/>
      <c r="I87" s="275"/>
      <c r="J87" s="275"/>
      <c r="K87" s="275"/>
      <c r="L87" s="28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2</v>
      </c>
      <c r="B88" s="1101" t="s">
        <v>339</v>
      </c>
      <c r="C88" s="1102"/>
      <c r="D88" s="1103"/>
      <c r="E88" s="1104" t="s">
        <v>227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3</v>
      </c>
      <c r="B89" s="1101" t="s">
        <v>340</v>
      </c>
      <c r="C89" s="1102"/>
      <c r="D89" s="1103"/>
      <c r="E89" s="1104" t="s">
        <v>230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4</v>
      </c>
      <c r="B90" s="1101" t="s">
        <v>356</v>
      </c>
      <c r="C90" s="1102"/>
      <c r="D90" s="1103"/>
      <c r="E90" s="1104" t="s">
        <v>357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5</v>
      </c>
      <c r="B91" s="1101" t="s">
        <v>358</v>
      </c>
      <c r="C91" s="1102"/>
      <c r="D91" s="1103"/>
      <c r="E91" s="1104" t="s">
        <v>359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6</v>
      </c>
      <c r="B92" s="1101" t="s">
        <v>360</v>
      </c>
      <c r="C92" s="1102"/>
      <c r="D92" s="1103"/>
      <c r="E92" s="1104" t="s">
        <v>236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7</v>
      </c>
      <c r="B93" s="1101" t="s">
        <v>344</v>
      </c>
      <c r="C93" s="1102"/>
      <c r="D93" s="1103"/>
      <c r="E93" s="1104" t="s">
        <v>240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8</v>
      </c>
      <c r="B94" s="1101" t="s">
        <v>361</v>
      </c>
      <c r="C94" s="1102"/>
      <c r="D94" s="1103"/>
      <c r="E94" s="1104" t="s">
        <v>243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9</v>
      </c>
      <c r="B95" s="1101" t="s">
        <v>362</v>
      </c>
      <c r="C95" s="1102"/>
      <c r="D95" s="1103"/>
      <c r="E95" s="1104" t="s">
        <v>246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10</v>
      </c>
      <c r="B96" s="1101" t="s">
        <v>347</v>
      </c>
      <c r="C96" s="1102"/>
      <c r="D96" s="1103"/>
      <c r="E96" s="1104" t="s">
        <v>363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>
      <c r="A97" s="1100">
        <v>11</v>
      </c>
      <c r="B97" s="1105" t="s">
        <v>254</v>
      </c>
      <c r="C97" s="1102"/>
      <c r="D97" s="1103"/>
      <c r="E97" s="1104" t="s">
        <v>364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 ht="28" thickBot="1">
      <c r="A98" s="1106">
        <v>12</v>
      </c>
      <c r="B98" s="1107" t="s">
        <v>348</v>
      </c>
      <c r="C98" s="276"/>
      <c r="D98" s="277"/>
      <c r="E98" s="1108" t="s">
        <v>365</v>
      </c>
      <c r="F98" s="1108"/>
      <c r="G98" s="1108"/>
      <c r="H98" s="1108"/>
      <c r="I98" s="1108"/>
      <c r="J98" s="1108"/>
      <c r="K98" s="1108"/>
      <c r="L98" s="1109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34" s="134" customFormat="1">
      <c r="D114" s="278"/>
      <c r="E114" s="278"/>
      <c r="F114" s="278"/>
      <c r="G114" s="279"/>
      <c r="H114" s="279"/>
      <c r="I114" s="279"/>
      <c r="J114" s="279"/>
      <c r="K114" s="279"/>
      <c r="L114" s="278"/>
      <c r="M114" s="278"/>
      <c r="N114" s="278"/>
      <c r="O114" s="278"/>
      <c r="P114" s="279"/>
      <c r="Q114" s="279"/>
      <c r="R114" s="279"/>
      <c r="S114" s="279"/>
      <c r="T114" s="279"/>
      <c r="U114" s="279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 s="134" customFormat="1"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 s="134" customFormat="1"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85"/>
      <c r="Z117" s="286"/>
      <c r="AA117" s="286"/>
      <c r="AB117" s="286"/>
      <c r="AC117" s="286"/>
      <c r="AD117" s="286"/>
      <c r="AE117" s="286"/>
      <c r="AF117" s="286"/>
      <c r="AG117" s="286"/>
      <c r="AH117" s="286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  <row r="127" spans="1:34">
      <c r="A127" s="259"/>
      <c r="B127" s="259"/>
      <c r="C127" s="259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6:J46"/>
    <mergeCell ref="A72:B72"/>
    <mergeCell ref="T14:U14"/>
    <mergeCell ref="D45:J45"/>
    <mergeCell ref="D47:J47"/>
    <mergeCell ref="N47:V47"/>
    <mergeCell ref="D49:J49"/>
    <mergeCell ref="N49:V49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89" orientation="landscape" verticalDpi="36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F4FF-438A-46AA-8E12-BA575D864B80}">
  <sheetPr codeName="Sheet40">
    <tabColor theme="0" tint="-0.14999847407452621"/>
    <pageSetUpPr fitToPage="1"/>
  </sheetPr>
  <dimension ref="A1:IV126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1" width="7.33203125" style="136" customWidth="1"/>
    <col min="12" max="12" width="6.83203125" style="136" customWidth="1"/>
    <col min="13" max="13" width="7" style="136" customWidth="1"/>
    <col min="14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L58</f>
        <v>0</v>
      </c>
      <c r="AC4" s="256">
        <f>L59</f>
        <v>0</v>
      </c>
      <c r="AD4" s="256">
        <f>L60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U58</f>
        <v>0</v>
      </c>
      <c r="AC5" s="256">
        <f>U59</f>
        <v>0</v>
      </c>
      <c r="AD5" s="256">
        <f>U60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403"/>
      <c r="J8" s="1404"/>
      <c r="K8" s="1368">
        <f t="shared" ref="K8:K13" si="2">G8-I8</f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2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2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>G11-I11</f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9"/>
      <c r="G13" s="1400"/>
      <c r="H13" s="1400"/>
      <c r="I13" s="1400"/>
      <c r="J13" s="1400"/>
      <c r="K13" s="1366">
        <f t="shared" si="2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8"/>
      <c r="O24" s="1119"/>
      <c r="P24" s="1118"/>
      <c r="Q24" s="1118"/>
      <c r="R24" s="1118"/>
      <c r="S24" s="1118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$F6-D$59-D$60-D$21-D$23-D$24-D$34-D$43</f>
        <v>0</v>
      </c>
      <c r="E25" s="171">
        <f>$F7-E$59-E$60-E$21-E$23-E$24-E$34-E$43</f>
        <v>0</v>
      </c>
      <c r="F25" s="171">
        <f>$F8-F$59-F$60-F$21-F$23-F$24-F$34-F$43</f>
        <v>0</v>
      </c>
      <c r="G25" s="171">
        <f>$F9-G$59-G$60-G$21-G$23-G$24-G$34-G$43</f>
        <v>0</v>
      </c>
      <c r="H25" s="171">
        <f>$F10-H$59-H$60-H$21-H$23-H$24-H$34-H$43</f>
        <v>0</v>
      </c>
      <c r="I25" s="171">
        <f>$F11-I$59-I$60-I$21-I$23-I$24-I$34-I$43</f>
        <v>0</v>
      </c>
      <c r="J25" s="171">
        <f>$F12-J$59-J$60-J$21-J$23-J$24-J$34-J$43</f>
        <v>0</v>
      </c>
      <c r="K25" s="171">
        <f>$F13-K$59-K$60-K$21-K$23-K$24-K$34-K$43</f>
        <v>0</v>
      </c>
      <c r="L25" s="209">
        <f>SUM(D25:K25)</f>
        <v>0</v>
      </c>
      <c r="M25" s="171">
        <f>$O6-M$59-M$60-M$21-M$23-M$24-M$34-M$43</f>
        <v>0</v>
      </c>
      <c r="N25" s="171">
        <f>$O7-N$59-N$60-N$21-N$23-N$24-N$34-N$43</f>
        <v>0</v>
      </c>
      <c r="O25" s="171">
        <f>$O8-O$59-O$60-O$21-O$23-O$24-O$34-O$43</f>
        <v>0</v>
      </c>
      <c r="P25" s="171">
        <f>$O9-P$59-P$60-P$21-P$23-P$24-P$34-P$43</f>
        <v>0</v>
      </c>
      <c r="Q25" s="171">
        <f>$O10-Q$59-Q$60-Q$21-Q$23-Q$24-Q$34-Q$43</f>
        <v>0</v>
      </c>
      <c r="R25" s="171">
        <f>$O11-R$59-R$60-R$21-R$23-R$24-R$34-R$43</f>
        <v>0</v>
      </c>
      <c r="S25" s="171">
        <f>$O12-S$59-S$60-S$21-S$23-S$24-S$34-S$43</f>
        <v>0</v>
      </c>
      <c r="T25" s="171">
        <f>$O13-T$59-T$60-T$21-T$23-T$24-T$34-T$43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186"/>
      <c r="M45" s="1186"/>
      <c r="N45" s="1185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249"/>
      <c r="L46" s="1065"/>
      <c r="M46" s="1065"/>
      <c r="N46" s="1425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5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226"/>
      <c r="C51" s="1227"/>
      <c r="D51" s="1239"/>
      <c r="E51" s="1063"/>
      <c r="F51" s="1063"/>
      <c r="G51" s="1063"/>
      <c r="H51" s="1063"/>
      <c r="I51" s="1063"/>
      <c r="J51" s="1063"/>
      <c r="K51" s="1059"/>
      <c r="L51" s="1069"/>
      <c r="M51" s="1072"/>
      <c r="N51" s="1063"/>
      <c r="O51" s="1074"/>
      <c r="P51" s="1063"/>
      <c r="Q51" s="1063"/>
      <c r="R51" s="1063"/>
      <c r="S51" s="1063"/>
      <c r="T51" s="1063"/>
      <c r="U51" s="1063"/>
      <c r="V51" s="1228"/>
      <c r="W51" s="250"/>
    </row>
    <row r="52" spans="1:25" ht="15" customHeight="1">
      <c r="A52" s="1075"/>
      <c r="B52" s="1226"/>
      <c r="C52" s="1227"/>
      <c r="D52" s="1239"/>
      <c r="E52" s="1063"/>
      <c r="F52" s="1063"/>
      <c r="G52" s="1063"/>
      <c r="H52" s="1063"/>
      <c r="I52" s="1063"/>
      <c r="J52" s="1063"/>
      <c r="K52" s="1059"/>
      <c r="L52" s="1069"/>
      <c r="M52" s="1072"/>
      <c r="N52" s="1063"/>
      <c r="O52" s="1074"/>
      <c r="P52" s="1063"/>
      <c r="Q52" s="1063"/>
      <c r="R52" s="1063"/>
      <c r="S52" s="1063"/>
      <c r="T52" s="1063"/>
      <c r="U52" s="1063"/>
      <c r="V52" s="1228"/>
      <c r="W52" s="250"/>
    </row>
    <row r="53" spans="1:25" ht="15" customHeight="1">
      <c r="A53" s="1075" t="s">
        <v>607</v>
      </c>
      <c r="B53" s="1078" t="s">
        <v>608</v>
      </c>
      <c r="C53" s="1123">
        <v>120</v>
      </c>
      <c r="D53" s="1079" t="s">
        <v>609</v>
      </c>
      <c r="E53" s="1063"/>
      <c r="F53" s="1063"/>
      <c r="G53" s="1063"/>
      <c r="H53" s="1063"/>
      <c r="I53" s="1063"/>
      <c r="J53" s="1063"/>
      <c r="K53" s="1069" t="s">
        <v>295</v>
      </c>
      <c r="L53" s="1069"/>
      <c r="M53" s="1062"/>
      <c r="N53" s="1063" t="s">
        <v>610</v>
      </c>
      <c r="O53" s="1074"/>
      <c r="P53" s="1063"/>
      <c r="Q53" s="1063"/>
      <c r="R53" s="1063"/>
      <c r="S53" s="1063"/>
      <c r="T53" s="1063"/>
      <c r="U53" s="1063"/>
      <c r="V53" s="1064"/>
      <c r="W53" s="250"/>
    </row>
    <row r="54" spans="1:25" ht="15" customHeight="1">
      <c r="A54" s="1194" t="s">
        <v>611</v>
      </c>
      <c r="B54" s="1195" t="s">
        <v>612</v>
      </c>
      <c r="C54" s="1196">
        <v>14</v>
      </c>
      <c r="D54" s="1197" t="s">
        <v>613</v>
      </c>
      <c r="E54" s="932"/>
      <c r="F54" s="932"/>
      <c r="G54" s="932"/>
      <c r="H54" s="932"/>
      <c r="I54" s="932"/>
      <c r="J54" s="932"/>
      <c r="K54" s="1198" t="s">
        <v>296</v>
      </c>
      <c r="L54" s="1198"/>
      <c r="M54" s="929"/>
      <c r="N54" s="1201"/>
      <c r="O54" s="931"/>
      <c r="P54" s="932"/>
      <c r="Q54" s="932"/>
      <c r="R54" s="932"/>
      <c r="S54" s="932"/>
      <c r="T54" s="932"/>
      <c r="U54" s="932"/>
      <c r="V54" s="934"/>
      <c r="W54" s="250"/>
    </row>
    <row r="55" spans="1:25" ht="15" customHeight="1">
      <c r="A55" s="1194" t="s">
        <v>614</v>
      </c>
      <c r="B55" s="1195" t="s">
        <v>615</v>
      </c>
      <c r="C55" s="1196">
        <v>10</v>
      </c>
      <c r="D55" s="1197" t="s">
        <v>616</v>
      </c>
      <c r="E55" s="932"/>
      <c r="F55" s="932"/>
      <c r="G55" s="932"/>
      <c r="H55" s="932"/>
      <c r="I55" s="932"/>
      <c r="J55" s="932"/>
      <c r="K55" s="1198" t="s">
        <v>297</v>
      </c>
      <c r="L55" s="1198"/>
      <c r="M55" s="929"/>
      <c r="N55" s="1201"/>
      <c r="O55" s="931"/>
      <c r="P55" s="932"/>
      <c r="Q55" s="932"/>
      <c r="R55" s="932"/>
      <c r="S55" s="932"/>
      <c r="T55" s="932"/>
      <c r="U55" s="932"/>
      <c r="V55" s="934"/>
      <c r="W55" s="250"/>
    </row>
    <row r="56" spans="1:25" ht="15" customHeight="1" thickBot="1">
      <c r="A56" s="1080"/>
      <c r="B56" s="1081"/>
      <c r="C56" s="1125"/>
      <c r="D56" s="1082"/>
      <c r="E56" s="1083"/>
      <c r="F56" s="1083"/>
      <c r="G56" s="1083"/>
      <c r="H56" s="1083"/>
      <c r="I56" s="1083"/>
      <c r="J56" s="1083"/>
      <c r="K56" s="1084"/>
      <c r="L56" s="1084"/>
      <c r="M56" s="1126"/>
      <c r="N56" s="216"/>
      <c r="O56" s="1127"/>
      <c r="P56" s="1083"/>
      <c r="Q56" s="1083"/>
      <c r="R56" s="1083"/>
      <c r="S56" s="1083"/>
      <c r="T56" s="1083"/>
      <c r="U56" s="1083"/>
      <c r="V56" s="1128"/>
      <c r="W56" s="250"/>
    </row>
    <row r="57" spans="1:25" ht="18" customHeight="1" thickBot="1">
      <c r="A57" s="183" t="s">
        <v>337</v>
      </c>
      <c r="B57" s="184" t="s">
        <v>338</v>
      </c>
      <c r="C57" s="184"/>
      <c r="D57" s="166" t="s">
        <v>300</v>
      </c>
      <c r="E57" s="166" t="s">
        <v>301</v>
      </c>
      <c r="F57" s="166" t="s">
        <v>302</v>
      </c>
      <c r="G57" s="166" t="s">
        <v>303</v>
      </c>
      <c r="H57" s="166" t="s">
        <v>304</v>
      </c>
      <c r="I57" s="166" t="s">
        <v>305</v>
      </c>
      <c r="J57" s="166" t="s">
        <v>306</v>
      </c>
      <c r="K57" s="166" t="s">
        <v>307</v>
      </c>
      <c r="L57" s="207" t="s">
        <v>173</v>
      </c>
      <c r="M57" s="166" t="s">
        <v>300</v>
      </c>
      <c r="N57" s="166" t="s">
        <v>301</v>
      </c>
      <c r="O57" s="166" t="s">
        <v>302</v>
      </c>
      <c r="P57" s="166" t="s">
        <v>303</v>
      </c>
      <c r="Q57" s="166" t="s">
        <v>304</v>
      </c>
      <c r="R57" s="166" t="s">
        <v>305</v>
      </c>
      <c r="S57" s="166" t="s">
        <v>306</v>
      </c>
      <c r="T57" s="166" t="s">
        <v>307</v>
      </c>
      <c r="U57" s="166" t="s">
        <v>173</v>
      </c>
      <c r="V57" s="207" t="s">
        <v>367</v>
      </c>
      <c r="W57" s="231"/>
    </row>
    <row r="58" spans="1:25" ht="18" customHeight="1">
      <c r="A58" s="185">
        <v>1</v>
      </c>
      <c r="B58" s="186" t="s">
        <v>223</v>
      </c>
      <c r="C58" s="158"/>
      <c r="D58" s="187">
        <f>$F6-D$21-D$43-D$34</f>
        <v>0</v>
      </c>
      <c r="E58" s="187">
        <f>$F7-E$21-E$43-E$34</f>
        <v>0</v>
      </c>
      <c r="F58" s="187">
        <f>$F8-F$21-F$43-F$34</f>
        <v>0</v>
      </c>
      <c r="G58" s="187">
        <f>$F9-G$21-G$43-G$34</f>
        <v>0</v>
      </c>
      <c r="H58" s="187">
        <f>$F10-H$21-H$43-H$34</f>
        <v>0</v>
      </c>
      <c r="I58" s="187">
        <f>$F11-I$21-I$43-I$34</f>
        <v>0</v>
      </c>
      <c r="J58" s="187">
        <f>$F12-J$21-J$43-J$34</f>
        <v>0</v>
      </c>
      <c r="K58" s="187">
        <f>$F13-K$21-K$43-K$34</f>
        <v>0</v>
      </c>
      <c r="L58" s="202">
        <f>SUM(D58:K58)</f>
        <v>0</v>
      </c>
      <c r="M58" s="187">
        <f>O6-M21-M43-M34</f>
        <v>0</v>
      </c>
      <c r="N58" s="187">
        <f>O7-N21-N43-N34</f>
        <v>0</v>
      </c>
      <c r="O58" s="187">
        <f>O8-O21-O43-O34</f>
        <v>0</v>
      </c>
      <c r="P58" s="187">
        <f>O9-P21-P43-P34</f>
        <v>0</v>
      </c>
      <c r="Q58" s="187">
        <f>O10-Q21-Q43-Q34</f>
        <v>0</v>
      </c>
      <c r="R58" s="187">
        <f>O11-R21-R43-R34</f>
        <v>0</v>
      </c>
      <c r="S58" s="187">
        <f>O12-S21-S43-S34</f>
        <v>0</v>
      </c>
      <c r="T58" s="187">
        <f>O13-T21-T43-T34</f>
        <v>0</v>
      </c>
      <c r="U58" s="242">
        <f>SUM(M58:T58)</f>
        <v>0</v>
      </c>
      <c r="V58" s="202">
        <f>L58+U58</f>
        <v>0</v>
      </c>
      <c r="W58" s="233"/>
    </row>
    <row r="59" spans="1:25" ht="18" customHeight="1">
      <c r="A59" s="1085">
        <v>2</v>
      </c>
      <c r="B59" s="1086" t="s">
        <v>339</v>
      </c>
      <c r="C59" s="1046"/>
      <c r="D59" s="1087">
        <f>$K6/$C6</f>
        <v>0</v>
      </c>
      <c r="E59" s="1087">
        <f>$K7/$C7</f>
        <v>0</v>
      </c>
      <c r="F59" s="1087">
        <f>$K8/$C8</f>
        <v>0</v>
      </c>
      <c r="G59" s="1087">
        <f>$K9/$C9</f>
        <v>0</v>
      </c>
      <c r="H59" s="1087">
        <f>$K10/$C10</f>
        <v>0</v>
      </c>
      <c r="I59" s="1087">
        <f>$K11/$C11</f>
        <v>0</v>
      </c>
      <c r="J59" s="1087">
        <f>$K12/$C12</f>
        <v>0</v>
      </c>
      <c r="K59" s="1087">
        <f>$K13/$C13</f>
        <v>0</v>
      </c>
      <c r="L59" s="1112">
        <f>SUM(D59:K59)</f>
        <v>0</v>
      </c>
      <c r="M59" s="1087">
        <f>T6/C6</f>
        <v>0</v>
      </c>
      <c r="N59" s="1087">
        <f>T7/C7</f>
        <v>0</v>
      </c>
      <c r="O59" s="1087">
        <f>$T$8/$C$8</f>
        <v>0</v>
      </c>
      <c r="P59" s="1087">
        <f>$T$9/$C$9</f>
        <v>0</v>
      </c>
      <c r="Q59" s="1087">
        <f>$T$10/$C$10</f>
        <v>0</v>
      </c>
      <c r="R59" s="1087">
        <f>$T$11/$C$11</f>
        <v>0</v>
      </c>
      <c r="S59" s="1087">
        <f>$T$12/$C$12</f>
        <v>0</v>
      </c>
      <c r="T59" s="1087">
        <f>$T$13/$C$13</f>
        <v>0</v>
      </c>
      <c r="U59" s="1129">
        <f>SUM(M59:T59)</f>
        <v>0</v>
      </c>
      <c r="V59" s="1112">
        <f>L59+U59</f>
        <v>0</v>
      </c>
      <c r="W59" s="233"/>
    </row>
    <row r="60" spans="1:25" ht="18" customHeight="1" thickBot="1">
      <c r="A60" s="1031">
        <v>3</v>
      </c>
      <c r="B60" s="1088" t="s">
        <v>340</v>
      </c>
      <c r="C60" s="1056"/>
      <c r="D60" s="1087">
        <f>$I6/$C6</f>
        <v>0</v>
      </c>
      <c r="E60" s="1087">
        <f>$I7/$C7</f>
        <v>0</v>
      </c>
      <c r="F60" s="1087">
        <f>$I8/$C8</f>
        <v>0</v>
      </c>
      <c r="G60" s="1087">
        <f>$I9/$C9</f>
        <v>0</v>
      </c>
      <c r="H60" s="1087">
        <f>$I10/$C10</f>
        <v>0</v>
      </c>
      <c r="I60" s="1087">
        <f>$I11/$C11</f>
        <v>0</v>
      </c>
      <c r="J60" s="1087">
        <f>$I12/$C12</f>
        <v>0</v>
      </c>
      <c r="K60" s="1087">
        <f>$I13/$C13</f>
        <v>0</v>
      </c>
      <c r="L60" s="1115">
        <f>SUM(D60:K60)</f>
        <v>0</v>
      </c>
      <c r="M60" s="1130">
        <f>R6/C6</f>
        <v>0</v>
      </c>
      <c r="N60" s="1130">
        <f>R7/C7</f>
        <v>0</v>
      </c>
      <c r="O60" s="1130">
        <f>R8/C8</f>
        <v>0</v>
      </c>
      <c r="P60" s="1130">
        <f>R9/C9</f>
        <v>0</v>
      </c>
      <c r="Q60" s="1130">
        <f>R10/C10</f>
        <v>0</v>
      </c>
      <c r="R60" s="1130">
        <f>R11/C11</f>
        <v>0</v>
      </c>
      <c r="S60" s="1130">
        <f>R12/C12</f>
        <v>0</v>
      </c>
      <c r="T60" s="1130">
        <f>R13/C13</f>
        <v>0</v>
      </c>
      <c r="U60" s="1131">
        <f>SUM(M60:T60)</f>
        <v>0</v>
      </c>
      <c r="V60" s="1115">
        <f>L60+U60</f>
        <v>0</v>
      </c>
      <c r="W60" s="233"/>
    </row>
    <row r="61" spans="1:25" ht="18" customHeight="1">
      <c r="A61" s="185">
        <v>4</v>
      </c>
      <c r="B61" s="186" t="s">
        <v>341</v>
      </c>
      <c r="C61" s="158"/>
      <c r="D61" s="188">
        <f>IF(F6=0,0,D21/F6*100)</f>
        <v>0</v>
      </c>
      <c r="E61" s="188">
        <f>IF(F7=0,0,E21/F7*100)</f>
        <v>0</v>
      </c>
      <c r="F61" s="188">
        <f>IF(F8=0,0,F21/F8*100)</f>
        <v>0</v>
      </c>
      <c r="G61" s="188">
        <f>IF(F9=0,0,G21/F9*100)</f>
        <v>0</v>
      </c>
      <c r="H61" s="188">
        <f>IF(F10=0,0,H21/F10*100)</f>
        <v>0</v>
      </c>
      <c r="I61" s="188">
        <f>IF(F11=0,0,I21/F11*100)</f>
        <v>0</v>
      </c>
      <c r="J61" s="188">
        <f>IF(F12=0,0,J21/F12*100)</f>
        <v>0</v>
      </c>
      <c r="K61" s="188">
        <f>IF(F13=0,0,K21/F13*100)</f>
        <v>0</v>
      </c>
      <c r="L61" s="217">
        <f>IF(F14=0,0,L21/F14*100)</f>
        <v>0</v>
      </c>
      <c r="M61" s="188">
        <f>IF(O6=0,0,M21/O6*100)</f>
        <v>0</v>
      </c>
      <c r="N61" s="188">
        <f>IF(O7=0,0,N21/O7*100)</f>
        <v>0</v>
      </c>
      <c r="O61" s="188">
        <f>IF(O8=0,0,O21/O8*100)</f>
        <v>0</v>
      </c>
      <c r="P61" s="188">
        <f>IF(O9=0,0,P21/O9*100)</f>
        <v>0</v>
      </c>
      <c r="Q61" s="188">
        <f>IF(O10=0,0,Q21/O10*100)</f>
        <v>0</v>
      </c>
      <c r="R61" s="188">
        <f>IF(O11=0,0,R21/O11*100)</f>
        <v>0</v>
      </c>
      <c r="S61" s="188">
        <f>IF(O12=0,0,S21/O12*100)</f>
        <v>0</v>
      </c>
      <c r="T61" s="188">
        <f>IF(O13=0,0,T21/O13*100)</f>
        <v>0</v>
      </c>
      <c r="U61" s="251">
        <f>IF(O14=0,0,U21/O14*100)</f>
        <v>0</v>
      </c>
      <c r="V61" s="217">
        <f>IF((F14+O14)=0,0,V21/(F14+O14)*100)</f>
        <v>0</v>
      </c>
      <c r="W61" s="252"/>
    </row>
    <row r="62" spans="1:25" ht="18" customHeight="1">
      <c r="A62" s="1085">
        <v>5</v>
      </c>
      <c r="B62" s="1086" t="s">
        <v>342</v>
      </c>
      <c r="C62" s="1046"/>
      <c r="D62" s="1090">
        <f>IF(F6=0,0,D34/F6*100)</f>
        <v>0</v>
      </c>
      <c r="E62" s="1090">
        <f>IF(F7=0,0,E34/F7*100)</f>
        <v>0</v>
      </c>
      <c r="F62" s="1090">
        <f>IF(F8=0,0,F34/F8*100)</f>
        <v>0</v>
      </c>
      <c r="G62" s="1090">
        <f>IF(F9=0,0,G34/F9*100)</f>
        <v>0</v>
      </c>
      <c r="H62" s="1090">
        <f>IF(F10=0,0,H34/F10*100)</f>
        <v>0</v>
      </c>
      <c r="I62" s="1090">
        <f>IF(F11=0,0,I34/F11*100)</f>
        <v>0</v>
      </c>
      <c r="J62" s="1090">
        <f>IF(F12=0,0,J34/F12*100)</f>
        <v>0</v>
      </c>
      <c r="K62" s="1090">
        <f>IF(F13=0,0,K34/F13*100)</f>
        <v>0</v>
      </c>
      <c r="L62" s="1132">
        <f>IF(F14=0,0,L34/F14*100)</f>
        <v>0</v>
      </c>
      <c r="M62" s="1090">
        <f>IF(O6=0,0,M34/O6*100)</f>
        <v>0</v>
      </c>
      <c r="N62" s="1090">
        <f>IF(O7=0,0,N34/O7*100)</f>
        <v>0</v>
      </c>
      <c r="O62" s="1090">
        <f>IF(O8=0,0,O34/O8*100)</f>
        <v>0</v>
      </c>
      <c r="P62" s="1090">
        <f>IF(O9=0,0,P34/O9*100)</f>
        <v>0</v>
      </c>
      <c r="Q62" s="1090">
        <f>IF(O10=0,0,Q34/O10*100)</f>
        <v>0</v>
      </c>
      <c r="R62" s="1090">
        <f>IF(O11=0,0,R34/O11*100)</f>
        <v>0</v>
      </c>
      <c r="S62" s="1090">
        <f>IF(O12=0,0,S34/O12*100)</f>
        <v>0</v>
      </c>
      <c r="T62" s="1090">
        <f>IF(O13=0,0,T34/O13*100)</f>
        <v>0</v>
      </c>
      <c r="U62" s="1133">
        <f>IF(O14=0,0,U34/O14*100)</f>
        <v>0</v>
      </c>
      <c r="V62" s="1132">
        <f>IF((F14+O14)=0,0,V34/(F14+O14)*100)</f>
        <v>0</v>
      </c>
      <c r="W62" s="252"/>
      <c r="Y62" s="258">
        <f>SUM(V61:V64)</f>
        <v>0</v>
      </c>
    </row>
    <row r="63" spans="1:25" ht="18" customHeight="1">
      <c r="A63" s="1085">
        <v>6</v>
      </c>
      <c r="B63" s="1086" t="s">
        <v>343</v>
      </c>
      <c r="C63" s="1046"/>
      <c r="D63" s="1090">
        <f>IF(F6=0,0,D43/F6*100)</f>
        <v>0</v>
      </c>
      <c r="E63" s="1090">
        <f>IF(F7=0,0,E43/F7*100)</f>
        <v>0</v>
      </c>
      <c r="F63" s="1090">
        <f>IF(F8=0,0,F43/F8*100)</f>
        <v>0</v>
      </c>
      <c r="G63" s="1090">
        <f>IF(F9=0,0,G43/F9*100)</f>
        <v>0</v>
      </c>
      <c r="H63" s="1090">
        <f>IF(F10=0,0,H43/F10*100)</f>
        <v>0</v>
      </c>
      <c r="I63" s="1090">
        <f>IF(F11=0,0,I43/F11*100)</f>
        <v>0</v>
      </c>
      <c r="J63" s="1090">
        <f>IF(F12=0,0,J43/F12*100)</f>
        <v>0</v>
      </c>
      <c r="K63" s="1090">
        <f>IF(F13=0,0,K43/F13*100)</f>
        <v>0</v>
      </c>
      <c r="L63" s="1132">
        <f>IF(F14=0,0,L43/F14*100)</f>
        <v>0</v>
      </c>
      <c r="M63" s="1090">
        <f>IF(O6=0,0,M43/O6*100)</f>
        <v>0</v>
      </c>
      <c r="N63" s="1090">
        <f>IF(O7=0,0,N43/O7*100)</f>
        <v>0</v>
      </c>
      <c r="O63" s="1090">
        <f>IF(O8=0,0,O43/O8*100)</f>
        <v>0</v>
      </c>
      <c r="P63" s="1090">
        <f>IF(O9=0,0,P43/O9*100)</f>
        <v>0</v>
      </c>
      <c r="Q63" s="1090">
        <f>IF(O10=0,0,Q43/O10*100)</f>
        <v>0</v>
      </c>
      <c r="R63" s="1090">
        <f>IF(O11=0,0,R43/O11*100)</f>
        <v>0</v>
      </c>
      <c r="S63" s="1090">
        <f>IF(O12=0,0,S43/O12*100)</f>
        <v>0</v>
      </c>
      <c r="T63" s="1090">
        <f>IF(O13=0,0,T43/O13*100)</f>
        <v>0</v>
      </c>
      <c r="U63" s="1133">
        <f>IF(O14=0,0,U43/O14*100)</f>
        <v>0</v>
      </c>
      <c r="V63" s="1132">
        <f>IF((F14+O14)=0,0,V43/(F14+O14)*100)</f>
        <v>0</v>
      </c>
      <c r="W63" s="252"/>
    </row>
    <row r="64" spans="1:25" ht="18" customHeight="1" thickBot="1">
      <c r="A64" s="1031">
        <v>7</v>
      </c>
      <c r="B64" s="1092" t="s">
        <v>344</v>
      </c>
      <c r="C64" s="1056"/>
      <c r="D64" s="1093">
        <f>IF(F6=0,0,D58/F6*100)</f>
        <v>0</v>
      </c>
      <c r="E64" s="1093">
        <f>IF(F7=0,0,E58/F7*100)</f>
        <v>0</v>
      </c>
      <c r="F64" s="1093">
        <f>IF(F8=0,0,F58/F8*100)</f>
        <v>0</v>
      </c>
      <c r="G64" s="1093">
        <f>IF(F9=0,0,G58/F9*100)</f>
        <v>0</v>
      </c>
      <c r="H64" s="1093">
        <f>IF(F10=0,0,H58/F10*100)</f>
        <v>0</v>
      </c>
      <c r="I64" s="1093">
        <f>IF(F11=0,0,I58/F11*100)</f>
        <v>0</v>
      </c>
      <c r="J64" s="1093">
        <f>IF(F12=0,0,J58/F12*100)</f>
        <v>0</v>
      </c>
      <c r="K64" s="1093">
        <f>IF(F13=0,0,K58/F13*100)</f>
        <v>0</v>
      </c>
      <c r="L64" s="1134">
        <f>IF(F14=0,0,L58/F14*100)</f>
        <v>0</v>
      </c>
      <c r="M64" s="1095">
        <f>IF(O6=0,0,M58/O6*100)</f>
        <v>0</v>
      </c>
      <c r="N64" s="1095">
        <f>IF(O7=0,0,N58/O7*100)</f>
        <v>0</v>
      </c>
      <c r="O64" s="1095">
        <f>IF(O8=0,0,O58/O8*100)</f>
        <v>0</v>
      </c>
      <c r="P64" s="1095">
        <f>IF(O9=0,0,P58/O9*100)</f>
        <v>0</v>
      </c>
      <c r="Q64" s="1095">
        <f>IF(O10=0,0,Q58/O10*100)</f>
        <v>0</v>
      </c>
      <c r="R64" s="1095">
        <f>IF(O11=0,0,R58/O11*100)</f>
        <v>0</v>
      </c>
      <c r="S64" s="1095">
        <f>IF(O12=0,0,S58/O12*100)</f>
        <v>0</v>
      </c>
      <c r="T64" s="1095">
        <f>IF(O13=0,0,T58/O13*100)</f>
        <v>0</v>
      </c>
      <c r="U64" s="1093">
        <f>IF(O14=0,0,U58/O14*100)</f>
        <v>0</v>
      </c>
      <c r="V64" s="1134">
        <f>IF((F14+O14)=0,0,V58/(F14+O14)*100)</f>
        <v>0</v>
      </c>
      <c r="W64" s="252"/>
    </row>
    <row r="65" spans="1:25" ht="18" customHeight="1">
      <c r="A65" s="185">
        <v>8</v>
      </c>
      <c r="B65" s="186" t="s">
        <v>345</v>
      </c>
      <c r="C65" s="158"/>
      <c r="D65" s="188">
        <f>IF(D58=0,0,D59/D58*100)</f>
        <v>0</v>
      </c>
      <c r="E65" s="188">
        <f>IF(E58=0,0,E59/E58*100)</f>
        <v>0</v>
      </c>
      <c r="F65" s="188">
        <f t="shared" ref="F65:V65" si="19">IF(F58=0,0,F59/F58*100)</f>
        <v>0</v>
      </c>
      <c r="G65" s="188">
        <f t="shared" si="19"/>
        <v>0</v>
      </c>
      <c r="H65" s="188">
        <f t="shared" si="19"/>
        <v>0</v>
      </c>
      <c r="I65" s="188">
        <f t="shared" si="19"/>
        <v>0</v>
      </c>
      <c r="J65" s="188">
        <f t="shared" si="19"/>
        <v>0</v>
      </c>
      <c r="K65" s="188">
        <f t="shared" si="19"/>
        <v>0</v>
      </c>
      <c r="L65" s="217">
        <f t="shared" si="19"/>
        <v>0</v>
      </c>
      <c r="M65" s="188">
        <f t="shared" si="19"/>
        <v>0</v>
      </c>
      <c r="N65" s="188">
        <f t="shared" si="19"/>
        <v>0</v>
      </c>
      <c r="O65" s="188">
        <f t="shared" si="19"/>
        <v>0</v>
      </c>
      <c r="P65" s="188">
        <f t="shared" si="19"/>
        <v>0</v>
      </c>
      <c r="Q65" s="188">
        <f t="shared" si="19"/>
        <v>0</v>
      </c>
      <c r="R65" s="188">
        <f t="shared" si="19"/>
        <v>0</v>
      </c>
      <c r="S65" s="188">
        <f t="shared" si="19"/>
        <v>0</v>
      </c>
      <c r="T65" s="188">
        <f t="shared" si="19"/>
        <v>0</v>
      </c>
      <c r="U65" s="251">
        <f t="shared" si="19"/>
        <v>0</v>
      </c>
      <c r="V65" s="217">
        <f t="shared" si="19"/>
        <v>0</v>
      </c>
      <c r="W65" s="252"/>
    </row>
    <row r="66" spans="1:25" ht="18" customHeight="1">
      <c r="A66" s="1085">
        <v>9</v>
      </c>
      <c r="B66" s="1086" t="s">
        <v>346</v>
      </c>
      <c r="C66" s="1046"/>
      <c r="D66" s="1090">
        <f t="shared" ref="D66:V66" si="20">IF(D58=0,0,D26/D58*100)</f>
        <v>0</v>
      </c>
      <c r="E66" s="1090">
        <f t="shared" si="20"/>
        <v>0</v>
      </c>
      <c r="F66" s="1090">
        <f t="shared" si="20"/>
        <v>0</v>
      </c>
      <c r="G66" s="1090">
        <f t="shared" si="20"/>
        <v>0</v>
      </c>
      <c r="H66" s="1090">
        <f t="shared" si="20"/>
        <v>0</v>
      </c>
      <c r="I66" s="1090">
        <f t="shared" si="20"/>
        <v>0</v>
      </c>
      <c r="J66" s="1090">
        <f t="shared" si="20"/>
        <v>0</v>
      </c>
      <c r="K66" s="1090">
        <f t="shared" si="20"/>
        <v>0</v>
      </c>
      <c r="L66" s="1132">
        <f t="shared" si="20"/>
        <v>0</v>
      </c>
      <c r="M66" s="1090">
        <f t="shared" si="20"/>
        <v>0</v>
      </c>
      <c r="N66" s="1090">
        <f t="shared" si="20"/>
        <v>0</v>
      </c>
      <c r="O66" s="1090">
        <f t="shared" si="20"/>
        <v>0</v>
      </c>
      <c r="P66" s="1090">
        <f t="shared" si="20"/>
        <v>0</v>
      </c>
      <c r="Q66" s="1090">
        <f t="shared" si="20"/>
        <v>0</v>
      </c>
      <c r="R66" s="1090">
        <f t="shared" si="20"/>
        <v>0</v>
      </c>
      <c r="S66" s="1090">
        <f t="shared" si="20"/>
        <v>0</v>
      </c>
      <c r="T66" s="1090">
        <f t="shared" si="20"/>
        <v>0</v>
      </c>
      <c r="U66" s="1133">
        <f t="shared" si="20"/>
        <v>0</v>
      </c>
      <c r="V66" s="1132">
        <f t="shared" si="20"/>
        <v>0</v>
      </c>
      <c r="W66" s="252"/>
      <c r="Y66" s="258">
        <f>SUM(V65:V67)</f>
        <v>0</v>
      </c>
    </row>
    <row r="67" spans="1:25" ht="18" customHeight="1" thickBot="1">
      <c r="A67" s="1031">
        <v>10</v>
      </c>
      <c r="B67" s="1092" t="s">
        <v>347</v>
      </c>
      <c r="C67" s="1056"/>
      <c r="D67" s="1095">
        <f t="shared" ref="D67:V67" si="21">IF(D58=0,0,D60/D58*100)</f>
        <v>0</v>
      </c>
      <c r="E67" s="1095">
        <f t="shared" si="21"/>
        <v>0</v>
      </c>
      <c r="F67" s="1095">
        <f t="shared" si="21"/>
        <v>0</v>
      </c>
      <c r="G67" s="1095">
        <f t="shared" si="21"/>
        <v>0</v>
      </c>
      <c r="H67" s="1095">
        <f t="shared" si="21"/>
        <v>0</v>
      </c>
      <c r="I67" s="1095">
        <f t="shared" si="21"/>
        <v>0</v>
      </c>
      <c r="J67" s="1095">
        <f t="shared" si="21"/>
        <v>0</v>
      </c>
      <c r="K67" s="1095">
        <f t="shared" si="21"/>
        <v>0</v>
      </c>
      <c r="L67" s="1134">
        <f t="shared" si="21"/>
        <v>0</v>
      </c>
      <c r="M67" s="1095">
        <f t="shared" si="21"/>
        <v>0</v>
      </c>
      <c r="N67" s="1095">
        <f t="shared" si="21"/>
        <v>0</v>
      </c>
      <c r="O67" s="1095">
        <f t="shared" si="21"/>
        <v>0</v>
      </c>
      <c r="P67" s="1095">
        <f t="shared" si="21"/>
        <v>0</v>
      </c>
      <c r="Q67" s="1095">
        <f t="shared" si="21"/>
        <v>0</v>
      </c>
      <c r="R67" s="1095">
        <f t="shared" si="21"/>
        <v>0</v>
      </c>
      <c r="S67" s="1095">
        <f t="shared" si="21"/>
        <v>0</v>
      </c>
      <c r="T67" s="1095">
        <f t="shared" si="21"/>
        <v>0</v>
      </c>
      <c r="U67" s="1093">
        <f t="shared" si="21"/>
        <v>0</v>
      </c>
      <c r="V67" s="1134">
        <f t="shared" si="21"/>
        <v>0</v>
      </c>
      <c r="W67" s="252"/>
    </row>
    <row r="68" spans="1:25" ht="18" customHeight="1" thickBot="1">
      <c r="A68" s="183">
        <v>11</v>
      </c>
      <c r="B68" s="189" t="s">
        <v>254</v>
      </c>
      <c r="C68" s="155"/>
      <c r="D68" s="190">
        <f>IF(E78=0,0,D78/E78*100)</f>
        <v>97.260273972602747</v>
      </c>
      <c r="E68" s="190">
        <f>IF(E78=0,0,D78/E78*100)</f>
        <v>97.260273972602747</v>
      </c>
      <c r="F68" s="190">
        <f>IF(E78=0,0,D78/E78*100)</f>
        <v>97.260273972602747</v>
      </c>
      <c r="G68" s="190">
        <f>IF(E78=0,0,D78/E78*100)</f>
        <v>97.260273972602747</v>
      </c>
      <c r="H68" s="190">
        <f>IF(E78=0,0,D78/E78*100)</f>
        <v>97.260273972602747</v>
      </c>
      <c r="I68" s="190">
        <f>IF(E78=0,0,D78/E78*100)</f>
        <v>97.260273972602747</v>
      </c>
      <c r="J68" s="190">
        <f>IF(E78=0,0,D78/E78*100)</f>
        <v>97.260273972602747</v>
      </c>
      <c r="K68" s="190">
        <f>IF(E78=0,0,D78/E78*100)</f>
        <v>97.260273972602747</v>
      </c>
      <c r="L68" s="218">
        <f>IF(E78=0,0,D78/E78*100)</f>
        <v>97.260273972602747</v>
      </c>
      <c r="M68" s="219">
        <f>IF(N78=0,0,M78/N78*100)</f>
        <v>90.642438117041067</v>
      </c>
      <c r="N68" s="219">
        <f>IF(N78=0,0,M78/N78*100)</f>
        <v>90.642438117041067</v>
      </c>
      <c r="O68" s="219">
        <f>IF(N78=0,0,M78/N78*100)</f>
        <v>90.642438117041067</v>
      </c>
      <c r="P68" s="219">
        <f>IF(N78=0,0,M78/N78*100)</f>
        <v>90.642438117041067</v>
      </c>
      <c r="Q68" s="219">
        <f>IF(N78=0,0,M78/N78*100)</f>
        <v>90.642438117041067</v>
      </c>
      <c r="R68" s="219">
        <f>IF(N78=0,0,M78/N78*100)</f>
        <v>90.642438117041067</v>
      </c>
      <c r="S68" s="219">
        <f>IF(N78=0,0,M78/N78*100)</f>
        <v>90.642438117041067</v>
      </c>
      <c r="T68" s="219">
        <f>IF(N78=0,0,M78/N78*100)</f>
        <v>90.642438117041067</v>
      </c>
      <c r="U68" s="190">
        <f>IF(N78=0,0,M78/N78*100)</f>
        <v>90.642438117041067</v>
      </c>
      <c r="V68" s="218">
        <f>IF(N82=0,0,M82/N82*100)</f>
        <v>94.309772901250327</v>
      </c>
      <c r="W68" s="252"/>
    </row>
    <row r="69" spans="1:25" ht="18" customHeight="1" thickBot="1">
      <c r="A69" s="183">
        <v>12</v>
      </c>
      <c r="B69" s="189" t="s">
        <v>348</v>
      </c>
      <c r="C69" s="155"/>
      <c r="D69" s="190">
        <f t="shared" ref="D69:T69" si="22">(D64*D67*D68)/10000</f>
        <v>0</v>
      </c>
      <c r="E69" s="190">
        <f t="shared" si="22"/>
        <v>0</v>
      </c>
      <c r="F69" s="190">
        <f t="shared" si="22"/>
        <v>0</v>
      </c>
      <c r="G69" s="190">
        <f t="shared" si="22"/>
        <v>0</v>
      </c>
      <c r="H69" s="190">
        <f t="shared" si="22"/>
        <v>0</v>
      </c>
      <c r="I69" s="190">
        <f t="shared" si="22"/>
        <v>0</v>
      </c>
      <c r="J69" s="190">
        <f t="shared" si="22"/>
        <v>0</v>
      </c>
      <c r="K69" s="190">
        <f t="shared" si="22"/>
        <v>0</v>
      </c>
      <c r="L69" s="190">
        <f t="shared" si="22"/>
        <v>0</v>
      </c>
      <c r="M69" s="219">
        <f t="shared" si="22"/>
        <v>0</v>
      </c>
      <c r="N69" s="219">
        <f t="shared" si="22"/>
        <v>0</v>
      </c>
      <c r="O69" s="219">
        <f t="shared" si="22"/>
        <v>0</v>
      </c>
      <c r="P69" s="219">
        <f t="shared" si="22"/>
        <v>0</v>
      </c>
      <c r="Q69" s="219">
        <f t="shared" si="22"/>
        <v>0</v>
      </c>
      <c r="R69" s="219">
        <f t="shared" si="22"/>
        <v>0</v>
      </c>
      <c r="S69" s="219">
        <f t="shared" si="22"/>
        <v>0</v>
      </c>
      <c r="T69" s="219">
        <f t="shared" si="22"/>
        <v>0</v>
      </c>
      <c r="U69" s="190">
        <f>IF(10000=0,0,(U64*U67*U68)/10000)</f>
        <v>0</v>
      </c>
      <c r="V69" s="218">
        <f>IF(10000=0,0,(V64*V67*V68)/10000)</f>
        <v>0</v>
      </c>
      <c r="W69" s="252"/>
    </row>
    <row r="70" spans="1:25" ht="12.75" customHeight="1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5" ht="18" customHeight="1">
      <c r="A71" s="1352" t="s">
        <v>349</v>
      </c>
      <c r="B71" s="1352"/>
      <c r="C71" s="261" t="s">
        <v>350</v>
      </c>
      <c r="D71" s="260"/>
      <c r="E71" s="260"/>
      <c r="F71" s="260"/>
      <c r="G71" s="262" t="s">
        <v>263</v>
      </c>
      <c r="H71" s="262"/>
      <c r="I71" s="262"/>
      <c r="J71" s="262"/>
      <c r="K71" s="260"/>
      <c r="L71" s="260"/>
      <c r="M71" s="260"/>
      <c r="N71" s="262"/>
      <c r="O71" s="260"/>
      <c r="P71" s="262" t="s">
        <v>351</v>
      </c>
      <c r="Q71" s="262"/>
      <c r="R71" s="262"/>
      <c r="S71" s="262"/>
      <c r="T71" s="260"/>
      <c r="U71" s="260"/>
      <c r="V71" s="260"/>
      <c r="W71" s="284"/>
    </row>
    <row r="72" spans="1:25" ht="3.75" customHeight="1">
      <c r="D72" s="263"/>
      <c r="E72" s="263"/>
      <c r="G72" s="263"/>
      <c r="H72" s="263"/>
      <c r="I72" s="263"/>
      <c r="J72" s="263"/>
      <c r="K72" s="263"/>
      <c r="L72" s="263"/>
      <c r="M72" s="262"/>
      <c r="N72" s="263"/>
      <c r="O72" s="263"/>
      <c r="P72" s="280"/>
      <c r="Q72" s="280"/>
      <c r="R72" s="280"/>
      <c r="S72" s="280"/>
      <c r="T72" s="280"/>
      <c r="U72" s="260"/>
      <c r="V72" s="260"/>
      <c r="W72" s="284"/>
    </row>
    <row r="73" spans="1:25" ht="16.5" customHeight="1">
      <c r="B73" s="261"/>
      <c r="C73" s="261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0"/>
      <c r="V73" s="260"/>
      <c r="W73" s="284"/>
    </row>
    <row r="74" spans="1:25">
      <c r="A74" s="259"/>
      <c r="B74" s="259"/>
      <c r="C74" s="259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5">
      <c r="A75" s="259"/>
      <c r="B75" s="259"/>
      <c r="C75" s="259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5">
      <c r="A76" s="259"/>
      <c r="B76" s="259"/>
      <c r="C76" s="259"/>
      <c r="D76" s="1096" t="s">
        <v>70</v>
      </c>
      <c r="E76" s="260"/>
      <c r="F76" s="260"/>
      <c r="G76" s="260"/>
      <c r="H76" s="260"/>
      <c r="I76" s="260"/>
      <c r="J76" s="260"/>
      <c r="K76" s="260"/>
      <c r="L76" s="260"/>
      <c r="M76" s="1096" t="s">
        <v>73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B77" s="259"/>
      <c r="C77" s="1097"/>
      <c r="D77" s="1098" t="s">
        <v>51</v>
      </c>
      <c r="E77" s="1098" t="s">
        <v>50</v>
      </c>
      <c r="F77" s="260"/>
      <c r="G77" s="260"/>
      <c r="H77" s="260"/>
      <c r="I77" s="260"/>
      <c r="J77" s="260"/>
      <c r="K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</row>
    <row r="78" spans="1:25">
      <c r="A78" s="259"/>
      <c r="B78" s="259"/>
      <c r="C78" s="259"/>
      <c r="D78" s="1099">
        <f>6819+1630</f>
        <v>8449</v>
      </c>
      <c r="E78" s="1099">
        <f>8687</f>
        <v>8687</v>
      </c>
      <c r="F78" s="264">
        <f>8/E78</f>
        <v>9.2091631173017155E-4</v>
      </c>
      <c r="G78" s="260"/>
      <c r="H78" s="260"/>
      <c r="I78" s="260"/>
      <c r="J78" s="260"/>
      <c r="K78" s="260"/>
      <c r="L78" s="260"/>
      <c r="M78" s="1099">
        <v>6335</v>
      </c>
      <c r="N78" s="1099">
        <v>6989</v>
      </c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5">
      <c r="A79" s="259"/>
      <c r="B79" s="259"/>
      <c r="C79" s="259"/>
      <c r="D79" s="912"/>
      <c r="E79" s="265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5">
      <c r="A80" s="259"/>
      <c r="B80" s="259"/>
      <c r="C80" s="259"/>
      <c r="D80" s="265"/>
      <c r="E80" s="265"/>
      <c r="F80" s="260"/>
      <c r="G80" s="260"/>
      <c r="H80" s="260"/>
      <c r="I80" s="260"/>
      <c r="J80" s="260"/>
      <c r="K80" s="260"/>
      <c r="L80" s="260"/>
      <c r="M80" s="1096" t="s">
        <v>368</v>
      </c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1098" t="s">
        <v>51</v>
      </c>
      <c r="N81" s="1098" t="s">
        <v>50</v>
      </c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135">
        <f>D78+M78</f>
        <v>14784</v>
      </c>
      <c r="N82" s="1135">
        <f>E78+N78</f>
        <v>15676</v>
      </c>
      <c r="O82" s="281">
        <f>M82/N82</f>
        <v>0.94309772901250322</v>
      </c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 ht="28" thickBot="1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 ht="28" thickBot="1">
      <c r="A85" s="266" t="s">
        <v>353</v>
      </c>
      <c r="B85" s="267"/>
      <c r="C85" s="268"/>
      <c r="D85" s="269"/>
      <c r="E85" s="270" t="s">
        <v>354</v>
      </c>
      <c r="F85" s="270"/>
      <c r="G85" s="270"/>
      <c r="H85" s="270"/>
      <c r="I85" s="270"/>
      <c r="J85" s="270"/>
      <c r="K85" s="270"/>
      <c r="L85" s="282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271">
        <v>1</v>
      </c>
      <c r="B86" s="272" t="s">
        <v>223</v>
      </c>
      <c r="C86" s="273"/>
      <c r="D86" s="274"/>
      <c r="E86" s="275" t="s">
        <v>355</v>
      </c>
      <c r="F86" s="275"/>
      <c r="G86" s="275"/>
      <c r="H86" s="275"/>
      <c r="I86" s="275"/>
      <c r="J86" s="275"/>
      <c r="K86" s="275"/>
      <c r="L86" s="28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2</v>
      </c>
      <c r="B87" s="1101" t="s">
        <v>339</v>
      </c>
      <c r="C87" s="1102"/>
      <c r="D87" s="1103"/>
      <c r="E87" s="1104" t="s">
        <v>227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3</v>
      </c>
      <c r="B88" s="1101" t="s">
        <v>340</v>
      </c>
      <c r="C88" s="1102"/>
      <c r="D88" s="1103"/>
      <c r="E88" s="1104" t="s">
        <v>230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4</v>
      </c>
      <c r="B89" s="1101" t="s">
        <v>356</v>
      </c>
      <c r="C89" s="1102"/>
      <c r="D89" s="1103"/>
      <c r="E89" s="1104" t="s">
        <v>357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5</v>
      </c>
      <c r="B90" s="1101" t="s">
        <v>358</v>
      </c>
      <c r="C90" s="1102"/>
      <c r="D90" s="1103"/>
      <c r="E90" s="1104" t="s">
        <v>359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6</v>
      </c>
      <c r="B91" s="1101" t="s">
        <v>360</v>
      </c>
      <c r="C91" s="1102"/>
      <c r="D91" s="1103"/>
      <c r="E91" s="1104" t="s">
        <v>236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7</v>
      </c>
      <c r="B92" s="1101" t="s">
        <v>344</v>
      </c>
      <c r="C92" s="1102"/>
      <c r="D92" s="1103"/>
      <c r="E92" s="1104" t="s">
        <v>240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8</v>
      </c>
      <c r="B93" s="1101" t="s">
        <v>361</v>
      </c>
      <c r="C93" s="1102"/>
      <c r="D93" s="1103"/>
      <c r="E93" s="1104" t="s">
        <v>243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9</v>
      </c>
      <c r="B94" s="1101" t="s">
        <v>362</v>
      </c>
      <c r="C94" s="1102"/>
      <c r="D94" s="1103"/>
      <c r="E94" s="1104" t="s">
        <v>246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10</v>
      </c>
      <c r="B95" s="1101" t="s">
        <v>347</v>
      </c>
      <c r="C95" s="1102"/>
      <c r="D95" s="1103"/>
      <c r="E95" s="1104" t="s">
        <v>363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11</v>
      </c>
      <c r="B96" s="1105" t="s">
        <v>254</v>
      </c>
      <c r="C96" s="1102"/>
      <c r="D96" s="1103"/>
      <c r="E96" s="1104" t="s">
        <v>364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 ht="28" thickBot="1">
      <c r="A97" s="1106">
        <v>12</v>
      </c>
      <c r="B97" s="1107" t="s">
        <v>348</v>
      </c>
      <c r="C97" s="276"/>
      <c r="D97" s="277"/>
      <c r="E97" s="1108" t="s">
        <v>365</v>
      </c>
      <c r="F97" s="1108"/>
      <c r="G97" s="1108"/>
      <c r="H97" s="1108"/>
      <c r="I97" s="1108"/>
      <c r="J97" s="1108"/>
      <c r="K97" s="1108"/>
      <c r="L97" s="1109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 s="134" customFormat="1">
      <c r="D113" s="278"/>
      <c r="E113" s="278"/>
      <c r="F113" s="278"/>
      <c r="G113" s="279"/>
      <c r="H113" s="279"/>
      <c r="I113" s="279"/>
      <c r="J113" s="279"/>
      <c r="K113" s="279"/>
      <c r="L113" s="278"/>
      <c r="M113" s="278"/>
      <c r="N113" s="278"/>
      <c r="O113" s="278"/>
      <c r="P113" s="279"/>
      <c r="Q113" s="279"/>
      <c r="R113" s="279"/>
      <c r="S113" s="279"/>
      <c r="T113" s="279"/>
      <c r="U113" s="279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 s="134" customFormat="1"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85"/>
      <c r="Z114" s="286"/>
      <c r="AA114" s="286"/>
      <c r="AB114" s="286"/>
      <c r="AC114" s="286"/>
      <c r="AD114" s="286"/>
      <c r="AE114" s="286"/>
      <c r="AF114" s="286"/>
      <c r="AG114" s="286"/>
      <c r="AH114" s="286"/>
    </row>
    <row r="115" spans="1:34" s="134" customFormat="1"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</sheetData>
  <mergeCells count="83">
    <mergeCell ref="D48:J48"/>
    <mergeCell ref="A71:B71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79" orientation="landscape" verticalDpi="36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AF79-741D-4479-89EA-3D021D0A91D7}">
  <sheetPr codeName="Sheet28">
    <tabColor rgb="FFFFFF00"/>
    <pageSetUpPr fitToPage="1"/>
  </sheetPr>
  <dimension ref="A1:IV122"/>
  <sheetViews>
    <sheetView showGridLines="0" topLeftCell="A22" zoomScale="87" zoomScaleNormal="87" zoomScaleSheetLayoutView="70" workbookViewId="0">
      <selection activeCell="M6" sqref="M6:O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11.58203125" style="136" customWidth="1"/>
    <col min="11" max="11" width="9.58203125" style="136" customWidth="1"/>
    <col min="12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244572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3215</v>
      </c>
      <c r="AB4" s="256">
        <f>L54</f>
        <v>2652</v>
      </c>
      <c r="AC4" s="256">
        <f>L55</f>
        <v>246.33333333333337</v>
      </c>
      <c r="AD4" s="256">
        <f>L56</f>
        <v>1314</v>
      </c>
      <c r="AE4" s="256">
        <f>L21</f>
        <v>83</v>
      </c>
      <c r="AF4" s="256">
        <f>L26</f>
        <v>754.6666666666664</v>
      </c>
      <c r="AG4" s="256">
        <f>L28</f>
        <v>480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4620</v>
      </c>
      <c r="AB5" s="256">
        <f>U54</f>
        <v>4029</v>
      </c>
      <c r="AC5" s="256">
        <f>U55</f>
        <v>139.00000000000003</v>
      </c>
      <c r="AD5" s="256">
        <f>U56</f>
        <v>1980</v>
      </c>
      <c r="AE5" s="256">
        <f>U21</f>
        <v>430</v>
      </c>
      <c r="AF5" s="256">
        <f>U26</f>
        <v>1909.9999999999995</v>
      </c>
      <c r="AG5" s="256">
        <f>U28</f>
        <v>161</v>
      </c>
      <c r="AH5" s="256">
        <f>U43</f>
        <v>0</v>
      </c>
    </row>
    <row r="6" spans="1:256" ht="18.75" customHeight="1">
      <c r="A6" s="142" t="s">
        <v>291</v>
      </c>
      <c r="B6" s="910" t="s">
        <v>680</v>
      </c>
      <c r="C6" s="144">
        <v>3</v>
      </c>
      <c r="D6" s="145">
        <v>0.45833333333333331</v>
      </c>
      <c r="E6" s="145">
        <v>0.79166666666666663</v>
      </c>
      <c r="F6" s="146">
        <f>(E6-D6)*1440</f>
        <v>480</v>
      </c>
      <c r="G6" s="1365">
        <v>472</v>
      </c>
      <c r="H6" s="1365"/>
      <c r="I6" s="1405">
        <v>300</v>
      </c>
      <c r="J6" s="1406"/>
      <c r="K6" s="1370">
        <f>G6-I6</f>
        <v>172</v>
      </c>
      <c r="L6" s="1407"/>
      <c r="M6" s="145">
        <v>0.79166666666666663</v>
      </c>
      <c r="N6" s="145">
        <v>0.25</v>
      </c>
      <c r="O6" s="146">
        <f t="shared" ref="O6:O12" si="0">(N6-M6+(N6&lt;M6))*1440</f>
        <v>660</v>
      </c>
      <c r="P6" s="1408">
        <f>742+246</f>
        <v>988</v>
      </c>
      <c r="Q6" s="1408"/>
      <c r="R6" s="1409">
        <f>605+223</f>
        <v>828</v>
      </c>
      <c r="S6" s="1408"/>
      <c r="T6" s="1421">
        <f>P6-R6</f>
        <v>160</v>
      </c>
      <c r="U6" s="1421"/>
      <c r="V6" s="224">
        <f t="shared" ref="V6:V13" si="1">F6+O6</f>
        <v>1140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0.3923611111111111</v>
      </c>
      <c r="E7" s="145">
        <v>0.79166666666666663</v>
      </c>
      <c r="F7" s="146">
        <f>(E7-D7)*1440</f>
        <v>575</v>
      </c>
      <c r="G7" s="1403">
        <v>1002</v>
      </c>
      <c r="H7" s="1404"/>
      <c r="I7" s="1403">
        <v>900</v>
      </c>
      <c r="J7" s="1404"/>
      <c r="K7" s="1368">
        <f>G7-I7</f>
        <v>102</v>
      </c>
      <c r="L7" s="1397"/>
      <c r="M7" s="145">
        <v>0.79166666666666663</v>
      </c>
      <c r="N7" s="145">
        <v>0.25</v>
      </c>
      <c r="O7" s="146">
        <f t="shared" si="0"/>
        <v>660</v>
      </c>
      <c r="P7" s="1398">
        <f>785</f>
        <v>785</v>
      </c>
      <c r="Q7" s="1398"/>
      <c r="R7" s="1398">
        <f>755</f>
        <v>755</v>
      </c>
      <c r="S7" s="1398"/>
      <c r="T7" s="1399">
        <f t="shared" ref="T7:T13" si="2">P7-R7</f>
        <v>30</v>
      </c>
      <c r="U7" s="1399"/>
      <c r="V7" s="224">
        <f t="shared" si="1"/>
        <v>1235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0.4236111111111111</v>
      </c>
      <c r="E8" s="145">
        <v>0.79166666666666663</v>
      </c>
      <c r="F8" s="146">
        <f>(E8-D8)*1440</f>
        <v>530</v>
      </c>
      <c r="G8" s="1403">
        <v>800</v>
      </c>
      <c r="H8" s="1404"/>
      <c r="I8" s="1403">
        <v>700</v>
      </c>
      <c r="J8" s="1404"/>
      <c r="K8" s="1368">
        <f t="shared" ref="K8:K13" si="3">G8-I8</f>
        <v>100</v>
      </c>
      <c r="L8" s="1397"/>
      <c r="M8" s="145">
        <v>0.79166666666666663</v>
      </c>
      <c r="N8" s="145">
        <v>0.25</v>
      </c>
      <c r="O8" s="146">
        <f t="shared" si="0"/>
        <v>660</v>
      </c>
      <c r="P8" s="1398">
        <f>749</f>
        <v>749</v>
      </c>
      <c r="Q8" s="1398"/>
      <c r="R8" s="1398">
        <f>721</f>
        <v>721</v>
      </c>
      <c r="S8" s="1398"/>
      <c r="T8" s="1399">
        <f t="shared" si="2"/>
        <v>28</v>
      </c>
      <c r="U8" s="1399"/>
      <c r="V8" s="224">
        <f t="shared" si="1"/>
        <v>1190</v>
      </c>
      <c r="W8" s="226"/>
    </row>
    <row r="9" spans="1:256" ht="18.75" customHeight="1">
      <c r="A9" s="142" t="s">
        <v>294</v>
      </c>
      <c r="B9" s="910" t="s">
        <v>634</v>
      </c>
      <c r="C9" s="144">
        <v>3</v>
      </c>
      <c r="D9" s="145"/>
      <c r="E9" s="145"/>
      <c r="F9" s="146"/>
      <c r="G9" s="1403"/>
      <c r="H9" s="1404"/>
      <c r="I9" s="1403"/>
      <c r="J9" s="1404"/>
      <c r="K9" s="1368">
        <f t="shared" si="3"/>
        <v>0</v>
      </c>
      <c r="L9" s="1397"/>
      <c r="M9" s="145">
        <v>0.79166666666666663</v>
      </c>
      <c r="N9" s="145">
        <v>0.25</v>
      </c>
      <c r="O9" s="146">
        <f t="shared" si="0"/>
        <v>660</v>
      </c>
      <c r="P9" s="1398">
        <f>707+306</f>
        <v>1013</v>
      </c>
      <c r="Q9" s="1398"/>
      <c r="R9" s="1398">
        <f>680+297</f>
        <v>977</v>
      </c>
      <c r="S9" s="1398"/>
      <c r="T9" s="1399">
        <f t="shared" si="2"/>
        <v>36</v>
      </c>
      <c r="U9" s="1399"/>
      <c r="V9" s="224">
        <f t="shared" si="1"/>
        <v>660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0.4201388888888889</v>
      </c>
      <c r="E10" s="145">
        <v>0.79166666666666663</v>
      </c>
      <c r="F10" s="146">
        <f>(E10-D10)*1440</f>
        <v>534.99999999999989</v>
      </c>
      <c r="G10" s="1403">
        <v>963</v>
      </c>
      <c r="H10" s="1404"/>
      <c r="I10" s="1396">
        <v>878</v>
      </c>
      <c r="J10" s="1396"/>
      <c r="K10" s="1368">
        <f t="shared" si="3"/>
        <v>85</v>
      </c>
      <c r="L10" s="1397"/>
      <c r="M10" s="145">
        <v>0.79166666666666663</v>
      </c>
      <c r="N10" s="145">
        <v>0.25</v>
      </c>
      <c r="O10" s="146">
        <f t="shared" si="0"/>
        <v>660</v>
      </c>
      <c r="P10" s="1398">
        <f>692+238</f>
        <v>930</v>
      </c>
      <c r="Q10" s="1398"/>
      <c r="R10" s="1398">
        <f>666+231</f>
        <v>897</v>
      </c>
      <c r="S10" s="1398"/>
      <c r="T10" s="1399">
        <f t="shared" si="2"/>
        <v>33</v>
      </c>
      <c r="U10" s="1399"/>
      <c r="V10" s="224">
        <f t="shared" si="1"/>
        <v>1195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0.41319444444444442</v>
      </c>
      <c r="E11" s="145">
        <v>0.79166666666666663</v>
      </c>
      <c r="F11" s="146">
        <f t="shared" ref="F11:F12" si="4">(E11-D11)*1440</f>
        <v>545</v>
      </c>
      <c r="G11" s="1396">
        <v>923</v>
      </c>
      <c r="H11" s="1396"/>
      <c r="I11" s="1396">
        <v>698</v>
      </c>
      <c r="J11" s="1396"/>
      <c r="K11" s="1368">
        <f>G11-I11</f>
        <v>225</v>
      </c>
      <c r="L11" s="1397"/>
      <c r="M11" s="145">
        <v>0.79166666666666663</v>
      </c>
      <c r="N11" s="145">
        <v>0.25</v>
      </c>
      <c r="O11" s="146">
        <f t="shared" si="0"/>
        <v>660</v>
      </c>
      <c r="P11" s="1398">
        <f>550</f>
        <v>550</v>
      </c>
      <c r="Q11" s="1398"/>
      <c r="R11" s="1398">
        <f>448</f>
        <v>448</v>
      </c>
      <c r="S11" s="1398"/>
      <c r="T11" s="1399">
        <f t="shared" si="2"/>
        <v>102</v>
      </c>
      <c r="U11" s="1399"/>
      <c r="V11" s="224">
        <f t="shared" si="1"/>
        <v>1205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0.40972222222222227</v>
      </c>
      <c r="E12" s="145">
        <v>0.79166666666666663</v>
      </c>
      <c r="F12" s="146">
        <f t="shared" si="4"/>
        <v>549.99999999999989</v>
      </c>
      <c r="G12" s="1396">
        <v>1219</v>
      </c>
      <c r="H12" s="1396"/>
      <c r="I12" s="1396">
        <v>1164</v>
      </c>
      <c r="J12" s="1396"/>
      <c r="K12" s="1368">
        <f t="shared" si="3"/>
        <v>55</v>
      </c>
      <c r="L12" s="1397"/>
      <c r="M12" s="145">
        <v>0.79166666666666663</v>
      </c>
      <c r="N12" s="145">
        <v>0.25</v>
      </c>
      <c r="O12" s="146">
        <f t="shared" si="0"/>
        <v>660</v>
      </c>
      <c r="P12" s="1398">
        <f>946+396</f>
        <v>1342</v>
      </c>
      <c r="Q12" s="1398"/>
      <c r="R12" s="1398">
        <f>923+391</f>
        <v>1314</v>
      </c>
      <c r="S12" s="1398"/>
      <c r="T12" s="1399">
        <f t="shared" si="2"/>
        <v>28</v>
      </c>
      <c r="U12" s="1399"/>
      <c r="V12" s="224">
        <f t="shared" si="1"/>
        <v>1210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5"/>
      <c r="E13" s="145"/>
      <c r="F13" s="149"/>
      <c r="G13" s="1400"/>
      <c r="H13" s="1400"/>
      <c r="I13" s="1400"/>
      <c r="J13" s="1400"/>
      <c r="K13" s="1366">
        <f t="shared" si="3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0.41956018518518517</v>
      </c>
      <c r="E14" s="152">
        <f>AVERAGE(E6:E13)</f>
        <v>0.79166666666666663</v>
      </c>
      <c r="F14" s="153">
        <f>SUM(F6:F13)</f>
        <v>3215</v>
      </c>
      <c r="G14" s="1362">
        <f>SUM(G6:H13)</f>
        <v>5379</v>
      </c>
      <c r="H14" s="1363"/>
      <c r="I14" s="1362">
        <f>SUM(I6:I13)</f>
        <v>4640</v>
      </c>
      <c r="J14" s="1363"/>
      <c r="K14" s="1362">
        <f>SUM(K6:K13)</f>
        <v>739</v>
      </c>
      <c r="L14" s="1394"/>
      <c r="M14" s="198">
        <f>AVERAGE(M6:M13)</f>
        <v>0.79166666666666674</v>
      </c>
      <c r="N14" s="199">
        <f>AVERAGE(N6:N13)</f>
        <v>0.25</v>
      </c>
      <c r="O14" s="200">
        <f>SUM(O6:O13)</f>
        <v>4620</v>
      </c>
      <c r="P14" s="1392">
        <f>SUM(P6:P13)</f>
        <v>6357</v>
      </c>
      <c r="Q14" s="1393"/>
      <c r="R14" s="1392">
        <f>SUM(R6:R13)</f>
        <v>5940</v>
      </c>
      <c r="S14" s="1393"/>
      <c r="T14" s="1392">
        <f>SUM(T6:T13)</f>
        <v>417</v>
      </c>
      <c r="U14" s="1393"/>
      <c r="V14" s="228">
        <f>SUM(V6:V13)</f>
        <v>7835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5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6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5"/>
        <v>0</v>
      </c>
      <c r="M17" s="204">
        <v>55</v>
      </c>
      <c r="N17" s="160">
        <v>55</v>
      </c>
      <c r="O17" s="160">
        <v>55</v>
      </c>
      <c r="P17" s="1070">
        <v>55</v>
      </c>
      <c r="Q17" s="1070">
        <v>55</v>
      </c>
      <c r="R17" s="1070">
        <v>55</v>
      </c>
      <c r="S17" s="1070">
        <v>55</v>
      </c>
      <c r="T17" s="1070"/>
      <c r="U17" s="1113">
        <f t="shared" si="6"/>
        <v>385</v>
      </c>
      <c r="V17" s="1114">
        <f>SUM(M17:U17)</f>
        <v>770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5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6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15</v>
      </c>
      <c r="E19" s="1070">
        <v>20</v>
      </c>
      <c r="F19" s="1070">
        <v>9</v>
      </c>
      <c r="G19" s="1070"/>
      <c r="H19" s="1070">
        <v>9</v>
      </c>
      <c r="I19" s="1070">
        <f>3+15</f>
        <v>18</v>
      </c>
      <c r="J19" s="1070">
        <f>3*4</f>
        <v>12</v>
      </c>
      <c r="K19" s="1070"/>
      <c r="L19" s="1112">
        <f t="shared" si="5"/>
        <v>83</v>
      </c>
      <c r="M19" s="1070">
        <f>3*4</f>
        <v>12</v>
      </c>
      <c r="N19" s="1059">
        <f>8</f>
        <v>8</v>
      </c>
      <c r="O19" s="1070">
        <f>4</f>
        <v>4</v>
      </c>
      <c r="P19" s="1070">
        <v>4</v>
      </c>
      <c r="Q19" s="1070">
        <f>4</f>
        <v>4</v>
      </c>
      <c r="R19" s="1070">
        <f>9</f>
        <v>9</v>
      </c>
      <c r="S19" s="1070">
        <f>4</f>
        <v>4</v>
      </c>
      <c r="T19" s="1070"/>
      <c r="U19" s="1113">
        <f t="shared" si="6"/>
        <v>45</v>
      </c>
      <c r="V19" s="1114">
        <f>L19+U19</f>
        <v>128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5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6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7">SUM(D16:D20)</f>
        <v>15</v>
      </c>
      <c r="E21" s="165">
        <f t="shared" si="7"/>
        <v>20</v>
      </c>
      <c r="F21" s="165">
        <f t="shared" si="7"/>
        <v>9</v>
      </c>
      <c r="G21" s="165">
        <f t="shared" si="7"/>
        <v>0</v>
      </c>
      <c r="H21" s="165">
        <f t="shared" si="7"/>
        <v>9</v>
      </c>
      <c r="I21" s="165">
        <f t="shared" si="7"/>
        <v>18</v>
      </c>
      <c r="J21" s="165">
        <f t="shared" si="7"/>
        <v>12</v>
      </c>
      <c r="K21" s="165">
        <f t="shared" si="7"/>
        <v>0</v>
      </c>
      <c r="L21" s="206">
        <f t="shared" si="5"/>
        <v>83</v>
      </c>
      <c r="M21" s="165">
        <f t="shared" ref="M21:T21" si="8">SUM(M16:M20)</f>
        <v>67</v>
      </c>
      <c r="N21" s="165">
        <f t="shared" si="8"/>
        <v>63</v>
      </c>
      <c r="O21" s="165">
        <f t="shared" si="8"/>
        <v>59</v>
      </c>
      <c r="P21" s="165">
        <f t="shared" si="8"/>
        <v>59</v>
      </c>
      <c r="Q21" s="165">
        <f t="shared" si="8"/>
        <v>59</v>
      </c>
      <c r="R21" s="165">
        <f t="shared" si="8"/>
        <v>64</v>
      </c>
      <c r="S21" s="165">
        <f t="shared" si="8"/>
        <v>59</v>
      </c>
      <c r="T21" s="165">
        <f t="shared" si="8"/>
        <v>0</v>
      </c>
      <c r="U21" s="165">
        <f t="shared" si="6"/>
        <v>430</v>
      </c>
      <c r="V21" s="1117">
        <f>L21+U21</f>
        <v>513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5+8</f>
        <v>13</v>
      </c>
      <c r="E23" s="159"/>
      <c r="F23" s="159"/>
      <c r="G23" s="159"/>
      <c r="H23" s="159"/>
      <c r="I23" s="159"/>
      <c r="J23" s="159"/>
      <c r="K23" s="159"/>
      <c r="L23" s="208">
        <f>SUM(D23:K23)</f>
        <v>13</v>
      </c>
      <c r="M23" s="160">
        <f>10+10+5+5+5+2+7</f>
        <v>44</v>
      </c>
      <c r="N23" s="160"/>
      <c r="O23" s="160">
        <v>10</v>
      </c>
      <c r="P23" s="160"/>
      <c r="Q23" s="160"/>
      <c r="R23" s="160"/>
      <c r="S23" s="160"/>
      <c r="T23" s="160"/>
      <c r="U23" s="238">
        <f>SUM(M23:T23)</f>
        <v>54</v>
      </c>
      <c r="V23" s="1112">
        <f>L23+U23</f>
        <v>67</v>
      </c>
      <c r="W23" s="233"/>
    </row>
    <row r="24" spans="1:29" ht="18.75" customHeight="1">
      <c r="A24" s="1048" t="s">
        <v>314</v>
      </c>
      <c r="B24" s="1046"/>
      <c r="C24" s="1046"/>
      <c r="D24" s="1070">
        <f>6+2+25+8+4+5+28+4+8+5+15+10</f>
        <v>120</v>
      </c>
      <c r="E24" s="1070">
        <f>3+6+2+25+8+4+5+28+4+8+5+15+10</f>
        <v>123</v>
      </c>
      <c r="F24" s="1070">
        <f>3+6+2+25+8+4+5+28+4+8+5+15+10</f>
        <v>123</v>
      </c>
      <c r="G24" s="1070"/>
      <c r="H24" s="1070">
        <f>3+4+9+2+25+8+4+5+28+4+8+5+15+3+8+10</f>
        <v>141</v>
      </c>
      <c r="I24" s="1070">
        <f>10+9+10+6</f>
        <v>35</v>
      </c>
      <c r="J24" s="1070">
        <f>3+2+20+10+10+10+16+5+10+18+5</f>
        <v>109</v>
      </c>
      <c r="K24" s="1070"/>
      <c r="L24" s="1112">
        <f>SUM(D24:K24)</f>
        <v>651</v>
      </c>
      <c r="M24" s="1262">
        <f>2+2+2+2+2+3+2+4+6+5+3+2+12+9+4+8+3+8</f>
        <v>79</v>
      </c>
      <c r="N24" s="1263">
        <f>2+2+2+2+2+1+3+6+5+2+9+2+3+6+4+8+3+8</f>
        <v>70</v>
      </c>
      <c r="O24" s="1263">
        <f>2+4+6+4+3+13+9+4+8+3+8</f>
        <v>64</v>
      </c>
      <c r="P24" s="1264">
        <f>2+4+6+5+3+2+12+9+4+8+3+8</f>
        <v>66</v>
      </c>
      <c r="Q24" s="1264">
        <f>3+6+4+8+3+8</f>
        <v>32</v>
      </c>
      <c r="R24" s="1263">
        <f>10+9+10+6</f>
        <v>35</v>
      </c>
      <c r="S24" s="1263">
        <f>3+5+8+13+25+3+4</f>
        <v>61</v>
      </c>
      <c r="T24" s="1263"/>
      <c r="U24" s="1120">
        <f>SUM(M24:T24)</f>
        <v>407</v>
      </c>
      <c r="V24" s="1112">
        <f>L24+U24</f>
        <v>1058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94.666666666666686</v>
      </c>
      <c r="E25" s="171">
        <f>$F7-E$55-E$56-E$21-E$23-E$24-E$34-E$43</f>
        <v>18</v>
      </c>
      <c r="F25" s="171">
        <f>$F8-F$55-F$56-F$21-F$23-F$24-F$34-F$43</f>
        <v>51.333333333333371</v>
      </c>
      <c r="G25" s="171">
        <f>$F9-G$55-G$56-G$21-G$23-G$24-G$34-G$43</f>
        <v>0</v>
      </c>
      <c r="H25" s="171">
        <f>$F10-H$55-H$56-H$21-H$23-H$24-H$34-H$43</f>
        <v>-16.000000000000114</v>
      </c>
      <c r="I25" s="171">
        <v>0</v>
      </c>
      <c r="J25" s="171">
        <f>$F12-J$55-J$56-J$21-J$23-J$24-J$34-J$43</f>
        <v>-57.333333333333485</v>
      </c>
      <c r="K25" s="171">
        <f>$F13-K$55-K$56-K$21-K$23-K$24-K$34-K$43</f>
        <v>0</v>
      </c>
      <c r="L25" s="209">
        <f>SUM(D25:K25)</f>
        <v>90.666666666666458</v>
      </c>
      <c r="M25" s="171">
        <f>$O6-M$55-M$56-M$21-M$23-M$24-M$34-M$43</f>
        <v>110.66666666666663</v>
      </c>
      <c r="N25" s="171">
        <f>$O7-N$55-N$56-N$21-N$23-N$24-N$34-N$43</f>
        <v>224.33333333333337</v>
      </c>
      <c r="O25" s="171">
        <f>$O8-O$55-O$56-O$21-O$23-O$24-O$34-O$43</f>
        <v>247.33333333333326</v>
      </c>
      <c r="P25" s="171">
        <f>$O9-P$55-P$56-P$21-P$23-P$24-P$34-P$43</f>
        <v>167.33333333333331</v>
      </c>
      <c r="Q25" s="171">
        <f>$O10-Q$55-Q$56-Q$21-Q$23-Q$24-Q$34-Q$43</f>
        <v>229</v>
      </c>
      <c r="R25" s="171">
        <f>$O11-R$55-R$56-R$21-R$23-R$24-R$34-R$43</f>
        <v>377.66666666666663</v>
      </c>
      <c r="S25" s="171">
        <f>$O12-S$55-S$56-S$21-S$23-S$24-S$34-S$43</f>
        <v>92.666666666666629</v>
      </c>
      <c r="T25" s="171">
        <f>$O13-T$55-T$56-T$21-T$23-T$24-T$34-T$43</f>
        <v>0</v>
      </c>
      <c r="U25" s="239">
        <f>SUM(M25:T25)</f>
        <v>1448.9999999999995</v>
      </c>
      <c r="V25" s="1112">
        <f>L25+U25</f>
        <v>1539.6666666666661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227.66666666666669</v>
      </c>
      <c r="E26" s="172">
        <f t="shared" ref="E26:K26" si="9">SUM(E23:E25)</f>
        <v>141</v>
      </c>
      <c r="F26" s="172">
        <f t="shared" si="9"/>
        <v>174.33333333333337</v>
      </c>
      <c r="G26" s="172">
        <f t="shared" si="9"/>
        <v>0</v>
      </c>
      <c r="H26" s="172">
        <f t="shared" si="9"/>
        <v>124.99999999999989</v>
      </c>
      <c r="I26" s="172">
        <f t="shared" si="9"/>
        <v>35</v>
      </c>
      <c r="J26" s="172">
        <f t="shared" si="9"/>
        <v>51.666666666666515</v>
      </c>
      <c r="K26" s="172">
        <f t="shared" si="9"/>
        <v>0</v>
      </c>
      <c r="L26" s="210">
        <f>SUM(D26:K26)</f>
        <v>754.6666666666664</v>
      </c>
      <c r="M26" s="211">
        <f>SUM(M23:M25)</f>
        <v>233.66666666666663</v>
      </c>
      <c r="N26" s="211">
        <f t="shared" ref="N26:T26" si="10">SUM(N23:N25)</f>
        <v>294.33333333333337</v>
      </c>
      <c r="O26" s="211">
        <f t="shared" si="10"/>
        <v>321.33333333333326</v>
      </c>
      <c r="P26" s="211">
        <f t="shared" si="10"/>
        <v>233.33333333333331</v>
      </c>
      <c r="Q26" s="211">
        <f t="shared" si="10"/>
        <v>261</v>
      </c>
      <c r="R26" s="211">
        <f t="shared" si="10"/>
        <v>412.66666666666663</v>
      </c>
      <c r="S26" s="211">
        <f t="shared" si="10"/>
        <v>153.66666666666663</v>
      </c>
      <c r="T26" s="211">
        <f t="shared" si="10"/>
        <v>0</v>
      </c>
      <c r="U26" s="240">
        <f>SUM(M26:T26)</f>
        <v>1909.9999999999995</v>
      </c>
      <c r="V26" s="210">
        <f>L26+U26</f>
        <v>2664.6666666666661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>
        <f>30+30+20</f>
        <v>80</v>
      </c>
      <c r="E28" s="159">
        <f>30+30+20</f>
        <v>80</v>
      </c>
      <c r="F28" s="159">
        <f>30+30+20</f>
        <v>80</v>
      </c>
      <c r="G28" s="159"/>
      <c r="H28" s="159">
        <f>30+30+20</f>
        <v>80</v>
      </c>
      <c r="I28" s="159">
        <f>30+30+20</f>
        <v>80</v>
      </c>
      <c r="J28" s="159">
        <f>30+30+20</f>
        <v>80</v>
      </c>
      <c r="K28" s="159"/>
      <c r="L28" s="202">
        <f t="shared" ref="L28:L34" si="11">SUM(D28:K28)</f>
        <v>480</v>
      </c>
      <c r="M28" s="159">
        <v>30</v>
      </c>
      <c r="N28" s="159">
        <f>30+11</f>
        <v>41</v>
      </c>
      <c r="O28" s="159">
        <v>30</v>
      </c>
      <c r="P28" s="159">
        <v>30</v>
      </c>
      <c r="Q28" s="159">
        <v>30</v>
      </c>
      <c r="R28" s="159"/>
      <c r="S28" s="159"/>
      <c r="T28" s="159"/>
      <c r="U28" s="242">
        <f t="shared" ref="U28:U34" si="12">SUM(M28:T28)</f>
        <v>161</v>
      </c>
      <c r="V28" s="243">
        <f t="shared" ref="V28:V34" si="13">L28+U28</f>
        <v>641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1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2"/>
        <v>0</v>
      </c>
      <c r="V29" s="244">
        <f t="shared" si="13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1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2"/>
        <v>0</v>
      </c>
      <c r="V30" s="1112">
        <f t="shared" si="13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1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2"/>
        <v>0</v>
      </c>
      <c r="V31" s="1112">
        <f t="shared" si="13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1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2"/>
        <v>0</v>
      </c>
      <c r="V32" s="1112">
        <f t="shared" si="13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1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2"/>
        <v>0</v>
      </c>
      <c r="V33" s="1112">
        <f t="shared" si="13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4">SUM(D28:D33)</f>
        <v>80</v>
      </c>
      <c r="E34" s="175">
        <f t="shared" si="14"/>
        <v>80</v>
      </c>
      <c r="F34" s="176">
        <f t="shared" si="14"/>
        <v>80</v>
      </c>
      <c r="G34" s="176">
        <f t="shared" si="14"/>
        <v>0</v>
      </c>
      <c r="H34" s="176">
        <f t="shared" si="14"/>
        <v>80</v>
      </c>
      <c r="I34" s="176">
        <f t="shared" si="14"/>
        <v>80</v>
      </c>
      <c r="J34" s="176">
        <f t="shared" si="14"/>
        <v>80</v>
      </c>
      <c r="K34" s="176">
        <f t="shared" si="14"/>
        <v>0</v>
      </c>
      <c r="L34" s="213">
        <f t="shared" si="11"/>
        <v>480</v>
      </c>
      <c r="M34" s="175">
        <f t="shared" ref="M34:T34" si="15">SUM(M28:M33)</f>
        <v>30</v>
      </c>
      <c r="N34" s="176">
        <f t="shared" si="15"/>
        <v>41</v>
      </c>
      <c r="O34" s="176">
        <f t="shared" si="15"/>
        <v>30</v>
      </c>
      <c r="P34" s="176">
        <f t="shared" si="15"/>
        <v>30</v>
      </c>
      <c r="Q34" s="176">
        <f t="shared" si="15"/>
        <v>30</v>
      </c>
      <c r="R34" s="176">
        <f t="shared" si="15"/>
        <v>0</v>
      </c>
      <c r="S34" s="176">
        <f t="shared" si="15"/>
        <v>0</v>
      </c>
      <c r="T34" s="176">
        <f t="shared" si="15"/>
        <v>0</v>
      </c>
      <c r="U34" s="246">
        <f t="shared" si="12"/>
        <v>161</v>
      </c>
      <c r="V34" s="213">
        <f t="shared" si="13"/>
        <v>641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6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7">SUM(M36:T36)</f>
        <v>0</v>
      </c>
      <c r="V36" s="243">
        <f t="shared" ref="V36:V43" si="18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6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7"/>
        <v>0</v>
      </c>
      <c r="V37" s="1114">
        <f t="shared" si="18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6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7"/>
        <v>0</v>
      </c>
      <c r="V38" s="1114">
        <f t="shared" si="18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6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7"/>
        <v>0</v>
      </c>
      <c r="V39" s="1114">
        <f t="shared" si="18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6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7"/>
        <v>0</v>
      </c>
      <c r="V40" s="1114">
        <f t="shared" si="18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6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7"/>
        <v>0</v>
      </c>
      <c r="V41" s="1114">
        <f t="shared" si="18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6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7"/>
        <v>0</v>
      </c>
      <c r="V42" s="1114">
        <f t="shared" si="18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9">SUM(D36:D42)</f>
        <v>0</v>
      </c>
      <c r="E43" s="177">
        <f t="shared" si="19"/>
        <v>0</v>
      </c>
      <c r="F43" s="177">
        <f t="shared" si="19"/>
        <v>0</v>
      </c>
      <c r="G43" s="177">
        <f t="shared" si="19"/>
        <v>0</v>
      </c>
      <c r="H43" s="177">
        <f t="shared" si="19"/>
        <v>0</v>
      </c>
      <c r="I43" s="177">
        <f t="shared" si="19"/>
        <v>0</v>
      </c>
      <c r="J43" s="177">
        <f t="shared" si="19"/>
        <v>0</v>
      </c>
      <c r="K43" s="177">
        <f t="shared" si="19"/>
        <v>0</v>
      </c>
      <c r="L43" s="213">
        <f t="shared" si="16"/>
        <v>0</v>
      </c>
      <c r="M43" s="177">
        <f t="shared" ref="M43:T43" si="20">SUM(M36:M42)</f>
        <v>0</v>
      </c>
      <c r="N43" s="177">
        <f t="shared" si="20"/>
        <v>0</v>
      </c>
      <c r="O43" s="177">
        <f t="shared" si="20"/>
        <v>0</v>
      </c>
      <c r="P43" s="177">
        <f t="shared" si="20"/>
        <v>0</v>
      </c>
      <c r="Q43" s="177">
        <f t="shared" si="20"/>
        <v>0</v>
      </c>
      <c r="R43" s="177">
        <f t="shared" si="20"/>
        <v>0</v>
      </c>
      <c r="S43" s="177">
        <f t="shared" si="20"/>
        <v>0</v>
      </c>
      <c r="T43" s="177">
        <f t="shared" si="20"/>
        <v>0</v>
      </c>
      <c r="U43" s="165">
        <f t="shared" si="17"/>
        <v>0</v>
      </c>
      <c r="V43" s="213">
        <f t="shared" si="18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604</v>
      </c>
      <c r="B45" s="1039" t="s">
        <v>604</v>
      </c>
      <c r="C45" s="1038">
        <v>60</v>
      </c>
      <c r="D45" s="1349" t="s">
        <v>681</v>
      </c>
      <c r="E45" s="1350"/>
      <c r="F45" s="1350"/>
      <c r="G45" s="1350"/>
      <c r="H45" s="1350"/>
      <c r="I45" s="1350"/>
      <c r="J45" s="1351"/>
      <c r="K45" s="1059" t="s">
        <v>625</v>
      </c>
      <c r="L45" s="1060"/>
      <c r="M45" s="1060"/>
      <c r="N45" s="1061" t="s">
        <v>626</v>
      </c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604</v>
      </c>
      <c r="B46" s="1039" t="s">
        <v>604</v>
      </c>
      <c r="C46" s="1038">
        <v>20</v>
      </c>
      <c r="D46" s="1349" t="s">
        <v>682</v>
      </c>
      <c r="E46" s="1350"/>
      <c r="F46" s="1350"/>
      <c r="G46" s="1350"/>
      <c r="H46" s="1350"/>
      <c r="I46" s="1350"/>
      <c r="J46" s="1351"/>
      <c r="K46" s="1059" t="s">
        <v>625</v>
      </c>
      <c r="L46" s="1065"/>
      <c r="M46" s="1065"/>
      <c r="N46" s="1425" t="s">
        <v>626</v>
      </c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 t="s">
        <v>604</v>
      </c>
      <c r="B47" s="1066" t="s">
        <v>604</v>
      </c>
      <c r="C47" s="1070">
        <v>30</v>
      </c>
      <c r="D47" s="1356" t="s">
        <v>683</v>
      </c>
      <c r="E47" s="1357"/>
      <c r="F47" s="1357"/>
      <c r="G47" s="1357"/>
      <c r="H47" s="1357"/>
      <c r="I47" s="1357"/>
      <c r="J47" s="1357"/>
      <c r="K47" s="1059" t="s">
        <v>625</v>
      </c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 t="s">
        <v>604</v>
      </c>
      <c r="B48" s="1039" t="s">
        <v>604</v>
      </c>
      <c r="C48" s="1123">
        <v>11</v>
      </c>
      <c r="D48" s="1349" t="s">
        <v>684</v>
      </c>
      <c r="E48" s="1350"/>
      <c r="F48" s="1350"/>
      <c r="G48" s="1350"/>
      <c r="H48" s="1350"/>
      <c r="I48" s="1350"/>
      <c r="J48" s="1351"/>
      <c r="K48" s="1059" t="s">
        <v>292</v>
      </c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385</v>
      </c>
      <c r="E54" s="187">
        <f>$F7-E$21-E$43-E$34</f>
        <v>475</v>
      </c>
      <c r="F54" s="187">
        <f>$F8-F$21-F$43-F$34</f>
        <v>441</v>
      </c>
      <c r="G54" s="187">
        <f>$F9-G$21-G$43-G$34</f>
        <v>0</v>
      </c>
      <c r="H54" s="187">
        <f>$F10-H$21-H$43-H$34</f>
        <v>445.99999999999989</v>
      </c>
      <c r="I54" s="187">
        <f>$F11-I$21-I$43-I$34</f>
        <v>447</v>
      </c>
      <c r="J54" s="187">
        <f>$F12-J$21-J$43-J$34</f>
        <v>457.99999999999989</v>
      </c>
      <c r="K54" s="187">
        <f>$F13-K$21-K$43-K$34</f>
        <v>0</v>
      </c>
      <c r="L54" s="202">
        <f>SUM(D54:K54)</f>
        <v>2652</v>
      </c>
      <c r="M54" s="187">
        <f>O6-M21-M43-M34</f>
        <v>563</v>
      </c>
      <c r="N54" s="187">
        <f>O7-N21-N43-N34</f>
        <v>556</v>
      </c>
      <c r="O54" s="187">
        <f>O8-O21-O43-O34</f>
        <v>571</v>
      </c>
      <c r="P54" s="187">
        <f>O9-P21-P43-P34</f>
        <v>571</v>
      </c>
      <c r="Q54" s="187">
        <f>O10-Q21-Q43-Q34</f>
        <v>571</v>
      </c>
      <c r="R54" s="187">
        <f>O11-R21-R43-R34</f>
        <v>596</v>
      </c>
      <c r="S54" s="187">
        <f>O12-S21-S43-S34</f>
        <v>601</v>
      </c>
      <c r="T54" s="187">
        <f>O13-T21-T43-T34</f>
        <v>0</v>
      </c>
      <c r="U54" s="242">
        <f>SUM(M54:T54)</f>
        <v>4029</v>
      </c>
      <c r="V54" s="202">
        <f>L54+U54</f>
        <v>6681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57.333333333333336</v>
      </c>
      <c r="E55" s="1087">
        <f>$K7/$C7</f>
        <v>34</v>
      </c>
      <c r="F55" s="1087">
        <f>$K8/$C8</f>
        <v>33.333333333333336</v>
      </c>
      <c r="G55" s="1087">
        <f>$K9/$C9</f>
        <v>0</v>
      </c>
      <c r="H55" s="1087">
        <f>$K10/$C10</f>
        <v>28.333333333333332</v>
      </c>
      <c r="I55" s="1087">
        <f>$K11/$C11</f>
        <v>75</v>
      </c>
      <c r="J55" s="1087">
        <f>$K12/$C12</f>
        <v>18.333333333333332</v>
      </c>
      <c r="K55" s="1087">
        <f>$K13/$C13</f>
        <v>0</v>
      </c>
      <c r="L55" s="1112">
        <f>SUM(D55:K55)</f>
        <v>246.33333333333337</v>
      </c>
      <c r="M55" s="1087">
        <f>T6/C6</f>
        <v>53.333333333333336</v>
      </c>
      <c r="N55" s="1087">
        <f>T7/C7</f>
        <v>10</v>
      </c>
      <c r="O55" s="1087">
        <f>$T$8/$C$8</f>
        <v>9.3333333333333339</v>
      </c>
      <c r="P55" s="1087">
        <f>$T$9/$C$9</f>
        <v>12</v>
      </c>
      <c r="Q55" s="1087">
        <f>$T$10/$C$10</f>
        <v>11</v>
      </c>
      <c r="R55" s="1087">
        <f>$T$11/$C$11</f>
        <v>34</v>
      </c>
      <c r="S55" s="1087">
        <f>$T$12/$C$12</f>
        <v>9.3333333333333339</v>
      </c>
      <c r="T55" s="1087">
        <f>$T$13/$C$13</f>
        <v>0</v>
      </c>
      <c r="U55" s="1129">
        <f>SUM(M55:T55)</f>
        <v>139.00000000000003</v>
      </c>
      <c r="V55" s="1112">
        <f>L55+U55</f>
        <v>385.33333333333337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100</v>
      </c>
      <c r="E56" s="1087">
        <f>$I7/$C7</f>
        <v>300</v>
      </c>
      <c r="F56" s="1087">
        <f>$I8/$C8</f>
        <v>233.33333333333334</v>
      </c>
      <c r="G56" s="1087">
        <f>$I9/$C9</f>
        <v>0</v>
      </c>
      <c r="H56" s="1087">
        <f>$I10/$C10</f>
        <v>292.66666666666669</v>
      </c>
      <c r="I56" s="1087">
        <v>0</v>
      </c>
      <c r="J56" s="1087">
        <f>$I12/$C12</f>
        <v>388</v>
      </c>
      <c r="K56" s="1087">
        <f>$I13/$C13</f>
        <v>0</v>
      </c>
      <c r="L56" s="1115">
        <f>SUM(D56:K56)</f>
        <v>1314</v>
      </c>
      <c r="M56" s="1130">
        <f>R6/C6</f>
        <v>276</v>
      </c>
      <c r="N56" s="1130">
        <f>R7/C7</f>
        <v>251.66666666666666</v>
      </c>
      <c r="O56" s="1130">
        <f>R8/C8</f>
        <v>240.33333333333334</v>
      </c>
      <c r="P56" s="1130">
        <f>R9/C9</f>
        <v>325.66666666666669</v>
      </c>
      <c r="Q56" s="1130">
        <f>R10/C10</f>
        <v>299</v>
      </c>
      <c r="R56" s="1130">
        <f>R11/C11</f>
        <v>149.33333333333334</v>
      </c>
      <c r="S56" s="1130">
        <f>R12/C12</f>
        <v>438</v>
      </c>
      <c r="T56" s="1130">
        <f>R13/C13</f>
        <v>0</v>
      </c>
      <c r="U56" s="1131">
        <f>SUM(M56:T56)</f>
        <v>1980</v>
      </c>
      <c r="V56" s="1115">
        <f>L56+U56</f>
        <v>3294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3.125</v>
      </c>
      <c r="E57" s="188">
        <f>IF(F7=0,0,E21/F7*100)</f>
        <v>3.4782608695652173</v>
      </c>
      <c r="F57" s="188">
        <f>IF(F8=0,0,F21/F8*100)</f>
        <v>1.6981132075471699</v>
      </c>
      <c r="G57" s="188">
        <f>IF(F9=0,0,G21/F9*100)</f>
        <v>0</v>
      </c>
      <c r="H57" s="188">
        <f>IF(F10=0,0,H21/F10*100)</f>
        <v>1.682242990654206</v>
      </c>
      <c r="I57" s="188">
        <f>IF(F11=0,0,I21/F11*100)</f>
        <v>3.3027522935779818</v>
      </c>
      <c r="J57" s="188">
        <f>IF(F12=0,0,J21/F12*100)</f>
        <v>2.1818181818181825</v>
      </c>
      <c r="K57" s="188">
        <f>IF(F13=0,0,K21/F13*100)</f>
        <v>0</v>
      </c>
      <c r="L57" s="217">
        <f>IF(F14=0,0,L21/F14*100)</f>
        <v>2.5816485225505446</v>
      </c>
      <c r="M57" s="188">
        <f>IF(O6=0,0,M21/O6*100)</f>
        <v>10.151515151515152</v>
      </c>
      <c r="N57" s="188">
        <f>IF(O7=0,0,N21/O7*100)</f>
        <v>9.5454545454545467</v>
      </c>
      <c r="O57" s="188">
        <f>IF(O8=0,0,O21/O8*100)</f>
        <v>8.9393939393939394</v>
      </c>
      <c r="P57" s="188">
        <f>IF(O9=0,0,P21/O9*100)</f>
        <v>8.9393939393939394</v>
      </c>
      <c r="Q57" s="188">
        <f>IF(O10=0,0,Q21/O10*100)</f>
        <v>8.9393939393939394</v>
      </c>
      <c r="R57" s="188">
        <f>IF(O11=0,0,R21/O11*100)</f>
        <v>9.6969696969696972</v>
      </c>
      <c r="S57" s="188">
        <f>IF(O12=0,0,S21/O12*100)</f>
        <v>8.9393939393939394</v>
      </c>
      <c r="T57" s="188">
        <f>IF(O13=0,0,T21/O13*100)</f>
        <v>0</v>
      </c>
      <c r="U57" s="251">
        <f>IF(O14=0,0,U21/O14*100)</f>
        <v>9.3073593073593077</v>
      </c>
      <c r="V57" s="217">
        <f>IF((F14+O14)=0,0,V21/(F14+O14)*100)</f>
        <v>6.5475430759412898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16.666666666666664</v>
      </c>
      <c r="E58" s="1090">
        <f>IF(F7=0,0,E34/F7*100)</f>
        <v>13.913043478260869</v>
      </c>
      <c r="F58" s="1090">
        <f>IF(F8=0,0,F34/F8*100)</f>
        <v>15.09433962264151</v>
      </c>
      <c r="G58" s="1090">
        <f>IF(F9=0,0,G34/F9*100)</f>
        <v>0</v>
      </c>
      <c r="H58" s="1090">
        <f>IF(F10=0,0,H34/F10*100)</f>
        <v>14.953271028037388</v>
      </c>
      <c r="I58" s="1090">
        <f>IF(F11=0,0,I34/F11*100)</f>
        <v>14.678899082568808</v>
      </c>
      <c r="J58" s="1090">
        <f>IF(F12=0,0,J34/F12*100)</f>
        <v>14.545454545454547</v>
      </c>
      <c r="K58" s="1090">
        <f>IF(F13=0,0,K34/F13*100)</f>
        <v>0</v>
      </c>
      <c r="L58" s="1132">
        <f>IF(F14=0,0,L34/F14*100)</f>
        <v>14.930015552099535</v>
      </c>
      <c r="M58" s="1090">
        <f>IF(O6=0,0,M34/O6*100)</f>
        <v>4.5454545454545459</v>
      </c>
      <c r="N58" s="1090">
        <f>IF(O7=0,0,N34/O7*100)</f>
        <v>6.2121212121212119</v>
      </c>
      <c r="O58" s="1090">
        <f>IF(O8=0,0,O34/O8*100)</f>
        <v>4.5454545454545459</v>
      </c>
      <c r="P58" s="1090">
        <f>IF(O9=0,0,P34/O9*100)</f>
        <v>4.5454545454545459</v>
      </c>
      <c r="Q58" s="1090">
        <f>IF(O10=0,0,Q34/O10*100)</f>
        <v>4.5454545454545459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3.4848484848484853</v>
      </c>
      <c r="V58" s="1132">
        <f>IF((F14+O14)=0,0,V34/(F14+O14)*100)</f>
        <v>8.1812380344607529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80.208333333333343</v>
      </c>
      <c r="E60" s="1093">
        <f>IF(F7=0,0,E54/F7*100)</f>
        <v>82.608695652173907</v>
      </c>
      <c r="F60" s="1093">
        <f>IF(F8=0,0,F54/F8*100)</f>
        <v>83.20754716981132</v>
      </c>
      <c r="G60" s="1093">
        <f>IF(F9=0,0,G54/F9*100)</f>
        <v>0</v>
      </c>
      <c r="H60" s="1093">
        <f>IF(F10=0,0,H54/F10*100)</f>
        <v>83.364485981308405</v>
      </c>
      <c r="I60" s="1093">
        <f>IF(F11=0,0,I54/F11*100)</f>
        <v>82.018348623853214</v>
      </c>
      <c r="J60" s="1093">
        <f>IF(F12=0,0,J54/F12*100)</f>
        <v>83.272727272727266</v>
      </c>
      <c r="K60" s="1093">
        <f>IF(F13=0,0,K54/F13*100)</f>
        <v>0</v>
      </c>
      <c r="L60" s="1134">
        <f>IF(F14=0,0,L54/F14*100)</f>
        <v>82.488335925349915</v>
      </c>
      <c r="M60" s="1095">
        <f>IF(O6=0,0,M54/O6*100)</f>
        <v>85.303030303030297</v>
      </c>
      <c r="N60" s="1095">
        <f>IF(O7=0,0,N54/O7*100)</f>
        <v>84.242424242424235</v>
      </c>
      <c r="O60" s="1095">
        <f>IF(O8=0,0,O54/O8*100)</f>
        <v>86.515151515151516</v>
      </c>
      <c r="P60" s="1095">
        <f>IF(O9=0,0,P54/O9*100)</f>
        <v>86.515151515151516</v>
      </c>
      <c r="Q60" s="1095">
        <f>IF(O10=0,0,Q54/O10*100)</f>
        <v>86.515151515151516</v>
      </c>
      <c r="R60" s="1095">
        <f>IF(O11=0,0,R54/O11*100)</f>
        <v>90.303030303030312</v>
      </c>
      <c r="S60" s="1095">
        <f>IF(O12=0,0,S54/O12*100)</f>
        <v>91.060606060606062</v>
      </c>
      <c r="T60" s="1095">
        <f>IF(O13=0,0,T54/O13*100)</f>
        <v>0</v>
      </c>
      <c r="U60" s="1093">
        <f>IF(O14=0,0,U54/O14*100)</f>
        <v>87.20779220779221</v>
      </c>
      <c r="V60" s="1134">
        <f>IF((F14+O14)=0,0,V54/(F14+O14)*100)</f>
        <v>85.271218889597961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14.891774891774892</v>
      </c>
      <c r="E61" s="188">
        <f>IF(E54=0,0,E55/E54*100)</f>
        <v>7.1578947368421044</v>
      </c>
      <c r="F61" s="188">
        <f t="shared" ref="F61:V61" si="21">IF(F54=0,0,F55/F54*100)</f>
        <v>7.5585789871504163</v>
      </c>
      <c r="G61" s="188">
        <f t="shared" si="21"/>
        <v>0</v>
      </c>
      <c r="H61" s="188">
        <f t="shared" si="21"/>
        <v>6.3527653213751885</v>
      </c>
      <c r="I61" s="188">
        <f t="shared" si="21"/>
        <v>16.778523489932887</v>
      </c>
      <c r="J61" s="188">
        <f t="shared" si="21"/>
        <v>4.0029112081513833</v>
      </c>
      <c r="K61" s="188">
        <f t="shared" si="21"/>
        <v>0</v>
      </c>
      <c r="L61" s="217">
        <f t="shared" si="21"/>
        <v>9.2885872297637029</v>
      </c>
      <c r="M61" s="188">
        <f t="shared" si="21"/>
        <v>9.4730609828300771</v>
      </c>
      <c r="N61" s="188">
        <f t="shared" si="21"/>
        <v>1.7985611510791366</v>
      </c>
      <c r="O61" s="188">
        <f t="shared" si="21"/>
        <v>1.6345592527729131</v>
      </c>
      <c r="P61" s="188">
        <f t="shared" si="21"/>
        <v>2.1015761821366024</v>
      </c>
      <c r="Q61" s="188">
        <f t="shared" si="21"/>
        <v>1.9264448336252189</v>
      </c>
      <c r="R61" s="188">
        <f t="shared" si="21"/>
        <v>5.7046979865771812</v>
      </c>
      <c r="S61" s="188">
        <f t="shared" si="21"/>
        <v>1.5529672767609541</v>
      </c>
      <c r="T61" s="188">
        <f t="shared" si="21"/>
        <v>0</v>
      </c>
      <c r="U61" s="251">
        <f t="shared" si="21"/>
        <v>3.4499875899726988</v>
      </c>
      <c r="V61" s="217">
        <f t="shared" si="21"/>
        <v>5.7675996607294326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2">IF(D54=0,0,D26/D54*100)</f>
        <v>59.134199134199136</v>
      </c>
      <c r="E62" s="1090">
        <f t="shared" si="22"/>
        <v>29.684210526315791</v>
      </c>
      <c r="F62" s="1090">
        <f t="shared" si="22"/>
        <v>39.531368102796684</v>
      </c>
      <c r="G62" s="1090">
        <f t="shared" si="22"/>
        <v>0</v>
      </c>
      <c r="H62" s="1090">
        <f t="shared" si="22"/>
        <v>28.026905829596394</v>
      </c>
      <c r="I62" s="1090">
        <f t="shared" si="22"/>
        <v>7.8299776286353469</v>
      </c>
      <c r="J62" s="1090">
        <f t="shared" si="22"/>
        <v>11.280931586608412</v>
      </c>
      <c r="K62" s="1090">
        <f t="shared" si="22"/>
        <v>0</v>
      </c>
      <c r="L62" s="1132">
        <f t="shared" si="22"/>
        <v>28.456510809451974</v>
      </c>
      <c r="M62" s="1090">
        <f t="shared" si="22"/>
        <v>41.503848431024274</v>
      </c>
      <c r="N62" s="1090">
        <f t="shared" si="22"/>
        <v>52.937649880095925</v>
      </c>
      <c r="O62" s="1090">
        <f t="shared" si="22"/>
        <v>56.27553998832456</v>
      </c>
      <c r="P62" s="1090">
        <f t="shared" si="22"/>
        <v>40.863981319322825</v>
      </c>
      <c r="Q62" s="1090">
        <f t="shared" si="22"/>
        <v>45.709281961471106</v>
      </c>
      <c r="R62" s="1090">
        <f t="shared" si="22"/>
        <v>69.239373601789694</v>
      </c>
      <c r="S62" s="1090">
        <f t="shared" si="22"/>
        <v>25.568496949528559</v>
      </c>
      <c r="T62" s="1090">
        <f t="shared" si="22"/>
        <v>0</v>
      </c>
      <c r="U62" s="1133">
        <f t="shared" si="22"/>
        <v>47.406304293869432</v>
      </c>
      <c r="V62" s="1132">
        <f t="shared" si="22"/>
        <v>39.884248864940368</v>
      </c>
      <c r="W62" s="252"/>
      <c r="Y62" s="258">
        <f>SUM(V61:V63)</f>
        <v>94.955844933393195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3">IF(D54=0,0,D56/D54*100)</f>
        <v>25.97402597402597</v>
      </c>
      <c r="E63" s="1095">
        <f t="shared" si="23"/>
        <v>63.157894736842103</v>
      </c>
      <c r="F63" s="1095">
        <f t="shared" si="23"/>
        <v>52.910052910052904</v>
      </c>
      <c r="G63" s="1095">
        <f t="shared" si="23"/>
        <v>0</v>
      </c>
      <c r="H63" s="1095">
        <f t="shared" si="23"/>
        <v>65.620328849028425</v>
      </c>
      <c r="I63" s="1095">
        <f t="shared" si="23"/>
        <v>0</v>
      </c>
      <c r="J63" s="1095">
        <f t="shared" si="23"/>
        <v>84.716157205240194</v>
      </c>
      <c r="K63" s="1095">
        <f t="shared" si="23"/>
        <v>0</v>
      </c>
      <c r="L63" s="1134">
        <f t="shared" si="23"/>
        <v>49.547511312217196</v>
      </c>
      <c r="M63" s="1095">
        <f t="shared" si="23"/>
        <v>49.023090586145642</v>
      </c>
      <c r="N63" s="1095">
        <f t="shared" si="23"/>
        <v>45.263788968824933</v>
      </c>
      <c r="O63" s="1095">
        <f t="shared" si="23"/>
        <v>42.089900758902509</v>
      </c>
      <c r="P63" s="1095">
        <f t="shared" si="23"/>
        <v>57.034442498540571</v>
      </c>
      <c r="Q63" s="1095">
        <f t="shared" si="23"/>
        <v>52.364273204903675</v>
      </c>
      <c r="R63" s="1095">
        <f t="shared" si="23"/>
        <v>25.055928411633111</v>
      </c>
      <c r="S63" s="1095">
        <f t="shared" si="23"/>
        <v>72.878535773710482</v>
      </c>
      <c r="T63" s="1095">
        <f t="shared" si="23"/>
        <v>0</v>
      </c>
      <c r="U63" s="1093">
        <f t="shared" si="23"/>
        <v>49.14370811615786</v>
      </c>
      <c r="V63" s="1134">
        <f t="shared" si="23"/>
        <v>49.303996407723396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86.634111050822938</v>
      </c>
      <c r="E64" s="190">
        <f>IF(E74=0,0,D74/E74*100)</f>
        <v>86.634111050822938</v>
      </c>
      <c r="F64" s="190">
        <f>IF(E74=0,0,D74/E74*100)</f>
        <v>86.634111050822938</v>
      </c>
      <c r="G64" s="190">
        <f>IF(E74=0,0,D74/E74*100)</f>
        <v>86.634111050822938</v>
      </c>
      <c r="H64" s="190">
        <f>IF(E74=0,0,D74/E74*100)</f>
        <v>86.634111050822938</v>
      </c>
      <c r="I64" s="190">
        <f>IF(E74=0,0,D74/E74*100)</f>
        <v>86.634111050822938</v>
      </c>
      <c r="J64" s="190">
        <f>IF(E74=0,0,D74/E74*100)</f>
        <v>86.634111050822938</v>
      </c>
      <c r="K64" s="190">
        <f>IF(E74=0,0,D74/E74*100)</f>
        <v>86.634111050822938</v>
      </c>
      <c r="L64" s="218">
        <f>IF(E74=0,0,D74/E74*100)</f>
        <v>86.634111050822938</v>
      </c>
      <c r="M64" s="219">
        <f>IF(N74=0,0,M74/N74*100)</f>
        <v>91.962333949890706</v>
      </c>
      <c r="N64" s="219">
        <f>IF(N74=0,0,M74/N74*100)</f>
        <v>91.962333949890706</v>
      </c>
      <c r="O64" s="219">
        <f>IF(N74=0,0,M74/N74*100)</f>
        <v>91.962333949890706</v>
      </c>
      <c r="P64" s="219">
        <f>IF(N74=0,0,M74/N74*100)</f>
        <v>91.962333949890706</v>
      </c>
      <c r="Q64" s="219">
        <f>IF(N74=0,0,M74/N74*100)</f>
        <v>91.962333949890706</v>
      </c>
      <c r="R64" s="219">
        <f>IF(N74=0,0,M74/N74*100)</f>
        <v>91.962333949890706</v>
      </c>
      <c r="S64" s="219">
        <f>IF(N74=0,0,M74/N74*100)</f>
        <v>91.962333949890706</v>
      </c>
      <c r="T64" s="219">
        <f>IF(N74=0,0,M74/N74*100)</f>
        <v>91.962333949890706</v>
      </c>
      <c r="U64" s="190">
        <f>IF(N74=0,0,M74/N74*100)</f>
        <v>91.962333949890706</v>
      </c>
      <c r="V64" s="218">
        <f>IF(N78=0,0,M78/N78*100)</f>
        <v>89.3952596723597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4">(D60*D63*D64)/10000</f>
        <v>18.048773135588114</v>
      </c>
      <c r="E65" s="190">
        <f t="shared" si="24"/>
        <v>45.200405765646742</v>
      </c>
      <c r="F65" s="190">
        <f t="shared" si="24"/>
        <v>38.140803607280532</v>
      </c>
      <c r="G65" s="190">
        <f t="shared" si="24"/>
        <v>0</v>
      </c>
      <c r="H65" s="190">
        <f t="shared" si="24"/>
        <v>47.392367291353622</v>
      </c>
      <c r="I65" s="190">
        <f t="shared" si="24"/>
        <v>0</v>
      </c>
      <c r="J65" s="190">
        <f t="shared" si="24"/>
        <v>61.116427432216923</v>
      </c>
      <c r="K65" s="190">
        <f t="shared" si="24"/>
        <v>0</v>
      </c>
      <c r="L65" s="190">
        <f>(L60*L63*L64)/10000</f>
        <v>35.408156118438988</v>
      </c>
      <c r="M65" s="219">
        <f t="shared" si="24"/>
        <v>38.456976015408834</v>
      </c>
      <c r="N65" s="219">
        <f t="shared" si="24"/>
        <v>35.0664455212967</v>
      </c>
      <c r="O65" s="219">
        <f t="shared" si="24"/>
        <v>33.48729433225818</v>
      </c>
      <c r="P65" s="219">
        <f t="shared" si="24"/>
        <v>45.377373873254157</v>
      </c>
      <c r="Q65" s="219">
        <f t="shared" si="24"/>
        <v>41.661724016692908</v>
      </c>
      <c r="R65" s="219">
        <f t="shared" si="24"/>
        <v>20.807639196742947</v>
      </c>
      <c r="S65" s="219">
        <f t="shared" si="24"/>
        <v>61.029548894018376</v>
      </c>
      <c r="T65" s="219">
        <f t="shared" si="24"/>
        <v>0</v>
      </c>
      <c r="U65" s="190">
        <f>IF(10000=0,0,(U60*U63*U64)/10000)</f>
        <v>39.412428835667448</v>
      </c>
      <c r="V65" s="218">
        <f>IF(10000=0,0,(V60*V63*V64)/10000)</f>
        <v>37.583661181972289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4790</v>
      </c>
      <c r="E74" s="1099">
        <v>5529</v>
      </c>
      <c r="F74" s="264">
        <f>8/E74</f>
        <v>1.4469162597214686E-3</v>
      </c>
      <c r="G74" s="260"/>
      <c r="H74" s="260"/>
      <c r="I74" s="260"/>
      <c r="J74" s="260"/>
      <c r="K74" s="260"/>
      <c r="L74" s="260"/>
      <c r="M74" s="1099">
        <v>5469</v>
      </c>
      <c r="N74" s="1099">
        <v>5947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10259</v>
      </c>
      <c r="N78" s="1135">
        <f>E74+N74</f>
        <v>11476</v>
      </c>
      <c r="O78" s="281">
        <f>M78/N78</f>
        <v>0.89395259672359706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2F69-C969-45DA-AA56-020B679DE441}">
  <sheetPr codeName="Sheet29">
    <tabColor rgb="FFFFFF00"/>
    <pageSetUpPr fitToPage="1"/>
  </sheetPr>
  <dimension ref="A1:IV122"/>
  <sheetViews>
    <sheetView showGridLines="0" topLeftCell="A19" zoomScale="87" zoomScaleNormal="87" zoomScaleSheetLayoutView="70" workbookViewId="0">
      <selection activeCell="M7" sqref="M7:O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244571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3205</v>
      </c>
      <c r="AB4" s="256">
        <f>L54</f>
        <v>3031</v>
      </c>
      <c r="AC4" s="256">
        <f>L55</f>
        <v>341.33333333333331</v>
      </c>
      <c r="AD4" s="256">
        <f>L56</f>
        <v>1476.3333333333335</v>
      </c>
      <c r="AE4" s="256">
        <f>L21</f>
        <v>54</v>
      </c>
      <c r="AF4" s="256">
        <f>L26</f>
        <v>1213.333333333333</v>
      </c>
      <c r="AG4" s="256">
        <f>L28</f>
        <v>120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2850</v>
      </c>
      <c r="AB5" s="256">
        <f>U54</f>
        <v>2469</v>
      </c>
      <c r="AC5" s="256">
        <f>U55</f>
        <v>103.33333333333333</v>
      </c>
      <c r="AD5" s="256">
        <f>U56</f>
        <v>1487.0000000000002</v>
      </c>
      <c r="AE5" s="256">
        <f>U21</f>
        <v>36</v>
      </c>
      <c r="AF5" s="256">
        <f>U26</f>
        <v>878.66666666666652</v>
      </c>
      <c r="AG5" s="256">
        <f>U28</f>
        <v>345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0.34375</v>
      </c>
      <c r="E7" s="145">
        <v>0.79166666666666663</v>
      </c>
      <c r="F7" s="146">
        <f>(E7-D7)*1440</f>
        <v>645</v>
      </c>
      <c r="G7" s="1403">
        <v>1143</v>
      </c>
      <c r="H7" s="1404"/>
      <c r="I7" s="1403">
        <v>827</v>
      </c>
      <c r="J7" s="1404"/>
      <c r="K7" s="1368">
        <f>G7-I7</f>
        <v>316</v>
      </c>
      <c r="L7" s="1397"/>
      <c r="M7" s="145">
        <v>0.79166666666666663</v>
      </c>
      <c r="N7" s="145">
        <v>0.1875</v>
      </c>
      <c r="O7" s="146">
        <f t="shared" ref="O7:O12" si="1">(N7-M7+(N7&lt;M7))*1440</f>
        <v>570</v>
      </c>
      <c r="P7" s="1398">
        <v>1057</v>
      </c>
      <c r="Q7" s="1398"/>
      <c r="R7" s="1398">
        <v>965</v>
      </c>
      <c r="S7" s="1398"/>
      <c r="T7" s="1399">
        <f t="shared" ref="T7:T13" si="2">P7-R7</f>
        <v>92</v>
      </c>
      <c r="U7" s="1399"/>
      <c r="V7" s="224">
        <f t="shared" si="0"/>
        <v>1215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0.34027777777777773</v>
      </c>
      <c r="E8" s="145">
        <v>0.79166666666666663</v>
      </c>
      <c r="F8" s="146">
        <f>(E8-D8)*1440</f>
        <v>650</v>
      </c>
      <c r="G8" s="1403">
        <v>641</v>
      </c>
      <c r="H8" s="1404"/>
      <c r="I8" s="1396">
        <v>464</v>
      </c>
      <c r="J8" s="1396"/>
      <c r="K8" s="1368">
        <f t="shared" ref="K8:K13" si="3">G8-I8</f>
        <v>177</v>
      </c>
      <c r="L8" s="1397"/>
      <c r="M8" s="145">
        <v>0.79166666666666663</v>
      </c>
      <c r="N8" s="145">
        <v>0.1875</v>
      </c>
      <c r="O8" s="146">
        <f t="shared" si="1"/>
        <v>570</v>
      </c>
      <c r="P8" s="1398">
        <v>1006</v>
      </c>
      <c r="Q8" s="1398"/>
      <c r="R8" s="1398">
        <v>918</v>
      </c>
      <c r="S8" s="1398"/>
      <c r="T8" s="1399">
        <f t="shared" si="2"/>
        <v>88</v>
      </c>
      <c r="U8" s="1399"/>
      <c r="V8" s="224">
        <f t="shared" si="0"/>
        <v>1220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396"/>
      <c r="J9" s="1396"/>
      <c r="K9" s="1368">
        <f t="shared" si="3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2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0.34722222222222227</v>
      </c>
      <c r="E10" s="145">
        <v>0.79166666666666663</v>
      </c>
      <c r="F10" s="146">
        <f>(E10-D10)*1440</f>
        <v>639.99999999999989</v>
      </c>
      <c r="G10" s="1403">
        <v>1067</v>
      </c>
      <c r="H10" s="1404"/>
      <c r="I10" s="1396">
        <v>772</v>
      </c>
      <c r="J10" s="1396"/>
      <c r="K10" s="1368">
        <f t="shared" si="3"/>
        <v>295</v>
      </c>
      <c r="L10" s="1397"/>
      <c r="M10" s="145">
        <v>0.79166666666666663</v>
      </c>
      <c r="N10" s="145">
        <v>0.1875</v>
      </c>
      <c r="O10" s="146">
        <f t="shared" si="1"/>
        <v>570</v>
      </c>
      <c r="P10" s="1398">
        <v>1065</v>
      </c>
      <c r="Q10" s="1398"/>
      <c r="R10" s="1398">
        <v>972</v>
      </c>
      <c r="S10" s="1398"/>
      <c r="T10" s="1399">
        <f t="shared" si="2"/>
        <v>93</v>
      </c>
      <c r="U10" s="1399"/>
      <c r="V10" s="224">
        <f t="shared" si="0"/>
        <v>1210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0.34722222222222227</v>
      </c>
      <c r="E11" s="145">
        <v>0.79166666666666663</v>
      </c>
      <c r="F11" s="146">
        <f t="shared" ref="F11:F12" si="4">(E11-D11)*1440</f>
        <v>639.99999999999989</v>
      </c>
      <c r="G11" s="1396">
        <v>1331</v>
      </c>
      <c r="H11" s="1396"/>
      <c r="I11" s="1396">
        <v>1134</v>
      </c>
      <c r="J11" s="1396"/>
      <c r="K11" s="1368">
        <f t="shared" si="3"/>
        <v>197</v>
      </c>
      <c r="L11" s="1397"/>
      <c r="M11" s="145">
        <v>0.79166666666666663</v>
      </c>
      <c r="N11" s="145">
        <v>0.1875</v>
      </c>
      <c r="O11" s="146">
        <f t="shared" si="1"/>
        <v>570</v>
      </c>
      <c r="P11" s="1398">
        <v>390</v>
      </c>
      <c r="Q11" s="1398"/>
      <c r="R11" s="1398">
        <v>380</v>
      </c>
      <c r="S11" s="1398"/>
      <c r="T11" s="1399">
        <f t="shared" si="2"/>
        <v>10</v>
      </c>
      <c r="U11" s="1399"/>
      <c r="V11" s="224">
        <f t="shared" si="0"/>
        <v>1210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0.35416666666666669</v>
      </c>
      <c r="E12" s="145">
        <v>0.79166666666666663</v>
      </c>
      <c r="F12" s="146">
        <f t="shared" si="4"/>
        <v>629.99999999999989</v>
      </c>
      <c r="G12" s="1396">
        <v>1271</v>
      </c>
      <c r="H12" s="1396"/>
      <c r="I12" s="1396">
        <v>1232</v>
      </c>
      <c r="J12" s="1396"/>
      <c r="K12" s="1368">
        <f t="shared" si="3"/>
        <v>39</v>
      </c>
      <c r="L12" s="1397"/>
      <c r="M12" s="145">
        <v>0.79166666666666663</v>
      </c>
      <c r="N12" s="145">
        <v>0.1875</v>
      </c>
      <c r="O12" s="146">
        <f t="shared" si="1"/>
        <v>570</v>
      </c>
      <c r="P12" s="1398">
        <v>1253</v>
      </c>
      <c r="Q12" s="1398"/>
      <c r="R12" s="1398">
        <v>1226</v>
      </c>
      <c r="S12" s="1398"/>
      <c r="T12" s="1399">
        <f t="shared" si="2"/>
        <v>27</v>
      </c>
      <c r="U12" s="1399"/>
      <c r="V12" s="224">
        <f t="shared" si="0"/>
        <v>1200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3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0.34652777777777782</v>
      </c>
      <c r="E14" s="152">
        <f>AVERAGE(E6:E13)</f>
        <v>0.79166666666666663</v>
      </c>
      <c r="F14" s="153">
        <f>SUM(F6:F13)</f>
        <v>3205</v>
      </c>
      <c r="G14" s="1362">
        <f>SUM(G6:H13)</f>
        <v>5453</v>
      </c>
      <c r="H14" s="1363"/>
      <c r="I14" s="1362">
        <f>SUM(I6:I13)</f>
        <v>4429</v>
      </c>
      <c r="J14" s="1363"/>
      <c r="K14" s="1362">
        <f>SUM(K6:K13)</f>
        <v>1024</v>
      </c>
      <c r="L14" s="1394"/>
      <c r="M14" s="198">
        <f>AVERAGE(M6:M13)</f>
        <v>0.79166666666666663</v>
      </c>
      <c r="N14" s="199">
        <f>AVERAGE(N6:N13)</f>
        <v>0.1875</v>
      </c>
      <c r="O14" s="200">
        <f>SUM(O6:O13)</f>
        <v>2850</v>
      </c>
      <c r="P14" s="1392">
        <f>SUM(P6:P13)</f>
        <v>4771</v>
      </c>
      <c r="Q14" s="1393"/>
      <c r="R14" s="1392">
        <f>SUM(R6:R13)</f>
        <v>4461</v>
      </c>
      <c r="S14" s="1393"/>
      <c r="T14" s="1392">
        <f>SUM(T6:T13)</f>
        <v>310</v>
      </c>
      <c r="U14" s="1393"/>
      <c r="V14" s="228">
        <f>SUM(V6:V13)</f>
        <v>6055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5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6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5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6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5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6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>
        <v>15</v>
      </c>
      <c r="F19" s="1070">
        <v>6</v>
      </c>
      <c r="G19" s="1070"/>
      <c r="H19" s="1070">
        <v>3</v>
      </c>
      <c r="I19" s="1070">
        <v>15</v>
      </c>
      <c r="J19" s="1070">
        <v>15</v>
      </c>
      <c r="K19" s="1070"/>
      <c r="L19" s="1112">
        <f t="shared" si="5"/>
        <v>54</v>
      </c>
      <c r="M19" s="1070"/>
      <c r="N19" s="1059">
        <v>6</v>
      </c>
      <c r="O19" s="1070">
        <v>6</v>
      </c>
      <c r="P19" s="1070"/>
      <c r="Q19" s="1070">
        <v>15</v>
      </c>
      <c r="R19" s="1070">
        <v>3</v>
      </c>
      <c r="S19" s="1070">
        <v>6</v>
      </c>
      <c r="T19" s="1070"/>
      <c r="U19" s="1113">
        <f t="shared" si="6"/>
        <v>36</v>
      </c>
      <c r="V19" s="1114">
        <f>L19+U19</f>
        <v>90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5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6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7">SUM(D16:D20)</f>
        <v>0</v>
      </c>
      <c r="E21" s="165">
        <f t="shared" si="7"/>
        <v>15</v>
      </c>
      <c r="F21" s="165">
        <f t="shared" si="7"/>
        <v>6</v>
      </c>
      <c r="G21" s="165">
        <f t="shared" si="7"/>
        <v>0</v>
      </c>
      <c r="H21" s="165">
        <f t="shared" si="7"/>
        <v>3</v>
      </c>
      <c r="I21" s="165">
        <f t="shared" si="7"/>
        <v>15</v>
      </c>
      <c r="J21" s="165">
        <f t="shared" si="7"/>
        <v>15</v>
      </c>
      <c r="K21" s="165">
        <f t="shared" si="7"/>
        <v>0</v>
      </c>
      <c r="L21" s="206">
        <f t="shared" si="5"/>
        <v>54</v>
      </c>
      <c r="M21" s="165">
        <f t="shared" ref="M21:T21" si="8">SUM(M16:M20)</f>
        <v>0</v>
      </c>
      <c r="N21" s="165">
        <f t="shared" si="8"/>
        <v>6</v>
      </c>
      <c r="O21" s="165">
        <f t="shared" si="8"/>
        <v>6</v>
      </c>
      <c r="P21" s="165">
        <f t="shared" si="8"/>
        <v>0</v>
      </c>
      <c r="Q21" s="165">
        <f t="shared" si="8"/>
        <v>15</v>
      </c>
      <c r="R21" s="165">
        <f t="shared" si="8"/>
        <v>3</v>
      </c>
      <c r="S21" s="165">
        <f t="shared" si="8"/>
        <v>6</v>
      </c>
      <c r="T21" s="165">
        <f t="shared" si="8"/>
        <v>0</v>
      </c>
      <c r="U21" s="165">
        <f t="shared" si="6"/>
        <v>36</v>
      </c>
      <c r="V21" s="1117">
        <f>L21+U21</f>
        <v>90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>
        <f>5</f>
        <v>5</v>
      </c>
      <c r="F23" s="159">
        <v>5</v>
      </c>
      <c r="G23" s="159"/>
      <c r="H23" s="159"/>
      <c r="I23" s="159">
        <v>3</v>
      </c>
      <c r="J23" s="159">
        <v>20</v>
      </c>
      <c r="K23" s="159"/>
      <c r="L23" s="208">
        <f>SUM(D23:K23)</f>
        <v>33</v>
      </c>
      <c r="M23" s="160"/>
      <c r="N23" s="160"/>
      <c r="O23" s="160"/>
      <c r="P23" s="160"/>
      <c r="Q23" s="160">
        <f>9+9</f>
        <v>18</v>
      </c>
      <c r="R23" s="160"/>
      <c r="S23" s="160"/>
      <c r="T23" s="160"/>
      <c r="U23" s="238">
        <f>SUM(M23:T23)</f>
        <v>18</v>
      </c>
      <c r="V23" s="1112">
        <f>L23+U23</f>
        <v>51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>
        <f>2+20+5+6+8+2+4+2+11+10+4+6+2+12+5+15+4+4+2+13</f>
        <v>137</v>
      </c>
      <c r="F24" s="169">
        <f>2+20+5+6+8+6+13+10+4+6+2+12+5+15+8+2+13</f>
        <v>137</v>
      </c>
      <c r="G24" s="169"/>
      <c r="H24" s="169">
        <f>2+20+5+6+8+6+13+14+6+14+5+15+8+2+13+6+5</f>
        <v>148</v>
      </c>
      <c r="I24" s="169">
        <f>5+6+11+18+8+14+17+5+16+5+10+8+6+7</f>
        <v>136</v>
      </c>
      <c r="J24" s="169">
        <f>15+6+7+18+8+6+8+17+5+12+2+5+20+10+7</f>
        <v>146</v>
      </c>
      <c r="K24" s="169"/>
      <c r="L24" s="1115">
        <f>SUM(D24:K24)</f>
        <v>704</v>
      </c>
      <c r="M24" s="1118"/>
      <c r="N24" s="1118">
        <f>2+2+2+12+9+7+4+21+3+10+10+23</f>
        <v>105</v>
      </c>
      <c r="O24" s="1119">
        <f>12+9+7+4+21+3+10+10+23</f>
        <v>99</v>
      </c>
      <c r="P24" s="1118"/>
      <c r="Q24" s="1118">
        <f>12+9+7+4+21+13+10+23+13</f>
        <v>112</v>
      </c>
      <c r="R24" s="1118">
        <f>8+10+8+13+11+10+20</f>
        <v>80</v>
      </c>
      <c r="S24" s="1119">
        <f>10+6+5+3+1+20+9+3+25+13+12</f>
        <v>107</v>
      </c>
      <c r="T24" s="1119"/>
      <c r="U24" s="1120">
        <f>SUM(M24:T24)</f>
        <v>503</v>
      </c>
      <c r="V24" s="1112">
        <f>L24+U24</f>
        <v>1207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106.99999999999994</v>
      </c>
      <c r="F25" s="171">
        <f>$F8-F$55-F$56-F$21-F$23-F$24-F$34-F$43</f>
        <v>168.33333333333337</v>
      </c>
      <c r="G25" s="171">
        <f>$F9-G$55-G$56-G$21-G$23-G$24-G$34-G$43</f>
        <v>0</v>
      </c>
      <c r="H25" s="171">
        <f>$F10-H$55-H$56-H$21-H$23-H$24-H$34-H$43</f>
        <v>133.3333333333332</v>
      </c>
      <c r="I25" s="171">
        <f>$F11-I$55-I$56-I$21-I$23-I$24-I$34-I$43</f>
        <v>42.333333333333258</v>
      </c>
      <c r="J25" s="171">
        <f>$F12-J$55-J$56-J$21-J$23-J$24-J$34-J$43</f>
        <v>25.333333333333201</v>
      </c>
      <c r="K25" s="171">
        <f>$F13-K$55-K$56-K$21-K$23-K$24-K$34-K$43</f>
        <v>0</v>
      </c>
      <c r="L25" s="209">
        <f>SUM(D25:K25)</f>
        <v>476.33333333333297</v>
      </c>
      <c r="M25" s="171">
        <f>$O6-M$55-M$56-M$21-M$23-M$24-M$34-M$43</f>
        <v>0</v>
      </c>
      <c r="N25" s="171">
        <f>$O7-N$55-N$56-N$21-N$23-N$24-N$34-N$43</f>
        <v>106.66666666666669</v>
      </c>
      <c r="O25" s="171">
        <f>$O8-O$55-O$56-O$21-O$23-O$24-O$34-O$43</f>
        <v>129.66666666666663</v>
      </c>
      <c r="P25" s="171">
        <f>$O9-P$55-P$56-P$21-P$23-P$24-P$34-P$43</f>
        <v>0</v>
      </c>
      <c r="Q25" s="171">
        <f>$O10-Q$55-Q$56-Q$21-Q$23-Q$24-Q$34-Q$43</f>
        <v>70</v>
      </c>
      <c r="R25" s="171">
        <f>$O11-R$55-R$56-R$21-R$23-R$24-R$34-R$43</f>
        <v>11.999999999999943</v>
      </c>
      <c r="S25" s="171">
        <f>$O12-S$55-S$56-S$21-S$23-S$24-S$34-S$43</f>
        <v>39.333333333333314</v>
      </c>
      <c r="T25" s="171">
        <f>$O13-T$55-T$56-T$21-T$23-T$24-T$34-T$43</f>
        <v>0</v>
      </c>
      <c r="U25" s="239">
        <f>SUM(M25:T25)</f>
        <v>357.66666666666657</v>
      </c>
      <c r="V25" s="1112">
        <f>L25+U25</f>
        <v>833.99999999999955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9">SUM(E23:E25)</f>
        <v>248.99999999999994</v>
      </c>
      <c r="F26" s="172">
        <f t="shared" si="9"/>
        <v>310.33333333333337</v>
      </c>
      <c r="G26" s="172">
        <f t="shared" si="9"/>
        <v>0</v>
      </c>
      <c r="H26" s="172">
        <f t="shared" si="9"/>
        <v>281.3333333333332</v>
      </c>
      <c r="I26" s="172">
        <f t="shared" si="9"/>
        <v>181.33333333333326</v>
      </c>
      <c r="J26" s="172">
        <f t="shared" si="9"/>
        <v>191.3333333333332</v>
      </c>
      <c r="K26" s="172">
        <f t="shared" si="9"/>
        <v>0</v>
      </c>
      <c r="L26" s="210">
        <f>SUM(D26:K26)</f>
        <v>1213.333333333333</v>
      </c>
      <c r="M26" s="211">
        <f>SUM(M23:M25)</f>
        <v>0</v>
      </c>
      <c r="N26" s="211">
        <f t="shared" ref="N26:T26" si="10">SUM(N23:N25)</f>
        <v>211.66666666666669</v>
      </c>
      <c r="O26" s="211">
        <f t="shared" si="10"/>
        <v>228.66666666666663</v>
      </c>
      <c r="P26" s="211">
        <f t="shared" si="10"/>
        <v>0</v>
      </c>
      <c r="Q26" s="211">
        <f t="shared" si="10"/>
        <v>200</v>
      </c>
      <c r="R26" s="211">
        <f t="shared" si="10"/>
        <v>91.999999999999943</v>
      </c>
      <c r="S26" s="211">
        <f t="shared" si="10"/>
        <v>146.33333333333331</v>
      </c>
      <c r="T26" s="211">
        <f t="shared" si="10"/>
        <v>0</v>
      </c>
      <c r="U26" s="240">
        <f>SUM(M26:T26)</f>
        <v>878.66666666666652</v>
      </c>
      <c r="V26" s="210">
        <f>L26+U26</f>
        <v>2091.9999999999995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>
        <v>120</v>
      </c>
      <c r="G28" s="159"/>
      <c r="H28" s="159"/>
      <c r="I28" s="159"/>
      <c r="J28" s="159"/>
      <c r="K28" s="159"/>
      <c r="L28" s="202">
        <f t="shared" ref="L28:L34" si="11">SUM(D28:K28)</f>
        <v>120</v>
      </c>
      <c r="M28" s="159"/>
      <c r="N28" s="159"/>
      <c r="O28" s="159"/>
      <c r="P28" s="159"/>
      <c r="Q28" s="159"/>
      <c r="R28" s="159">
        <f>345</f>
        <v>345</v>
      </c>
      <c r="S28" s="159"/>
      <c r="T28" s="159"/>
      <c r="U28" s="242">
        <f t="shared" ref="U28:U34" si="12">SUM(M28:T28)</f>
        <v>345</v>
      </c>
      <c r="V28" s="243">
        <f t="shared" ref="V28:V34" si="13">L28+U28</f>
        <v>465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1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2"/>
        <v>0</v>
      </c>
      <c r="V29" s="244">
        <f t="shared" si="13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1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2"/>
        <v>0</v>
      </c>
      <c r="V30" s="1112">
        <f t="shared" si="13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1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2"/>
        <v>0</v>
      </c>
      <c r="V31" s="1112">
        <f t="shared" si="13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1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2"/>
        <v>0</v>
      </c>
      <c r="V32" s="1112">
        <f t="shared" si="13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1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2"/>
        <v>0</v>
      </c>
      <c r="V33" s="1112">
        <f t="shared" si="13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4">SUM(D28:D33)</f>
        <v>0</v>
      </c>
      <c r="E34" s="175">
        <f t="shared" si="14"/>
        <v>0</v>
      </c>
      <c r="F34" s="176">
        <f t="shared" si="14"/>
        <v>120</v>
      </c>
      <c r="G34" s="176">
        <f t="shared" si="14"/>
        <v>0</v>
      </c>
      <c r="H34" s="176">
        <f t="shared" si="14"/>
        <v>0</v>
      </c>
      <c r="I34" s="176">
        <f t="shared" si="14"/>
        <v>0</v>
      </c>
      <c r="J34" s="176">
        <f t="shared" si="14"/>
        <v>0</v>
      </c>
      <c r="K34" s="176">
        <f t="shared" si="14"/>
        <v>0</v>
      </c>
      <c r="L34" s="213">
        <f t="shared" si="11"/>
        <v>120</v>
      </c>
      <c r="M34" s="175">
        <f t="shared" ref="M34:T34" si="15">SUM(M28:M33)</f>
        <v>0</v>
      </c>
      <c r="N34" s="176">
        <f t="shared" si="15"/>
        <v>0</v>
      </c>
      <c r="O34" s="176">
        <f t="shared" si="15"/>
        <v>0</v>
      </c>
      <c r="P34" s="176">
        <f t="shared" si="15"/>
        <v>0</v>
      </c>
      <c r="Q34" s="176">
        <f t="shared" si="15"/>
        <v>0</v>
      </c>
      <c r="R34" s="176">
        <f t="shared" si="15"/>
        <v>345</v>
      </c>
      <c r="S34" s="176">
        <f t="shared" si="15"/>
        <v>0</v>
      </c>
      <c r="T34" s="176">
        <f t="shared" si="15"/>
        <v>0</v>
      </c>
      <c r="U34" s="246">
        <f t="shared" si="12"/>
        <v>345</v>
      </c>
      <c r="V34" s="213">
        <f t="shared" si="13"/>
        <v>465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6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7">SUM(M36:T36)</f>
        <v>0</v>
      </c>
      <c r="V36" s="243">
        <f t="shared" ref="V36:V43" si="18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6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7"/>
        <v>0</v>
      </c>
      <c r="V37" s="1114">
        <f t="shared" si="18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6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7"/>
        <v>0</v>
      </c>
      <c r="V38" s="1114">
        <f t="shared" si="18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6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7"/>
        <v>0</v>
      </c>
      <c r="V39" s="1114">
        <f t="shared" si="18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6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7"/>
        <v>0</v>
      </c>
      <c r="V40" s="1114">
        <f t="shared" si="18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6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7"/>
        <v>0</v>
      </c>
      <c r="V41" s="1114">
        <f t="shared" si="18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6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7"/>
        <v>0</v>
      </c>
      <c r="V42" s="1114">
        <f t="shared" si="18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9">SUM(D36:D42)</f>
        <v>0</v>
      </c>
      <c r="E43" s="177">
        <f t="shared" si="19"/>
        <v>0</v>
      </c>
      <c r="F43" s="177">
        <f t="shared" si="19"/>
        <v>0</v>
      </c>
      <c r="G43" s="177">
        <f t="shared" si="19"/>
        <v>0</v>
      </c>
      <c r="H43" s="177">
        <f t="shared" si="19"/>
        <v>0</v>
      </c>
      <c r="I43" s="177">
        <f t="shared" si="19"/>
        <v>0</v>
      </c>
      <c r="J43" s="177">
        <f t="shared" si="19"/>
        <v>0</v>
      </c>
      <c r="K43" s="177">
        <f t="shared" si="19"/>
        <v>0</v>
      </c>
      <c r="L43" s="213">
        <f t="shared" si="16"/>
        <v>0</v>
      </c>
      <c r="M43" s="177">
        <f t="shared" ref="M43:T43" si="20">SUM(M36:M42)</f>
        <v>0</v>
      </c>
      <c r="N43" s="177">
        <f t="shared" si="20"/>
        <v>0</v>
      </c>
      <c r="O43" s="177">
        <f t="shared" si="20"/>
        <v>0</v>
      </c>
      <c r="P43" s="177">
        <f t="shared" si="20"/>
        <v>0</v>
      </c>
      <c r="Q43" s="177">
        <f t="shared" si="20"/>
        <v>0</v>
      </c>
      <c r="R43" s="177">
        <f t="shared" si="20"/>
        <v>0</v>
      </c>
      <c r="S43" s="177">
        <f t="shared" si="20"/>
        <v>0</v>
      </c>
      <c r="T43" s="177">
        <f t="shared" si="20"/>
        <v>0</v>
      </c>
      <c r="U43" s="165">
        <f t="shared" si="17"/>
        <v>0</v>
      </c>
      <c r="V43" s="213">
        <f t="shared" si="18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676</v>
      </c>
      <c r="B45" s="1039">
        <v>15.3</v>
      </c>
      <c r="C45" s="1038">
        <v>120</v>
      </c>
      <c r="D45" s="1349" t="s">
        <v>678</v>
      </c>
      <c r="E45" s="1350"/>
      <c r="F45" s="1350"/>
      <c r="G45" s="1350"/>
      <c r="H45" s="1350"/>
      <c r="I45" s="1350"/>
      <c r="J45" s="1351"/>
      <c r="K45" s="1059" t="s">
        <v>293</v>
      </c>
      <c r="L45" s="1068"/>
      <c r="M45" s="1068"/>
      <c r="N45" s="1067" t="s">
        <v>677</v>
      </c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58" t="s">
        <v>679</v>
      </c>
      <c r="B47" s="1039">
        <v>4.3</v>
      </c>
      <c r="C47" s="1038">
        <v>345</v>
      </c>
      <c r="D47" s="1349" t="s">
        <v>675</v>
      </c>
      <c r="E47" s="1350"/>
      <c r="F47" s="1350"/>
      <c r="G47" s="1350"/>
      <c r="H47" s="1350"/>
      <c r="I47" s="1350"/>
      <c r="J47" s="1351"/>
      <c r="K47" s="1059" t="s">
        <v>296</v>
      </c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7"/>
      <c r="E50" s="1063"/>
      <c r="F50" s="1063"/>
      <c r="G50" s="1063"/>
      <c r="H50" s="1063"/>
      <c r="I50" s="1063"/>
      <c r="J50" s="1063"/>
      <c r="K50" s="1071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630</v>
      </c>
      <c r="F54" s="187">
        <f>$F8-F$21-F$43-F$34</f>
        <v>524</v>
      </c>
      <c r="G54" s="187">
        <f>$F9-G$21-G$43-G$34</f>
        <v>0</v>
      </c>
      <c r="H54" s="187">
        <f>$F10-H$21-H$43-H$34</f>
        <v>636.99999999999989</v>
      </c>
      <c r="I54" s="187">
        <f>$F11-I$21-I$43-I$34</f>
        <v>624.99999999999989</v>
      </c>
      <c r="J54" s="187">
        <f>$F12-J$21-J$43-J$34</f>
        <v>614.99999999999989</v>
      </c>
      <c r="K54" s="187">
        <f>$F13-K$21-K$43-K$34</f>
        <v>0</v>
      </c>
      <c r="L54" s="202">
        <f>SUM(D54:K54)</f>
        <v>3031</v>
      </c>
      <c r="M54" s="187">
        <f>O6-M21-M43-M34</f>
        <v>0</v>
      </c>
      <c r="N54" s="187">
        <f>O7-N21-N43-N34</f>
        <v>564</v>
      </c>
      <c r="O54" s="187">
        <f>O8-O21-O43-O34</f>
        <v>564</v>
      </c>
      <c r="P54" s="187">
        <f>O9-P21-P43-P34</f>
        <v>0</v>
      </c>
      <c r="Q54" s="187">
        <f>O10-Q21-Q43-Q34</f>
        <v>555</v>
      </c>
      <c r="R54" s="187">
        <f>O11-R21-R43-R34</f>
        <v>222</v>
      </c>
      <c r="S54" s="187">
        <f>O12-S21-S43-S34</f>
        <v>564</v>
      </c>
      <c r="T54" s="187">
        <f>O13-T21-T43-T34</f>
        <v>0</v>
      </c>
      <c r="U54" s="242">
        <f>SUM(M54:T54)</f>
        <v>2469</v>
      </c>
      <c r="V54" s="202">
        <f>L54+U54</f>
        <v>5500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105.33333333333333</v>
      </c>
      <c r="F55" s="1087">
        <f>$K8/$C8</f>
        <v>59</v>
      </c>
      <c r="G55" s="1087">
        <f>$K9/$C9</f>
        <v>0</v>
      </c>
      <c r="H55" s="1087">
        <f>$K10/$C10</f>
        <v>98.333333333333329</v>
      </c>
      <c r="I55" s="1087">
        <f>$K11/$C11</f>
        <v>65.666666666666671</v>
      </c>
      <c r="J55" s="1087">
        <f>$K12/$C12</f>
        <v>13</v>
      </c>
      <c r="K55" s="1087">
        <f>$K13/$C13</f>
        <v>0</v>
      </c>
      <c r="L55" s="1112">
        <f>SUM(D55:K55)</f>
        <v>341.33333333333331</v>
      </c>
      <c r="M55" s="1087">
        <f>T6/C6</f>
        <v>0</v>
      </c>
      <c r="N55" s="1087">
        <f>T7/C7</f>
        <v>30.666666666666668</v>
      </c>
      <c r="O55" s="1087">
        <f>$T$8/$C$8</f>
        <v>29.333333333333332</v>
      </c>
      <c r="P55" s="1087">
        <f>$T$9/$C$9</f>
        <v>0</v>
      </c>
      <c r="Q55" s="1087">
        <f>$T$10/$C$10</f>
        <v>31</v>
      </c>
      <c r="R55" s="1087">
        <f>$T$11/$C$11</f>
        <v>3.3333333333333335</v>
      </c>
      <c r="S55" s="1087">
        <f>$T$12/$C$12</f>
        <v>9</v>
      </c>
      <c r="T55" s="1087">
        <f>$T$13/$C$13</f>
        <v>0</v>
      </c>
      <c r="U55" s="1129">
        <f>SUM(M55:T55)</f>
        <v>103.33333333333333</v>
      </c>
      <c r="V55" s="1112">
        <f>L55+U55</f>
        <v>444.66666666666663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275.66666666666669</v>
      </c>
      <c r="F56" s="1087">
        <f>$I8/$C8</f>
        <v>154.66666666666666</v>
      </c>
      <c r="G56" s="1087">
        <f>$I9/$C9</f>
        <v>0</v>
      </c>
      <c r="H56" s="1087">
        <f>$I10/$C10</f>
        <v>257.33333333333331</v>
      </c>
      <c r="I56" s="1087">
        <f>$I11/$C11</f>
        <v>378</v>
      </c>
      <c r="J56" s="1087">
        <f>$I12/$C12</f>
        <v>410.66666666666669</v>
      </c>
      <c r="K56" s="1087">
        <f>$I13/$C13</f>
        <v>0</v>
      </c>
      <c r="L56" s="1115">
        <f>SUM(D56:K56)</f>
        <v>1476.3333333333335</v>
      </c>
      <c r="M56" s="1130">
        <f>R6/C6</f>
        <v>0</v>
      </c>
      <c r="N56" s="1130">
        <f>R7/C7</f>
        <v>321.66666666666669</v>
      </c>
      <c r="O56" s="1130">
        <f>R8/C8</f>
        <v>306</v>
      </c>
      <c r="P56" s="1130">
        <f>R9/C9</f>
        <v>0</v>
      </c>
      <c r="Q56" s="1130">
        <f>R10/C10</f>
        <v>324</v>
      </c>
      <c r="R56" s="1130">
        <f>R11/C11</f>
        <v>126.66666666666667</v>
      </c>
      <c r="S56" s="1130">
        <f>R12/C12</f>
        <v>408.66666666666669</v>
      </c>
      <c r="T56" s="1130">
        <f>R13/C13</f>
        <v>0</v>
      </c>
      <c r="U56" s="1131">
        <f>SUM(M56:T56)</f>
        <v>1487.0000000000002</v>
      </c>
      <c r="V56" s="1115">
        <f>L56+U56</f>
        <v>2963.3333333333339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2.3255813953488373</v>
      </c>
      <c r="F57" s="188">
        <f>IF(F8=0,0,F21/F8*100)</f>
        <v>0.92307692307692313</v>
      </c>
      <c r="G57" s="188">
        <f>IF(F9=0,0,G21/F9*100)</f>
        <v>0</v>
      </c>
      <c r="H57" s="188">
        <f>IF(F10=0,0,H21/F10*100)</f>
        <v>0.46875000000000006</v>
      </c>
      <c r="I57" s="188">
        <f>IF(F11=0,0,I21/F11*100)</f>
        <v>2.3437500000000004</v>
      </c>
      <c r="J57" s="188">
        <f>IF(F12=0,0,J21/F12*100)</f>
        <v>2.3809523809523814</v>
      </c>
      <c r="K57" s="188">
        <f>IF(F13=0,0,K21/F13*100)</f>
        <v>0</v>
      </c>
      <c r="L57" s="217">
        <f>IF(F14=0,0,L21/F14*100)</f>
        <v>1.6848673946957877</v>
      </c>
      <c r="M57" s="188">
        <f>IF(O6=0,0,M21/O6*100)</f>
        <v>0</v>
      </c>
      <c r="N57" s="188">
        <f>IF(O7=0,0,N21/O7*100)</f>
        <v>1.0526315789473684</v>
      </c>
      <c r="O57" s="188">
        <f>IF(O8=0,0,O21/O8*100)</f>
        <v>1.0526315789473684</v>
      </c>
      <c r="P57" s="188">
        <f>IF(O9=0,0,P21/O9*100)</f>
        <v>0</v>
      </c>
      <c r="Q57" s="188">
        <f>IF(O10=0,0,Q21/O10*100)</f>
        <v>2.6315789473684208</v>
      </c>
      <c r="R57" s="188">
        <f>IF(O11=0,0,R21/O11*100)</f>
        <v>0.52631578947368418</v>
      </c>
      <c r="S57" s="188">
        <f>IF(O12=0,0,S21/O12*100)</f>
        <v>1.0526315789473684</v>
      </c>
      <c r="T57" s="188">
        <f>IF(O13=0,0,T21/O13*100)</f>
        <v>0</v>
      </c>
      <c r="U57" s="251">
        <f>IF(O14=0,0,U21/O14*100)</f>
        <v>1.263157894736842</v>
      </c>
      <c r="V57" s="217">
        <f>IF((F14+O14)=0,0,V21/(F14+O14)*100)</f>
        <v>1.4863748967795209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18.461538461538463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3.74414976599064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60.526315789473685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12.105263157894736</v>
      </c>
      <c r="V58" s="1132">
        <f>IF((F14+O14)=0,0,V34/(F14+O14)*100)</f>
        <v>7.6796036333608582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97.674418604651152</v>
      </c>
      <c r="F60" s="1093">
        <f>IF(F8=0,0,F54/F8*100)</f>
        <v>80.615384615384613</v>
      </c>
      <c r="G60" s="1093">
        <f>IF(F9=0,0,G54/F9*100)</f>
        <v>0</v>
      </c>
      <c r="H60" s="1093">
        <f>IF(F10=0,0,H54/F10*100)</f>
        <v>99.53125</v>
      </c>
      <c r="I60" s="1093">
        <f>IF(F11=0,0,I54/F11*100)</f>
        <v>97.65625</v>
      </c>
      <c r="J60" s="1093">
        <f>IF(F12=0,0,J54/F12*100)</f>
        <v>97.61904761904762</v>
      </c>
      <c r="K60" s="1093">
        <f>IF(F13=0,0,K54/F13*100)</f>
        <v>0</v>
      </c>
      <c r="L60" s="1134">
        <f>IF(F14=0,0,L54/F14*100)</f>
        <v>94.570982839313572</v>
      </c>
      <c r="M60" s="1095">
        <f>IF(O6=0,0,M54/O6*100)</f>
        <v>0</v>
      </c>
      <c r="N60" s="1095">
        <f>IF(O7=0,0,N54/O7*100)</f>
        <v>98.94736842105263</v>
      </c>
      <c r="O60" s="1095">
        <f>IF(O8=0,0,O54/O8*100)</f>
        <v>98.94736842105263</v>
      </c>
      <c r="P60" s="1095">
        <f>IF(O9=0,0,P54/O9*100)</f>
        <v>0</v>
      </c>
      <c r="Q60" s="1095">
        <f>IF(O10=0,0,Q54/O10*100)</f>
        <v>97.368421052631575</v>
      </c>
      <c r="R60" s="1095">
        <f>IF(O11=0,0,R54/O11*100)</f>
        <v>38.94736842105263</v>
      </c>
      <c r="S60" s="1095">
        <f>IF(O12=0,0,S54/O12*100)</f>
        <v>98.94736842105263</v>
      </c>
      <c r="T60" s="1095">
        <f>IF(O13=0,0,T54/O13*100)</f>
        <v>0</v>
      </c>
      <c r="U60" s="1093">
        <f>IF(O14=0,0,U54/O14*100)</f>
        <v>86.631578947368425</v>
      </c>
      <c r="V60" s="1134">
        <f>IF((F14+O14)=0,0,V54/(F14+O14)*100)</f>
        <v>90.834021469859621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16.719576719576718</v>
      </c>
      <c r="F61" s="188">
        <f t="shared" ref="F61:V61" si="21">IF(F54=0,0,F55/F54*100)</f>
        <v>11.259541984732824</v>
      </c>
      <c r="G61" s="188">
        <f t="shared" si="21"/>
        <v>0</v>
      </c>
      <c r="H61" s="188">
        <f t="shared" si="21"/>
        <v>15.436944008372583</v>
      </c>
      <c r="I61" s="188">
        <f t="shared" si="21"/>
        <v>10.506666666666669</v>
      </c>
      <c r="J61" s="188">
        <f t="shared" si="21"/>
        <v>2.1138211382113825</v>
      </c>
      <c r="K61" s="188">
        <f t="shared" si="21"/>
        <v>0</v>
      </c>
      <c r="L61" s="217">
        <f t="shared" si="21"/>
        <v>11.261409875728582</v>
      </c>
      <c r="M61" s="188">
        <f t="shared" si="21"/>
        <v>0</v>
      </c>
      <c r="N61" s="188">
        <f t="shared" si="21"/>
        <v>5.4373522458628845</v>
      </c>
      <c r="O61" s="188">
        <f t="shared" si="21"/>
        <v>5.2009456264775409</v>
      </c>
      <c r="P61" s="188">
        <f t="shared" si="21"/>
        <v>0</v>
      </c>
      <c r="Q61" s="188">
        <f t="shared" si="21"/>
        <v>5.5855855855855854</v>
      </c>
      <c r="R61" s="188">
        <f t="shared" si="21"/>
        <v>1.5015015015015014</v>
      </c>
      <c r="S61" s="188">
        <f t="shared" si="21"/>
        <v>1.5957446808510638</v>
      </c>
      <c r="T61" s="188">
        <f t="shared" si="21"/>
        <v>0</v>
      </c>
      <c r="U61" s="251">
        <f t="shared" si="21"/>
        <v>4.1852301876603208</v>
      </c>
      <c r="V61" s="217">
        <f t="shared" si="21"/>
        <v>8.0848484848484841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2">IF(D54=0,0,D26/D54*100)</f>
        <v>0</v>
      </c>
      <c r="E62" s="1090">
        <f t="shared" si="22"/>
        <v>39.523809523809518</v>
      </c>
      <c r="F62" s="1090">
        <f t="shared" si="22"/>
        <v>59.223918575063614</v>
      </c>
      <c r="G62" s="1090">
        <f t="shared" si="22"/>
        <v>0</v>
      </c>
      <c r="H62" s="1090">
        <f t="shared" si="22"/>
        <v>44.16535845107272</v>
      </c>
      <c r="I62" s="1090">
        <f t="shared" si="22"/>
        <v>29.013333333333325</v>
      </c>
      <c r="J62" s="1090">
        <f t="shared" si="22"/>
        <v>31.111111111111097</v>
      </c>
      <c r="K62" s="1090">
        <f t="shared" si="22"/>
        <v>0</v>
      </c>
      <c r="L62" s="1132">
        <f t="shared" si="22"/>
        <v>40.030792917628936</v>
      </c>
      <c r="M62" s="1090">
        <f t="shared" si="22"/>
        <v>0</v>
      </c>
      <c r="N62" s="1090">
        <f t="shared" si="22"/>
        <v>37.529550827423172</v>
      </c>
      <c r="O62" s="1090">
        <f t="shared" si="22"/>
        <v>40.543735224586278</v>
      </c>
      <c r="P62" s="1090">
        <f t="shared" si="22"/>
        <v>0</v>
      </c>
      <c r="Q62" s="1090">
        <f t="shared" si="22"/>
        <v>36.036036036036037</v>
      </c>
      <c r="R62" s="1090">
        <f t="shared" si="22"/>
        <v>41.44144144144142</v>
      </c>
      <c r="S62" s="1090">
        <f t="shared" si="22"/>
        <v>25.945626477541367</v>
      </c>
      <c r="T62" s="1090">
        <f t="shared" si="22"/>
        <v>0</v>
      </c>
      <c r="U62" s="1133">
        <f t="shared" si="22"/>
        <v>35.587957337653563</v>
      </c>
      <c r="V62" s="1132">
        <f t="shared" si="22"/>
        <v>38.036363636363632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3">IF(D54=0,0,D56/D54*100)</f>
        <v>0</v>
      </c>
      <c r="E63" s="1095">
        <f t="shared" si="23"/>
        <v>43.75661375661376</v>
      </c>
      <c r="F63" s="1095">
        <f t="shared" si="23"/>
        <v>29.516539440203559</v>
      </c>
      <c r="G63" s="1095">
        <f t="shared" si="23"/>
        <v>0</v>
      </c>
      <c r="H63" s="1095">
        <f t="shared" si="23"/>
        <v>40.397697540554688</v>
      </c>
      <c r="I63" s="1095">
        <f t="shared" si="23"/>
        <v>60.480000000000011</v>
      </c>
      <c r="J63" s="1095">
        <f t="shared" si="23"/>
        <v>66.775067750677522</v>
      </c>
      <c r="K63" s="1095">
        <f t="shared" si="23"/>
        <v>0</v>
      </c>
      <c r="L63" s="1134">
        <f t="shared" si="23"/>
        <v>48.707797206642475</v>
      </c>
      <c r="M63" s="1095">
        <f t="shared" si="23"/>
        <v>0</v>
      </c>
      <c r="N63" s="1095">
        <f t="shared" si="23"/>
        <v>57.033096926713952</v>
      </c>
      <c r="O63" s="1095">
        <f t="shared" si="23"/>
        <v>54.255319148936167</v>
      </c>
      <c r="P63" s="1095">
        <f t="shared" si="23"/>
        <v>0</v>
      </c>
      <c r="Q63" s="1095">
        <f t="shared" si="23"/>
        <v>58.378378378378379</v>
      </c>
      <c r="R63" s="1095">
        <f t="shared" si="23"/>
        <v>57.057057057057058</v>
      </c>
      <c r="S63" s="1095">
        <f t="shared" si="23"/>
        <v>72.458628841607563</v>
      </c>
      <c r="T63" s="1095">
        <f t="shared" si="23"/>
        <v>0</v>
      </c>
      <c r="U63" s="1093">
        <f t="shared" si="23"/>
        <v>60.22681247468612</v>
      </c>
      <c r="V63" s="1134">
        <f t="shared" si="23"/>
        <v>53.87878787878789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95.470383275261327</v>
      </c>
      <c r="E64" s="190">
        <f>IF(E74=0,0,D74/E74*100)</f>
        <v>95.470383275261327</v>
      </c>
      <c r="F64" s="190">
        <f>IF(E74=0,0,D74/E74*100)</f>
        <v>95.470383275261327</v>
      </c>
      <c r="G64" s="190">
        <f>IF(E74=0,0,D74/E74*100)</f>
        <v>95.470383275261327</v>
      </c>
      <c r="H64" s="190">
        <f>IF(E74=0,0,D74/E74*100)</f>
        <v>95.470383275261327</v>
      </c>
      <c r="I64" s="190">
        <f>IF(E74=0,0,D74/E74*100)</f>
        <v>95.470383275261327</v>
      </c>
      <c r="J64" s="190">
        <f>IF(E74=0,0,D74/E74*100)</f>
        <v>95.470383275261327</v>
      </c>
      <c r="K64" s="190">
        <f>IF(E74=0,0,D74/E74*100)</f>
        <v>95.470383275261327</v>
      </c>
      <c r="L64" s="218">
        <f>IF(E74=0,0,D74/E74*100)</f>
        <v>95.470383275261327</v>
      </c>
      <c r="M64" s="219">
        <f>IF(N74=0,0,M74/N74*100)</f>
        <v>89.891234804862435</v>
      </c>
      <c r="N64" s="219">
        <f>IF(N74=0,0,M74/N74*100)</f>
        <v>89.891234804862435</v>
      </c>
      <c r="O64" s="219">
        <f>IF(N74=0,0,M74/N74*100)</f>
        <v>89.891234804862435</v>
      </c>
      <c r="P64" s="219">
        <f>IF(N74=0,0,M74/N74*100)</f>
        <v>89.891234804862435</v>
      </c>
      <c r="Q64" s="219">
        <f>IF(N74=0,0,M74/N74*100)</f>
        <v>89.891234804862435</v>
      </c>
      <c r="R64" s="219">
        <f>IF(N74=0,0,M74/N74*100)</f>
        <v>89.891234804862435</v>
      </c>
      <c r="S64" s="219">
        <f>IF(N74=0,0,M74/N74*100)</f>
        <v>89.891234804862435</v>
      </c>
      <c r="T64" s="219">
        <f>IF(N74=0,0,M74/N74*100)</f>
        <v>89.891234804862435</v>
      </c>
      <c r="U64" s="190">
        <f>IF(N74=0,0,M74/N74*100)</f>
        <v>89.891234804862435</v>
      </c>
      <c r="V64" s="218">
        <f>IF(N78=0,0,M78/N78*100)</f>
        <v>92.961933071243649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4">(D60*D63*D64)/10000</f>
        <v>0</v>
      </c>
      <c r="E65" s="190">
        <f t="shared" si="24"/>
        <v>40.803104376558714</v>
      </c>
      <c r="F65" s="190">
        <f t="shared" si="24"/>
        <v>22.717055302421155</v>
      </c>
      <c r="G65" s="190">
        <f t="shared" si="24"/>
        <v>0</v>
      </c>
      <c r="H65" s="190">
        <f t="shared" si="24"/>
        <v>38.387049941927998</v>
      </c>
      <c r="I65" s="190">
        <f t="shared" si="24"/>
        <v>56.38719512195123</v>
      </c>
      <c r="J65" s="190">
        <f t="shared" si="24"/>
        <v>62.232546134985178</v>
      </c>
      <c r="K65" s="190">
        <f t="shared" si="24"/>
        <v>0</v>
      </c>
      <c r="L65" s="190">
        <f t="shared" si="24"/>
        <v>43.976945140523391</v>
      </c>
      <c r="M65" s="219">
        <f t="shared" si="24"/>
        <v>0</v>
      </c>
      <c r="N65" s="219">
        <f t="shared" si="24"/>
        <v>50.728094495141669</v>
      </c>
      <c r="O65" s="219">
        <f t="shared" si="24"/>
        <v>48.2573997373472</v>
      </c>
      <c r="P65" s="219">
        <f t="shared" si="24"/>
        <v>0</v>
      </c>
      <c r="Q65" s="219">
        <f t="shared" si="24"/>
        <v>51.096070310132326</v>
      </c>
      <c r="R65" s="219">
        <f t="shared" si="24"/>
        <v>19.975829956636098</v>
      </c>
      <c r="S65" s="219">
        <f t="shared" si="24"/>
        <v>64.448335596936445</v>
      </c>
      <c r="T65" s="219">
        <f t="shared" si="24"/>
        <v>0</v>
      </c>
      <c r="U65" s="190">
        <f>IF(10000=0,0,(U60*U63*U64)/10000)</f>
        <v>46.901146019238766</v>
      </c>
      <c r="V65" s="218">
        <f>IF(10000=0,0,(V60*V63*V64)/10000)</f>
        <v>45.495820809433312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5480</v>
      </c>
      <c r="E74" s="1099">
        <v>5740</v>
      </c>
      <c r="F74" s="264">
        <f>8/E74</f>
        <v>1.3937282229965157E-3</v>
      </c>
      <c r="G74" s="260"/>
      <c r="H74" s="260"/>
      <c r="I74" s="260"/>
      <c r="J74" s="260"/>
      <c r="K74" s="260"/>
      <c r="L74" s="260"/>
      <c r="M74" s="1099">
        <v>4215</v>
      </c>
      <c r="N74" s="1099">
        <v>4689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9695</v>
      </c>
      <c r="N78" s="1135">
        <f>E74+N74</f>
        <v>10429</v>
      </c>
      <c r="O78" s="281">
        <f>M78/N78</f>
        <v>0.92961933071243652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79" orientation="landscape" verticalDpi="36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2E29-6009-430C-9680-2C9B22C64A00}">
  <sheetPr codeName="Sheet30">
    <tabColor theme="0" tint="-0.14999847407452621"/>
    <pageSetUpPr fitToPage="1"/>
  </sheetPr>
  <dimension ref="A1:IV122"/>
  <sheetViews>
    <sheetView showGridLines="0" zoomScale="87" zoomScaleNormal="87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>P6-R6</f>
        <v>0</v>
      </c>
      <c r="U6" s="1421"/>
      <c r="V6" s="224">
        <f t="shared" ref="V6:V13" si="0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ref="T7:T13" si="1">P7-R7</f>
        <v>0</v>
      </c>
      <c r="U7" s="1399"/>
      <c r="V7" s="224">
        <f t="shared" si="0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396"/>
      <c r="J8" s="1396"/>
      <c r="K8" s="1368">
        <f t="shared" ref="K8:K13" si="2">G8-I8</f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1"/>
        <v>0</v>
      </c>
      <c r="U8" s="1399"/>
      <c r="V8" s="224">
        <f t="shared" si="0"/>
        <v>0</v>
      </c>
      <c r="W8" s="226"/>
    </row>
    <row r="9" spans="1:256" ht="18.75" customHeight="1">
      <c r="A9" s="142" t="s">
        <v>294</v>
      </c>
      <c r="B9" s="910"/>
      <c r="C9" s="1183">
        <v>3</v>
      </c>
      <c r="D9" s="1184"/>
      <c r="E9" s="145"/>
      <c r="F9" s="146"/>
      <c r="G9" s="1403"/>
      <c r="H9" s="1404"/>
      <c r="I9" s="1396"/>
      <c r="J9" s="1396"/>
      <c r="K9" s="1368">
        <f t="shared" si="2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1"/>
        <v>0</v>
      </c>
      <c r="U9" s="1399"/>
      <c r="V9" s="224">
        <f t="shared" si="0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2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0"/>
        <v>0</v>
      </c>
      <c r="W10" s="909"/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2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0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2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0"/>
        <v>0</v>
      </c>
      <c r="W12" s="909"/>
    </row>
    <row r="13" spans="1:256" ht="18.75" customHeight="1" thickBot="1">
      <c r="A13" s="142" t="s">
        <v>298</v>
      </c>
      <c r="B13" s="910"/>
      <c r="C13" s="147">
        <v>2</v>
      </c>
      <c r="D13" s="148"/>
      <c r="E13" s="148"/>
      <c r="F13" s="149"/>
      <c r="G13" s="1400"/>
      <c r="H13" s="1400"/>
      <c r="I13" s="1400"/>
      <c r="J13" s="1400"/>
      <c r="K13" s="1366">
        <f t="shared" si="2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23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7">SUM(E23:E25)</f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>SUM(M23:M25)</f>
        <v>0</v>
      </c>
      <c r="N26" s="211">
        <f t="shared" ref="N26:T26" si="8">SUM(N23:N25)</f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hidden="1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hidden="1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49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/>
      <c r="B48" s="103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7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8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94D6-17AE-49D4-8E0D-582C89A9490E}">
  <sheetPr codeName="Sheet31">
    <tabColor rgb="FFFFFF00"/>
    <pageSetUpPr fitToPage="1"/>
  </sheetPr>
  <dimension ref="A1:IV122"/>
  <sheetViews>
    <sheetView showGridLines="0" topLeftCell="A25" zoomScale="87" zoomScaleNormal="87" zoomScaleSheetLayoutView="70" workbookViewId="0">
      <selection activeCell="N6" sqref="N6:N8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2280</v>
      </c>
      <c r="AB4" s="256">
        <f>L54</f>
        <v>2161</v>
      </c>
      <c r="AC4" s="256">
        <f>L55</f>
        <v>185.33333333333334</v>
      </c>
      <c r="AD4" s="256">
        <f>L56</f>
        <v>1297.3333333333335</v>
      </c>
      <c r="AE4" s="256">
        <f>L21</f>
        <v>35</v>
      </c>
      <c r="AF4" s="256">
        <f>L26</f>
        <v>678.33333333333326</v>
      </c>
      <c r="AG4" s="256">
        <f>L28</f>
        <v>84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4140</v>
      </c>
      <c r="AB5" s="256">
        <f>U54</f>
        <v>3735</v>
      </c>
      <c r="AC5" s="256">
        <f>U55</f>
        <v>313</v>
      </c>
      <c r="AD5" s="256">
        <f>U56</f>
        <v>2091.333333333333</v>
      </c>
      <c r="AE5" s="256">
        <f>U21</f>
        <v>405</v>
      </c>
      <c r="AF5" s="256">
        <f>U26</f>
        <v>1330.6666666666667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647</v>
      </c>
      <c r="C6" s="144">
        <v>3</v>
      </c>
      <c r="D6" s="145">
        <v>0.29166666666666669</v>
      </c>
      <c r="E6" s="145">
        <v>0.5625</v>
      </c>
      <c r="F6" s="146">
        <f>(E6-D6)*1440</f>
        <v>390</v>
      </c>
      <c r="G6" s="1365">
        <v>740</v>
      </c>
      <c r="H6" s="1365"/>
      <c r="I6" s="1405">
        <v>650</v>
      </c>
      <c r="J6" s="1406"/>
      <c r="K6" s="1370">
        <f t="shared" ref="K6:K13" si="0">G6-I6</f>
        <v>90</v>
      </c>
      <c r="L6" s="1407"/>
      <c r="M6" s="145">
        <v>0.5625</v>
      </c>
      <c r="N6" s="145">
        <v>4.5138888888888888E-2</v>
      </c>
      <c r="O6" s="146">
        <f t="shared" ref="O6:O8" si="1">(N6-M6+(N6&lt;M6))*1440</f>
        <v>694.99999999999989</v>
      </c>
      <c r="P6" s="1408">
        <f>185+501</f>
        <v>686</v>
      </c>
      <c r="Q6" s="1408"/>
      <c r="R6" s="1409">
        <v>582</v>
      </c>
      <c r="S6" s="1408"/>
      <c r="T6" s="1421">
        <f>P6-R6</f>
        <v>104</v>
      </c>
      <c r="U6" s="1421"/>
      <c r="V6" s="224">
        <f t="shared" ref="V6:V13" si="2">F6+O6</f>
        <v>1085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0.29166666666666669</v>
      </c>
      <c r="E7" s="145">
        <v>0.5625</v>
      </c>
      <c r="F7" s="146">
        <f t="shared" ref="F7:F12" si="3">(E7-D7)*1440</f>
        <v>390</v>
      </c>
      <c r="G7" s="1403">
        <v>856</v>
      </c>
      <c r="H7" s="1404"/>
      <c r="I7" s="1403">
        <v>760</v>
      </c>
      <c r="J7" s="1404"/>
      <c r="K7" s="1368">
        <f t="shared" si="0"/>
        <v>96</v>
      </c>
      <c r="L7" s="1397"/>
      <c r="M7" s="145">
        <v>0.5625</v>
      </c>
      <c r="N7" s="145">
        <v>4.5138888888888888E-2</v>
      </c>
      <c r="O7" s="146">
        <f t="shared" si="1"/>
        <v>694.99999999999989</v>
      </c>
      <c r="P7" s="1398">
        <f>280+576+440</f>
        <v>1296</v>
      </c>
      <c r="Q7" s="1398"/>
      <c r="R7" s="1398">
        <f>760+360</f>
        <v>1120</v>
      </c>
      <c r="S7" s="1398"/>
      <c r="T7" s="1399">
        <f t="shared" ref="T7:T13" si="4">P7-R7</f>
        <v>176</v>
      </c>
      <c r="U7" s="1399"/>
      <c r="V7" s="224">
        <f t="shared" si="2"/>
        <v>1085</v>
      </c>
      <c r="W7" s="226"/>
    </row>
    <row r="8" spans="1:256" ht="18.75" customHeight="1">
      <c r="A8" s="142" t="s">
        <v>293</v>
      </c>
      <c r="B8" s="910" t="s">
        <v>648</v>
      </c>
      <c r="C8" s="144">
        <v>3</v>
      </c>
      <c r="D8" s="145">
        <v>0.33333333333333331</v>
      </c>
      <c r="E8" s="145">
        <v>0.5625</v>
      </c>
      <c r="F8" s="146">
        <f t="shared" si="3"/>
        <v>330</v>
      </c>
      <c r="G8" s="1403">
        <v>402</v>
      </c>
      <c r="H8" s="1404"/>
      <c r="I8" s="1396">
        <v>330</v>
      </c>
      <c r="J8" s="1396"/>
      <c r="K8" s="1368">
        <f t="shared" si="0"/>
        <v>72</v>
      </c>
      <c r="L8" s="1397"/>
      <c r="M8" s="145">
        <v>0.5625</v>
      </c>
      <c r="N8" s="145">
        <v>5.2083333333333336E-2</v>
      </c>
      <c r="O8" s="146">
        <f t="shared" si="1"/>
        <v>705</v>
      </c>
      <c r="P8" s="1398">
        <f>350+407+442</f>
        <v>1199</v>
      </c>
      <c r="Q8" s="1398"/>
      <c r="R8" s="1398">
        <f>660+360</f>
        <v>1020</v>
      </c>
      <c r="S8" s="1398"/>
      <c r="T8" s="1399">
        <f t="shared" si="4"/>
        <v>179</v>
      </c>
      <c r="U8" s="1399"/>
      <c r="V8" s="224">
        <f t="shared" si="2"/>
        <v>1035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396"/>
      <c r="J9" s="1396"/>
      <c r="K9" s="1368">
        <f t="shared" si="0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4"/>
        <v>0</v>
      </c>
      <c r="U9" s="1399"/>
      <c r="V9" s="224">
        <f t="shared" si="2"/>
        <v>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0.29166666666666669</v>
      </c>
      <c r="E10" s="145">
        <v>0.5625</v>
      </c>
      <c r="F10" s="146">
        <f t="shared" si="3"/>
        <v>390</v>
      </c>
      <c r="G10" s="1396">
        <v>755</v>
      </c>
      <c r="H10" s="1396"/>
      <c r="I10" s="1396">
        <v>652</v>
      </c>
      <c r="J10" s="1396"/>
      <c r="K10" s="1368">
        <f t="shared" si="0"/>
        <v>103</v>
      </c>
      <c r="L10" s="1397"/>
      <c r="M10" s="145">
        <v>0.5625</v>
      </c>
      <c r="N10" s="145">
        <v>3.4722222222222224E-2</v>
      </c>
      <c r="O10" s="146">
        <f t="shared" ref="O10:O12" si="5">(N10-M10+(N10&lt;M10))*1440</f>
        <v>680</v>
      </c>
      <c r="P10" s="1398">
        <f>625+385+430</f>
        <v>1440</v>
      </c>
      <c r="Q10" s="1398"/>
      <c r="R10" s="1398">
        <f>920+362</f>
        <v>1282</v>
      </c>
      <c r="S10" s="1398"/>
      <c r="T10" s="1399">
        <f t="shared" si="4"/>
        <v>158</v>
      </c>
      <c r="U10" s="1399"/>
      <c r="V10" s="224">
        <f t="shared" si="2"/>
        <v>1070</v>
      </c>
      <c r="W10" s="909"/>
    </row>
    <row r="11" spans="1:256" ht="18.75" customHeight="1">
      <c r="A11" s="142" t="s">
        <v>296</v>
      </c>
      <c r="B11" s="910" t="s">
        <v>649</v>
      </c>
      <c r="C11" s="144">
        <v>3</v>
      </c>
      <c r="D11" s="145">
        <v>0.29166666666666669</v>
      </c>
      <c r="E11" s="145">
        <v>0.5625</v>
      </c>
      <c r="F11" s="146">
        <f t="shared" si="3"/>
        <v>390</v>
      </c>
      <c r="G11" s="1396">
        <v>850</v>
      </c>
      <c r="H11" s="1396"/>
      <c r="I11" s="1396">
        <v>750</v>
      </c>
      <c r="J11" s="1396"/>
      <c r="K11" s="1368">
        <f t="shared" si="0"/>
        <v>100</v>
      </c>
      <c r="L11" s="1397"/>
      <c r="M11" s="145">
        <v>0.5625</v>
      </c>
      <c r="N11" s="145">
        <v>3.4722222222222224E-2</v>
      </c>
      <c r="O11" s="146">
        <f t="shared" si="5"/>
        <v>680</v>
      </c>
      <c r="P11" s="1398">
        <f>400+380+330</f>
        <v>1110</v>
      </c>
      <c r="Q11" s="1398"/>
      <c r="R11" s="1398">
        <f>680+270</f>
        <v>950</v>
      </c>
      <c r="S11" s="1398"/>
      <c r="T11" s="1399">
        <f t="shared" si="4"/>
        <v>160</v>
      </c>
      <c r="U11" s="1399"/>
      <c r="V11" s="224">
        <f t="shared" si="2"/>
        <v>1070</v>
      </c>
      <c r="W11" s="909"/>
    </row>
    <row r="12" spans="1:256" ht="18.75" customHeight="1">
      <c r="A12" s="142" t="s">
        <v>297</v>
      </c>
      <c r="B12" s="910" t="s">
        <v>650</v>
      </c>
      <c r="C12" s="144">
        <v>3</v>
      </c>
      <c r="D12" s="145">
        <v>0.29166666666666669</v>
      </c>
      <c r="E12" s="145">
        <v>0.5625</v>
      </c>
      <c r="F12" s="146">
        <f t="shared" si="3"/>
        <v>390</v>
      </c>
      <c r="G12" s="1396">
        <v>845</v>
      </c>
      <c r="H12" s="1396"/>
      <c r="I12" s="1396">
        <v>750</v>
      </c>
      <c r="J12" s="1396"/>
      <c r="K12" s="1368">
        <f t="shared" si="0"/>
        <v>95</v>
      </c>
      <c r="L12" s="1397"/>
      <c r="M12" s="145">
        <v>0.5625</v>
      </c>
      <c r="N12" s="145">
        <v>3.8194444444444441E-2</v>
      </c>
      <c r="O12" s="146">
        <f t="shared" si="5"/>
        <v>685</v>
      </c>
      <c r="P12" s="1398">
        <f>700+270+512</f>
        <v>1482</v>
      </c>
      <c r="Q12" s="1398"/>
      <c r="R12" s="1398">
        <f>870+450</f>
        <v>1320</v>
      </c>
      <c r="S12" s="1398"/>
      <c r="T12" s="1399">
        <f t="shared" si="4"/>
        <v>162</v>
      </c>
      <c r="U12" s="1399"/>
      <c r="V12" s="224">
        <f t="shared" si="2"/>
        <v>1075</v>
      </c>
      <c r="W12" s="909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0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4"/>
        <v>0</v>
      </c>
      <c r="U13" s="1395"/>
      <c r="V13" s="227">
        <f t="shared" si="2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0.29861111111111116</v>
      </c>
      <c r="E14" s="152">
        <f>AVERAGE(E6:E13)</f>
        <v>0.5625</v>
      </c>
      <c r="F14" s="153">
        <f>SUM(F6:F13)</f>
        <v>2280</v>
      </c>
      <c r="G14" s="1362">
        <f>SUM(G6:H13)</f>
        <v>4448</v>
      </c>
      <c r="H14" s="1363"/>
      <c r="I14" s="1362">
        <f>SUM(I6:I13)</f>
        <v>3892</v>
      </c>
      <c r="J14" s="1363"/>
      <c r="K14" s="1362">
        <f>SUM(K6:K13)</f>
        <v>556</v>
      </c>
      <c r="L14" s="1394"/>
      <c r="M14" s="198">
        <f>AVERAGE(M6:M13)</f>
        <v>0.5625</v>
      </c>
      <c r="N14" s="199">
        <f>AVERAGE(N6:N13)</f>
        <v>4.1666666666666664E-2</v>
      </c>
      <c r="O14" s="200">
        <f>SUM(O6:O13)</f>
        <v>4140</v>
      </c>
      <c r="P14" s="1392">
        <f>SUM(P6:P13)</f>
        <v>7213</v>
      </c>
      <c r="Q14" s="1393"/>
      <c r="R14" s="1392">
        <f>SUM(R6:R13)</f>
        <v>6274</v>
      </c>
      <c r="S14" s="1393"/>
      <c r="T14" s="1392">
        <f>SUM(T6:T13)</f>
        <v>939</v>
      </c>
      <c r="U14" s="1393"/>
      <c r="V14" s="228">
        <f>SUM(V6:V13)</f>
        <v>6420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6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7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6"/>
        <v>0</v>
      </c>
      <c r="M17" s="204">
        <v>60</v>
      </c>
      <c r="N17" s="160">
        <v>60</v>
      </c>
      <c r="O17" s="160">
        <v>60</v>
      </c>
      <c r="P17" s="1070"/>
      <c r="Q17" s="1070">
        <v>60</v>
      </c>
      <c r="R17" s="1070">
        <v>60</v>
      </c>
      <c r="S17" s="1070">
        <v>60</v>
      </c>
      <c r="T17" s="1070"/>
      <c r="U17" s="1113">
        <f t="shared" si="7"/>
        <v>360</v>
      </c>
      <c r="V17" s="1114">
        <f>SUM(M17:U17)</f>
        <v>720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6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7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8</f>
        <v>8</v>
      </c>
      <c r="E19" s="1070">
        <v>6</v>
      </c>
      <c r="F19" s="1070">
        <v>6</v>
      </c>
      <c r="G19" s="1070"/>
      <c r="H19" s="1070">
        <v>6</v>
      </c>
      <c r="I19" s="1070">
        <v>3</v>
      </c>
      <c r="J19" s="1070">
        <v>6</v>
      </c>
      <c r="K19" s="1070"/>
      <c r="L19" s="1112">
        <f t="shared" si="6"/>
        <v>35</v>
      </c>
      <c r="M19" s="1070">
        <f>2</f>
        <v>2</v>
      </c>
      <c r="N19" s="1059">
        <v>10</v>
      </c>
      <c r="O19" s="1070">
        <v>8</v>
      </c>
      <c r="P19" s="1070"/>
      <c r="Q19" s="1070">
        <v>5</v>
      </c>
      <c r="R19" s="1070">
        <v>9</v>
      </c>
      <c r="S19" s="1070">
        <v>11</v>
      </c>
      <c r="T19" s="1070"/>
      <c r="U19" s="1113">
        <f t="shared" si="7"/>
        <v>45</v>
      </c>
      <c r="V19" s="1114">
        <f>L19+U19</f>
        <v>80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6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7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8">SUM(D16:D20)</f>
        <v>8</v>
      </c>
      <c r="E21" s="165">
        <f t="shared" si="8"/>
        <v>6</v>
      </c>
      <c r="F21" s="165">
        <f t="shared" si="8"/>
        <v>6</v>
      </c>
      <c r="G21" s="165">
        <f t="shared" si="8"/>
        <v>0</v>
      </c>
      <c r="H21" s="165">
        <f t="shared" si="8"/>
        <v>6</v>
      </c>
      <c r="I21" s="165">
        <f t="shared" si="8"/>
        <v>3</v>
      </c>
      <c r="J21" s="165">
        <f t="shared" si="8"/>
        <v>6</v>
      </c>
      <c r="K21" s="165">
        <f t="shared" si="8"/>
        <v>0</v>
      </c>
      <c r="L21" s="206">
        <f t="shared" si="6"/>
        <v>35</v>
      </c>
      <c r="M21" s="165">
        <f t="shared" ref="M21:T21" si="9">SUM(M16:M20)</f>
        <v>62</v>
      </c>
      <c r="N21" s="165">
        <f t="shared" si="9"/>
        <v>70</v>
      </c>
      <c r="O21" s="165">
        <f t="shared" si="9"/>
        <v>68</v>
      </c>
      <c r="P21" s="165">
        <f t="shared" si="9"/>
        <v>0</v>
      </c>
      <c r="Q21" s="165">
        <f t="shared" si="9"/>
        <v>65</v>
      </c>
      <c r="R21" s="165">
        <f t="shared" si="9"/>
        <v>69</v>
      </c>
      <c r="S21" s="165">
        <f t="shared" si="9"/>
        <v>71</v>
      </c>
      <c r="T21" s="165">
        <f t="shared" si="9"/>
        <v>0</v>
      </c>
      <c r="U21" s="165">
        <f t="shared" si="7"/>
        <v>405</v>
      </c>
      <c r="V21" s="1117">
        <f>L21+U21</f>
        <v>440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6+4</f>
        <v>10</v>
      </c>
      <c r="E23" s="159"/>
      <c r="F23" s="159">
        <f>7+2+8+2</f>
        <v>19</v>
      </c>
      <c r="G23" s="159"/>
      <c r="H23" s="159">
        <f>5+9</f>
        <v>14</v>
      </c>
      <c r="I23" s="159"/>
      <c r="J23" s="159"/>
      <c r="K23" s="159"/>
      <c r="L23" s="208">
        <f>SUM(D23:K23)</f>
        <v>43</v>
      </c>
      <c r="M23" s="160">
        <v>8</v>
      </c>
      <c r="N23" s="160"/>
      <c r="O23" s="160">
        <v>3</v>
      </c>
      <c r="P23" s="160"/>
      <c r="Q23" s="160"/>
      <c r="R23" s="160">
        <v>5</v>
      </c>
      <c r="S23" s="160"/>
      <c r="T23" s="160"/>
      <c r="U23" s="238">
        <f>SUM(M23:T23)</f>
        <v>16</v>
      </c>
      <c r="V23" s="1112">
        <f>L23+U23</f>
        <v>59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5+2+6+6+6+2+6+5+4+7+3+8+8+3</f>
        <v>71</v>
      </c>
      <c r="E24" s="169">
        <f>4+7+7+2+3+8+8+5</f>
        <v>44</v>
      </c>
      <c r="F24" s="169">
        <f>2+2+1+2+2+2+4+4+7+2+3+8+8</f>
        <v>47</v>
      </c>
      <c r="G24" s="169"/>
      <c r="H24" s="169">
        <f>7+7+2+3+8+8</f>
        <v>35</v>
      </c>
      <c r="I24" s="169">
        <f>11+4+5+8</f>
        <v>28</v>
      </c>
      <c r="J24" s="169">
        <f>2+4+8+12</f>
        <v>26</v>
      </c>
      <c r="K24" s="169"/>
      <c r="L24" s="1115">
        <f>SUM(D24:K24)</f>
        <v>251</v>
      </c>
      <c r="M24" s="169">
        <f>6+6+4+6+7+9+8+4+7+3</f>
        <v>60</v>
      </c>
      <c r="N24" s="169">
        <f>2+2+3+4+6+7+4+7+3</f>
        <v>38</v>
      </c>
      <c r="O24" s="1119">
        <f>3+3+4+6+7+4+7+2+3+1</f>
        <v>40</v>
      </c>
      <c r="P24" s="169"/>
      <c r="Q24" s="169">
        <f>4+6+7+4+7+3</f>
        <v>31</v>
      </c>
      <c r="R24" s="169">
        <f>9+8+10+5+2</f>
        <v>34</v>
      </c>
      <c r="S24" s="169">
        <f>2+6+1+7+10+5</f>
        <v>31</v>
      </c>
      <c r="T24" s="1119"/>
      <c r="U24" s="1120">
        <f>SUM(M24:T24)</f>
        <v>234</v>
      </c>
      <c r="V24" s="1112">
        <f>L24+U24</f>
        <v>485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-5.6666666666666572</v>
      </c>
      <c r="E25" s="171">
        <f>$F7-E$55-E$56-E$21-E$23-E$24-E$34-E$43</f>
        <v>54.666666666666657</v>
      </c>
      <c r="F25" s="171">
        <f>$F8-F$55-F$56-F$21-F$23-F$24-F$34-F$43</f>
        <v>100</v>
      </c>
      <c r="G25" s="171">
        <f>$F9-G$55-G$56-G$21-G$23-G$24-G$34-G$43</f>
        <v>0</v>
      </c>
      <c r="H25" s="171">
        <f>$F10-H$55-H$56-H$21-H$23-H$24-H$34-H$43</f>
        <v>83.333333333333343</v>
      </c>
      <c r="I25" s="171">
        <f>$F11-I$55-I$56-I$21-I$23-I$24-I$34-I$43</f>
        <v>75.666666666666686</v>
      </c>
      <c r="J25" s="171">
        <f>$F12-J$55-J$56-J$21-J$23-J$24-J$34-J$43</f>
        <v>76.333333333333314</v>
      </c>
      <c r="K25" s="171">
        <f>$F13-K$55-K$56-K$21-K$23-K$24-K$34-K$43</f>
        <v>0</v>
      </c>
      <c r="L25" s="209">
        <f>SUM(D25:K25)</f>
        <v>384.33333333333331</v>
      </c>
      <c r="M25" s="171">
        <f>$O6-M$55-M$56-M$21-M$23-M$24-M$34-M$43</f>
        <v>336.33333333333326</v>
      </c>
      <c r="N25" s="171">
        <f>$O7-N$55-N$56-N$21-N$23-N$24-N$34-N$43</f>
        <v>154.99999999999994</v>
      </c>
      <c r="O25" s="171">
        <f>$O8-O$55-O$56-O$21-O$23-O$24-O$34-O$43</f>
        <v>194.33333333333337</v>
      </c>
      <c r="P25" s="171">
        <f>$O9-P$55-P$56-P$21-P$23-P$24-P$34-P$43</f>
        <v>0</v>
      </c>
      <c r="Q25" s="171">
        <f>$O10-Q$55-Q$56-Q$21-Q$23-Q$24-Q$34-Q$43</f>
        <v>104.00000000000006</v>
      </c>
      <c r="R25" s="171">
        <f>$O11-R$55-R$56-R$21-R$23-R$24-R$34-R$43</f>
        <v>201.99999999999994</v>
      </c>
      <c r="S25" s="171">
        <f>$O12-S$55-S$56-S$21-S$23-S$24-S$34-S$43</f>
        <v>89</v>
      </c>
      <c r="T25" s="171">
        <f>$O13-T$55-T$56-T$21-T$23-T$24-T$34-T$43</f>
        <v>0</v>
      </c>
      <c r="U25" s="239">
        <f>SUM(M25:T25)</f>
        <v>1080.6666666666665</v>
      </c>
      <c r="V25" s="1112">
        <f>L25+U25</f>
        <v>1464.9999999999998</v>
      </c>
      <c r="W25" s="233"/>
    </row>
    <row r="26" spans="1:29" ht="18.75" customHeight="1" thickBot="1">
      <c r="A26" s="163" t="s">
        <v>316</v>
      </c>
      <c r="B26" s="164"/>
      <c r="C26" s="164"/>
      <c r="D26" s="172">
        <f t="shared" ref="D26:K26" si="10">SUM(D23:D25)</f>
        <v>75.333333333333343</v>
      </c>
      <c r="E26" s="172">
        <f t="shared" si="10"/>
        <v>98.666666666666657</v>
      </c>
      <c r="F26" s="172">
        <f t="shared" si="10"/>
        <v>166</v>
      </c>
      <c r="G26" s="172">
        <f t="shared" si="10"/>
        <v>0</v>
      </c>
      <c r="H26" s="172">
        <f t="shared" si="10"/>
        <v>132.33333333333334</v>
      </c>
      <c r="I26" s="172">
        <f t="shared" si="10"/>
        <v>103.66666666666669</v>
      </c>
      <c r="J26" s="172">
        <f t="shared" si="10"/>
        <v>102.33333333333331</v>
      </c>
      <c r="K26" s="172">
        <f t="shared" si="10"/>
        <v>0</v>
      </c>
      <c r="L26" s="210">
        <f>SUM(D26:K26)</f>
        <v>678.33333333333326</v>
      </c>
      <c r="M26" s="211">
        <f>SUM(M23:M25)</f>
        <v>404.33333333333326</v>
      </c>
      <c r="N26" s="211">
        <f t="shared" ref="N26:T26" si="11">SUM(N23:N25)</f>
        <v>192.99999999999994</v>
      </c>
      <c r="O26" s="211">
        <f t="shared" si="11"/>
        <v>237.33333333333337</v>
      </c>
      <c r="P26" s="211">
        <f t="shared" si="11"/>
        <v>0</v>
      </c>
      <c r="Q26" s="211">
        <f t="shared" si="11"/>
        <v>135.00000000000006</v>
      </c>
      <c r="R26" s="211">
        <f t="shared" si="11"/>
        <v>240.99999999999994</v>
      </c>
      <c r="S26" s="211">
        <f t="shared" si="11"/>
        <v>120</v>
      </c>
      <c r="T26" s="211">
        <f t="shared" si="11"/>
        <v>0</v>
      </c>
      <c r="U26" s="240">
        <f>SUM(M26:T26)</f>
        <v>1330.6666666666667</v>
      </c>
      <c r="V26" s="210">
        <f>L26+U26</f>
        <v>2009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>
        <f>60</f>
        <v>60</v>
      </c>
      <c r="E28" s="159"/>
      <c r="F28" s="159">
        <f>11+13</f>
        <v>24</v>
      </c>
      <c r="G28" s="159"/>
      <c r="H28" s="159"/>
      <c r="I28" s="159"/>
      <c r="J28" s="159"/>
      <c r="K28" s="159"/>
      <c r="L28" s="202">
        <f t="shared" ref="L28:L34" si="12">SUM(D28:K28)</f>
        <v>84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3">SUM(M28:T28)</f>
        <v>0</v>
      </c>
      <c r="V28" s="243">
        <f t="shared" ref="V28:V34" si="14">L28+U28</f>
        <v>84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2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3"/>
        <v>0</v>
      </c>
      <c r="V29" s="244">
        <f t="shared" si="14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2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3"/>
        <v>0</v>
      </c>
      <c r="V30" s="1112">
        <f t="shared" si="14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2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3"/>
        <v>0</v>
      </c>
      <c r="V31" s="1112">
        <f t="shared" si="14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2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3"/>
        <v>0</v>
      </c>
      <c r="V32" s="1112">
        <f t="shared" si="14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2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3"/>
        <v>0</v>
      </c>
      <c r="V33" s="1112">
        <f t="shared" si="14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5">SUM(D28:D33)</f>
        <v>60</v>
      </c>
      <c r="E34" s="175">
        <f t="shared" si="15"/>
        <v>0</v>
      </c>
      <c r="F34" s="176">
        <f t="shared" si="15"/>
        <v>24</v>
      </c>
      <c r="G34" s="176">
        <f t="shared" si="15"/>
        <v>0</v>
      </c>
      <c r="H34" s="176">
        <f t="shared" si="15"/>
        <v>0</v>
      </c>
      <c r="I34" s="176">
        <f t="shared" si="15"/>
        <v>0</v>
      </c>
      <c r="J34" s="176">
        <f t="shared" si="15"/>
        <v>0</v>
      </c>
      <c r="K34" s="176">
        <f t="shared" si="15"/>
        <v>0</v>
      </c>
      <c r="L34" s="213">
        <f t="shared" si="12"/>
        <v>84</v>
      </c>
      <c r="M34" s="175">
        <f t="shared" ref="M34:T34" si="16">SUM(M28:M33)</f>
        <v>0</v>
      </c>
      <c r="N34" s="176">
        <f t="shared" si="16"/>
        <v>0</v>
      </c>
      <c r="O34" s="176">
        <f t="shared" si="16"/>
        <v>0</v>
      </c>
      <c r="P34" s="176">
        <f t="shared" si="16"/>
        <v>0</v>
      </c>
      <c r="Q34" s="176">
        <f t="shared" si="16"/>
        <v>0</v>
      </c>
      <c r="R34" s="176">
        <f t="shared" si="16"/>
        <v>0</v>
      </c>
      <c r="S34" s="176">
        <f t="shared" si="16"/>
        <v>0</v>
      </c>
      <c r="T34" s="176">
        <f t="shared" si="16"/>
        <v>0</v>
      </c>
      <c r="U34" s="246">
        <f t="shared" si="13"/>
        <v>0</v>
      </c>
      <c r="V34" s="213">
        <f t="shared" si="14"/>
        <v>84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7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8">SUM(M36:T36)</f>
        <v>0</v>
      </c>
      <c r="V36" s="243">
        <f t="shared" ref="V36:V43" si="19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7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8"/>
        <v>0</v>
      </c>
      <c r="V37" s="1114">
        <f t="shared" si="19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7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8"/>
        <v>0</v>
      </c>
      <c r="V38" s="1114">
        <f t="shared" si="19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7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8"/>
        <v>0</v>
      </c>
      <c r="V39" s="1114">
        <f t="shared" si="19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7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8"/>
        <v>0</v>
      </c>
      <c r="V40" s="1114">
        <f t="shared" si="19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7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8"/>
        <v>0</v>
      </c>
      <c r="V41" s="1114">
        <f t="shared" si="19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7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8"/>
        <v>0</v>
      </c>
      <c r="V42" s="1114">
        <f t="shared" si="19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0">SUM(D36:D42)</f>
        <v>0</v>
      </c>
      <c r="E43" s="177">
        <f t="shared" si="20"/>
        <v>0</v>
      </c>
      <c r="F43" s="177">
        <f t="shared" si="20"/>
        <v>0</v>
      </c>
      <c r="G43" s="177">
        <f t="shared" si="20"/>
        <v>0</v>
      </c>
      <c r="H43" s="177">
        <f t="shared" si="20"/>
        <v>0</v>
      </c>
      <c r="I43" s="177">
        <f t="shared" si="20"/>
        <v>0</v>
      </c>
      <c r="J43" s="177">
        <f t="shared" si="20"/>
        <v>0</v>
      </c>
      <c r="K43" s="177">
        <f t="shared" si="20"/>
        <v>0</v>
      </c>
      <c r="L43" s="213">
        <f t="shared" si="17"/>
        <v>0</v>
      </c>
      <c r="M43" s="177">
        <f t="shared" ref="M43:T43" si="21">SUM(M36:M42)</f>
        <v>0</v>
      </c>
      <c r="N43" s="177">
        <f t="shared" si="21"/>
        <v>0</v>
      </c>
      <c r="O43" s="177">
        <f t="shared" si="21"/>
        <v>0</v>
      </c>
      <c r="P43" s="177">
        <f t="shared" si="21"/>
        <v>0</v>
      </c>
      <c r="Q43" s="177">
        <f t="shared" si="21"/>
        <v>0</v>
      </c>
      <c r="R43" s="177">
        <f t="shared" si="21"/>
        <v>0</v>
      </c>
      <c r="S43" s="177">
        <f t="shared" si="21"/>
        <v>0</v>
      </c>
      <c r="T43" s="177">
        <f t="shared" si="21"/>
        <v>0</v>
      </c>
      <c r="U43" s="165">
        <f t="shared" si="18"/>
        <v>0</v>
      </c>
      <c r="V43" s="213">
        <f t="shared" si="19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671</v>
      </c>
      <c r="B45" s="1039">
        <v>8</v>
      </c>
      <c r="C45" s="1038">
        <v>60</v>
      </c>
      <c r="D45" s="1423" t="s">
        <v>672</v>
      </c>
      <c r="E45" s="1350"/>
      <c r="F45" s="1350"/>
      <c r="G45" s="1350"/>
      <c r="H45" s="1350"/>
      <c r="I45" s="1350"/>
      <c r="J45" s="1436"/>
      <c r="K45" s="1059" t="s">
        <v>291</v>
      </c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604</v>
      </c>
      <c r="B46" s="1076" t="s">
        <v>604</v>
      </c>
      <c r="C46" s="1123">
        <v>11</v>
      </c>
      <c r="D46" s="1218" t="s">
        <v>673</v>
      </c>
      <c r="E46" s="1063"/>
      <c r="F46" s="1063"/>
      <c r="G46" s="1063"/>
      <c r="H46" s="1063"/>
      <c r="I46" s="1063"/>
      <c r="J46" s="1063"/>
      <c r="K46" s="1071" t="s">
        <v>293</v>
      </c>
      <c r="L46" s="1069"/>
      <c r="M46" s="1062"/>
      <c r="N46" s="1073"/>
      <c r="O46" s="1074"/>
      <c r="P46" s="1063"/>
      <c r="Q46" s="1063"/>
      <c r="R46" s="1063"/>
      <c r="S46" s="1063"/>
      <c r="T46" s="1063"/>
      <c r="U46" s="1063"/>
      <c r="V46" s="1064"/>
      <c r="W46" s="250"/>
    </row>
    <row r="47" spans="1:23" ht="15" customHeight="1">
      <c r="A47" s="1058" t="s">
        <v>604</v>
      </c>
      <c r="B47" s="1039" t="s">
        <v>604</v>
      </c>
      <c r="C47" s="1038">
        <v>13</v>
      </c>
      <c r="D47" s="1423" t="s">
        <v>674</v>
      </c>
      <c r="E47" s="1350"/>
      <c r="F47" s="1350"/>
      <c r="G47" s="1350"/>
      <c r="H47" s="1350"/>
      <c r="I47" s="1350"/>
      <c r="J47" s="1436"/>
      <c r="K47" s="1059" t="s">
        <v>293</v>
      </c>
      <c r="L47" s="1065"/>
      <c r="M47" s="1065"/>
      <c r="N47" s="1353"/>
      <c r="O47" s="1354"/>
      <c r="P47" s="1354"/>
      <c r="Q47" s="1354"/>
      <c r="R47" s="1354"/>
      <c r="S47" s="1354"/>
      <c r="T47" s="1354"/>
      <c r="U47" s="1354"/>
      <c r="V47" s="1355"/>
      <c r="W47" s="250"/>
    </row>
    <row r="48" spans="1:23" ht="15" customHeight="1">
      <c r="A48" s="1058"/>
      <c r="B48" s="1066"/>
      <c r="C48" s="1070"/>
      <c r="D48" s="1356"/>
      <c r="E48" s="1357"/>
      <c r="F48" s="1357"/>
      <c r="G48" s="1357"/>
      <c r="H48" s="1357"/>
      <c r="I48" s="1357"/>
      <c r="J48" s="1357"/>
      <c r="K48" s="1059"/>
      <c r="L48" s="1069"/>
      <c r="M48" s="1070"/>
      <c r="N48" s="1437"/>
      <c r="O48" s="1438"/>
      <c r="P48" s="1438"/>
      <c r="Q48" s="1438"/>
      <c r="R48" s="1438"/>
      <c r="S48" s="1438"/>
      <c r="T48" s="1438"/>
      <c r="U48" s="1438"/>
      <c r="V48" s="1439"/>
      <c r="W48" s="250"/>
    </row>
    <row r="49" spans="1:25" ht="15" customHeight="1">
      <c r="A49" s="1058"/>
      <c r="B49" s="1039"/>
      <c r="C49" s="1123"/>
      <c r="D49" s="1349"/>
      <c r="E49" s="1350"/>
      <c r="F49" s="1350"/>
      <c r="G49" s="1350"/>
      <c r="H49" s="1350"/>
      <c r="I49" s="1350"/>
      <c r="J49" s="1351"/>
      <c r="K49" s="1059"/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76"/>
      <c r="C50" s="1124"/>
      <c r="D50" s="1077"/>
      <c r="E50" s="1063"/>
      <c r="F50" s="1063"/>
      <c r="G50" s="1063"/>
      <c r="H50" s="1063"/>
      <c r="I50" s="1063"/>
      <c r="J50" s="1063"/>
      <c r="K50" s="1059"/>
      <c r="L50" s="1069"/>
      <c r="M50" s="1070"/>
      <c r="N50" s="107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076"/>
      <c r="C51" s="1123"/>
      <c r="D51" s="1077"/>
      <c r="E51" s="1063"/>
      <c r="F51" s="1063"/>
      <c r="G51" s="1063"/>
      <c r="H51" s="1063"/>
      <c r="I51" s="1063"/>
      <c r="J51" s="1063"/>
      <c r="K51" s="1059"/>
      <c r="L51" s="1069"/>
      <c r="M51" s="107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322</v>
      </c>
      <c r="E54" s="187">
        <f>$F7-E$21-E$43-E$34</f>
        <v>384</v>
      </c>
      <c r="F54" s="187">
        <f>$F8-F$21-F$43-F$34</f>
        <v>300</v>
      </c>
      <c r="G54" s="187">
        <f>$F9-G$21-G$43-G$34</f>
        <v>0</v>
      </c>
      <c r="H54" s="187">
        <f>$F10-H$21-H$43-H$34</f>
        <v>384</v>
      </c>
      <c r="I54" s="187">
        <f>$F11-I$21-I$43-I$34</f>
        <v>387</v>
      </c>
      <c r="J54" s="187">
        <f>$F12-J$21-J$43-J$34</f>
        <v>384</v>
      </c>
      <c r="K54" s="187">
        <f>$F13-K$21-K$43-K$34</f>
        <v>0</v>
      </c>
      <c r="L54" s="202">
        <f>SUM(D54:K54)</f>
        <v>2161</v>
      </c>
      <c r="M54" s="187">
        <f>O6-M21-M43-M34</f>
        <v>632.99999999999989</v>
      </c>
      <c r="N54" s="187">
        <f>O7-N21-N43-N34</f>
        <v>624.99999999999989</v>
      </c>
      <c r="O54" s="187">
        <f>O8-O21-O43-O34</f>
        <v>637</v>
      </c>
      <c r="P54" s="187">
        <f>O9-P21-P43-P34</f>
        <v>0</v>
      </c>
      <c r="Q54" s="187">
        <f>O10-Q21-Q43-Q34</f>
        <v>615</v>
      </c>
      <c r="R54" s="187">
        <f>O11-R21-R43-R34</f>
        <v>611</v>
      </c>
      <c r="S54" s="187">
        <f>O12-S21-S43-S34</f>
        <v>614</v>
      </c>
      <c r="T54" s="187">
        <f>O13-T21-T43-T34</f>
        <v>0</v>
      </c>
      <c r="U54" s="242">
        <f>SUM(M54:T54)</f>
        <v>3735</v>
      </c>
      <c r="V54" s="202">
        <f>L54+U54</f>
        <v>5896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30</v>
      </c>
      <c r="E55" s="1087">
        <f>$K7/$C7</f>
        <v>32</v>
      </c>
      <c r="F55" s="1087">
        <f>$K8/$C8</f>
        <v>24</v>
      </c>
      <c r="G55" s="1087">
        <f>$K9/$C9</f>
        <v>0</v>
      </c>
      <c r="H55" s="1087">
        <f>$K10/$C10</f>
        <v>34.333333333333336</v>
      </c>
      <c r="I55" s="1087">
        <f>$K11/$C11</f>
        <v>33.333333333333336</v>
      </c>
      <c r="J55" s="1087">
        <f>$K12/$C12</f>
        <v>31.666666666666668</v>
      </c>
      <c r="K55" s="1087">
        <f>$K13/$C13</f>
        <v>0</v>
      </c>
      <c r="L55" s="1112">
        <f>SUM(D55:K55)</f>
        <v>185.33333333333334</v>
      </c>
      <c r="M55" s="1087">
        <f>T6/C6</f>
        <v>34.666666666666664</v>
      </c>
      <c r="N55" s="1087">
        <f>T7/C7</f>
        <v>58.666666666666664</v>
      </c>
      <c r="O55" s="1087">
        <f>$T$8/$C$8</f>
        <v>59.666666666666664</v>
      </c>
      <c r="P55" s="1087">
        <f>$T$9/$C$9</f>
        <v>0</v>
      </c>
      <c r="Q55" s="1087">
        <f>$T$10/$C$10</f>
        <v>52.666666666666664</v>
      </c>
      <c r="R55" s="1087">
        <f>$T$11/$C$11</f>
        <v>53.333333333333336</v>
      </c>
      <c r="S55" s="1087">
        <f>$T$12/$C$12</f>
        <v>54</v>
      </c>
      <c r="T55" s="1087">
        <f>$T$13/$C$13</f>
        <v>0</v>
      </c>
      <c r="U55" s="1129">
        <f>SUM(M55:T55)</f>
        <v>313</v>
      </c>
      <c r="V55" s="1112">
        <f>L55+U55</f>
        <v>498.33333333333337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216.66666666666666</v>
      </c>
      <c r="E56" s="1087">
        <f>$I7/$C7</f>
        <v>253.33333333333334</v>
      </c>
      <c r="F56" s="1087">
        <f>$I8/$C8</f>
        <v>110</v>
      </c>
      <c r="G56" s="1087">
        <f>$I9/$C9</f>
        <v>0</v>
      </c>
      <c r="H56" s="1087">
        <f>$I10/$C10</f>
        <v>217.33333333333334</v>
      </c>
      <c r="I56" s="1087">
        <f>$I11/$C11</f>
        <v>250</v>
      </c>
      <c r="J56" s="1087">
        <f>$I12/$C12</f>
        <v>250</v>
      </c>
      <c r="K56" s="1087">
        <f>$I13/$C13</f>
        <v>0</v>
      </c>
      <c r="L56" s="1115">
        <f>SUM(D56:K56)</f>
        <v>1297.3333333333335</v>
      </c>
      <c r="M56" s="1130">
        <f>R6/C6</f>
        <v>194</v>
      </c>
      <c r="N56" s="1130">
        <f>R7/C7</f>
        <v>373.33333333333331</v>
      </c>
      <c r="O56" s="1130">
        <f>R8/C8</f>
        <v>340</v>
      </c>
      <c r="P56" s="1130">
        <f>R9/C9</f>
        <v>0</v>
      </c>
      <c r="Q56" s="1130">
        <f>R10/C10</f>
        <v>427.33333333333331</v>
      </c>
      <c r="R56" s="1130">
        <f>R11/C11</f>
        <v>316.66666666666669</v>
      </c>
      <c r="S56" s="1130">
        <f>R12/C12</f>
        <v>440</v>
      </c>
      <c r="T56" s="1130">
        <f>R13/C13</f>
        <v>0</v>
      </c>
      <c r="U56" s="1131">
        <f>SUM(M56:T56)</f>
        <v>2091.333333333333</v>
      </c>
      <c r="V56" s="1115">
        <f>L56+U56</f>
        <v>3388.6666666666665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2.0512820512820511</v>
      </c>
      <c r="E57" s="188">
        <f>IF(F7=0,0,E21/F7*100)</f>
        <v>1.5384615384615385</v>
      </c>
      <c r="F57" s="188">
        <f>IF(F8=0,0,F21/F8*100)</f>
        <v>1.8181818181818181</v>
      </c>
      <c r="G57" s="188">
        <f>IF(F9=0,0,G21/F9*100)</f>
        <v>0</v>
      </c>
      <c r="H57" s="188">
        <f>IF(F10=0,0,H21/F10*100)</f>
        <v>1.5384615384615385</v>
      </c>
      <c r="I57" s="188">
        <f>IF(F11=0,0,I21/F11*100)</f>
        <v>0.76923076923076927</v>
      </c>
      <c r="J57" s="188">
        <f>IF(F12=0,0,J21/F12*100)</f>
        <v>1.5384615384615385</v>
      </c>
      <c r="K57" s="188">
        <f>IF(F13=0,0,K21/F13*100)</f>
        <v>0</v>
      </c>
      <c r="L57" s="217">
        <f>IF(F14=0,0,L21/F14*100)</f>
        <v>1.5350877192982455</v>
      </c>
      <c r="M57" s="188">
        <f>IF(O6=0,0,M21/O6*100)</f>
        <v>8.9208633093525194</v>
      </c>
      <c r="N57" s="188">
        <f>IF(O7=0,0,N21/O7*100)</f>
        <v>10.071942446043167</v>
      </c>
      <c r="O57" s="188">
        <f>IF(O8=0,0,O21/O8*100)</f>
        <v>9.6453900709219855</v>
      </c>
      <c r="P57" s="188">
        <f>IF(O9=0,0,P21/O9*100)</f>
        <v>0</v>
      </c>
      <c r="Q57" s="188">
        <f>IF(O10=0,0,Q21/O10*100)</f>
        <v>9.5588235294117645</v>
      </c>
      <c r="R57" s="188">
        <f>IF(O11=0,0,R21/O11*100)</f>
        <v>10.147058823529411</v>
      </c>
      <c r="S57" s="188">
        <f>IF(O12=0,0,S21/O12*100)</f>
        <v>10.364963503649635</v>
      </c>
      <c r="T57" s="188">
        <f>IF(O13=0,0,T21/O13*100)</f>
        <v>0</v>
      </c>
      <c r="U57" s="251">
        <f>IF(O14=0,0,U21/O14*100)</f>
        <v>9.7826086956521738</v>
      </c>
      <c r="V57" s="217">
        <f>IF((F14+O14)=0,0,V21/(F14+O14)*100)</f>
        <v>6.8535825545171329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15.384615384615385</v>
      </c>
      <c r="E58" s="1090">
        <f>IF(F7=0,0,E34/F7*100)</f>
        <v>0</v>
      </c>
      <c r="F58" s="1090">
        <f>IF(F8=0,0,F34/F8*100)</f>
        <v>7.2727272727272725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3.6842105263157889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1.3084112149532712</v>
      </c>
      <c r="W58" s="252"/>
      <c r="Y58" s="258">
        <f>SUM(V57:V60)</f>
        <v>99.999999999999986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82.564102564102555</v>
      </c>
      <c r="E60" s="1093">
        <f>IF(F7=0,0,E54/F7*100)</f>
        <v>98.461538461538467</v>
      </c>
      <c r="F60" s="1093">
        <f>IF(F8=0,0,F54/F8*100)</f>
        <v>90.909090909090907</v>
      </c>
      <c r="G60" s="1093">
        <f>IF(F9=0,0,G54/F9*100)</f>
        <v>0</v>
      </c>
      <c r="H60" s="1093">
        <f>IF(F10=0,0,H54/F10*100)</f>
        <v>98.461538461538467</v>
      </c>
      <c r="I60" s="1093">
        <f>IF(F11=0,0,I54/F11*100)</f>
        <v>99.230769230769226</v>
      </c>
      <c r="J60" s="1093">
        <f>IF(F12=0,0,J54/F12*100)</f>
        <v>98.461538461538467</v>
      </c>
      <c r="K60" s="1093">
        <f>IF(F13=0,0,K54/F13*100)</f>
        <v>0</v>
      </c>
      <c r="L60" s="1134">
        <f>IF(F14=0,0,L54/F14*100)</f>
        <v>94.780701754385959</v>
      </c>
      <c r="M60" s="1095">
        <f>IF(O6=0,0,M54/O6*100)</f>
        <v>91.079136690647474</v>
      </c>
      <c r="N60" s="1095">
        <f>IF(O7=0,0,N54/O7*100)</f>
        <v>89.928057553956833</v>
      </c>
      <c r="O60" s="1095">
        <f>IF(O8=0,0,O54/O8*100)</f>
        <v>90.354609929078009</v>
      </c>
      <c r="P60" s="1095">
        <f>IF(O9=0,0,P54/O9*100)</f>
        <v>0</v>
      </c>
      <c r="Q60" s="1095">
        <f>IF(O10=0,0,Q54/O10*100)</f>
        <v>90.441176470588232</v>
      </c>
      <c r="R60" s="1095">
        <f>IF(O11=0,0,R54/O11*100)</f>
        <v>89.852941176470594</v>
      </c>
      <c r="S60" s="1095">
        <f>IF(O12=0,0,S54/O12*100)</f>
        <v>89.635036496350367</v>
      </c>
      <c r="T60" s="1095">
        <f>IF(O13=0,0,T54/O13*100)</f>
        <v>0</v>
      </c>
      <c r="U60" s="1093">
        <f>IF(O14=0,0,U54/O14*100)</f>
        <v>90.217391304347828</v>
      </c>
      <c r="V60" s="1134">
        <f>IF((F14+O14)=0,0,V54/(F14+O14)*100)</f>
        <v>91.838006230529587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9.316770186335404</v>
      </c>
      <c r="E61" s="188">
        <f>IF(E54=0,0,E55/E54*100)</f>
        <v>8.3333333333333321</v>
      </c>
      <c r="F61" s="188">
        <f t="shared" ref="F61:V61" si="22">IF(F54=0,0,F55/F54*100)</f>
        <v>8</v>
      </c>
      <c r="G61" s="188">
        <f t="shared" si="22"/>
        <v>0</v>
      </c>
      <c r="H61" s="188">
        <f t="shared" si="22"/>
        <v>8.9409722222222232</v>
      </c>
      <c r="I61" s="188">
        <f t="shared" si="22"/>
        <v>8.6132644272179171</v>
      </c>
      <c r="J61" s="188">
        <f t="shared" si="22"/>
        <v>8.2465277777777768</v>
      </c>
      <c r="K61" s="188">
        <f t="shared" si="22"/>
        <v>0</v>
      </c>
      <c r="L61" s="217">
        <f t="shared" si="22"/>
        <v>8.5762764152398585</v>
      </c>
      <c r="M61" s="188">
        <f t="shared" si="22"/>
        <v>5.476566614007373</v>
      </c>
      <c r="N61" s="188">
        <f t="shared" si="22"/>
        <v>9.3866666666666685</v>
      </c>
      <c r="O61" s="188">
        <f t="shared" si="22"/>
        <v>9.3668236525379385</v>
      </c>
      <c r="P61" s="188">
        <f t="shared" si="22"/>
        <v>0</v>
      </c>
      <c r="Q61" s="188">
        <f t="shared" si="22"/>
        <v>8.5636856368563681</v>
      </c>
      <c r="R61" s="188">
        <f t="shared" si="22"/>
        <v>8.7288597926895797</v>
      </c>
      <c r="S61" s="188">
        <f t="shared" si="22"/>
        <v>8.7947882736156355</v>
      </c>
      <c r="T61" s="188">
        <f t="shared" si="22"/>
        <v>0</v>
      </c>
      <c r="U61" s="251">
        <f t="shared" si="22"/>
        <v>8.3801874163319958</v>
      </c>
      <c r="V61" s="217">
        <f t="shared" si="22"/>
        <v>8.4520578923564003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3">IF(D54=0,0,D26/D54*100)</f>
        <v>23.395445134575571</v>
      </c>
      <c r="E62" s="1090">
        <f t="shared" si="23"/>
        <v>25.694444444444443</v>
      </c>
      <c r="F62" s="1090">
        <f t="shared" si="23"/>
        <v>55.333333333333336</v>
      </c>
      <c r="G62" s="1090">
        <f t="shared" si="23"/>
        <v>0</v>
      </c>
      <c r="H62" s="1090">
        <f t="shared" si="23"/>
        <v>34.461805555555557</v>
      </c>
      <c r="I62" s="1090">
        <f t="shared" si="23"/>
        <v>26.787252368647724</v>
      </c>
      <c r="J62" s="1090">
        <f t="shared" si="23"/>
        <v>26.649305555555554</v>
      </c>
      <c r="K62" s="1090">
        <f t="shared" si="23"/>
        <v>0</v>
      </c>
      <c r="L62" s="1132">
        <f t="shared" si="23"/>
        <v>31.389788678081132</v>
      </c>
      <c r="M62" s="1090">
        <f t="shared" si="23"/>
        <v>63.875724065297526</v>
      </c>
      <c r="N62" s="1090">
        <f t="shared" si="23"/>
        <v>30.879999999999995</v>
      </c>
      <c r="O62" s="1090">
        <f t="shared" si="23"/>
        <v>37.257980115122976</v>
      </c>
      <c r="P62" s="1090">
        <f t="shared" si="23"/>
        <v>0</v>
      </c>
      <c r="Q62" s="1090">
        <f t="shared" si="23"/>
        <v>21.951219512195131</v>
      </c>
      <c r="R62" s="1090">
        <f t="shared" si="23"/>
        <v>39.443535188216025</v>
      </c>
      <c r="S62" s="1090">
        <f t="shared" si="23"/>
        <v>19.54397394136808</v>
      </c>
      <c r="T62" s="1090">
        <f t="shared" si="23"/>
        <v>0</v>
      </c>
      <c r="U62" s="1133">
        <f t="shared" si="23"/>
        <v>35.626952253458278</v>
      </c>
      <c r="V62" s="1132">
        <f t="shared" si="23"/>
        <v>34.073948439620082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4">IF(D54=0,0,D56/D54*100)</f>
        <v>67.287784679089029</v>
      </c>
      <c r="E63" s="1095">
        <f t="shared" si="24"/>
        <v>65.972222222222214</v>
      </c>
      <c r="F63" s="1095">
        <f t="shared" si="24"/>
        <v>36.666666666666664</v>
      </c>
      <c r="G63" s="1095">
        <f t="shared" si="24"/>
        <v>0</v>
      </c>
      <c r="H63" s="1095">
        <f t="shared" si="24"/>
        <v>56.597222222222221</v>
      </c>
      <c r="I63" s="1095">
        <f t="shared" si="24"/>
        <v>64.599483204134373</v>
      </c>
      <c r="J63" s="1095">
        <f t="shared" si="24"/>
        <v>65.104166666666657</v>
      </c>
      <c r="K63" s="1095">
        <f t="shared" si="24"/>
        <v>0</v>
      </c>
      <c r="L63" s="1134">
        <f t="shared" si="24"/>
        <v>60.033934906679008</v>
      </c>
      <c r="M63" s="1095">
        <f t="shared" si="24"/>
        <v>30.64770932069511</v>
      </c>
      <c r="N63" s="1095">
        <f t="shared" si="24"/>
        <v>59.733333333333341</v>
      </c>
      <c r="O63" s="1095">
        <f t="shared" si="24"/>
        <v>53.375196232339093</v>
      </c>
      <c r="P63" s="1095">
        <f t="shared" si="24"/>
        <v>0</v>
      </c>
      <c r="Q63" s="1095">
        <f t="shared" si="24"/>
        <v>69.485094850948499</v>
      </c>
      <c r="R63" s="1095">
        <f t="shared" si="24"/>
        <v>51.827605019094378</v>
      </c>
      <c r="S63" s="1095">
        <f t="shared" si="24"/>
        <v>71.661237785016283</v>
      </c>
      <c r="T63" s="1095">
        <f t="shared" si="24"/>
        <v>0</v>
      </c>
      <c r="U63" s="1093">
        <f t="shared" si="24"/>
        <v>55.992860330209716</v>
      </c>
      <c r="V63" s="1134">
        <f t="shared" si="24"/>
        <v>57.473993668023518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87.5</v>
      </c>
      <c r="E64" s="190">
        <f>IF(E74=0,0,D74/E74*100)</f>
        <v>87.5</v>
      </c>
      <c r="F64" s="190">
        <f>IF(E74=0,0,D74/E74*100)</f>
        <v>87.5</v>
      </c>
      <c r="G64" s="190">
        <f>IF(E74=0,0,D74/E74*100)</f>
        <v>87.5</v>
      </c>
      <c r="H64" s="190">
        <f>IF(E74=0,0,D74/E74*100)</f>
        <v>87.5</v>
      </c>
      <c r="I64" s="190">
        <f>IF(E74=0,0,D74/E74*100)</f>
        <v>87.5</v>
      </c>
      <c r="J64" s="190">
        <f>IF(E74=0,0,D74/E74*100)</f>
        <v>87.5</v>
      </c>
      <c r="K64" s="190">
        <f>IF(E74=0,0,D74/E74*100)</f>
        <v>87.5</v>
      </c>
      <c r="L64" s="218">
        <f>IF(E74=0,0,D74/E74*100)</f>
        <v>87.5</v>
      </c>
      <c r="M64" s="219">
        <f>IF(N74=0,0,M74/N74*100)</f>
        <v>88.396916386637685</v>
      </c>
      <c r="N64" s="219">
        <f>IF(N74=0,0,M74/N74*100)</f>
        <v>88.396916386637685</v>
      </c>
      <c r="O64" s="219">
        <f>IF(N74=0,0,M74/N74*100)</f>
        <v>88.396916386637685</v>
      </c>
      <c r="P64" s="219">
        <f>IF(N74=0,0,M74/N74*100)</f>
        <v>88.396916386637685</v>
      </c>
      <c r="Q64" s="219">
        <f>IF(N74=0,0,M74/N74*100)</f>
        <v>88.396916386637685</v>
      </c>
      <c r="R64" s="219">
        <f>IF(N74=0,0,M74/N74*100)</f>
        <v>88.396916386637685</v>
      </c>
      <c r="S64" s="219">
        <f>IF(N74=0,0,M74/N74*100)</f>
        <v>88.396916386637685</v>
      </c>
      <c r="T64" s="219">
        <f>IF(N74=0,0,M74/N74*100)</f>
        <v>88.396916386637685</v>
      </c>
      <c r="U64" s="190">
        <f>IF(N74=0,0,M74/N74*100)</f>
        <v>88.396916386637685</v>
      </c>
      <c r="V64" s="218">
        <f>IF(N78=0,0,M78/N78*100)</f>
        <v>87.977279899021781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5">(D60*D63*D64)/10000</f>
        <v>48.611111111111107</v>
      </c>
      <c r="E65" s="190">
        <f t="shared" si="25"/>
        <v>56.837606837606835</v>
      </c>
      <c r="F65" s="190">
        <f t="shared" si="25"/>
        <v>29.166666666666664</v>
      </c>
      <c r="G65" s="190">
        <f t="shared" si="25"/>
        <v>0</v>
      </c>
      <c r="H65" s="190">
        <f t="shared" si="25"/>
        <v>48.760683760683769</v>
      </c>
      <c r="I65" s="190">
        <f t="shared" si="25"/>
        <v>56.089743589743591</v>
      </c>
      <c r="J65" s="190">
        <f t="shared" si="25"/>
        <v>56.089743589743577</v>
      </c>
      <c r="K65" s="190">
        <f t="shared" si="25"/>
        <v>0</v>
      </c>
      <c r="L65" s="190">
        <f t="shared" si="25"/>
        <v>49.788011695906434</v>
      </c>
      <c r="M65" s="219">
        <f t="shared" si="25"/>
        <v>24.674822703608221</v>
      </c>
      <c r="N65" s="219">
        <f t="shared" si="25"/>
        <v>47.484194893541591</v>
      </c>
      <c r="O65" s="219">
        <f t="shared" si="25"/>
        <v>42.631136980789798</v>
      </c>
      <c r="P65" s="219">
        <f t="shared" si="25"/>
        <v>0</v>
      </c>
      <c r="Q65" s="219">
        <f t="shared" si="25"/>
        <v>55.551395493955631</v>
      </c>
      <c r="R65" s="219">
        <f t="shared" si="25"/>
        <v>41.165230670247944</v>
      </c>
      <c r="S65" s="219">
        <f t="shared" si="25"/>
        <v>56.780501036672376</v>
      </c>
      <c r="T65" s="219">
        <f t="shared" si="25"/>
        <v>0</v>
      </c>
      <c r="U65" s="190">
        <f>IF(10000=0,0,(U60*U63*U64)/10000)</f>
        <v>44.653965652960125</v>
      </c>
      <c r="V65" s="218">
        <f>IF(10000=0,0,(V60*V63*V64)/10000)</f>
        <v>46.43702115542343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3892</v>
      </c>
      <c r="E74" s="1099">
        <v>4448</v>
      </c>
      <c r="F74" s="264">
        <f>8/E74</f>
        <v>1.7985611510791368E-3</v>
      </c>
      <c r="G74" s="260"/>
      <c r="H74" s="260"/>
      <c r="I74" s="260"/>
      <c r="J74" s="260"/>
      <c r="K74" s="260"/>
      <c r="L74" s="260"/>
      <c r="M74" s="1099">
        <v>4472</v>
      </c>
      <c r="N74" s="1099">
        <v>5059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912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8364</v>
      </c>
      <c r="N78" s="1135">
        <f>E74+N74</f>
        <v>9507</v>
      </c>
      <c r="O78" s="281">
        <f>M78/N78</f>
        <v>0.87977279899021776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9:J49"/>
    <mergeCell ref="A67:B67"/>
    <mergeCell ref="T14:U14"/>
    <mergeCell ref="D45:J45"/>
    <mergeCell ref="D47:J47"/>
    <mergeCell ref="N47:V47"/>
    <mergeCell ref="D48:J48"/>
    <mergeCell ref="N48:V48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70B5-21A1-4439-93DA-AA5F35D0F89F}">
  <sheetPr codeName="Sheet32">
    <tabColor rgb="FFFFFF00"/>
    <pageSetUpPr fitToPage="1"/>
  </sheetPr>
  <dimension ref="A1:IV128"/>
  <sheetViews>
    <sheetView showGridLines="0" topLeftCell="A25" zoomScale="87" zoomScaleNormal="87" zoomScaleSheetLayoutView="70" workbookViewId="0">
      <selection activeCell="G11" sqref="G11:H1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244568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3309</v>
      </c>
      <c r="AB4" s="256">
        <f>L60</f>
        <v>3003</v>
      </c>
      <c r="AC4" s="256">
        <f>L61</f>
        <v>412.33333333333331</v>
      </c>
      <c r="AD4" s="256">
        <f>L62</f>
        <v>1874.3333333333333</v>
      </c>
      <c r="AE4" s="256">
        <f>L21</f>
        <v>178</v>
      </c>
      <c r="AF4" s="256">
        <f>L26</f>
        <v>716.33333333333303</v>
      </c>
      <c r="AG4" s="256">
        <f>L28</f>
        <v>128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4296</v>
      </c>
      <c r="AB5" s="256">
        <f>U60</f>
        <v>3836</v>
      </c>
      <c r="AC5" s="256">
        <f>U61</f>
        <v>596.33333333333337</v>
      </c>
      <c r="AD5" s="256">
        <f>U62</f>
        <v>2297.333333333333</v>
      </c>
      <c r="AE5" s="256">
        <f>U21</f>
        <v>90</v>
      </c>
      <c r="AF5" s="256">
        <f>U26</f>
        <v>942.33333333333337</v>
      </c>
      <c r="AG5" s="256">
        <f>U28</f>
        <v>370</v>
      </c>
      <c r="AH5" s="256">
        <f>U43</f>
        <v>0</v>
      </c>
    </row>
    <row r="6" spans="1:256" ht="18.75" customHeight="1">
      <c r="A6" s="142" t="s">
        <v>291</v>
      </c>
      <c r="B6" s="910" t="s">
        <v>647</v>
      </c>
      <c r="C6" s="144">
        <v>3</v>
      </c>
      <c r="D6" s="145">
        <v>0.34375</v>
      </c>
      <c r="E6" s="145">
        <v>0.72916666666666663</v>
      </c>
      <c r="F6" s="146">
        <f>(E6-D6)*1440</f>
        <v>555</v>
      </c>
      <c r="G6" s="1365">
        <v>1302</v>
      </c>
      <c r="H6" s="1365"/>
      <c r="I6" s="1405">
        <v>1067</v>
      </c>
      <c r="J6" s="1406"/>
      <c r="K6" s="1370">
        <f>G6-I6</f>
        <v>235</v>
      </c>
      <c r="L6" s="1407"/>
      <c r="M6" s="145">
        <v>0.80694444444444446</v>
      </c>
      <c r="N6" s="145">
        <v>0.29166666666666669</v>
      </c>
      <c r="O6" s="146">
        <f t="shared" ref="O6:O8" si="0">(N6-M6+(N6&lt;M6))*1440</f>
        <v>698.00000000000011</v>
      </c>
      <c r="P6" s="1408">
        <v>927</v>
      </c>
      <c r="Q6" s="1408"/>
      <c r="R6" s="1409">
        <v>770</v>
      </c>
      <c r="S6" s="1408"/>
      <c r="T6" s="1421">
        <f>P6-R6</f>
        <v>157</v>
      </c>
      <c r="U6" s="1421"/>
      <c r="V6" s="224">
        <f t="shared" ref="V6:V13" si="1">F6+O6</f>
        <v>1253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0.34097222222222223</v>
      </c>
      <c r="E7" s="145">
        <v>0.72916666666666663</v>
      </c>
      <c r="F7" s="146">
        <f t="shared" ref="F7:F12" si="2">(E7-D7)*1440</f>
        <v>558.99999999999989</v>
      </c>
      <c r="G7" s="1403">
        <v>906</v>
      </c>
      <c r="H7" s="1404"/>
      <c r="I7" s="1403">
        <v>743</v>
      </c>
      <c r="J7" s="1404"/>
      <c r="K7" s="1368">
        <f>G7-I7</f>
        <v>163</v>
      </c>
      <c r="L7" s="1397"/>
      <c r="M7" s="145">
        <v>0.79305555555555562</v>
      </c>
      <c r="N7" s="145">
        <v>0.29166666666666669</v>
      </c>
      <c r="O7" s="146">
        <f t="shared" si="0"/>
        <v>718</v>
      </c>
      <c r="P7" s="1398">
        <v>1432</v>
      </c>
      <c r="Q7" s="1398"/>
      <c r="R7" s="1398">
        <v>1280</v>
      </c>
      <c r="S7" s="1398"/>
      <c r="T7" s="1399">
        <f t="shared" ref="T7:T13" si="3">P7-R7</f>
        <v>152</v>
      </c>
      <c r="U7" s="1399"/>
      <c r="V7" s="224">
        <f t="shared" si="1"/>
        <v>1277</v>
      </c>
      <c r="W7" s="226"/>
    </row>
    <row r="8" spans="1:256" ht="18.75" customHeight="1">
      <c r="A8" s="142" t="s">
        <v>293</v>
      </c>
      <c r="B8" s="910" t="s">
        <v>648</v>
      </c>
      <c r="C8" s="144">
        <v>3</v>
      </c>
      <c r="D8" s="145">
        <v>0.33333333333333331</v>
      </c>
      <c r="E8" s="145">
        <v>0.72916666666666663</v>
      </c>
      <c r="F8" s="146">
        <f t="shared" si="2"/>
        <v>570</v>
      </c>
      <c r="G8" s="1403">
        <v>1236</v>
      </c>
      <c r="H8" s="1404"/>
      <c r="I8" s="1396">
        <v>1013</v>
      </c>
      <c r="J8" s="1396"/>
      <c r="K8" s="1368">
        <f t="shared" ref="K8:K13" si="4">G8-I8</f>
        <v>223</v>
      </c>
      <c r="L8" s="1397"/>
      <c r="M8" s="145">
        <v>0.79166666666666663</v>
      </c>
      <c r="N8" s="145">
        <v>0.29166666666666669</v>
      </c>
      <c r="O8" s="146">
        <f t="shared" si="0"/>
        <v>720</v>
      </c>
      <c r="P8" s="1398">
        <v>1010</v>
      </c>
      <c r="Q8" s="1398"/>
      <c r="R8" s="1398">
        <v>850</v>
      </c>
      <c r="S8" s="1398"/>
      <c r="T8" s="1399">
        <f t="shared" si="3"/>
        <v>160</v>
      </c>
      <c r="U8" s="1399"/>
      <c r="V8" s="224">
        <f t="shared" si="1"/>
        <v>1290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396"/>
      <c r="J9" s="1396"/>
      <c r="K9" s="1368">
        <f t="shared" si="4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3"/>
        <v>0</v>
      </c>
      <c r="U9" s="1399"/>
      <c r="V9" s="224">
        <f t="shared" si="1"/>
        <v>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0.33680555555555558</v>
      </c>
      <c r="E10" s="145">
        <v>0.72916666666666663</v>
      </c>
      <c r="F10" s="146">
        <f t="shared" si="2"/>
        <v>564.99999999999989</v>
      </c>
      <c r="G10" s="1403">
        <v>1355</v>
      </c>
      <c r="H10" s="1404"/>
      <c r="I10" s="1396">
        <v>1111</v>
      </c>
      <c r="J10" s="1396"/>
      <c r="K10" s="1368">
        <f t="shared" si="4"/>
        <v>244</v>
      </c>
      <c r="L10" s="1397"/>
      <c r="M10" s="145">
        <v>0.79166666666666663</v>
      </c>
      <c r="N10" s="145">
        <v>0.29166666666666669</v>
      </c>
      <c r="O10" s="146">
        <f t="shared" ref="O10:O12" si="5">(N10-M10+(N10&lt;M10))*1440</f>
        <v>720</v>
      </c>
      <c r="P10" s="1398">
        <v>1660</v>
      </c>
      <c r="Q10" s="1398"/>
      <c r="R10" s="1398">
        <v>850</v>
      </c>
      <c r="S10" s="1398"/>
      <c r="T10" s="1399">
        <f t="shared" si="3"/>
        <v>810</v>
      </c>
      <c r="U10" s="1399"/>
      <c r="V10" s="224">
        <f t="shared" si="1"/>
        <v>1285</v>
      </c>
      <c r="W10" s="909"/>
    </row>
    <row r="11" spans="1:256" ht="18.75" customHeight="1">
      <c r="A11" s="142" t="s">
        <v>296</v>
      </c>
      <c r="B11" s="910" t="s">
        <v>649</v>
      </c>
      <c r="C11" s="144">
        <v>3</v>
      </c>
      <c r="D11" s="145">
        <v>0.34722222222222227</v>
      </c>
      <c r="E11" s="145">
        <v>0.72916666666666663</v>
      </c>
      <c r="F11" s="146">
        <f t="shared" si="2"/>
        <v>549.99999999999989</v>
      </c>
      <c r="G11" s="1396">
        <v>852</v>
      </c>
      <c r="H11" s="1396"/>
      <c r="I11" s="1396">
        <v>698</v>
      </c>
      <c r="J11" s="1396"/>
      <c r="K11" s="1368">
        <f t="shared" si="4"/>
        <v>154</v>
      </c>
      <c r="L11" s="1397"/>
      <c r="M11" s="145">
        <v>0.79166666666666663</v>
      </c>
      <c r="N11" s="145">
        <v>0.29166666666666669</v>
      </c>
      <c r="O11" s="146">
        <f t="shared" si="5"/>
        <v>720</v>
      </c>
      <c r="P11" s="1398">
        <v>1850</v>
      </c>
      <c r="Q11" s="1398"/>
      <c r="R11" s="1398">
        <v>1450</v>
      </c>
      <c r="S11" s="1398"/>
      <c r="T11" s="1399">
        <f t="shared" si="3"/>
        <v>400</v>
      </c>
      <c r="U11" s="1399"/>
      <c r="V11" s="224">
        <f t="shared" si="1"/>
        <v>1270</v>
      </c>
      <c r="W11" s="909"/>
    </row>
    <row r="12" spans="1:256" ht="18.75" customHeight="1">
      <c r="A12" s="142" t="s">
        <v>297</v>
      </c>
      <c r="B12" s="910" t="s">
        <v>650</v>
      </c>
      <c r="C12" s="144">
        <v>3</v>
      </c>
      <c r="D12" s="145">
        <v>0.375</v>
      </c>
      <c r="E12" s="145">
        <v>0.72916666666666663</v>
      </c>
      <c r="F12" s="146">
        <f t="shared" si="2"/>
        <v>509.99999999999994</v>
      </c>
      <c r="G12" s="1396">
        <v>1209</v>
      </c>
      <c r="H12" s="1396"/>
      <c r="I12" s="1396">
        <v>991</v>
      </c>
      <c r="J12" s="1396"/>
      <c r="K12" s="1368">
        <f t="shared" si="4"/>
        <v>218</v>
      </c>
      <c r="L12" s="1397"/>
      <c r="M12" s="145">
        <v>0.79166666666666663</v>
      </c>
      <c r="N12" s="145">
        <v>0.29166666666666669</v>
      </c>
      <c r="O12" s="146">
        <f t="shared" si="5"/>
        <v>720</v>
      </c>
      <c r="P12" s="1398">
        <v>1802</v>
      </c>
      <c r="Q12" s="1398"/>
      <c r="R12" s="1398">
        <v>1692</v>
      </c>
      <c r="S12" s="1398"/>
      <c r="T12" s="1399">
        <f t="shared" si="3"/>
        <v>110</v>
      </c>
      <c r="U12" s="1399"/>
      <c r="V12" s="224">
        <f t="shared" si="1"/>
        <v>1230</v>
      </c>
      <c r="W12" s="909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4"/>
        <v>0</v>
      </c>
      <c r="L13" s="1401"/>
      <c r="M13" s="145"/>
      <c r="N13" s="145"/>
      <c r="O13" s="146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0.34618055555555555</v>
      </c>
      <c r="E14" s="152">
        <f>AVERAGE(E6:E13)</f>
        <v>0.72916666666666663</v>
      </c>
      <c r="F14" s="153">
        <f>SUM(F6:F13)</f>
        <v>3309</v>
      </c>
      <c r="G14" s="1362">
        <f>SUM(G6:H13)</f>
        <v>6860</v>
      </c>
      <c r="H14" s="1363"/>
      <c r="I14" s="1362">
        <f>SUM(I6:I13)</f>
        <v>5623</v>
      </c>
      <c r="J14" s="1363"/>
      <c r="K14" s="1362">
        <f>SUM(K6:K13)</f>
        <v>1237</v>
      </c>
      <c r="L14" s="1394"/>
      <c r="M14" s="198">
        <f>AVERAGE(M6:M13)</f>
        <v>0.7944444444444444</v>
      </c>
      <c r="N14" s="199">
        <f>AVERAGE(N6:N13)</f>
        <v>0.29166666666666669</v>
      </c>
      <c r="O14" s="200">
        <f>SUM(O6:O13)</f>
        <v>4296</v>
      </c>
      <c r="P14" s="1392">
        <f>SUM(P6:P13)</f>
        <v>8681</v>
      </c>
      <c r="Q14" s="1393"/>
      <c r="R14" s="1392">
        <f>SUM(R6:R13)</f>
        <v>6892</v>
      </c>
      <c r="S14" s="1393"/>
      <c r="T14" s="1392">
        <f>SUM(T6:T13)</f>
        <v>1789</v>
      </c>
      <c r="U14" s="1393"/>
      <c r="V14" s="228">
        <f>SUM(V6:V13)</f>
        <v>7605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6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7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>
        <v>20</v>
      </c>
      <c r="E17" s="160">
        <v>20</v>
      </c>
      <c r="F17" s="160">
        <v>20</v>
      </c>
      <c r="G17" s="160"/>
      <c r="H17" s="160">
        <v>20</v>
      </c>
      <c r="I17" s="160">
        <v>20</v>
      </c>
      <c r="J17" s="160">
        <v>20</v>
      </c>
      <c r="K17" s="160"/>
      <c r="L17" s="1112">
        <f t="shared" si="6"/>
        <v>120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7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6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7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3+6</f>
        <v>9</v>
      </c>
      <c r="E19" s="1070">
        <f>3+6</f>
        <v>9</v>
      </c>
      <c r="F19" s="1070">
        <v>10</v>
      </c>
      <c r="G19" s="1070"/>
      <c r="H19" s="1070">
        <v>8</v>
      </c>
      <c r="I19" s="1070">
        <v>12</v>
      </c>
      <c r="J19" s="1070">
        <v>10</v>
      </c>
      <c r="K19" s="1070"/>
      <c r="L19" s="1112">
        <f t="shared" si="6"/>
        <v>58</v>
      </c>
      <c r="M19" s="1070">
        <v>15</v>
      </c>
      <c r="N19" s="1059">
        <v>11</v>
      </c>
      <c r="O19" s="1070">
        <v>9</v>
      </c>
      <c r="P19" s="1070"/>
      <c r="Q19" s="1070">
        <v>9</v>
      </c>
      <c r="R19" s="1070">
        <f>3*7</f>
        <v>21</v>
      </c>
      <c r="S19" s="1070">
        <f>25</f>
        <v>25</v>
      </c>
      <c r="T19" s="1070"/>
      <c r="U19" s="1113">
        <f t="shared" si="7"/>
        <v>90</v>
      </c>
      <c r="V19" s="1114">
        <f>L19+U19</f>
        <v>148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6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7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8">SUM(D16:D20)</f>
        <v>29</v>
      </c>
      <c r="E21" s="165">
        <f t="shared" si="8"/>
        <v>29</v>
      </c>
      <c r="F21" s="165">
        <f t="shared" si="8"/>
        <v>30</v>
      </c>
      <c r="G21" s="165">
        <f t="shared" si="8"/>
        <v>0</v>
      </c>
      <c r="H21" s="165">
        <f t="shared" si="8"/>
        <v>28</v>
      </c>
      <c r="I21" s="165">
        <f t="shared" si="8"/>
        <v>32</v>
      </c>
      <c r="J21" s="165">
        <f t="shared" si="8"/>
        <v>30</v>
      </c>
      <c r="K21" s="165">
        <f t="shared" si="8"/>
        <v>0</v>
      </c>
      <c r="L21" s="206">
        <f t="shared" si="6"/>
        <v>178</v>
      </c>
      <c r="M21" s="165">
        <f t="shared" ref="M21:T21" si="9">SUM(M16:M20)</f>
        <v>15</v>
      </c>
      <c r="N21" s="165">
        <f t="shared" si="9"/>
        <v>11</v>
      </c>
      <c r="O21" s="165">
        <f t="shared" si="9"/>
        <v>9</v>
      </c>
      <c r="P21" s="165">
        <f t="shared" si="9"/>
        <v>0</v>
      </c>
      <c r="Q21" s="165">
        <f t="shared" si="9"/>
        <v>9</v>
      </c>
      <c r="R21" s="165">
        <f t="shared" si="9"/>
        <v>21</v>
      </c>
      <c r="S21" s="165">
        <f t="shared" si="9"/>
        <v>25</v>
      </c>
      <c r="T21" s="165">
        <f t="shared" si="9"/>
        <v>0</v>
      </c>
      <c r="U21" s="165">
        <f t="shared" si="7"/>
        <v>90</v>
      </c>
      <c r="V21" s="1117">
        <f>L21+U21</f>
        <v>268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10+9+9+7</f>
        <v>35</v>
      </c>
      <c r="E23" s="159"/>
      <c r="F23" s="159"/>
      <c r="G23" s="159"/>
      <c r="H23" s="159"/>
      <c r="I23" s="159"/>
      <c r="J23" s="159"/>
      <c r="K23" s="159"/>
      <c r="L23" s="208">
        <f>SUM(D23:K23)</f>
        <v>35</v>
      </c>
      <c r="M23" s="160">
        <f>10</f>
        <v>10</v>
      </c>
      <c r="N23" s="160"/>
      <c r="O23" s="160">
        <v>5</v>
      </c>
      <c r="P23" s="160"/>
      <c r="Q23" s="160"/>
      <c r="R23" s="160"/>
      <c r="S23" s="160">
        <v>5</v>
      </c>
      <c r="T23" s="160"/>
      <c r="U23" s="238">
        <f>SUM(M23:T23)</f>
        <v>20</v>
      </c>
      <c r="V23" s="1112">
        <f>L23+U23</f>
        <v>55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6+2+5+3+4+6+5+5+7+5+6+5+6+7+15+6+9+20+3</f>
        <v>125</v>
      </c>
      <c r="E24" s="169">
        <f>6+2+8+6+3+6+5+2+4+6+5+6+5+6+7+15+6+9+20+3</f>
        <v>130</v>
      </c>
      <c r="F24" s="169">
        <f>6+2+9+2+8+3+18+5+6+5+7+15+6+9+20</f>
        <v>121</v>
      </c>
      <c r="G24" s="169"/>
      <c r="H24" s="169">
        <f>7+8+5+6+5+25+5</f>
        <v>61</v>
      </c>
      <c r="I24" s="169">
        <f>7+8+5+6+5+25+5</f>
        <v>61</v>
      </c>
      <c r="J24" s="169">
        <f>6+13+2+2+25</f>
        <v>48</v>
      </c>
      <c r="K24" s="169"/>
      <c r="L24" s="1115">
        <f>SUM(D24:K24)</f>
        <v>546</v>
      </c>
      <c r="M24" s="1118">
        <f>3+3+5+4+7+5+8+4+8+7+16</f>
        <v>70</v>
      </c>
      <c r="N24" s="1119">
        <f>7+3+5+8+4+8+7+16</f>
        <v>58</v>
      </c>
      <c r="O24" s="1119">
        <f>15+8+4+8+7+16</f>
        <v>58</v>
      </c>
      <c r="P24" s="1119"/>
      <c r="Q24" s="1119">
        <f>15+8+4+8+7+16</f>
        <v>58</v>
      </c>
      <c r="R24" s="1119">
        <f>7+5+4+3+4+7+19+14+25+7+5</f>
        <v>100</v>
      </c>
      <c r="S24" s="1119">
        <f>7+5+3+6+14+15+19</f>
        <v>69</v>
      </c>
      <c r="T24" s="1119"/>
      <c r="U24" s="1120">
        <f>SUM(M24:T24)</f>
        <v>413</v>
      </c>
      <c r="V24" s="1112">
        <f>L24+U24</f>
        <v>959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$F6-D$61-D$62-D$21-D$23-D$24-D$34-D$43</f>
        <v>-68</v>
      </c>
      <c r="E25" s="171">
        <f>$F7-E$61-E$62-E$21-E$23-E$24-E$34-E$43</f>
        <v>14.999999999999886</v>
      </c>
      <c r="F25" s="171">
        <f>$F8-F$61-F$62-F$21-F$23-F$24-F$34-F$43</f>
        <v>7</v>
      </c>
      <c r="G25" s="171">
        <f>$F9-G$61-G$62-G$21-G$23-G$24-G$34-G$43</f>
        <v>0</v>
      </c>
      <c r="H25" s="171">
        <f>$F10-H$61-H$62-H$21-H$23-H$24-H$34-H$43</f>
        <v>24.333333333333258</v>
      </c>
      <c r="I25" s="171">
        <f>$F11-I$61-I$62-I$21-I$23-I$24-I$34-I$43</f>
        <v>142.99999999999989</v>
      </c>
      <c r="J25" s="171">
        <f>$F12-J$61-J$62-J$21-J$23-J$24-J$34-J$43</f>
        <v>13.999999999999943</v>
      </c>
      <c r="K25" s="171">
        <f>$F13-K$61-K$62-K$21-K$23-K$24-K$34-K$43</f>
        <v>0</v>
      </c>
      <c r="L25" s="209">
        <f>SUM(D25:K25)</f>
        <v>135.33333333333297</v>
      </c>
      <c r="M25" s="171">
        <f>$O6-M$61-M$62-M$21-M$23-M$24-M$34-M$43</f>
        <v>139.00000000000006</v>
      </c>
      <c r="N25" s="171">
        <f>$O7-N$61-N$62-N$21-N$23-N$24-N$34-N$43</f>
        <v>146.66666666666669</v>
      </c>
      <c r="O25" s="171">
        <f>$O8-O$61-O$62-O$21-O$23-O$24-O$34-O$43</f>
        <v>196.33333333333331</v>
      </c>
      <c r="P25" s="171">
        <f>$O9-P$61-P$62-P$21-P$23-P$24-P$34-P$43</f>
        <v>0</v>
      </c>
      <c r="Q25" s="171">
        <f>$O10-Q$61-Q$62-Q$21-Q$23-Q$24-Q$34-Q$43</f>
        <v>74.666666666666686</v>
      </c>
      <c r="R25" s="171">
        <f>$O11-R$61-R$62-R$21-R$23-R$24-R$34-R$43</f>
        <v>-42.666666666666686</v>
      </c>
      <c r="S25" s="171">
        <f>$O12-S$61-S$62-S$21-S$23-S$24-S$34-S$43</f>
        <v>-4.6666666666666288</v>
      </c>
      <c r="T25" s="171">
        <f>$O13-T$61-T$62-T$21-T$23-T$24-T$34-T$43</f>
        <v>0</v>
      </c>
      <c r="U25" s="239">
        <f>SUM(M25:T25)</f>
        <v>509.33333333333337</v>
      </c>
      <c r="V25" s="1112">
        <f>L25+U25</f>
        <v>644.66666666666629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92</v>
      </c>
      <c r="E26" s="172">
        <f t="shared" ref="E26:K26" si="10">SUM(E23:E25)</f>
        <v>144.99999999999989</v>
      </c>
      <c r="F26" s="172">
        <f t="shared" si="10"/>
        <v>128</v>
      </c>
      <c r="G26" s="172">
        <f t="shared" si="10"/>
        <v>0</v>
      </c>
      <c r="H26" s="172">
        <f t="shared" si="10"/>
        <v>85.333333333333258</v>
      </c>
      <c r="I26" s="172">
        <f t="shared" si="10"/>
        <v>203.99999999999989</v>
      </c>
      <c r="J26" s="172">
        <f t="shared" si="10"/>
        <v>61.999999999999943</v>
      </c>
      <c r="K26" s="172">
        <f t="shared" si="10"/>
        <v>0</v>
      </c>
      <c r="L26" s="210">
        <f>SUM(D26:K26)</f>
        <v>716.33333333333303</v>
      </c>
      <c r="M26" s="211">
        <f>SUM(M23:M25)</f>
        <v>219.00000000000006</v>
      </c>
      <c r="N26" s="211">
        <f t="shared" ref="N26:T26" si="11">SUM(N23:N25)</f>
        <v>204.66666666666669</v>
      </c>
      <c r="O26" s="211">
        <f t="shared" si="11"/>
        <v>259.33333333333331</v>
      </c>
      <c r="P26" s="211">
        <f t="shared" si="11"/>
        <v>0</v>
      </c>
      <c r="Q26" s="211">
        <f t="shared" si="11"/>
        <v>132.66666666666669</v>
      </c>
      <c r="R26" s="211">
        <f t="shared" si="11"/>
        <v>57.333333333333314</v>
      </c>
      <c r="S26" s="211">
        <f t="shared" si="11"/>
        <v>69.333333333333371</v>
      </c>
      <c r="T26" s="211">
        <f t="shared" si="11"/>
        <v>0</v>
      </c>
      <c r="U26" s="240">
        <f>SUM(M26:T26)</f>
        <v>942.33333333333337</v>
      </c>
      <c r="V26" s="210">
        <f>L26+U26</f>
        <v>1658.6666666666665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>
        <f>36+12+35</f>
        <v>83</v>
      </c>
      <c r="F28" s="159"/>
      <c r="G28" s="159"/>
      <c r="H28" s="159"/>
      <c r="I28" s="159">
        <v>30</v>
      </c>
      <c r="J28" s="159">
        <v>15</v>
      </c>
      <c r="K28" s="159"/>
      <c r="L28" s="202">
        <f t="shared" ref="L28:L34" si="12">SUM(D28:K28)</f>
        <v>128</v>
      </c>
      <c r="M28" s="159">
        <f>20+80+30+25</f>
        <v>155</v>
      </c>
      <c r="N28" s="159">
        <v>25</v>
      </c>
      <c r="O28" s="159">
        <f>45+45+25</f>
        <v>115</v>
      </c>
      <c r="P28" s="159"/>
      <c r="Q28" s="159">
        <v>25</v>
      </c>
      <c r="R28" s="159">
        <v>25</v>
      </c>
      <c r="S28" s="159">
        <v>25</v>
      </c>
      <c r="T28" s="159"/>
      <c r="U28" s="242">
        <f t="shared" ref="U28:U34" si="13">SUM(M28:T28)</f>
        <v>370</v>
      </c>
      <c r="V28" s="243">
        <f t="shared" ref="V28:V34" si="14">L28+U28</f>
        <v>498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2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3"/>
        <v>0</v>
      </c>
      <c r="V29" s="244">
        <f t="shared" si="14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2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3"/>
        <v>0</v>
      </c>
      <c r="V30" s="1112">
        <f t="shared" si="14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2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3"/>
        <v>0</v>
      </c>
      <c r="V31" s="1112">
        <f t="shared" si="14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2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3"/>
        <v>0</v>
      </c>
      <c r="V32" s="1112">
        <f t="shared" si="14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2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3"/>
        <v>0</v>
      </c>
      <c r="V33" s="1112">
        <f t="shared" si="14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5">SUM(D28:D33)</f>
        <v>0</v>
      </c>
      <c r="E34" s="175">
        <f t="shared" si="15"/>
        <v>83</v>
      </c>
      <c r="F34" s="176">
        <f t="shared" si="15"/>
        <v>0</v>
      </c>
      <c r="G34" s="176">
        <f t="shared" si="15"/>
        <v>0</v>
      </c>
      <c r="H34" s="176">
        <f t="shared" si="15"/>
        <v>0</v>
      </c>
      <c r="I34" s="176">
        <f t="shared" si="15"/>
        <v>30</v>
      </c>
      <c r="J34" s="176">
        <f t="shared" si="15"/>
        <v>15</v>
      </c>
      <c r="K34" s="176">
        <f t="shared" si="15"/>
        <v>0</v>
      </c>
      <c r="L34" s="213">
        <f t="shared" si="12"/>
        <v>128</v>
      </c>
      <c r="M34" s="175">
        <f t="shared" ref="M34:T34" si="16">SUM(M28:M33)</f>
        <v>155</v>
      </c>
      <c r="N34" s="176">
        <f t="shared" si="16"/>
        <v>25</v>
      </c>
      <c r="O34" s="176">
        <f t="shared" si="16"/>
        <v>115</v>
      </c>
      <c r="P34" s="176">
        <f t="shared" si="16"/>
        <v>0</v>
      </c>
      <c r="Q34" s="176">
        <f t="shared" si="16"/>
        <v>25</v>
      </c>
      <c r="R34" s="176">
        <f t="shared" si="16"/>
        <v>25</v>
      </c>
      <c r="S34" s="176">
        <f t="shared" si="16"/>
        <v>25</v>
      </c>
      <c r="T34" s="176">
        <f t="shared" si="16"/>
        <v>0</v>
      </c>
      <c r="U34" s="246">
        <f t="shared" si="13"/>
        <v>370</v>
      </c>
      <c r="V34" s="213">
        <f t="shared" si="14"/>
        <v>498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7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8">SUM(M36:T36)</f>
        <v>0</v>
      </c>
      <c r="V36" s="243">
        <f t="shared" ref="V36:V43" si="19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7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8"/>
        <v>0</v>
      </c>
      <c r="V37" s="1114">
        <f t="shared" si="19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7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8"/>
        <v>0</v>
      </c>
      <c r="V38" s="1114">
        <f t="shared" si="19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7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8"/>
        <v>0</v>
      </c>
      <c r="V39" s="1114">
        <f t="shared" si="19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7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8"/>
        <v>0</v>
      </c>
      <c r="V40" s="1114">
        <f t="shared" si="19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7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8"/>
        <v>0</v>
      </c>
      <c r="V41" s="1114">
        <f t="shared" si="19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7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8"/>
        <v>0</v>
      </c>
      <c r="V42" s="1114">
        <f t="shared" si="19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0">SUM(D36:D42)</f>
        <v>0</v>
      </c>
      <c r="E43" s="177">
        <f t="shared" si="20"/>
        <v>0</v>
      </c>
      <c r="F43" s="177">
        <f t="shared" si="20"/>
        <v>0</v>
      </c>
      <c r="G43" s="177">
        <f t="shared" si="20"/>
        <v>0</v>
      </c>
      <c r="H43" s="177">
        <f t="shared" si="20"/>
        <v>0</v>
      </c>
      <c r="I43" s="177">
        <f t="shared" si="20"/>
        <v>0</v>
      </c>
      <c r="J43" s="177">
        <f t="shared" si="20"/>
        <v>0</v>
      </c>
      <c r="K43" s="177">
        <f t="shared" si="20"/>
        <v>0</v>
      </c>
      <c r="L43" s="213">
        <f t="shared" si="17"/>
        <v>0</v>
      </c>
      <c r="M43" s="177">
        <f t="shared" ref="M43:T43" si="21">SUM(M36:M42)</f>
        <v>0</v>
      </c>
      <c r="N43" s="177">
        <f t="shared" si="21"/>
        <v>0</v>
      </c>
      <c r="O43" s="177">
        <f t="shared" si="21"/>
        <v>0</v>
      </c>
      <c r="P43" s="177">
        <f t="shared" si="21"/>
        <v>0</v>
      </c>
      <c r="Q43" s="177">
        <f t="shared" si="21"/>
        <v>0</v>
      </c>
      <c r="R43" s="177">
        <f t="shared" si="21"/>
        <v>0</v>
      </c>
      <c r="S43" s="177">
        <f t="shared" si="21"/>
        <v>0</v>
      </c>
      <c r="T43" s="177">
        <f t="shared" si="21"/>
        <v>0</v>
      </c>
      <c r="U43" s="165">
        <f t="shared" si="18"/>
        <v>0</v>
      </c>
      <c r="V43" s="213">
        <f t="shared" si="19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656</v>
      </c>
      <c r="B45" s="1039">
        <v>9.33</v>
      </c>
      <c r="C45" s="1059">
        <v>36</v>
      </c>
      <c r="D45" s="1349" t="s">
        <v>651</v>
      </c>
      <c r="E45" s="1350"/>
      <c r="F45" s="1350"/>
      <c r="G45" s="1350"/>
      <c r="H45" s="1350"/>
      <c r="I45" s="1350"/>
      <c r="J45" s="1351"/>
      <c r="K45" s="1059" t="s">
        <v>292</v>
      </c>
      <c r="L45" s="1060"/>
      <c r="M45" s="1060"/>
      <c r="N45" s="1061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.75" customHeight="1">
      <c r="A46" s="1058" t="s">
        <v>657</v>
      </c>
      <c r="B46" s="1039">
        <v>10.220000000000001</v>
      </c>
      <c r="C46" s="1059">
        <v>12</v>
      </c>
      <c r="D46" s="1349" t="s">
        <v>652</v>
      </c>
      <c r="E46" s="1350"/>
      <c r="F46" s="1350"/>
      <c r="G46" s="1350"/>
      <c r="H46" s="1350"/>
      <c r="I46" s="1350"/>
      <c r="J46" s="1351"/>
      <c r="K46" s="1059" t="s">
        <v>292</v>
      </c>
      <c r="L46" s="1065"/>
      <c r="M46" s="1065"/>
      <c r="N46" s="1425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 t="s">
        <v>658</v>
      </c>
      <c r="B47" s="1076" t="s">
        <v>659</v>
      </c>
      <c r="C47" s="1124">
        <v>35</v>
      </c>
      <c r="D47" s="1256" t="s">
        <v>653</v>
      </c>
      <c r="E47" s="1261"/>
      <c r="F47" s="1261"/>
      <c r="G47" s="1261"/>
      <c r="H47" s="1261"/>
      <c r="I47" s="1261"/>
      <c r="J47" s="1261"/>
      <c r="K47" s="1059" t="s">
        <v>292</v>
      </c>
      <c r="L47" s="1069"/>
      <c r="M47" s="1070"/>
      <c r="N47" s="1073"/>
      <c r="O47" s="1074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 t="s">
        <v>604</v>
      </c>
      <c r="B48" s="1066" t="s">
        <v>604</v>
      </c>
      <c r="C48" s="1070">
        <v>30</v>
      </c>
      <c r="D48" s="1349" t="s">
        <v>654</v>
      </c>
      <c r="E48" s="1350"/>
      <c r="F48" s="1350"/>
      <c r="G48" s="1350"/>
      <c r="H48" s="1350"/>
      <c r="I48" s="1350"/>
      <c r="J48" s="1351"/>
      <c r="K48" s="1059" t="s">
        <v>296</v>
      </c>
      <c r="L48" s="1069"/>
      <c r="M48" s="1070"/>
      <c r="N48" s="1437"/>
      <c r="O48" s="1438"/>
      <c r="P48" s="1438"/>
      <c r="Q48" s="1438"/>
      <c r="R48" s="1438"/>
      <c r="S48" s="1438"/>
      <c r="T48" s="1438"/>
      <c r="U48" s="1438"/>
      <c r="V48" s="1439"/>
      <c r="W48" s="250"/>
    </row>
    <row r="49" spans="1:25" ht="15" customHeight="1">
      <c r="A49" s="1058" t="s">
        <v>604</v>
      </c>
      <c r="B49" s="1039" t="s">
        <v>604</v>
      </c>
      <c r="C49" s="1123">
        <v>15</v>
      </c>
      <c r="D49" s="1349" t="s">
        <v>655</v>
      </c>
      <c r="E49" s="1350"/>
      <c r="F49" s="1350"/>
      <c r="G49" s="1350"/>
      <c r="H49" s="1350"/>
      <c r="I49" s="1350"/>
      <c r="J49" s="1351"/>
      <c r="K49" s="1059" t="s">
        <v>297</v>
      </c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 t="s">
        <v>660</v>
      </c>
      <c r="B50" s="1237">
        <v>19.2</v>
      </c>
      <c r="C50" s="1227">
        <v>20</v>
      </c>
      <c r="D50" s="1260" t="s">
        <v>661</v>
      </c>
      <c r="E50" s="1259"/>
      <c r="F50" s="1259"/>
      <c r="G50" s="1259"/>
      <c r="H50" s="1259"/>
      <c r="I50" s="1259"/>
      <c r="J50" s="1259"/>
      <c r="K50" s="1059" t="s">
        <v>291</v>
      </c>
      <c r="L50" s="1069"/>
      <c r="M50" s="1072"/>
      <c r="N50" s="1073"/>
      <c r="O50" s="1074"/>
      <c r="P50" s="1063"/>
      <c r="Q50" s="1063"/>
      <c r="R50" s="1063"/>
      <c r="S50" s="1063"/>
      <c r="T50" s="1063"/>
      <c r="U50" s="1063"/>
      <c r="V50" s="1228"/>
      <c r="W50" s="250"/>
    </row>
    <row r="51" spans="1:25" ht="15" customHeight="1">
      <c r="A51" s="1058" t="s">
        <v>664</v>
      </c>
      <c r="B51" s="1237">
        <v>22.4</v>
      </c>
      <c r="C51" s="1227">
        <v>80</v>
      </c>
      <c r="D51" s="1260" t="s">
        <v>662</v>
      </c>
      <c r="E51" s="1259"/>
      <c r="F51" s="1259"/>
      <c r="G51" s="1259"/>
      <c r="H51" s="1259"/>
      <c r="I51" s="1259"/>
      <c r="J51" s="1259"/>
      <c r="K51" s="1059" t="s">
        <v>291</v>
      </c>
      <c r="L51" s="1069"/>
      <c r="M51" s="1072"/>
      <c r="N51" s="1073"/>
      <c r="O51" s="1074"/>
      <c r="P51" s="1063"/>
      <c r="Q51" s="1063"/>
      <c r="R51" s="1063"/>
      <c r="S51" s="1063"/>
      <c r="T51" s="1063"/>
      <c r="U51" s="1063"/>
      <c r="V51" s="1228"/>
      <c r="W51" s="250"/>
    </row>
    <row r="52" spans="1:25" ht="15" customHeight="1">
      <c r="A52" s="1058" t="s">
        <v>665</v>
      </c>
      <c r="B52" s="1237">
        <v>3.45</v>
      </c>
      <c r="C52" s="1227">
        <v>30</v>
      </c>
      <c r="D52" s="1260" t="s">
        <v>663</v>
      </c>
      <c r="E52" s="1259"/>
      <c r="F52" s="1259"/>
      <c r="G52" s="1259"/>
      <c r="H52" s="1259"/>
      <c r="I52" s="1259"/>
      <c r="J52" s="1259"/>
      <c r="K52" s="1059" t="s">
        <v>291</v>
      </c>
      <c r="L52" s="1069"/>
      <c r="M52" s="1072"/>
      <c r="N52" s="1073"/>
      <c r="O52" s="1074"/>
      <c r="P52" s="1063"/>
      <c r="Q52" s="1063"/>
      <c r="R52" s="1063"/>
      <c r="S52" s="1063"/>
      <c r="T52" s="1063"/>
      <c r="U52" s="1063"/>
      <c r="V52" s="1228"/>
      <c r="W52" s="250"/>
    </row>
    <row r="53" spans="1:25" ht="15" customHeight="1">
      <c r="A53" s="1058" t="s">
        <v>666</v>
      </c>
      <c r="B53" s="1237">
        <v>5.45</v>
      </c>
      <c r="C53" s="1227">
        <v>90</v>
      </c>
      <c r="D53" s="1260" t="s">
        <v>667</v>
      </c>
      <c r="E53" s="1259"/>
      <c r="F53" s="1259"/>
      <c r="G53" s="1259"/>
      <c r="H53" s="1259"/>
      <c r="I53" s="1259"/>
      <c r="J53" s="1259"/>
      <c r="K53" s="1059" t="s">
        <v>293</v>
      </c>
      <c r="L53" s="1069"/>
      <c r="M53" s="1072"/>
      <c r="N53" s="1073"/>
      <c r="O53" s="1074"/>
      <c r="P53" s="1063"/>
      <c r="Q53" s="1063"/>
      <c r="R53" s="1063"/>
      <c r="S53" s="1063"/>
      <c r="T53" s="1063"/>
      <c r="U53" s="1063"/>
      <c r="V53" s="1228"/>
      <c r="W53" s="250"/>
    </row>
    <row r="54" spans="1:25" ht="15" customHeight="1">
      <c r="A54" s="1058" t="s">
        <v>669</v>
      </c>
      <c r="B54" s="1237">
        <v>5.4</v>
      </c>
      <c r="C54" s="1227">
        <v>25</v>
      </c>
      <c r="D54" s="1260" t="s">
        <v>670</v>
      </c>
      <c r="E54" s="1259"/>
      <c r="F54" s="1259"/>
      <c r="G54" s="1259"/>
      <c r="H54" s="1259"/>
      <c r="I54" s="1259"/>
      <c r="J54" s="1259"/>
      <c r="K54" s="1059" t="s">
        <v>668</v>
      </c>
      <c r="L54" s="1069"/>
      <c r="M54" s="1072"/>
      <c r="N54" s="1073"/>
      <c r="O54" s="1074"/>
      <c r="P54" s="1063"/>
      <c r="Q54" s="1063"/>
      <c r="R54" s="1063"/>
      <c r="S54" s="1063"/>
      <c r="T54" s="1063"/>
      <c r="U54" s="1063"/>
      <c r="V54" s="1228"/>
      <c r="W54" s="250"/>
    </row>
    <row r="55" spans="1:25" ht="15" customHeight="1">
      <c r="A55" s="1058"/>
      <c r="B55" s="1237"/>
      <c r="C55" s="1227"/>
      <c r="D55" s="1260"/>
      <c r="E55" s="1259"/>
      <c r="F55" s="1259"/>
      <c r="G55" s="1259"/>
      <c r="H55" s="1259"/>
      <c r="I55" s="1259"/>
      <c r="J55" s="1259"/>
      <c r="K55" s="1059"/>
      <c r="L55" s="1069"/>
      <c r="M55" s="1072"/>
      <c r="N55" s="1073"/>
      <c r="O55" s="1074"/>
      <c r="P55" s="1063"/>
      <c r="Q55" s="1063"/>
      <c r="R55" s="1063"/>
      <c r="S55" s="1063"/>
      <c r="T55" s="1063"/>
      <c r="U55" s="1063"/>
      <c r="V55" s="1228"/>
      <c r="W55" s="250"/>
    </row>
    <row r="56" spans="1:25" ht="15" customHeight="1">
      <c r="A56" s="1075"/>
      <c r="B56" s="1078"/>
      <c r="C56" s="1123"/>
      <c r="D56" s="1079"/>
      <c r="E56" s="1063"/>
      <c r="F56" s="1063"/>
      <c r="G56" s="1063"/>
      <c r="H56" s="1063"/>
      <c r="I56" s="1063"/>
      <c r="J56" s="1063"/>
      <c r="K56" s="1069"/>
      <c r="L56" s="1069"/>
      <c r="M56" s="1072"/>
      <c r="N56" s="1063"/>
      <c r="O56" s="1074"/>
      <c r="P56" s="1063"/>
      <c r="Q56" s="1063"/>
      <c r="R56" s="1063"/>
      <c r="S56" s="1063"/>
      <c r="T56" s="1063"/>
      <c r="U56" s="1063"/>
      <c r="V56" s="1064"/>
      <c r="W56" s="250"/>
    </row>
    <row r="57" spans="1:25" ht="15" customHeight="1">
      <c r="A57" s="1075"/>
      <c r="B57" s="1078"/>
      <c r="C57" s="1123"/>
      <c r="D57" s="1079"/>
      <c r="E57" s="1063"/>
      <c r="F57" s="1063"/>
      <c r="G57" s="1063"/>
      <c r="H57" s="1063"/>
      <c r="I57" s="1063"/>
      <c r="J57" s="1063"/>
      <c r="K57" s="1069"/>
      <c r="L57" s="1069"/>
      <c r="M57" s="1062"/>
      <c r="N57" s="1063"/>
      <c r="O57" s="1074"/>
      <c r="P57" s="1063"/>
      <c r="Q57" s="1063"/>
      <c r="R57" s="1063"/>
      <c r="S57" s="1063"/>
      <c r="T57" s="1063"/>
      <c r="U57" s="1063"/>
      <c r="V57" s="1064"/>
      <c r="W57" s="250"/>
    </row>
    <row r="58" spans="1:25" ht="15" customHeight="1" thickBot="1">
      <c r="A58" s="1080"/>
      <c r="B58" s="1081"/>
      <c r="C58" s="1125"/>
      <c r="D58" s="1082"/>
      <c r="E58" s="1083"/>
      <c r="F58" s="1083"/>
      <c r="G58" s="1083"/>
      <c r="H58" s="1083"/>
      <c r="I58" s="1083"/>
      <c r="J58" s="1083"/>
      <c r="K58" s="1084"/>
      <c r="L58" s="1084"/>
      <c r="M58" s="1126"/>
      <c r="N58" s="216"/>
      <c r="O58" s="1127"/>
      <c r="P58" s="1083"/>
      <c r="Q58" s="1083"/>
      <c r="R58" s="1083"/>
      <c r="S58" s="1083"/>
      <c r="T58" s="1083"/>
      <c r="U58" s="1083"/>
      <c r="V58" s="1128"/>
      <c r="W58" s="250"/>
    </row>
    <row r="59" spans="1:25" ht="18" customHeight="1" thickBot="1">
      <c r="A59" s="183" t="s">
        <v>337</v>
      </c>
      <c r="B59" s="184" t="s">
        <v>338</v>
      </c>
      <c r="C59" s="184"/>
      <c r="D59" s="166" t="s">
        <v>300</v>
      </c>
      <c r="E59" s="166" t="s">
        <v>301</v>
      </c>
      <c r="F59" s="166" t="s">
        <v>302</v>
      </c>
      <c r="G59" s="166" t="s">
        <v>303</v>
      </c>
      <c r="H59" s="166" t="s">
        <v>304</v>
      </c>
      <c r="I59" s="166" t="s">
        <v>305</v>
      </c>
      <c r="J59" s="166" t="s">
        <v>306</v>
      </c>
      <c r="K59" s="166" t="s">
        <v>307</v>
      </c>
      <c r="L59" s="207" t="s">
        <v>173</v>
      </c>
      <c r="M59" s="166" t="s">
        <v>300</v>
      </c>
      <c r="N59" s="166" t="s">
        <v>301</v>
      </c>
      <c r="O59" s="166" t="s">
        <v>302</v>
      </c>
      <c r="P59" s="166" t="s">
        <v>303</v>
      </c>
      <c r="Q59" s="166" t="s">
        <v>304</v>
      </c>
      <c r="R59" s="166" t="s">
        <v>305</v>
      </c>
      <c r="S59" s="166" t="s">
        <v>306</v>
      </c>
      <c r="T59" s="166" t="s">
        <v>307</v>
      </c>
      <c r="U59" s="166" t="s">
        <v>173</v>
      </c>
      <c r="V59" s="207" t="s">
        <v>367</v>
      </c>
      <c r="W59" s="231"/>
    </row>
    <row r="60" spans="1:25" ht="18" customHeight="1">
      <c r="A60" s="185">
        <v>1</v>
      </c>
      <c r="B60" s="186" t="s">
        <v>223</v>
      </c>
      <c r="C60" s="158"/>
      <c r="D60" s="187">
        <f>$F6-D$21-D$43-D$34</f>
        <v>526</v>
      </c>
      <c r="E60" s="187">
        <f>$F7-E$21-E$43-E$34</f>
        <v>446.99999999999989</v>
      </c>
      <c r="F60" s="187">
        <f>$F8-F$21-F$43-F$34</f>
        <v>540</v>
      </c>
      <c r="G60" s="187">
        <f>$F9-G$21-G$43-G$34</f>
        <v>0</v>
      </c>
      <c r="H60" s="187">
        <f>$F10-H$21-H$43-H$34</f>
        <v>536.99999999999989</v>
      </c>
      <c r="I60" s="187">
        <f>$F11-I$21-I$43-I$34</f>
        <v>487.99999999999989</v>
      </c>
      <c r="J60" s="187">
        <f>$F12-J$21-J$43-J$34</f>
        <v>464.99999999999994</v>
      </c>
      <c r="K60" s="187">
        <f>$F13-K$21-K$43-K$34</f>
        <v>0</v>
      </c>
      <c r="L60" s="202">
        <f>SUM(D60:K60)</f>
        <v>3003</v>
      </c>
      <c r="M60" s="187">
        <f>O6-M21-M43-M34</f>
        <v>528.00000000000011</v>
      </c>
      <c r="N60" s="187">
        <f>O7-N21-N43-N34</f>
        <v>682</v>
      </c>
      <c r="O60" s="187">
        <f>O8-O21-O43-O34</f>
        <v>596</v>
      </c>
      <c r="P60" s="187">
        <f>O9-P21-P43-P34</f>
        <v>0</v>
      </c>
      <c r="Q60" s="187">
        <f>O10-Q21-Q43-Q34</f>
        <v>686</v>
      </c>
      <c r="R60" s="187">
        <f>O11-R21-R43-R34</f>
        <v>674</v>
      </c>
      <c r="S60" s="187">
        <f>O12-S21-S43-S34</f>
        <v>670</v>
      </c>
      <c r="T60" s="187">
        <f>O13-T21-T43-T34</f>
        <v>0</v>
      </c>
      <c r="U60" s="242">
        <f>SUM(M60:T60)</f>
        <v>3836</v>
      </c>
      <c r="V60" s="202">
        <f>L60+U60</f>
        <v>6839</v>
      </c>
      <c r="W60" s="233"/>
    </row>
    <row r="61" spans="1:25" ht="18" customHeight="1">
      <c r="A61" s="1085">
        <v>2</v>
      </c>
      <c r="B61" s="1086" t="s">
        <v>339</v>
      </c>
      <c r="C61" s="1046"/>
      <c r="D61" s="1087">
        <f>$K6/$C6</f>
        <v>78.333333333333329</v>
      </c>
      <c r="E61" s="1087">
        <f>$K7/$C7</f>
        <v>54.333333333333336</v>
      </c>
      <c r="F61" s="1087">
        <f>$K8/$C8</f>
        <v>74.333333333333329</v>
      </c>
      <c r="G61" s="1087">
        <f>$K9/$C9</f>
        <v>0</v>
      </c>
      <c r="H61" s="1087">
        <f>$K10/$C10</f>
        <v>81.333333333333329</v>
      </c>
      <c r="I61" s="1087">
        <f>$K11/$C11</f>
        <v>51.333333333333336</v>
      </c>
      <c r="J61" s="1087">
        <f>$K12/$C12</f>
        <v>72.666666666666671</v>
      </c>
      <c r="K61" s="1087">
        <f>$K13/$C13</f>
        <v>0</v>
      </c>
      <c r="L61" s="1112">
        <f>SUM(D61:K61)</f>
        <v>412.33333333333331</v>
      </c>
      <c r="M61" s="1087">
        <f>T6/C6</f>
        <v>52.333333333333336</v>
      </c>
      <c r="N61" s="1087">
        <f>T7/C7</f>
        <v>50.666666666666664</v>
      </c>
      <c r="O61" s="1087">
        <f>$T$8/$C$8</f>
        <v>53.333333333333336</v>
      </c>
      <c r="P61" s="1087">
        <f>$T$9/$C$9</f>
        <v>0</v>
      </c>
      <c r="Q61" s="1087">
        <f>$T$10/$C$10</f>
        <v>270</v>
      </c>
      <c r="R61" s="1087">
        <f>$T$11/$C$11</f>
        <v>133.33333333333334</v>
      </c>
      <c r="S61" s="1087">
        <f>$T$12/$C$12</f>
        <v>36.666666666666664</v>
      </c>
      <c r="T61" s="1087">
        <f>$T$13/$C$13</f>
        <v>0</v>
      </c>
      <c r="U61" s="1129">
        <f>SUM(M61:T61)</f>
        <v>596.33333333333337</v>
      </c>
      <c r="V61" s="1112">
        <f>L61+U61</f>
        <v>1008.6666666666667</v>
      </c>
      <c r="W61" s="233"/>
    </row>
    <row r="62" spans="1:25" ht="18" customHeight="1" thickBot="1">
      <c r="A62" s="1031">
        <v>3</v>
      </c>
      <c r="B62" s="1088" t="s">
        <v>340</v>
      </c>
      <c r="C62" s="1056"/>
      <c r="D62" s="1087">
        <f>$I6/$C6</f>
        <v>355.66666666666669</v>
      </c>
      <c r="E62" s="1087">
        <f>$I7/$C7</f>
        <v>247.66666666666666</v>
      </c>
      <c r="F62" s="1087">
        <f>$I8/$C8</f>
        <v>337.66666666666669</v>
      </c>
      <c r="G62" s="1087">
        <f>$I9/$C9</f>
        <v>0</v>
      </c>
      <c r="H62" s="1087">
        <f>$I10/$C10</f>
        <v>370.33333333333331</v>
      </c>
      <c r="I62" s="1087">
        <f>$I11/$C11</f>
        <v>232.66666666666666</v>
      </c>
      <c r="J62" s="1087">
        <f>$I12/$C12</f>
        <v>330.33333333333331</v>
      </c>
      <c r="K62" s="1087">
        <f>$I13/$C13</f>
        <v>0</v>
      </c>
      <c r="L62" s="1115">
        <f>SUM(D62:K62)</f>
        <v>1874.3333333333333</v>
      </c>
      <c r="M62" s="1130">
        <f>R6/C6</f>
        <v>256.66666666666669</v>
      </c>
      <c r="N62" s="1130">
        <f>R7/C7</f>
        <v>426.66666666666669</v>
      </c>
      <c r="O62" s="1130">
        <f>R8/C8</f>
        <v>283.33333333333331</v>
      </c>
      <c r="P62" s="1130">
        <f>R9/C9</f>
        <v>0</v>
      </c>
      <c r="Q62" s="1130">
        <f>R10/C10</f>
        <v>283.33333333333331</v>
      </c>
      <c r="R62" s="1130">
        <f>R11/C11</f>
        <v>483.33333333333331</v>
      </c>
      <c r="S62" s="1130">
        <f>R12/C12</f>
        <v>564</v>
      </c>
      <c r="T62" s="1130">
        <f>R13/C13</f>
        <v>0</v>
      </c>
      <c r="U62" s="1131">
        <f>SUM(M62:T62)</f>
        <v>2297.333333333333</v>
      </c>
      <c r="V62" s="1115">
        <f>L62+U62</f>
        <v>4171.6666666666661</v>
      </c>
      <c r="W62" s="233"/>
    </row>
    <row r="63" spans="1:25" ht="18" customHeight="1">
      <c r="A63" s="185">
        <v>4</v>
      </c>
      <c r="B63" s="186" t="s">
        <v>341</v>
      </c>
      <c r="C63" s="158"/>
      <c r="D63" s="188">
        <f>IF(F6=0,0,D21/F6*100)</f>
        <v>5.2252252252252251</v>
      </c>
      <c r="E63" s="188">
        <f>IF(F7=0,0,E21/F7*100)</f>
        <v>5.1878354203935615</v>
      </c>
      <c r="F63" s="188">
        <f>IF(F8=0,0,F21/F8*100)</f>
        <v>5.2631578947368416</v>
      </c>
      <c r="G63" s="188">
        <f>IF(F9=0,0,G21/F9*100)</f>
        <v>0</v>
      </c>
      <c r="H63" s="188">
        <f>IF(F10=0,0,H21/F10*100)</f>
        <v>4.955752212389382</v>
      </c>
      <c r="I63" s="188">
        <f>IF(F11=0,0,I21/F11*100)</f>
        <v>5.8181818181818192</v>
      </c>
      <c r="J63" s="188">
        <f>IF(F12=0,0,J21/F12*100)</f>
        <v>5.882352941176471</v>
      </c>
      <c r="K63" s="188">
        <f>IF(F13=0,0,K21/F13*100)</f>
        <v>0</v>
      </c>
      <c r="L63" s="217">
        <f>IF(F14=0,0,L21/F14*100)</f>
        <v>5.3792686612269565</v>
      </c>
      <c r="M63" s="188">
        <f>IF(O6=0,0,M21/O6*100)</f>
        <v>2.1489971346704868</v>
      </c>
      <c r="N63" s="188">
        <f>IF(O7=0,0,N21/O7*100)</f>
        <v>1.532033426183844</v>
      </c>
      <c r="O63" s="188">
        <f>IF(O8=0,0,O21/O8*100)</f>
        <v>1.25</v>
      </c>
      <c r="P63" s="188">
        <f>IF(O9=0,0,P21/O9*100)</f>
        <v>0</v>
      </c>
      <c r="Q63" s="188">
        <f>IF(O10=0,0,Q21/O10*100)</f>
        <v>1.25</v>
      </c>
      <c r="R63" s="188">
        <f>IF(O11=0,0,R21/O11*100)</f>
        <v>2.9166666666666665</v>
      </c>
      <c r="S63" s="188">
        <f>IF(O12=0,0,S21/O12*100)</f>
        <v>3.4722222222222223</v>
      </c>
      <c r="T63" s="188">
        <f>IF(O13=0,0,T21/O13*100)</f>
        <v>0</v>
      </c>
      <c r="U63" s="251">
        <f>IF(O14=0,0,U21/O14*100)</f>
        <v>2.0949720670391061</v>
      </c>
      <c r="V63" s="217">
        <f>IF((F14+O14)=0,0,V21/(F14+O14)*100)</f>
        <v>3.5239973701512159</v>
      </c>
      <c r="W63" s="252"/>
    </row>
    <row r="64" spans="1:25" ht="18" customHeight="1">
      <c r="A64" s="1085">
        <v>5</v>
      </c>
      <c r="B64" s="1086" t="s">
        <v>342</v>
      </c>
      <c r="C64" s="1046"/>
      <c r="D64" s="1090">
        <f>IF(F6=0,0,D34/F6*100)</f>
        <v>0</v>
      </c>
      <c r="E64" s="1090">
        <f>IF(F7=0,0,E34/F7*100)</f>
        <v>14.847942754919503</v>
      </c>
      <c r="F64" s="1090">
        <f>IF(F8=0,0,F34/F8*100)</f>
        <v>0</v>
      </c>
      <c r="G64" s="1090">
        <f>IF(F9=0,0,G34/F9*100)</f>
        <v>0</v>
      </c>
      <c r="H64" s="1090">
        <f>IF(F10=0,0,H34/F10*100)</f>
        <v>0</v>
      </c>
      <c r="I64" s="1090">
        <f>IF(F11=0,0,I34/F11*100)</f>
        <v>5.4545454545454559</v>
      </c>
      <c r="J64" s="1090">
        <f>IF(F12=0,0,J34/F12*100)</f>
        <v>2.9411764705882355</v>
      </c>
      <c r="K64" s="1090">
        <f>IF(F13=0,0,K34/F13*100)</f>
        <v>0</v>
      </c>
      <c r="L64" s="1132">
        <f>IF(F14=0,0,L34/F14*100)</f>
        <v>3.8682381384103959</v>
      </c>
      <c r="M64" s="1090">
        <f>IF(O6=0,0,M34/O6*100)</f>
        <v>22.206303724928365</v>
      </c>
      <c r="N64" s="1090">
        <f>IF(O7=0,0,N34/O7*100)</f>
        <v>3.4818941504178276</v>
      </c>
      <c r="O64" s="1090">
        <f>IF(O8=0,0,O34/O8*100)</f>
        <v>15.972222222222221</v>
      </c>
      <c r="P64" s="1090">
        <f>IF(O9=0,0,P34/O9*100)</f>
        <v>0</v>
      </c>
      <c r="Q64" s="1090">
        <f>IF(O10=0,0,Q34/O10*100)</f>
        <v>3.4722222222222223</v>
      </c>
      <c r="R64" s="1090">
        <f>IF(O11=0,0,R34/O11*100)</f>
        <v>3.4722222222222223</v>
      </c>
      <c r="S64" s="1090">
        <f>IF(O12=0,0,S34/O12*100)</f>
        <v>3.4722222222222223</v>
      </c>
      <c r="T64" s="1090">
        <f>IF(O13=0,0,T34/O13*100)</f>
        <v>0</v>
      </c>
      <c r="U64" s="1133">
        <f>IF(O14=0,0,U34/O14*100)</f>
        <v>8.6126629422718821</v>
      </c>
      <c r="V64" s="1132">
        <f>IF((F14+O14)=0,0,V34/(F14+O14)*100)</f>
        <v>6.5483234714003942</v>
      </c>
      <c r="W64" s="252"/>
      <c r="Y64" s="258">
        <f>SUM(V63:V66)</f>
        <v>100.00000000000001</v>
      </c>
    </row>
    <row r="65" spans="1:25" ht="18" customHeight="1">
      <c r="A65" s="1085">
        <v>6</v>
      </c>
      <c r="B65" s="1086" t="s">
        <v>343</v>
      </c>
      <c r="C65" s="1046"/>
      <c r="D65" s="1090">
        <f>IF(F6=0,0,D43/F6*100)</f>
        <v>0</v>
      </c>
      <c r="E65" s="1090">
        <f>IF(F7=0,0,E43/F7*100)</f>
        <v>0</v>
      </c>
      <c r="F65" s="1090">
        <f>IF(F8=0,0,F43/F8*100)</f>
        <v>0</v>
      </c>
      <c r="G65" s="1090">
        <f>IF(F9=0,0,G43/F9*100)</f>
        <v>0</v>
      </c>
      <c r="H65" s="1090">
        <f>IF(F10=0,0,H43/F10*100)</f>
        <v>0</v>
      </c>
      <c r="I65" s="1090">
        <f>IF(F11=0,0,I43/F11*100)</f>
        <v>0</v>
      </c>
      <c r="J65" s="1090">
        <f>IF(F12=0,0,J43/F12*100)</f>
        <v>0</v>
      </c>
      <c r="K65" s="1090">
        <f>IF(F13=0,0,K43/F13*100)</f>
        <v>0</v>
      </c>
      <c r="L65" s="1132">
        <f>IF(F14=0,0,L43/F14*100)</f>
        <v>0</v>
      </c>
      <c r="M65" s="1090">
        <f>IF(O6=0,0,M43/O6*100)</f>
        <v>0</v>
      </c>
      <c r="N65" s="1090">
        <f>IF(O7=0,0,N43/O7*100)</f>
        <v>0</v>
      </c>
      <c r="O65" s="1090">
        <f>IF(O8=0,0,O43/O8*100)</f>
        <v>0</v>
      </c>
      <c r="P65" s="1090">
        <f>IF(O9=0,0,P43/O9*100)</f>
        <v>0</v>
      </c>
      <c r="Q65" s="1090">
        <f>IF(O10=0,0,Q43/O10*100)</f>
        <v>0</v>
      </c>
      <c r="R65" s="1090">
        <f>IF(O11=0,0,R43/O11*100)</f>
        <v>0</v>
      </c>
      <c r="S65" s="1090">
        <f>IF(O12=0,0,S43/O12*100)</f>
        <v>0</v>
      </c>
      <c r="T65" s="1090">
        <f>IF(O13=0,0,T43/O13*100)</f>
        <v>0</v>
      </c>
      <c r="U65" s="1133">
        <f>IF(O14=0,0,U43/O14*100)</f>
        <v>0</v>
      </c>
      <c r="V65" s="1132">
        <f>IF((F14+O14)=0,0,V43/(F14+O14)*100)</f>
        <v>0</v>
      </c>
      <c r="W65" s="252"/>
    </row>
    <row r="66" spans="1:25" ht="18" customHeight="1" thickBot="1">
      <c r="A66" s="1031">
        <v>7</v>
      </c>
      <c r="B66" s="1092" t="s">
        <v>344</v>
      </c>
      <c r="C66" s="1056"/>
      <c r="D66" s="1093">
        <f>IF(F6=0,0,D60/F6*100)</f>
        <v>94.77477477477477</v>
      </c>
      <c r="E66" s="1093">
        <f>IF(F7=0,0,E60/F7*100)</f>
        <v>79.964221824686931</v>
      </c>
      <c r="F66" s="1093">
        <f>IF(F8=0,0,F60/F8*100)</f>
        <v>94.73684210526315</v>
      </c>
      <c r="G66" s="1093">
        <f>IF(F9=0,0,G60/F9*100)</f>
        <v>0</v>
      </c>
      <c r="H66" s="1093">
        <f>IF(F10=0,0,H60/F10*100)</f>
        <v>95.044247787610615</v>
      </c>
      <c r="I66" s="1093">
        <f>IF(F11=0,0,I60/F11*100)</f>
        <v>88.72727272727272</v>
      </c>
      <c r="J66" s="1093">
        <f>IF(F12=0,0,J60/F12*100)</f>
        <v>91.17647058823529</v>
      </c>
      <c r="K66" s="1093">
        <f>IF(F13=0,0,K60/F13*100)</f>
        <v>0</v>
      </c>
      <c r="L66" s="1134">
        <f>IF(F14=0,0,L60/F14*100)</f>
        <v>90.75249320036265</v>
      </c>
      <c r="M66" s="1095">
        <f>IF(O6=0,0,M60/O6*100)</f>
        <v>75.644699140401144</v>
      </c>
      <c r="N66" s="1095">
        <f>IF(O7=0,0,N60/O7*100)</f>
        <v>94.986072423398326</v>
      </c>
      <c r="O66" s="1095">
        <f>IF(O8=0,0,O60/O8*100)</f>
        <v>82.777777777777771</v>
      </c>
      <c r="P66" s="1095">
        <f>IF(O9=0,0,P60/O9*100)</f>
        <v>0</v>
      </c>
      <c r="Q66" s="1095">
        <f>IF(O10=0,0,Q60/O10*100)</f>
        <v>95.277777777777771</v>
      </c>
      <c r="R66" s="1095">
        <f>IF(O11=0,0,R60/O11*100)</f>
        <v>93.611111111111114</v>
      </c>
      <c r="S66" s="1095">
        <f>IF(O12=0,0,S60/O12*100)</f>
        <v>93.055555555555557</v>
      </c>
      <c r="T66" s="1095">
        <f>IF(O13=0,0,T60/O13*100)</f>
        <v>0</v>
      </c>
      <c r="U66" s="1093">
        <f>IF(O14=0,0,U60/O14*100)</f>
        <v>89.292364990689009</v>
      </c>
      <c r="V66" s="1134">
        <f>IF((F14+O14)=0,0,V60/(F14+O14)*100)</f>
        <v>89.927679158448399</v>
      </c>
      <c r="W66" s="252"/>
    </row>
    <row r="67" spans="1:25" ht="18" customHeight="1">
      <c r="A67" s="185">
        <v>8</v>
      </c>
      <c r="B67" s="186" t="s">
        <v>345</v>
      </c>
      <c r="C67" s="158"/>
      <c r="D67" s="188">
        <f>IF(D60=0,0,D61/D60*100)</f>
        <v>14.892268694550062</v>
      </c>
      <c r="E67" s="188">
        <f>IF(E60=0,0,E61/E60*100)</f>
        <v>12.155108128262494</v>
      </c>
      <c r="F67" s="188">
        <f t="shared" ref="F67:V67" si="22">IF(F60=0,0,F61/F60*100)</f>
        <v>13.765432098765432</v>
      </c>
      <c r="G67" s="188">
        <f t="shared" si="22"/>
        <v>0</v>
      </c>
      <c r="H67" s="188">
        <f t="shared" si="22"/>
        <v>15.145872129112355</v>
      </c>
      <c r="I67" s="188">
        <f t="shared" si="22"/>
        <v>10.519125683060112</v>
      </c>
      <c r="J67" s="188">
        <f t="shared" si="22"/>
        <v>15.627240143369178</v>
      </c>
      <c r="K67" s="188">
        <f t="shared" si="22"/>
        <v>0</v>
      </c>
      <c r="L67" s="217">
        <f t="shared" si="22"/>
        <v>13.730713730713731</v>
      </c>
      <c r="M67" s="188">
        <f t="shared" si="22"/>
        <v>9.9116161616161609</v>
      </c>
      <c r="N67" s="188">
        <f t="shared" si="22"/>
        <v>7.4291300097751716</v>
      </c>
      <c r="O67" s="188">
        <f t="shared" si="22"/>
        <v>8.9485458612975393</v>
      </c>
      <c r="P67" s="188">
        <f t="shared" si="22"/>
        <v>0</v>
      </c>
      <c r="Q67" s="188">
        <f t="shared" si="22"/>
        <v>39.358600583090379</v>
      </c>
      <c r="R67" s="188">
        <f t="shared" si="22"/>
        <v>19.782393669634025</v>
      </c>
      <c r="S67" s="188">
        <f t="shared" si="22"/>
        <v>5.4726368159203975</v>
      </c>
      <c r="T67" s="188">
        <f t="shared" si="22"/>
        <v>0</v>
      </c>
      <c r="U67" s="251">
        <f t="shared" si="22"/>
        <v>15.545707334028503</v>
      </c>
      <c r="V67" s="217">
        <f t="shared" si="22"/>
        <v>14.748744943217821</v>
      </c>
      <c r="W67" s="252"/>
    </row>
    <row r="68" spans="1:25" ht="18" customHeight="1">
      <c r="A68" s="1085">
        <v>9</v>
      </c>
      <c r="B68" s="1086" t="s">
        <v>346</v>
      </c>
      <c r="C68" s="1046"/>
      <c r="D68" s="1090">
        <f t="shared" ref="D68:V68" si="23">IF(D60=0,0,D26/D60*100)</f>
        <v>17.490494296577946</v>
      </c>
      <c r="E68" s="1090">
        <f t="shared" si="23"/>
        <v>32.438478747203561</v>
      </c>
      <c r="F68" s="1090">
        <f t="shared" si="23"/>
        <v>23.703703703703706</v>
      </c>
      <c r="G68" s="1090">
        <f t="shared" si="23"/>
        <v>0</v>
      </c>
      <c r="H68" s="1090">
        <f t="shared" si="23"/>
        <v>15.890751086281801</v>
      </c>
      <c r="I68" s="1090">
        <f t="shared" si="23"/>
        <v>41.803278688524578</v>
      </c>
      <c r="J68" s="1090">
        <f t="shared" si="23"/>
        <v>13.333333333333321</v>
      </c>
      <c r="K68" s="1090">
        <f t="shared" si="23"/>
        <v>0</v>
      </c>
      <c r="L68" s="1132">
        <f t="shared" si="23"/>
        <v>23.853923853923845</v>
      </c>
      <c r="M68" s="1090">
        <f t="shared" si="23"/>
        <v>41.477272727272727</v>
      </c>
      <c r="N68" s="1090">
        <f t="shared" si="23"/>
        <v>30.009775171065495</v>
      </c>
      <c r="O68" s="1090">
        <f t="shared" si="23"/>
        <v>43.512304250559282</v>
      </c>
      <c r="P68" s="1090">
        <f t="shared" si="23"/>
        <v>0</v>
      </c>
      <c r="Q68" s="1090">
        <f t="shared" si="23"/>
        <v>19.339164237123423</v>
      </c>
      <c r="R68" s="1090">
        <f t="shared" si="23"/>
        <v>8.5064292779426296</v>
      </c>
      <c r="S68" s="1090">
        <f t="shared" si="23"/>
        <v>10.348258706467666</v>
      </c>
      <c r="T68" s="1090">
        <f t="shared" si="23"/>
        <v>0</v>
      </c>
      <c r="U68" s="1133">
        <f t="shared" si="23"/>
        <v>24.565519638512338</v>
      </c>
      <c r="V68" s="1132">
        <f t="shared" si="23"/>
        <v>24.253058439342983</v>
      </c>
      <c r="W68" s="252"/>
      <c r="Y68" s="258">
        <f>SUM(V67:V69)</f>
        <v>100</v>
      </c>
    </row>
    <row r="69" spans="1:25" ht="18" customHeight="1" thickBot="1">
      <c r="A69" s="1031">
        <v>10</v>
      </c>
      <c r="B69" s="1092" t="s">
        <v>347</v>
      </c>
      <c r="C69" s="1056"/>
      <c r="D69" s="1095">
        <f t="shared" ref="D69:V69" si="24">IF(D60=0,0,D62/D60*100)</f>
        <v>67.617237008871996</v>
      </c>
      <c r="E69" s="1095">
        <f t="shared" si="24"/>
        <v>55.406413124533941</v>
      </c>
      <c r="F69" s="1095">
        <f t="shared" si="24"/>
        <v>62.530864197530867</v>
      </c>
      <c r="G69" s="1095">
        <f t="shared" si="24"/>
        <v>0</v>
      </c>
      <c r="H69" s="1095">
        <f t="shared" si="24"/>
        <v>68.963376784605842</v>
      </c>
      <c r="I69" s="1095">
        <f t="shared" si="24"/>
        <v>47.677595628415311</v>
      </c>
      <c r="J69" s="1095">
        <f t="shared" si="24"/>
        <v>71.039426523297493</v>
      </c>
      <c r="K69" s="1095">
        <f t="shared" si="24"/>
        <v>0</v>
      </c>
      <c r="L69" s="1134">
        <f t="shared" si="24"/>
        <v>62.415362415362409</v>
      </c>
      <c r="M69" s="1095">
        <f t="shared" si="24"/>
        <v>48.611111111111107</v>
      </c>
      <c r="N69" s="1095">
        <f t="shared" si="24"/>
        <v>62.561094819159337</v>
      </c>
      <c r="O69" s="1095">
        <f t="shared" si="24"/>
        <v>47.539149888143172</v>
      </c>
      <c r="P69" s="1095">
        <f t="shared" si="24"/>
        <v>0</v>
      </c>
      <c r="Q69" s="1095">
        <f t="shared" si="24"/>
        <v>41.302235179786194</v>
      </c>
      <c r="R69" s="1095">
        <f t="shared" si="24"/>
        <v>71.711177052423338</v>
      </c>
      <c r="S69" s="1095">
        <f t="shared" si="24"/>
        <v>84.179104477611943</v>
      </c>
      <c r="T69" s="1095">
        <f t="shared" si="24"/>
        <v>0</v>
      </c>
      <c r="U69" s="1093">
        <f t="shared" si="24"/>
        <v>59.888773027459152</v>
      </c>
      <c r="V69" s="1134">
        <f t="shared" si="24"/>
        <v>60.998196617439191</v>
      </c>
      <c r="W69" s="252"/>
    </row>
    <row r="70" spans="1:25" ht="18" customHeight="1" thickBot="1">
      <c r="A70" s="183">
        <v>11</v>
      </c>
      <c r="B70" s="189" t="s">
        <v>254</v>
      </c>
      <c r="C70" s="155"/>
      <c r="D70" s="190">
        <f>IF(E80=0,0,D80/E80*100)</f>
        <v>95.181297709923669</v>
      </c>
      <c r="E70" s="190">
        <f>IF(E80=0,0,D80/E80*100)</f>
        <v>95.181297709923669</v>
      </c>
      <c r="F70" s="190">
        <f>IF(E80=0,0,D80/E80*100)</f>
        <v>95.181297709923669</v>
      </c>
      <c r="G70" s="190">
        <f>IF(E80=0,0,D80/E80*100)</f>
        <v>95.181297709923669</v>
      </c>
      <c r="H70" s="190">
        <f>IF(E80=0,0,D80/E80*100)</f>
        <v>95.181297709923669</v>
      </c>
      <c r="I70" s="190">
        <f>IF(E80=0,0,D80/E80*100)</f>
        <v>95.181297709923669</v>
      </c>
      <c r="J70" s="190">
        <f>IF(E80=0,0,D80/E80*100)</f>
        <v>95.181297709923669</v>
      </c>
      <c r="K70" s="190">
        <f>IF(E80=0,0,D80/E80*100)</f>
        <v>95.181297709923669</v>
      </c>
      <c r="L70" s="218">
        <f>IF(E80=0,0,D80/E80*100)</f>
        <v>95.181297709923669</v>
      </c>
      <c r="M70" s="219">
        <f>IF(N80=0,0,M80/N80*100)</f>
        <v>79.391775141112774</v>
      </c>
      <c r="N70" s="219">
        <f>IF(N80=0,0,M80/N80*100)</f>
        <v>79.391775141112774</v>
      </c>
      <c r="O70" s="219">
        <f>IF(N80=0,0,M80/N80*100)</f>
        <v>79.391775141112774</v>
      </c>
      <c r="P70" s="219">
        <f>IF(N80=0,0,M80/N80*100)</f>
        <v>79.391775141112774</v>
      </c>
      <c r="Q70" s="219">
        <f>IF(N80=0,0,M80/N80*100)</f>
        <v>79.391775141112774</v>
      </c>
      <c r="R70" s="219">
        <f>IF(N80=0,0,M80/N80*100)</f>
        <v>79.391775141112774</v>
      </c>
      <c r="S70" s="219">
        <f>IF(N80=0,0,M80/N80*100)</f>
        <v>79.391775141112774</v>
      </c>
      <c r="T70" s="219">
        <f>IF(N80=0,0,M80/N80*100)</f>
        <v>79.391775141112774</v>
      </c>
      <c r="U70" s="190">
        <f>IF(N80=0,0,M80/N80*100)</f>
        <v>79.391775141112774</v>
      </c>
      <c r="V70" s="218">
        <f>IF(N84=0,0,M84/N84*100)</f>
        <v>86.024450531097614</v>
      </c>
      <c r="W70" s="252"/>
    </row>
    <row r="71" spans="1:25" ht="18" customHeight="1" thickBot="1">
      <c r="A71" s="183">
        <v>12</v>
      </c>
      <c r="B71" s="189" t="s">
        <v>348</v>
      </c>
      <c r="C71" s="155"/>
      <c r="D71" s="190">
        <f t="shared" ref="D71:T71" si="25">(D66*D69*D70)/10000</f>
        <v>60.996062856749887</v>
      </c>
      <c r="E71" s="190">
        <f t="shared" si="25"/>
        <v>42.170366248344237</v>
      </c>
      <c r="F71" s="190">
        <f t="shared" si="25"/>
        <v>56.385178117048348</v>
      </c>
      <c r="G71" s="190">
        <f t="shared" si="25"/>
        <v>0</v>
      </c>
      <c r="H71" s="190">
        <f t="shared" si="25"/>
        <v>62.387269472404242</v>
      </c>
      <c r="I71" s="190">
        <f t="shared" si="25"/>
        <v>40.264573213046503</v>
      </c>
      <c r="J71" s="190">
        <f t="shared" si="25"/>
        <v>61.650108516689123</v>
      </c>
      <c r="K71" s="190">
        <f t="shared" si="25"/>
        <v>0</v>
      </c>
      <c r="L71" s="190">
        <f t="shared" si="25"/>
        <v>53.914016019230452</v>
      </c>
      <c r="M71" s="219">
        <f t="shared" si="25"/>
        <v>29.193728203752066</v>
      </c>
      <c r="N71" s="219">
        <f t="shared" si="25"/>
        <v>47.178027939008523</v>
      </c>
      <c r="O71" s="219">
        <f t="shared" si="25"/>
        <v>31.242133736086036</v>
      </c>
      <c r="P71" s="219">
        <f t="shared" si="25"/>
        <v>0</v>
      </c>
      <c r="Q71" s="219">
        <f t="shared" si="25"/>
        <v>31.242133736086036</v>
      </c>
      <c r="R71" s="219">
        <f t="shared" si="25"/>
        <v>53.295404608617375</v>
      </c>
      <c r="S71" s="219">
        <f t="shared" si="25"/>
        <v>62.190223860538346</v>
      </c>
      <c r="T71" s="219">
        <f t="shared" si="25"/>
        <v>0</v>
      </c>
      <c r="U71" s="190">
        <f>IF(10000=0,0,(U66*U69*U70)/10000)</f>
        <v>42.455626495387115</v>
      </c>
      <c r="V71" s="218">
        <f>IF(10000=0,0,(V66*V69*V70)/10000)</f>
        <v>47.188077948572726</v>
      </c>
      <c r="W71" s="252"/>
    </row>
    <row r="72" spans="1:25" ht="12.75" customHeight="1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5" ht="18" customHeight="1">
      <c r="A73" s="1352" t="s">
        <v>349</v>
      </c>
      <c r="B73" s="1352"/>
      <c r="C73" s="261" t="s">
        <v>350</v>
      </c>
      <c r="D73" s="260"/>
      <c r="E73" s="260"/>
      <c r="F73" s="260"/>
      <c r="G73" s="262" t="s">
        <v>263</v>
      </c>
      <c r="H73" s="262"/>
      <c r="I73" s="262"/>
      <c r="J73" s="262"/>
      <c r="K73" s="260"/>
      <c r="L73" s="260"/>
      <c r="M73" s="260"/>
      <c r="N73" s="262"/>
      <c r="O73" s="260"/>
      <c r="P73" s="262" t="s">
        <v>351</v>
      </c>
      <c r="Q73" s="262"/>
      <c r="R73" s="262"/>
      <c r="S73" s="262"/>
      <c r="T73" s="260"/>
      <c r="U73" s="260"/>
      <c r="V73" s="260"/>
      <c r="W73" s="284"/>
    </row>
    <row r="74" spans="1:25" ht="3.75" customHeight="1">
      <c r="D74" s="263"/>
      <c r="E74" s="263"/>
      <c r="G74" s="263"/>
      <c r="H74" s="263"/>
      <c r="I74" s="263"/>
      <c r="J74" s="263"/>
      <c r="K74" s="263"/>
      <c r="L74" s="263"/>
      <c r="M74" s="262"/>
      <c r="N74" s="263"/>
      <c r="O74" s="263"/>
      <c r="P74" s="280"/>
      <c r="Q74" s="280"/>
      <c r="R74" s="280"/>
      <c r="S74" s="280"/>
      <c r="T74" s="280"/>
      <c r="U74" s="260"/>
      <c r="V74" s="260"/>
      <c r="W74" s="284"/>
    </row>
    <row r="75" spans="1:25" ht="16.5" customHeight="1">
      <c r="B75" s="261"/>
      <c r="C75" s="261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0"/>
      <c r="V75" s="260"/>
      <c r="W75" s="284"/>
    </row>
    <row r="76" spans="1:25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5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5">
      <c r="A78" s="259"/>
      <c r="B78" s="259"/>
      <c r="C78" s="259"/>
      <c r="D78" s="1096" t="s">
        <v>70</v>
      </c>
      <c r="E78" s="260"/>
      <c r="F78" s="260"/>
      <c r="G78" s="260"/>
      <c r="H78" s="260"/>
      <c r="I78" s="260"/>
      <c r="J78" s="260"/>
      <c r="K78" s="260"/>
      <c r="L78" s="260"/>
      <c r="M78" s="1096" t="s">
        <v>73</v>
      </c>
      <c r="N78" s="260"/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5">
      <c r="B79" s="259"/>
      <c r="C79" s="1097"/>
      <c r="D79" s="1098" t="s">
        <v>51</v>
      </c>
      <c r="E79" s="1098" t="s">
        <v>50</v>
      </c>
      <c r="F79" s="260"/>
      <c r="G79" s="260"/>
      <c r="H79" s="260"/>
      <c r="I79" s="260"/>
      <c r="J79" s="260"/>
      <c r="K79" s="260"/>
      <c r="M79" s="1098" t="s">
        <v>51</v>
      </c>
      <c r="N79" s="1098" t="s">
        <v>50</v>
      </c>
      <c r="O79" s="260"/>
      <c r="P79" s="260"/>
      <c r="Q79" s="260"/>
      <c r="R79" s="260"/>
      <c r="S79" s="260"/>
      <c r="T79" s="260"/>
      <c r="U79" s="260"/>
    </row>
    <row r="80" spans="1:25">
      <c r="A80" s="259"/>
      <c r="B80" s="259"/>
      <c r="C80" s="259"/>
      <c r="D80" s="1099">
        <v>5985</v>
      </c>
      <c r="E80" s="1099">
        <v>6288</v>
      </c>
      <c r="F80" s="264">
        <f>8/E80</f>
        <v>1.2722646310432571E-3</v>
      </c>
      <c r="G80" s="260"/>
      <c r="H80" s="260"/>
      <c r="I80" s="260"/>
      <c r="J80" s="260"/>
      <c r="K80" s="260"/>
      <c r="L80" s="260"/>
      <c r="M80" s="1099">
        <v>6892</v>
      </c>
      <c r="N80" s="1099">
        <v>8681</v>
      </c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A81" s="259"/>
      <c r="B81" s="259"/>
      <c r="C81" s="259"/>
      <c r="D81" s="265"/>
      <c r="E81" s="265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59"/>
      <c r="B82" s="259"/>
      <c r="C82" s="259"/>
      <c r="D82" s="260"/>
      <c r="E82" s="260"/>
      <c r="F82" s="260"/>
      <c r="G82" s="260"/>
      <c r="H82" s="260"/>
      <c r="I82" s="260"/>
      <c r="J82" s="260"/>
      <c r="K82" s="260"/>
      <c r="L82" s="260"/>
      <c r="M82" s="1096" t="s">
        <v>368</v>
      </c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59"/>
      <c r="B83" s="259"/>
      <c r="C83" s="259"/>
      <c r="D83" s="260"/>
      <c r="E83" s="260"/>
      <c r="F83" s="260"/>
      <c r="G83" s="260"/>
      <c r="H83" s="260"/>
      <c r="I83" s="260"/>
      <c r="J83" s="260"/>
      <c r="K83" s="260"/>
      <c r="L83" s="260"/>
      <c r="M83" s="1098" t="s">
        <v>51</v>
      </c>
      <c r="N83" s="1098" t="s">
        <v>50</v>
      </c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259"/>
      <c r="B84" s="259"/>
      <c r="C84" s="259"/>
      <c r="D84" s="260"/>
      <c r="E84" s="260"/>
      <c r="F84" s="260"/>
      <c r="G84" s="260"/>
      <c r="H84" s="260"/>
      <c r="I84" s="260"/>
      <c r="J84" s="260"/>
      <c r="K84" s="260"/>
      <c r="L84" s="260"/>
      <c r="M84" s="1135">
        <f>D80+M80</f>
        <v>12877</v>
      </c>
      <c r="N84" s="1135">
        <f>E80+N80</f>
        <v>14969</v>
      </c>
      <c r="O84" s="281">
        <f>M84/N84</f>
        <v>0.86024450531097607</v>
      </c>
      <c r="P84" s="260"/>
      <c r="Q84" s="260"/>
      <c r="R84" s="260"/>
      <c r="S84" s="260"/>
      <c r="T84" s="260"/>
      <c r="U84" s="260"/>
      <c r="V84" s="260"/>
      <c r="W84" s="284"/>
    </row>
    <row r="85" spans="1:23">
      <c r="A85" s="259"/>
      <c r="B85" s="259"/>
      <c r="C85" s="259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 ht="28" thickBot="1">
      <c r="A86" s="259"/>
      <c r="B86" s="259"/>
      <c r="C86" s="259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 ht="28" thickBot="1">
      <c r="A87" s="266" t="s">
        <v>353</v>
      </c>
      <c r="B87" s="267"/>
      <c r="C87" s="268"/>
      <c r="D87" s="269"/>
      <c r="E87" s="270" t="s">
        <v>354</v>
      </c>
      <c r="F87" s="270"/>
      <c r="G87" s="270"/>
      <c r="H87" s="270"/>
      <c r="I87" s="270"/>
      <c r="J87" s="270"/>
      <c r="K87" s="270"/>
      <c r="L87" s="282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271">
        <v>1</v>
      </c>
      <c r="B88" s="272" t="s">
        <v>223</v>
      </c>
      <c r="C88" s="273"/>
      <c r="D88" s="274"/>
      <c r="E88" s="275" t="s">
        <v>355</v>
      </c>
      <c r="F88" s="275"/>
      <c r="G88" s="275"/>
      <c r="H88" s="275"/>
      <c r="I88" s="275"/>
      <c r="J88" s="275"/>
      <c r="K88" s="275"/>
      <c r="L88" s="28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2</v>
      </c>
      <c r="B89" s="1101" t="s">
        <v>339</v>
      </c>
      <c r="C89" s="1102"/>
      <c r="D89" s="1103"/>
      <c r="E89" s="1104" t="s">
        <v>227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3</v>
      </c>
      <c r="B90" s="1101" t="s">
        <v>340</v>
      </c>
      <c r="C90" s="1102"/>
      <c r="D90" s="1103"/>
      <c r="E90" s="1104" t="s">
        <v>230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4</v>
      </c>
      <c r="B91" s="1101" t="s">
        <v>356</v>
      </c>
      <c r="C91" s="1102"/>
      <c r="D91" s="1103"/>
      <c r="E91" s="1104" t="s">
        <v>357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5</v>
      </c>
      <c r="B92" s="1101" t="s">
        <v>358</v>
      </c>
      <c r="C92" s="1102"/>
      <c r="D92" s="1103"/>
      <c r="E92" s="1104" t="s">
        <v>359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6</v>
      </c>
      <c r="B93" s="1101" t="s">
        <v>360</v>
      </c>
      <c r="C93" s="1102"/>
      <c r="D93" s="1103"/>
      <c r="E93" s="1104" t="s">
        <v>236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1100">
        <v>7</v>
      </c>
      <c r="B94" s="1101" t="s">
        <v>344</v>
      </c>
      <c r="C94" s="1102"/>
      <c r="D94" s="1103"/>
      <c r="E94" s="1104" t="s">
        <v>240</v>
      </c>
      <c r="F94" s="1104"/>
      <c r="G94" s="1104"/>
      <c r="H94" s="1104"/>
      <c r="I94" s="1104"/>
      <c r="J94" s="1104"/>
      <c r="K94" s="1104"/>
      <c r="L94" s="1103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8</v>
      </c>
      <c r="B95" s="1101" t="s">
        <v>361</v>
      </c>
      <c r="C95" s="1102"/>
      <c r="D95" s="1103"/>
      <c r="E95" s="1104" t="s">
        <v>243</v>
      </c>
      <c r="F95" s="1104"/>
      <c r="G95" s="1104"/>
      <c r="H95" s="1104"/>
      <c r="I95" s="1104"/>
      <c r="J95" s="1104"/>
      <c r="K95" s="1104"/>
      <c r="L95" s="110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9</v>
      </c>
      <c r="B96" s="1101" t="s">
        <v>362</v>
      </c>
      <c r="C96" s="1102"/>
      <c r="D96" s="1103"/>
      <c r="E96" s="1104" t="s">
        <v>246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23">
      <c r="A97" s="1100">
        <v>10</v>
      </c>
      <c r="B97" s="1101" t="s">
        <v>347</v>
      </c>
      <c r="C97" s="1102"/>
      <c r="D97" s="1103"/>
      <c r="E97" s="1104" t="s">
        <v>363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23">
      <c r="A98" s="1100">
        <v>11</v>
      </c>
      <c r="B98" s="1105" t="s">
        <v>254</v>
      </c>
      <c r="C98" s="1102"/>
      <c r="D98" s="1103"/>
      <c r="E98" s="1104" t="s">
        <v>364</v>
      </c>
      <c r="F98" s="1104"/>
      <c r="G98" s="1104"/>
      <c r="H98" s="1104"/>
      <c r="I98" s="1104"/>
      <c r="J98" s="1104"/>
      <c r="K98" s="1104"/>
      <c r="L98" s="1103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23" ht="28" thickBot="1">
      <c r="A99" s="1106">
        <v>12</v>
      </c>
      <c r="B99" s="1107" t="s">
        <v>348</v>
      </c>
      <c r="C99" s="276"/>
      <c r="D99" s="277"/>
      <c r="E99" s="1108" t="s">
        <v>365</v>
      </c>
      <c r="F99" s="1108"/>
      <c r="G99" s="1108"/>
      <c r="H99" s="1108"/>
      <c r="I99" s="1108"/>
      <c r="J99" s="1108"/>
      <c r="K99" s="1108"/>
      <c r="L99" s="1109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23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23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23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23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23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23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23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23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23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23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23">
      <c r="A110" s="259"/>
      <c r="B110" s="259"/>
      <c r="C110" s="259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84"/>
    </row>
    <row r="111" spans="1:23">
      <c r="A111" s="259"/>
      <c r="B111" s="259"/>
      <c r="C111" s="259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84"/>
    </row>
    <row r="112" spans="1:23">
      <c r="A112" s="259"/>
      <c r="B112" s="259"/>
      <c r="C112" s="259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84"/>
    </row>
    <row r="113" spans="1:34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34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34" s="134" customFormat="1">
      <c r="D115" s="278"/>
      <c r="E115" s="278"/>
      <c r="F115" s="278"/>
      <c r="G115" s="279"/>
      <c r="H115" s="279"/>
      <c r="I115" s="279"/>
      <c r="J115" s="279"/>
      <c r="K115" s="279"/>
      <c r="L115" s="278"/>
      <c r="M115" s="278"/>
      <c r="N115" s="278"/>
      <c r="O115" s="278"/>
      <c r="P115" s="279"/>
      <c r="Q115" s="279"/>
      <c r="R115" s="279"/>
      <c r="S115" s="279"/>
      <c r="T115" s="279"/>
      <c r="U115" s="279"/>
      <c r="V115" s="278"/>
      <c r="W115" s="285"/>
      <c r="Z115" s="286"/>
      <c r="AA115" s="286"/>
      <c r="AB115" s="286"/>
      <c r="AC115" s="286"/>
      <c r="AD115" s="286"/>
      <c r="AE115" s="286"/>
      <c r="AF115" s="286"/>
      <c r="AG115" s="286"/>
      <c r="AH115" s="286"/>
    </row>
    <row r="116" spans="1:34" s="134" customFormat="1"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85"/>
      <c r="Z116" s="286"/>
      <c r="AA116" s="286"/>
      <c r="AB116" s="286"/>
      <c r="AC116" s="286"/>
      <c r="AD116" s="286"/>
      <c r="AE116" s="286"/>
      <c r="AF116" s="286"/>
      <c r="AG116" s="286"/>
      <c r="AH116" s="286"/>
    </row>
    <row r="117" spans="1:34" s="134" customFormat="1"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85"/>
      <c r="Z117" s="286"/>
      <c r="AA117" s="286"/>
      <c r="AB117" s="286"/>
      <c r="AC117" s="286"/>
      <c r="AD117" s="286"/>
      <c r="AE117" s="286"/>
      <c r="AF117" s="286"/>
      <c r="AG117" s="286"/>
      <c r="AH117" s="286"/>
    </row>
    <row r="118" spans="1:34" s="134" customFormat="1"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85"/>
      <c r="Z118" s="286"/>
      <c r="AA118" s="286"/>
      <c r="AB118" s="286"/>
      <c r="AC118" s="286"/>
      <c r="AD118" s="286"/>
      <c r="AE118" s="286"/>
      <c r="AF118" s="286"/>
      <c r="AG118" s="286"/>
      <c r="AH118" s="286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  <row r="124" spans="1:34">
      <c r="A124" s="259"/>
      <c r="B124" s="259"/>
      <c r="C124" s="259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84"/>
    </row>
    <row r="125" spans="1:34">
      <c r="A125" s="259"/>
      <c r="B125" s="259"/>
      <c r="C125" s="259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84"/>
    </row>
    <row r="126" spans="1:34">
      <c r="A126" s="259"/>
      <c r="B126" s="259"/>
      <c r="C126" s="259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84"/>
    </row>
    <row r="127" spans="1:34">
      <c r="A127" s="259"/>
      <c r="B127" s="259"/>
      <c r="C127" s="259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84"/>
    </row>
    <row r="128" spans="1:34">
      <c r="A128" s="259"/>
      <c r="B128" s="259"/>
      <c r="C128" s="259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84"/>
    </row>
  </sheetData>
  <mergeCells count="83">
    <mergeCell ref="D49:J49"/>
    <mergeCell ref="A73:B73"/>
    <mergeCell ref="T14:U14"/>
    <mergeCell ref="D45:J45"/>
    <mergeCell ref="D46:J46"/>
    <mergeCell ref="N46:V46"/>
    <mergeCell ref="D48:J48"/>
    <mergeCell ref="N48:V48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1EB0-AD4E-438E-A4F3-8AC26457112D}">
  <sheetPr codeName="Sheet33">
    <tabColor rgb="FFFFFF00"/>
    <pageSetUpPr fitToPage="1"/>
  </sheetPr>
  <dimension ref="A1:IV122"/>
  <sheetViews>
    <sheetView showGridLines="0" topLeftCell="A16" zoomScale="82" zoomScaleNormal="82" zoomScaleSheetLayoutView="70" workbookViewId="0">
      <selection activeCell="O6" sqref="O6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244567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2545</v>
      </c>
      <c r="AB5" s="256">
        <f>U54</f>
        <v>2251</v>
      </c>
      <c r="AC5" s="256">
        <f>U55</f>
        <v>206.33333333333334</v>
      </c>
      <c r="AD5" s="256">
        <f>U56</f>
        <v>1717.3333333333333</v>
      </c>
      <c r="AE5" s="256">
        <f>U21</f>
        <v>294</v>
      </c>
      <c r="AF5" s="256">
        <f>U26</f>
        <v>327.33333333333314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647</v>
      </c>
      <c r="C6" s="144">
        <v>3</v>
      </c>
      <c r="D6" s="145"/>
      <c r="E6" s="145"/>
      <c r="F6" s="146"/>
      <c r="G6" s="1365"/>
      <c r="H6" s="1365"/>
      <c r="I6" s="1405"/>
      <c r="J6" s="1406"/>
      <c r="K6" s="1370">
        <f>G6-I6</f>
        <v>0</v>
      </c>
      <c r="L6" s="1407"/>
      <c r="M6" s="145">
        <v>0.83333333333333337</v>
      </c>
      <c r="N6" s="145">
        <v>0.11805555555555557</v>
      </c>
      <c r="O6" s="146">
        <f t="shared" ref="O6" si="0">(N6-M6+(N6&lt;M6))*1440</f>
        <v>410</v>
      </c>
      <c r="P6" s="1408">
        <v>1002</v>
      </c>
      <c r="Q6" s="1408"/>
      <c r="R6" s="1409">
        <v>900</v>
      </c>
      <c r="S6" s="1408"/>
      <c r="T6" s="1421">
        <f>P6-R6</f>
        <v>102</v>
      </c>
      <c r="U6" s="1421"/>
      <c r="V6" s="224">
        <f t="shared" ref="V6:V13" si="1">F6+O6</f>
        <v>410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/>
      <c r="E7" s="145"/>
      <c r="F7" s="146"/>
      <c r="G7" s="1403"/>
      <c r="H7" s="1404"/>
      <c r="I7" s="1403"/>
      <c r="J7" s="1404"/>
      <c r="K7" s="1368">
        <f>G7-I7</f>
        <v>0</v>
      </c>
      <c r="L7" s="1397"/>
      <c r="M7" s="145">
        <v>0.81944444444444453</v>
      </c>
      <c r="N7" s="145">
        <v>0.11805555555555557</v>
      </c>
      <c r="O7" s="146">
        <f t="shared" ref="O7:O8" si="2">(N7-M7+(N7&lt;M7))*1440</f>
        <v>429.99999999999989</v>
      </c>
      <c r="P7" s="1398">
        <v>959</v>
      </c>
      <c r="Q7" s="1398"/>
      <c r="R7" s="1398">
        <v>850</v>
      </c>
      <c r="S7" s="1398"/>
      <c r="T7" s="1399">
        <f t="shared" ref="T7:T13" si="3">P7-R7</f>
        <v>109</v>
      </c>
      <c r="U7" s="1399"/>
      <c r="V7" s="224">
        <f t="shared" si="1"/>
        <v>429.99999999999989</v>
      </c>
      <c r="W7" s="226"/>
    </row>
    <row r="8" spans="1:256" ht="18.75" customHeight="1">
      <c r="A8" s="142" t="s">
        <v>293</v>
      </c>
      <c r="B8" s="910" t="s">
        <v>648</v>
      </c>
      <c r="C8" s="144">
        <v>3</v>
      </c>
      <c r="D8" s="145"/>
      <c r="E8" s="145"/>
      <c r="F8" s="146"/>
      <c r="G8" s="1403"/>
      <c r="H8" s="1404"/>
      <c r="I8" s="1396"/>
      <c r="J8" s="1396"/>
      <c r="K8" s="1368">
        <f t="shared" ref="K8:K13" si="4">G8-I8</f>
        <v>0</v>
      </c>
      <c r="L8" s="1397"/>
      <c r="M8" s="145">
        <v>0.82291666666666663</v>
      </c>
      <c r="N8" s="145">
        <v>0.11805555555555557</v>
      </c>
      <c r="O8" s="146">
        <f t="shared" si="2"/>
        <v>425.00000000000011</v>
      </c>
      <c r="P8" s="1398">
        <v>959</v>
      </c>
      <c r="Q8" s="1398"/>
      <c r="R8" s="1398">
        <v>850</v>
      </c>
      <c r="S8" s="1398"/>
      <c r="T8" s="1399">
        <f t="shared" si="3"/>
        <v>109</v>
      </c>
      <c r="U8" s="1399"/>
      <c r="V8" s="224">
        <f t="shared" si="1"/>
        <v>425.00000000000011</v>
      </c>
    </row>
    <row r="9" spans="1:256" ht="18.75" customHeight="1">
      <c r="A9" s="142" t="s">
        <v>294</v>
      </c>
      <c r="B9" s="910"/>
      <c r="C9" s="144">
        <v>3</v>
      </c>
      <c r="D9" s="1184"/>
      <c r="E9" s="145"/>
      <c r="F9" s="146"/>
      <c r="G9" s="1403"/>
      <c r="H9" s="1404"/>
      <c r="I9" s="1396"/>
      <c r="J9" s="1396"/>
      <c r="K9" s="1368">
        <f t="shared" si="4"/>
        <v>0</v>
      </c>
      <c r="L9" s="1397"/>
      <c r="M9" s="145"/>
      <c r="N9" s="145"/>
      <c r="O9" s="146"/>
      <c r="P9" s="1398"/>
      <c r="Q9" s="1398"/>
      <c r="R9" s="1398"/>
      <c r="S9" s="1398"/>
      <c r="T9" s="1399">
        <f t="shared" si="3"/>
        <v>0</v>
      </c>
      <c r="U9" s="1399"/>
      <c r="V9" s="224">
        <f t="shared" si="1"/>
        <v>0</v>
      </c>
      <c r="W9" s="226"/>
    </row>
    <row r="10" spans="1:256" ht="18.75" customHeight="1">
      <c r="A10" s="142" t="s">
        <v>295</v>
      </c>
      <c r="B10" s="910" t="s">
        <v>623</v>
      </c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4"/>
        <v>0</v>
      </c>
      <c r="L10" s="1397"/>
      <c r="M10" s="145">
        <v>0.79861111111111116</v>
      </c>
      <c r="N10" s="145">
        <v>0.125</v>
      </c>
      <c r="O10" s="146">
        <f t="shared" ref="O10:O12" si="5">(N10-M10+(N10&lt;M10))*1440</f>
        <v>469.99999999999994</v>
      </c>
      <c r="P10" s="1398">
        <v>1099</v>
      </c>
      <c r="Q10" s="1398"/>
      <c r="R10" s="1398">
        <v>950</v>
      </c>
      <c r="S10" s="1398"/>
      <c r="T10" s="1399">
        <f t="shared" si="3"/>
        <v>149</v>
      </c>
      <c r="U10" s="1399"/>
      <c r="V10" s="224">
        <f t="shared" si="1"/>
        <v>469.99999999999994</v>
      </c>
      <c r="W10" s="909"/>
    </row>
    <row r="11" spans="1:256" ht="18.75" customHeight="1">
      <c r="A11" s="142" t="s">
        <v>296</v>
      </c>
      <c r="B11" s="910" t="s">
        <v>649</v>
      </c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4"/>
        <v>0</v>
      </c>
      <c r="L11" s="1397"/>
      <c r="M11" s="145">
        <v>0.8125</v>
      </c>
      <c r="N11" s="145">
        <v>0.10416666666666667</v>
      </c>
      <c r="O11" s="146">
        <f t="shared" si="5"/>
        <v>419.99999999999994</v>
      </c>
      <c r="P11" s="1398">
        <v>930</v>
      </c>
      <c r="Q11" s="1398"/>
      <c r="R11" s="1398">
        <v>850</v>
      </c>
      <c r="S11" s="1398"/>
      <c r="T11" s="1399">
        <f t="shared" si="3"/>
        <v>80</v>
      </c>
      <c r="U11" s="1399"/>
      <c r="V11" s="224">
        <f t="shared" si="1"/>
        <v>419.99999999999994</v>
      </c>
      <c r="W11" s="909"/>
    </row>
    <row r="12" spans="1:256" ht="18.75" customHeight="1">
      <c r="A12" s="142" t="s">
        <v>297</v>
      </c>
      <c r="B12" s="910" t="s">
        <v>650</v>
      </c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4"/>
        <v>0</v>
      </c>
      <c r="L12" s="1397"/>
      <c r="M12" s="145">
        <v>0.83333333333333337</v>
      </c>
      <c r="N12" s="145">
        <v>0.10416666666666667</v>
      </c>
      <c r="O12" s="146">
        <f t="shared" si="5"/>
        <v>389.99999999999989</v>
      </c>
      <c r="P12" s="1398">
        <v>822</v>
      </c>
      <c r="Q12" s="1398"/>
      <c r="R12" s="1398">
        <v>752</v>
      </c>
      <c r="S12" s="1398"/>
      <c r="T12" s="1399">
        <f t="shared" si="3"/>
        <v>70</v>
      </c>
      <c r="U12" s="1399"/>
      <c r="V12" s="224">
        <f t="shared" si="1"/>
        <v>389.99999999999989</v>
      </c>
      <c r="W12" s="909"/>
    </row>
    <row r="13" spans="1:256" ht="18.75" customHeight="1" thickBot="1">
      <c r="A13" s="142" t="s">
        <v>298</v>
      </c>
      <c r="B13" s="143"/>
      <c r="C13" s="147">
        <v>1.8</v>
      </c>
      <c r="D13" s="145"/>
      <c r="E13" s="145"/>
      <c r="F13" s="149"/>
      <c r="G13" s="1400"/>
      <c r="H13" s="1400"/>
      <c r="I13" s="1400"/>
      <c r="J13" s="1400"/>
      <c r="K13" s="1366">
        <f t="shared" si="4"/>
        <v>0</v>
      </c>
      <c r="L13" s="1401"/>
      <c r="M13" s="145"/>
      <c r="N13" s="145"/>
      <c r="O13" s="146"/>
      <c r="P13" s="1402"/>
      <c r="Q13" s="1402"/>
      <c r="R13" s="1402"/>
      <c r="S13" s="1402"/>
      <c r="T13" s="1395">
        <f t="shared" si="3"/>
        <v>0</v>
      </c>
      <c r="U13" s="1395"/>
      <c r="V13" s="227">
        <f t="shared" si="1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22.8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>
        <f>AVERAGE(M6:M13)</f>
        <v>0.82002314814814803</v>
      </c>
      <c r="N14" s="199">
        <f>AVERAGE(N6:N13)</f>
        <v>0.11458333333333333</v>
      </c>
      <c r="O14" s="200">
        <f>SUM(O6:O13)</f>
        <v>2545</v>
      </c>
      <c r="P14" s="1392">
        <f>SUM(P6:P13)</f>
        <v>5771</v>
      </c>
      <c r="Q14" s="1393"/>
      <c r="R14" s="1392">
        <f>SUM(R6:R13)</f>
        <v>5152</v>
      </c>
      <c r="S14" s="1393"/>
      <c r="T14" s="1392">
        <f>SUM(T6:T13)</f>
        <v>619</v>
      </c>
      <c r="U14" s="1393"/>
      <c r="V14" s="228">
        <f>SUM(V6:V13)</f>
        <v>2545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6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7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6"/>
        <v>0</v>
      </c>
      <c r="M17" s="204">
        <v>40</v>
      </c>
      <c r="N17" s="160">
        <v>40</v>
      </c>
      <c r="O17" s="160">
        <v>40</v>
      </c>
      <c r="P17" s="1070"/>
      <c r="Q17" s="1070">
        <v>40</v>
      </c>
      <c r="R17" s="1070">
        <v>40</v>
      </c>
      <c r="S17" s="1070">
        <v>40</v>
      </c>
      <c r="T17" s="1070"/>
      <c r="U17" s="1113">
        <f t="shared" si="7"/>
        <v>240</v>
      </c>
      <c r="V17" s="1114">
        <f>SUM(M17:U17)</f>
        <v>480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6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7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70"/>
      <c r="H19" s="1070"/>
      <c r="I19" s="1070"/>
      <c r="J19" s="1070"/>
      <c r="K19" s="1070"/>
      <c r="L19" s="1112">
        <f t="shared" si="6"/>
        <v>0</v>
      </c>
      <c r="M19" s="1070">
        <f>9</f>
        <v>9</v>
      </c>
      <c r="N19" s="1059">
        <v>9</v>
      </c>
      <c r="O19" s="1070">
        <f>4+6</f>
        <v>10</v>
      </c>
      <c r="P19" s="1070"/>
      <c r="Q19" s="1070">
        <v>9</v>
      </c>
      <c r="R19" s="1070">
        <f>3*4</f>
        <v>12</v>
      </c>
      <c r="S19" s="1070">
        <v>5</v>
      </c>
      <c r="T19" s="1070"/>
      <c r="U19" s="1113">
        <f t="shared" si="7"/>
        <v>54</v>
      </c>
      <c r="V19" s="1114">
        <f>L19+U19</f>
        <v>54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6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7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8">SUM(D16:D20)</f>
        <v>0</v>
      </c>
      <c r="E21" s="165">
        <f t="shared" si="8"/>
        <v>0</v>
      </c>
      <c r="F21" s="165">
        <f t="shared" si="8"/>
        <v>0</v>
      </c>
      <c r="G21" s="165">
        <f t="shared" si="8"/>
        <v>0</v>
      </c>
      <c r="H21" s="165">
        <f t="shared" si="8"/>
        <v>0</v>
      </c>
      <c r="I21" s="165">
        <f t="shared" si="8"/>
        <v>0</v>
      </c>
      <c r="J21" s="165">
        <f t="shared" si="8"/>
        <v>0</v>
      </c>
      <c r="K21" s="165">
        <f t="shared" si="8"/>
        <v>0</v>
      </c>
      <c r="L21" s="206">
        <f t="shared" si="6"/>
        <v>0</v>
      </c>
      <c r="M21" s="165">
        <f t="shared" ref="M21:T21" si="9">SUM(M16:M20)</f>
        <v>49</v>
      </c>
      <c r="N21" s="165">
        <f t="shared" si="9"/>
        <v>49</v>
      </c>
      <c r="O21" s="165">
        <f t="shared" si="9"/>
        <v>50</v>
      </c>
      <c r="P21" s="165">
        <f t="shared" si="9"/>
        <v>0</v>
      </c>
      <c r="Q21" s="165">
        <f t="shared" si="9"/>
        <v>49</v>
      </c>
      <c r="R21" s="165">
        <f t="shared" si="9"/>
        <v>52</v>
      </c>
      <c r="S21" s="165">
        <f t="shared" si="9"/>
        <v>45</v>
      </c>
      <c r="T21" s="165">
        <f t="shared" si="9"/>
        <v>0</v>
      </c>
      <c r="U21" s="165">
        <f t="shared" si="7"/>
        <v>294</v>
      </c>
      <c r="V21" s="1117">
        <f>L21+U21</f>
        <v>294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>
        <v>5</v>
      </c>
      <c r="N23" s="160">
        <v>5</v>
      </c>
      <c r="O23" s="160">
        <v>5</v>
      </c>
      <c r="P23" s="160"/>
      <c r="Q23" s="160"/>
      <c r="R23" s="160">
        <v>5</v>
      </c>
      <c r="S23" s="160">
        <v>5</v>
      </c>
      <c r="T23" s="160"/>
      <c r="U23" s="238">
        <f>SUM(M23:T23)</f>
        <v>25</v>
      </c>
      <c r="V23" s="1112">
        <f>L23+U23</f>
        <v>25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255">
        <f>3+4+4+3+7+15</f>
        <v>36</v>
      </c>
      <c r="N24" s="1122">
        <f>4+4+3+7</f>
        <v>18</v>
      </c>
      <c r="O24" s="1122">
        <f>4+4+3+7+5</f>
        <v>23</v>
      </c>
      <c r="P24" s="1119"/>
      <c r="Q24" s="1122">
        <f>5+2+4+4+3+7+3+3</f>
        <v>31</v>
      </c>
      <c r="R24" s="1119">
        <f>25+8</f>
        <v>33</v>
      </c>
      <c r="S24" s="1119">
        <f>8+7+80+2</f>
        <v>97</v>
      </c>
      <c r="T24" s="1119"/>
      <c r="U24" s="1120">
        <f>SUM(M24:T24)</f>
        <v>238</v>
      </c>
      <c r="V24" s="1112">
        <f>L24+U24</f>
        <v>238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-14</v>
      </c>
      <c r="N25" s="171">
        <f>$O7-N$55-N$56-N$21-N$23-N$24-N$34-N$43</f>
        <v>38.333333333333258</v>
      </c>
      <c r="O25" s="171">
        <f>$O8-O$55-O$56-O$21-O$23-O$24-O$34-O$43</f>
        <v>27.333333333333485</v>
      </c>
      <c r="P25" s="171">
        <f>$O9-P$55-P$56-P$21-P$23-P$24-P$34-P$43</f>
        <v>0</v>
      </c>
      <c r="Q25" s="171">
        <f>$O10-Q$55-Q$56-Q$21-Q$23-Q$24-Q$34-Q$43</f>
        <v>23.666666666666572</v>
      </c>
      <c r="R25" s="171">
        <f>$O11-R$55-R$56-R$21-R$23-R$24-R$34-R$43</f>
        <v>19.999999999999943</v>
      </c>
      <c r="S25" s="171">
        <f>$O12-S$55-S$56-S$21-S$23-S$24-S$34-S$43</f>
        <v>-31.000000000000085</v>
      </c>
      <c r="T25" s="171">
        <f>$O13-T$55-T$56-T$21-T$23-T$24-T$34-T$43</f>
        <v>0</v>
      </c>
      <c r="U25" s="239">
        <f>SUM(M25:T25)</f>
        <v>64.333333333333172</v>
      </c>
      <c r="V25" s="1112">
        <f>L25+U25</f>
        <v>64.333333333333172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0</v>
      </c>
      <c r="E26" s="172">
        <f t="shared" ref="E26:K26" si="10">SUM(E23:E25)</f>
        <v>0</v>
      </c>
      <c r="F26" s="172">
        <f t="shared" si="10"/>
        <v>0</v>
      </c>
      <c r="G26" s="172">
        <f t="shared" si="10"/>
        <v>0</v>
      </c>
      <c r="H26" s="172">
        <f t="shared" si="10"/>
        <v>0</v>
      </c>
      <c r="I26" s="172">
        <f t="shared" si="10"/>
        <v>0</v>
      </c>
      <c r="J26" s="172">
        <f t="shared" si="10"/>
        <v>0</v>
      </c>
      <c r="K26" s="172">
        <f t="shared" si="10"/>
        <v>0</v>
      </c>
      <c r="L26" s="210">
        <f>SUM(D26:K26)</f>
        <v>0</v>
      </c>
      <c r="M26" s="211">
        <f>SUM(M23:M25)</f>
        <v>27</v>
      </c>
      <c r="N26" s="211">
        <f t="shared" ref="N26:T26" si="11">SUM(N23:N25)</f>
        <v>61.333333333333258</v>
      </c>
      <c r="O26" s="211">
        <f t="shared" si="11"/>
        <v>55.333333333333485</v>
      </c>
      <c r="P26" s="211">
        <f t="shared" si="11"/>
        <v>0</v>
      </c>
      <c r="Q26" s="211">
        <f t="shared" si="11"/>
        <v>54.666666666666572</v>
      </c>
      <c r="R26" s="211">
        <f t="shared" si="11"/>
        <v>57.999999999999943</v>
      </c>
      <c r="S26" s="211">
        <f t="shared" si="11"/>
        <v>70.999999999999915</v>
      </c>
      <c r="T26" s="211">
        <f t="shared" si="11"/>
        <v>0</v>
      </c>
      <c r="U26" s="240">
        <f>SUM(M26:T26)</f>
        <v>327.33333333333314</v>
      </c>
      <c r="V26" s="210">
        <f>L26+U26</f>
        <v>327.33333333333314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2">SUM(D28:K28)</f>
        <v>0</v>
      </c>
      <c r="M28" s="159"/>
      <c r="N28" s="159"/>
      <c r="O28" s="159"/>
      <c r="P28" s="159"/>
      <c r="Q28" s="913"/>
      <c r="R28" s="159"/>
      <c r="S28" s="159"/>
      <c r="T28" s="159"/>
      <c r="U28" s="242">
        <f t="shared" ref="U28:U34" si="13">SUM(M28:T28)</f>
        <v>0</v>
      </c>
      <c r="V28" s="243">
        <f t="shared" ref="V28:V34" si="14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2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3"/>
        <v>0</v>
      </c>
      <c r="V29" s="244">
        <f t="shared" si="14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2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3"/>
        <v>0</v>
      </c>
      <c r="V30" s="1112">
        <f t="shared" si="14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2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3"/>
        <v>0</v>
      </c>
      <c r="V31" s="1112">
        <f t="shared" si="14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2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3"/>
        <v>0</v>
      </c>
      <c r="V32" s="1112">
        <f t="shared" si="14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2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3"/>
        <v>0</v>
      </c>
      <c r="V33" s="1112">
        <f t="shared" si="14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5">SUM(D28:D33)</f>
        <v>0</v>
      </c>
      <c r="E34" s="175">
        <f t="shared" si="15"/>
        <v>0</v>
      </c>
      <c r="F34" s="176">
        <f t="shared" si="15"/>
        <v>0</v>
      </c>
      <c r="G34" s="176">
        <f t="shared" si="15"/>
        <v>0</v>
      </c>
      <c r="H34" s="176">
        <f t="shared" si="15"/>
        <v>0</v>
      </c>
      <c r="I34" s="176">
        <f t="shared" si="15"/>
        <v>0</v>
      </c>
      <c r="J34" s="176">
        <f t="shared" si="15"/>
        <v>0</v>
      </c>
      <c r="K34" s="176">
        <f t="shared" si="15"/>
        <v>0</v>
      </c>
      <c r="L34" s="213">
        <f t="shared" si="12"/>
        <v>0</v>
      </c>
      <c r="M34" s="175">
        <f t="shared" ref="M34:T34" si="16">SUM(M28:M33)</f>
        <v>0</v>
      </c>
      <c r="N34" s="176">
        <f t="shared" si="16"/>
        <v>0</v>
      </c>
      <c r="O34" s="176">
        <f t="shared" si="16"/>
        <v>0</v>
      </c>
      <c r="P34" s="176">
        <f t="shared" si="16"/>
        <v>0</v>
      </c>
      <c r="Q34" s="176">
        <f t="shared" si="16"/>
        <v>0</v>
      </c>
      <c r="R34" s="176">
        <f t="shared" si="16"/>
        <v>0</v>
      </c>
      <c r="S34" s="176">
        <f t="shared" si="16"/>
        <v>0</v>
      </c>
      <c r="T34" s="176">
        <f t="shared" si="16"/>
        <v>0</v>
      </c>
      <c r="U34" s="246">
        <f t="shared" si="13"/>
        <v>0</v>
      </c>
      <c r="V34" s="213">
        <f t="shared" si="14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7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8">SUM(M36:T36)</f>
        <v>0</v>
      </c>
      <c r="V36" s="243">
        <f t="shared" ref="V36:V43" si="19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7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8"/>
        <v>0</v>
      </c>
      <c r="V37" s="1114">
        <f t="shared" si="19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7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8"/>
        <v>0</v>
      </c>
      <c r="V38" s="1114">
        <f t="shared" si="19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7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8"/>
        <v>0</v>
      </c>
      <c r="V39" s="1114">
        <f t="shared" si="19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7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8"/>
        <v>0</v>
      </c>
      <c r="V40" s="1114">
        <f t="shared" si="19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7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8"/>
        <v>0</v>
      </c>
      <c r="V41" s="1114">
        <f t="shared" si="19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7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8"/>
        <v>0</v>
      </c>
      <c r="V42" s="1114">
        <f t="shared" si="19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20">SUM(D36:D42)</f>
        <v>0</v>
      </c>
      <c r="E43" s="177">
        <f t="shared" si="20"/>
        <v>0</v>
      </c>
      <c r="F43" s="177">
        <f t="shared" si="20"/>
        <v>0</v>
      </c>
      <c r="G43" s="177">
        <f t="shared" si="20"/>
        <v>0</v>
      </c>
      <c r="H43" s="177">
        <f t="shared" si="20"/>
        <v>0</v>
      </c>
      <c r="I43" s="177">
        <f t="shared" si="20"/>
        <v>0</v>
      </c>
      <c r="J43" s="177">
        <f t="shared" si="20"/>
        <v>0</v>
      </c>
      <c r="K43" s="177">
        <f t="shared" si="20"/>
        <v>0</v>
      </c>
      <c r="L43" s="213">
        <f t="shared" si="17"/>
        <v>0</v>
      </c>
      <c r="M43" s="177">
        <f t="shared" ref="M43:T43" si="21">SUM(M36:M42)</f>
        <v>0</v>
      </c>
      <c r="N43" s="177">
        <f t="shared" si="21"/>
        <v>0</v>
      </c>
      <c r="O43" s="177">
        <f t="shared" si="21"/>
        <v>0</v>
      </c>
      <c r="P43" s="177">
        <f t="shared" si="21"/>
        <v>0</v>
      </c>
      <c r="Q43" s="177">
        <f t="shared" si="21"/>
        <v>0</v>
      </c>
      <c r="R43" s="177">
        <f t="shared" si="21"/>
        <v>0</v>
      </c>
      <c r="S43" s="177">
        <f t="shared" si="21"/>
        <v>0</v>
      </c>
      <c r="T43" s="177">
        <f t="shared" si="21"/>
        <v>0</v>
      </c>
      <c r="U43" s="165">
        <f t="shared" si="18"/>
        <v>0</v>
      </c>
      <c r="V43" s="213">
        <f t="shared" si="19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060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3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75"/>
      <c r="B47" s="1078"/>
      <c r="C47" s="1123"/>
      <c r="D47" s="1079"/>
      <c r="E47" s="1063"/>
      <c r="F47" s="1063"/>
      <c r="G47" s="1063"/>
      <c r="H47" s="1063"/>
      <c r="I47" s="1063"/>
      <c r="J47" s="1063"/>
      <c r="K47" s="1069"/>
      <c r="L47" s="1069"/>
      <c r="M47" s="1072"/>
      <c r="N47" s="1063"/>
      <c r="O47" s="1074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75"/>
      <c r="B48" s="1076"/>
      <c r="C48" s="1124"/>
      <c r="D48" s="1077"/>
      <c r="E48" s="1063"/>
      <c r="F48" s="1063"/>
      <c r="G48" s="1063"/>
      <c r="H48" s="1063"/>
      <c r="I48" s="1063"/>
      <c r="J48" s="1063"/>
      <c r="K48" s="1071"/>
      <c r="L48" s="1069"/>
      <c r="M48" s="1070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226"/>
      <c r="C49" s="1227"/>
      <c r="D49" s="1239"/>
      <c r="E49" s="1063"/>
      <c r="F49" s="1063"/>
      <c r="G49" s="1063"/>
      <c r="H49" s="1063"/>
      <c r="I49" s="1063"/>
      <c r="J49" s="1063"/>
      <c r="K49" s="1069"/>
      <c r="L49" s="1069"/>
      <c r="M49" s="1062"/>
      <c r="N49" s="1063"/>
      <c r="O49" s="1074"/>
      <c r="P49" s="1063"/>
      <c r="Q49" s="1063"/>
      <c r="R49" s="1063"/>
      <c r="S49" s="1063"/>
      <c r="T49" s="1063"/>
      <c r="U49" s="1063"/>
      <c r="V49" s="1228"/>
      <c r="W49" s="250"/>
    </row>
    <row r="50" spans="1:25" ht="15" customHeight="1">
      <c r="A50" s="1202"/>
      <c r="B50" s="1240"/>
      <c r="C50" s="1241"/>
      <c r="D50" s="1440"/>
      <c r="E50" s="1441"/>
      <c r="F50" s="1441"/>
      <c r="G50" s="1441"/>
      <c r="H50" s="1441"/>
      <c r="I50" s="1441"/>
      <c r="J50" s="1441"/>
      <c r="K50" s="1205"/>
      <c r="L50" s="1224"/>
      <c r="M50" s="1241"/>
      <c r="N50" s="1442"/>
      <c r="O50" s="1443"/>
      <c r="P50" s="1443"/>
      <c r="Q50" s="1443"/>
      <c r="R50" s="1443"/>
      <c r="S50" s="1443"/>
      <c r="T50" s="1443"/>
      <c r="U50" s="1443"/>
      <c r="V50" s="144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58"/>
      <c r="B52" s="1039"/>
      <c r="C52" s="1123"/>
      <c r="D52" s="1349"/>
      <c r="E52" s="1350"/>
      <c r="F52" s="1350"/>
      <c r="G52" s="1350"/>
      <c r="H52" s="1350"/>
      <c r="I52" s="1350"/>
      <c r="J52" s="1351"/>
      <c r="K52" s="1071"/>
      <c r="L52" s="1069"/>
      <c r="M52" s="1072"/>
      <c r="N52" s="1073"/>
      <c r="O52" s="1074"/>
      <c r="P52" s="1063"/>
      <c r="Q52" s="1063"/>
      <c r="R52" s="1063"/>
      <c r="S52" s="1063"/>
      <c r="T52" s="1063"/>
      <c r="U52" s="1063"/>
      <c r="V52" s="1064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361</v>
      </c>
      <c r="N54" s="187">
        <f>O7-N21-N43-N34</f>
        <v>380.99999999999989</v>
      </c>
      <c r="O54" s="187">
        <f>O8-O21-O43-O34</f>
        <v>375.00000000000011</v>
      </c>
      <c r="P54" s="187">
        <f>O9-P21-P43-P34</f>
        <v>0</v>
      </c>
      <c r="Q54" s="187">
        <f>O10-Q21-Q43-Q34</f>
        <v>420.99999999999994</v>
      </c>
      <c r="R54" s="187">
        <f>O11-R21-R43-R34</f>
        <v>367.99999999999994</v>
      </c>
      <c r="S54" s="187">
        <f>O12-S21-S43-S34</f>
        <v>344.99999999999989</v>
      </c>
      <c r="T54" s="187">
        <f>O13-T21-T43-T34</f>
        <v>0</v>
      </c>
      <c r="U54" s="242">
        <f>SUM(M54:T54)</f>
        <v>2251</v>
      </c>
      <c r="V54" s="202">
        <f>L54+U54</f>
        <v>2251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34</v>
      </c>
      <c r="N55" s="1087">
        <f>T7/C7</f>
        <v>36.333333333333336</v>
      </c>
      <c r="O55" s="1087">
        <f>$T$8/$C$8</f>
        <v>36.333333333333336</v>
      </c>
      <c r="P55" s="1087">
        <f>$T$9/$C$9</f>
        <v>0</v>
      </c>
      <c r="Q55" s="1087">
        <f>$T$10/$C$10</f>
        <v>49.666666666666664</v>
      </c>
      <c r="R55" s="1087">
        <f>$T$11/$C$11</f>
        <v>26.666666666666668</v>
      </c>
      <c r="S55" s="1087">
        <f>$T$12/$C$12</f>
        <v>23.333333333333332</v>
      </c>
      <c r="T55" s="1087">
        <f>$T$13/$C$13</f>
        <v>0</v>
      </c>
      <c r="U55" s="1129">
        <f>SUM(M55:T55)</f>
        <v>206.33333333333334</v>
      </c>
      <c r="V55" s="1112">
        <f>L55+U55</f>
        <v>206.33333333333334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300</v>
      </c>
      <c r="N56" s="1130">
        <f>R7/C7</f>
        <v>283.33333333333331</v>
      </c>
      <c r="O56" s="1130">
        <f>R8/C8</f>
        <v>283.33333333333331</v>
      </c>
      <c r="P56" s="1130">
        <f>R9/C9</f>
        <v>0</v>
      </c>
      <c r="Q56" s="1130">
        <f>R10/C10</f>
        <v>316.66666666666669</v>
      </c>
      <c r="R56" s="1130">
        <f>R11/C11</f>
        <v>283.33333333333331</v>
      </c>
      <c r="S56" s="1130">
        <f>R12/C12</f>
        <v>250.66666666666666</v>
      </c>
      <c r="T56" s="1130">
        <f>R13/C13</f>
        <v>0</v>
      </c>
      <c r="U56" s="1131">
        <f>SUM(M56:T56)</f>
        <v>1717.3333333333333</v>
      </c>
      <c r="V56" s="1115">
        <f>L56+U56</f>
        <v>1717.3333333333333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11.951219512195122</v>
      </c>
      <c r="N57" s="188">
        <f>IF(O7=0,0,N21/O7*100)</f>
        <v>11.395348837209305</v>
      </c>
      <c r="O57" s="188">
        <f>IF(O8=0,0,O21/O8*100)</f>
        <v>11.764705882352938</v>
      </c>
      <c r="P57" s="188">
        <f>IF(O9=0,0,P21/O9*100)</f>
        <v>0</v>
      </c>
      <c r="Q57" s="188">
        <f>IF(O10=0,0,Q21/O10*100)</f>
        <v>10.425531914893618</v>
      </c>
      <c r="R57" s="188">
        <f>IF(O11=0,0,R21/O11*100)</f>
        <v>12.380952380952383</v>
      </c>
      <c r="S57" s="188">
        <f>IF(O12=0,0,S21/O12*100)</f>
        <v>11.538461538461542</v>
      </c>
      <c r="T57" s="188">
        <f>IF(O13=0,0,T21/O13*100)</f>
        <v>0</v>
      </c>
      <c r="U57" s="251">
        <f>IF(O14=0,0,U21/O14*100)</f>
        <v>11.552062868369353</v>
      </c>
      <c r="V57" s="217">
        <f>IF((F14+O14)=0,0,V21/(F14+O14)*100)</f>
        <v>11.552062868369353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88.048780487804876</v>
      </c>
      <c r="N60" s="1095">
        <f>IF(O7=0,0,N54/O7*100)</f>
        <v>88.604651162790688</v>
      </c>
      <c r="O60" s="1095">
        <f>IF(O8=0,0,O54/O8*100)</f>
        <v>88.235294117647072</v>
      </c>
      <c r="P60" s="1095">
        <f>IF(O9=0,0,P54/O9*100)</f>
        <v>0</v>
      </c>
      <c r="Q60" s="1095">
        <f>IF(O10=0,0,Q54/O10*100)</f>
        <v>89.574468085106389</v>
      </c>
      <c r="R60" s="1095">
        <f>IF(O11=0,0,R54/O11*100)</f>
        <v>87.61904761904762</v>
      </c>
      <c r="S60" s="1095">
        <f>IF(O12=0,0,S54/O12*100)</f>
        <v>88.461538461538453</v>
      </c>
      <c r="T60" s="1095">
        <f>IF(O13=0,0,T54/O13*100)</f>
        <v>0</v>
      </c>
      <c r="U60" s="1093">
        <f>IF(O14=0,0,U54/O14*100)</f>
        <v>88.447937131630653</v>
      </c>
      <c r="V60" s="1134">
        <f>IF((F14+O14)=0,0,V54/(F14+O14)*100)</f>
        <v>88.447937131630653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22">IF(F54=0,0,F55/F54*100)</f>
        <v>0</v>
      </c>
      <c r="G61" s="188">
        <f t="shared" si="22"/>
        <v>0</v>
      </c>
      <c r="H61" s="188">
        <f t="shared" si="22"/>
        <v>0</v>
      </c>
      <c r="I61" s="188">
        <f t="shared" si="22"/>
        <v>0</v>
      </c>
      <c r="J61" s="188">
        <f t="shared" si="22"/>
        <v>0</v>
      </c>
      <c r="K61" s="188">
        <f t="shared" si="22"/>
        <v>0</v>
      </c>
      <c r="L61" s="217">
        <f t="shared" si="22"/>
        <v>0</v>
      </c>
      <c r="M61" s="188">
        <f t="shared" si="22"/>
        <v>9.418282548476455</v>
      </c>
      <c r="N61" s="188">
        <f t="shared" si="22"/>
        <v>9.5363079615048161</v>
      </c>
      <c r="O61" s="188">
        <f t="shared" si="22"/>
        <v>9.6888888888888864</v>
      </c>
      <c r="P61" s="188">
        <f t="shared" si="22"/>
        <v>0</v>
      </c>
      <c r="Q61" s="188">
        <f t="shared" si="22"/>
        <v>11.797307996832938</v>
      </c>
      <c r="R61" s="188">
        <f t="shared" si="22"/>
        <v>7.2463768115942049</v>
      </c>
      <c r="S61" s="188">
        <f t="shared" si="22"/>
        <v>6.7632850241545919</v>
      </c>
      <c r="T61" s="188">
        <f t="shared" si="22"/>
        <v>0</v>
      </c>
      <c r="U61" s="251">
        <f t="shared" si="22"/>
        <v>9.166296460832223</v>
      </c>
      <c r="V61" s="217">
        <f t="shared" si="22"/>
        <v>9.166296460832223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3">IF(D54=0,0,D26/D54*100)</f>
        <v>0</v>
      </c>
      <c r="E62" s="1090">
        <f t="shared" si="23"/>
        <v>0</v>
      </c>
      <c r="F62" s="1090">
        <f t="shared" si="23"/>
        <v>0</v>
      </c>
      <c r="G62" s="1090">
        <f t="shared" si="23"/>
        <v>0</v>
      </c>
      <c r="H62" s="1090">
        <f t="shared" si="23"/>
        <v>0</v>
      </c>
      <c r="I62" s="1090">
        <f t="shared" si="23"/>
        <v>0</v>
      </c>
      <c r="J62" s="1090">
        <f t="shared" si="23"/>
        <v>0</v>
      </c>
      <c r="K62" s="1090">
        <f t="shared" si="23"/>
        <v>0</v>
      </c>
      <c r="L62" s="1132">
        <f t="shared" si="23"/>
        <v>0</v>
      </c>
      <c r="M62" s="1090">
        <f t="shared" si="23"/>
        <v>7.4792243767313016</v>
      </c>
      <c r="N62" s="1090">
        <f t="shared" si="23"/>
        <v>16.097987751531043</v>
      </c>
      <c r="O62" s="1090">
        <f t="shared" si="23"/>
        <v>14.755555555555592</v>
      </c>
      <c r="P62" s="1090">
        <f t="shared" si="23"/>
        <v>0</v>
      </c>
      <c r="Q62" s="1090">
        <f t="shared" si="23"/>
        <v>12.984956452889923</v>
      </c>
      <c r="R62" s="1090">
        <f t="shared" si="23"/>
        <v>15.760869565217378</v>
      </c>
      <c r="S62" s="1090">
        <f t="shared" si="23"/>
        <v>20.579710144927517</v>
      </c>
      <c r="T62" s="1090">
        <f t="shared" si="23"/>
        <v>0</v>
      </c>
      <c r="U62" s="1133">
        <f t="shared" si="23"/>
        <v>14.54168517695838</v>
      </c>
      <c r="V62" s="1132">
        <f t="shared" si="23"/>
        <v>14.54168517695838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4">IF(D54=0,0,D56/D54*100)</f>
        <v>0</v>
      </c>
      <c r="E63" s="1095">
        <f t="shared" si="24"/>
        <v>0</v>
      </c>
      <c r="F63" s="1095">
        <f t="shared" si="24"/>
        <v>0</v>
      </c>
      <c r="G63" s="1095">
        <f t="shared" si="24"/>
        <v>0</v>
      </c>
      <c r="H63" s="1095">
        <f t="shared" si="24"/>
        <v>0</v>
      </c>
      <c r="I63" s="1095">
        <f t="shared" si="24"/>
        <v>0</v>
      </c>
      <c r="J63" s="1095">
        <f t="shared" si="24"/>
        <v>0</v>
      </c>
      <c r="K63" s="1095">
        <f t="shared" si="24"/>
        <v>0</v>
      </c>
      <c r="L63" s="1134">
        <f t="shared" si="24"/>
        <v>0</v>
      </c>
      <c r="M63" s="1095">
        <f t="shared" si="24"/>
        <v>83.102493074792235</v>
      </c>
      <c r="N63" s="1095">
        <f t="shared" si="24"/>
        <v>74.365704286964146</v>
      </c>
      <c r="O63" s="1095">
        <f t="shared" si="24"/>
        <v>75.555555555555529</v>
      </c>
      <c r="P63" s="1095">
        <f t="shared" si="24"/>
        <v>0</v>
      </c>
      <c r="Q63" s="1095">
        <f t="shared" si="24"/>
        <v>75.217735550277126</v>
      </c>
      <c r="R63" s="1095">
        <f t="shared" si="24"/>
        <v>76.99275362318842</v>
      </c>
      <c r="S63" s="1095">
        <f t="shared" si="24"/>
        <v>72.657004830917899</v>
      </c>
      <c r="T63" s="1095">
        <f t="shared" si="24"/>
        <v>0</v>
      </c>
      <c r="U63" s="1093">
        <f t="shared" si="24"/>
        <v>76.29201836220939</v>
      </c>
      <c r="V63" s="1134">
        <f t="shared" si="24"/>
        <v>76.29201836220939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89.2739559868307</v>
      </c>
      <c r="N64" s="219">
        <f>IF(N74=0,0,M74/N74*100)</f>
        <v>89.2739559868307</v>
      </c>
      <c r="O64" s="219">
        <f>IF(N74=0,0,M74/N74*100)</f>
        <v>89.2739559868307</v>
      </c>
      <c r="P64" s="219">
        <f>IF(N74=0,0,M74/N74*100)</f>
        <v>89.2739559868307</v>
      </c>
      <c r="Q64" s="219">
        <f>IF(N74=0,0,M74/N74*100)</f>
        <v>89.2739559868307</v>
      </c>
      <c r="R64" s="219">
        <f>IF(N74=0,0,M74/N74*100)</f>
        <v>89.2739559868307</v>
      </c>
      <c r="S64" s="219">
        <f>IF(N74=0,0,M74/N74*100)</f>
        <v>89.2739559868307</v>
      </c>
      <c r="T64" s="219">
        <f>IF(N74=0,0,M74/N74*100)</f>
        <v>89.2739559868307</v>
      </c>
      <c r="U64" s="190">
        <f>IF(N74=0,0,M74/N74*100)</f>
        <v>89.2739559868307</v>
      </c>
      <c r="V64" s="218">
        <f>IF(N78=0,0,M78/N78*100)</f>
        <v>89.2739559868307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5">(D60*D63*D64)/10000</f>
        <v>0</v>
      </c>
      <c r="E65" s="190">
        <f t="shared" si="25"/>
        <v>0</v>
      </c>
      <c r="F65" s="190">
        <f t="shared" si="25"/>
        <v>0</v>
      </c>
      <c r="G65" s="190">
        <f t="shared" si="25"/>
        <v>0</v>
      </c>
      <c r="H65" s="190">
        <f t="shared" si="25"/>
        <v>0</v>
      </c>
      <c r="I65" s="190">
        <f t="shared" si="25"/>
        <v>0</v>
      </c>
      <c r="J65" s="190">
        <f t="shared" si="25"/>
        <v>0</v>
      </c>
      <c r="K65" s="190">
        <f t="shared" si="25"/>
        <v>0</v>
      </c>
      <c r="L65" s="190">
        <f t="shared" si="25"/>
        <v>0</v>
      </c>
      <c r="M65" s="219">
        <f t="shared" si="25"/>
        <v>65.322406819632207</v>
      </c>
      <c r="N65" s="219">
        <f t="shared" si="25"/>
        <v>58.82392448744659</v>
      </c>
      <c r="O65" s="219">
        <f t="shared" si="25"/>
        <v>59.515970657887124</v>
      </c>
      <c r="P65" s="219">
        <f t="shared" si="25"/>
        <v>0</v>
      </c>
      <c r="Q65" s="219">
        <f t="shared" si="25"/>
        <v>60.149119281907218</v>
      </c>
      <c r="R65" s="219">
        <f t="shared" si="25"/>
        <v>60.22449411810009</v>
      </c>
      <c r="S65" s="219">
        <f t="shared" si="25"/>
        <v>57.379499916321969</v>
      </c>
      <c r="T65" s="219">
        <f t="shared" si="25"/>
        <v>0</v>
      </c>
      <c r="U65" s="190">
        <f>IF(10000=0,0,(U60*U63*U64)/10000)</f>
        <v>60.240919612855514</v>
      </c>
      <c r="V65" s="218">
        <f>IF(10000=0,0,(V60*V63*V64)/10000)</f>
        <v>60.240919612855514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>
        <v>5152</v>
      </c>
      <c r="N74" s="1099">
        <v>5771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265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5152</v>
      </c>
      <c r="N78" s="1135">
        <f>E74+N74</f>
        <v>5771</v>
      </c>
      <c r="O78" s="281">
        <f>M78/N78</f>
        <v>0.892739559868307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52:J52"/>
    <mergeCell ref="A67:B67"/>
    <mergeCell ref="T14:U14"/>
    <mergeCell ref="D45:J45"/>
    <mergeCell ref="D46:J46"/>
    <mergeCell ref="N46:V46"/>
    <mergeCell ref="D50:J50"/>
    <mergeCell ref="N50:V50"/>
    <mergeCell ref="A14:B14"/>
    <mergeCell ref="G14:H14"/>
    <mergeCell ref="I14:J14"/>
    <mergeCell ref="K14:L14"/>
    <mergeCell ref="P14:Q14"/>
    <mergeCell ref="R14:S14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3880-C4C0-413E-B94D-348293D0124C}">
  <sheetPr codeName="Sheet34">
    <tabColor rgb="FFFFFF00"/>
    <pageSetUpPr fitToPage="1"/>
  </sheetPr>
  <dimension ref="A1:IV123"/>
  <sheetViews>
    <sheetView showGridLines="0" topLeftCell="A25" zoomScale="82" zoomScaleNormal="82" zoomScaleSheetLayoutView="70" workbookViewId="0">
      <selection activeCell="D6" sqref="D6:F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244566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4472</v>
      </c>
      <c r="AB4" s="256">
        <f>L55</f>
        <v>3901</v>
      </c>
      <c r="AC4" s="256">
        <f>L56</f>
        <v>503.00000000000006</v>
      </c>
      <c r="AD4" s="256">
        <f>L57</f>
        <v>2282.6666666666665</v>
      </c>
      <c r="AE4" s="256">
        <f>L21</f>
        <v>365</v>
      </c>
      <c r="AF4" s="256">
        <f>L26</f>
        <v>1115.3333333333333</v>
      </c>
      <c r="AG4" s="256">
        <f>L28</f>
        <v>206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3150</v>
      </c>
      <c r="AB5" s="256">
        <f>U55</f>
        <v>2982</v>
      </c>
      <c r="AC5" s="256">
        <f>U56</f>
        <v>230.33333333333334</v>
      </c>
      <c r="AD5" s="256">
        <f>U57</f>
        <v>2048</v>
      </c>
      <c r="AE5" s="256">
        <f>U21</f>
        <v>128</v>
      </c>
      <c r="AF5" s="256">
        <f>U26</f>
        <v>703.66666666666652</v>
      </c>
      <c r="AG5" s="256">
        <f>U28</f>
        <v>40</v>
      </c>
      <c r="AH5" s="256">
        <f>U43</f>
        <v>0</v>
      </c>
    </row>
    <row r="6" spans="1:256" ht="18.75" customHeight="1">
      <c r="A6" s="142" t="s">
        <v>291</v>
      </c>
      <c r="B6" s="910" t="s">
        <v>621</v>
      </c>
      <c r="C6" s="144">
        <v>3</v>
      </c>
      <c r="D6" s="145">
        <v>0.33888888888888885</v>
      </c>
      <c r="E6" s="145">
        <v>0.79166666666666663</v>
      </c>
      <c r="F6" s="146">
        <f>(E6-D6)*1440</f>
        <v>652</v>
      </c>
      <c r="G6" s="1450">
        <f>687+401</f>
        <v>1088</v>
      </c>
      <c r="H6" s="1450"/>
      <c r="I6" s="1405">
        <f>529+287</f>
        <v>816</v>
      </c>
      <c r="J6" s="1406"/>
      <c r="K6" s="1370">
        <f>G6-I6</f>
        <v>272</v>
      </c>
      <c r="L6" s="1407"/>
      <c r="M6" s="145">
        <v>0.79166666666666663</v>
      </c>
      <c r="N6" s="145">
        <v>0.14583333333333334</v>
      </c>
      <c r="O6" s="146">
        <v>450</v>
      </c>
      <c r="P6" s="1408">
        <v>900</v>
      </c>
      <c r="Q6" s="1408"/>
      <c r="R6" s="1409">
        <v>720</v>
      </c>
      <c r="S6" s="1408"/>
      <c r="T6" s="1421">
        <f>P6-R6</f>
        <v>180</v>
      </c>
      <c r="U6" s="1421"/>
      <c r="V6" s="224">
        <f t="shared" ref="V6:V13" si="0">F6+O6</f>
        <v>1102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0.33611111111111108</v>
      </c>
      <c r="E7" s="145">
        <v>0.79166666666666663</v>
      </c>
      <c r="F7" s="146">
        <f t="shared" ref="F7:F12" si="1">(E7-D7)*1440</f>
        <v>656</v>
      </c>
      <c r="G7" s="1447">
        <f>859+150</f>
        <v>1009</v>
      </c>
      <c r="H7" s="1448"/>
      <c r="I7" s="1403">
        <f>755+121</f>
        <v>876</v>
      </c>
      <c r="J7" s="1404"/>
      <c r="K7" s="1368">
        <f>G7-I7</f>
        <v>133</v>
      </c>
      <c r="L7" s="1397"/>
      <c r="M7" s="145">
        <v>0.79166666666666663</v>
      </c>
      <c r="N7" s="145">
        <v>0.14583333333333334</v>
      </c>
      <c r="O7" s="146">
        <v>450</v>
      </c>
      <c r="P7" s="1398">
        <v>718</v>
      </c>
      <c r="Q7" s="1398"/>
      <c r="R7" s="1398">
        <v>650</v>
      </c>
      <c r="S7" s="1398"/>
      <c r="T7" s="1399">
        <f t="shared" ref="T7:T13" si="2">P7-R7</f>
        <v>68</v>
      </c>
      <c r="U7" s="1399"/>
      <c r="V7" s="224">
        <f t="shared" si="0"/>
        <v>1106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0.33749999999999997</v>
      </c>
      <c r="E8" s="145">
        <v>0.79166666666666663</v>
      </c>
      <c r="F8" s="146">
        <f t="shared" si="1"/>
        <v>654</v>
      </c>
      <c r="G8" s="1447">
        <f>898+460</f>
        <v>1358</v>
      </c>
      <c r="H8" s="1448"/>
      <c r="I8" s="1396">
        <f>790+372</f>
        <v>1162</v>
      </c>
      <c r="J8" s="1396"/>
      <c r="K8" s="1368">
        <f t="shared" ref="K8:K13" si="3">G8-I8</f>
        <v>196</v>
      </c>
      <c r="L8" s="1397"/>
      <c r="M8" s="145">
        <v>0.79166666666666663</v>
      </c>
      <c r="N8" s="145">
        <v>0.14583333333333334</v>
      </c>
      <c r="O8" s="146">
        <v>450</v>
      </c>
      <c r="P8" s="1398">
        <v>802</v>
      </c>
      <c r="Q8" s="1398"/>
      <c r="R8" s="1398">
        <v>700</v>
      </c>
      <c r="S8" s="1398"/>
      <c r="T8" s="1399">
        <f t="shared" si="2"/>
        <v>102</v>
      </c>
      <c r="U8" s="1399"/>
      <c r="V8" s="224">
        <f t="shared" si="0"/>
        <v>1104</v>
      </c>
      <c r="W8" s="226"/>
    </row>
    <row r="9" spans="1:256" ht="18.75" customHeight="1">
      <c r="A9" s="142" t="s">
        <v>294</v>
      </c>
      <c r="B9" s="910" t="s">
        <v>637</v>
      </c>
      <c r="C9" s="144">
        <v>3</v>
      </c>
      <c r="D9" s="145">
        <v>0.34027777777777773</v>
      </c>
      <c r="E9" s="145">
        <v>0.79166666666666663</v>
      </c>
      <c r="F9" s="146">
        <f t="shared" si="1"/>
        <v>650</v>
      </c>
      <c r="G9" s="1447">
        <f>245+182</f>
        <v>427</v>
      </c>
      <c r="H9" s="1448"/>
      <c r="I9" s="1449">
        <f>151+70</f>
        <v>221</v>
      </c>
      <c r="J9" s="1449"/>
      <c r="K9" s="1368">
        <f t="shared" si="3"/>
        <v>206</v>
      </c>
      <c r="L9" s="1397"/>
      <c r="M9" s="145">
        <v>0.79166666666666663</v>
      </c>
      <c r="N9" s="145">
        <v>0.14583333333333334</v>
      </c>
      <c r="O9" s="146">
        <v>450</v>
      </c>
      <c r="P9" s="1398">
        <v>722</v>
      </c>
      <c r="Q9" s="1398"/>
      <c r="R9" s="1398">
        <v>684</v>
      </c>
      <c r="S9" s="1398"/>
      <c r="T9" s="1399">
        <f t="shared" si="2"/>
        <v>38</v>
      </c>
      <c r="U9" s="1399"/>
      <c r="V9" s="224">
        <f t="shared" si="0"/>
        <v>1100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0.33333333333333331</v>
      </c>
      <c r="E10" s="145">
        <v>0.79166666666666663</v>
      </c>
      <c r="F10" s="146">
        <f t="shared" si="1"/>
        <v>660</v>
      </c>
      <c r="G10" s="1447">
        <f>1121+603</f>
        <v>1724</v>
      </c>
      <c r="H10" s="1448"/>
      <c r="I10" s="1396">
        <f>986+487</f>
        <v>1473</v>
      </c>
      <c r="J10" s="1396"/>
      <c r="K10" s="1368">
        <f t="shared" si="3"/>
        <v>251</v>
      </c>
      <c r="L10" s="1397"/>
      <c r="M10" s="145">
        <v>0.79166666666666663</v>
      </c>
      <c r="N10" s="145">
        <v>0.14583333333333334</v>
      </c>
      <c r="O10" s="146">
        <v>450</v>
      </c>
      <c r="P10" s="1398">
        <v>1445</v>
      </c>
      <c r="Q10" s="1398"/>
      <c r="R10" s="1398">
        <v>1349</v>
      </c>
      <c r="S10" s="1398"/>
      <c r="T10" s="1399">
        <f t="shared" si="2"/>
        <v>96</v>
      </c>
      <c r="U10" s="1399"/>
      <c r="V10" s="224">
        <f t="shared" si="0"/>
        <v>1110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0.39583333333333331</v>
      </c>
      <c r="E11" s="145">
        <v>0.79166666666666663</v>
      </c>
      <c r="F11" s="146">
        <f t="shared" si="1"/>
        <v>570</v>
      </c>
      <c r="G11" s="1445">
        <f>458+654</f>
        <v>1112</v>
      </c>
      <c r="H11" s="1445"/>
      <c r="I11" s="1396">
        <f>353+469</f>
        <v>822</v>
      </c>
      <c r="J11" s="1396"/>
      <c r="K11" s="1368">
        <f>G11-I11</f>
        <v>290</v>
      </c>
      <c r="L11" s="1397"/>
      <c r="M11" s="145">
        <v>0.79166666666666663</v>
      </c>
      <c r="N11" s="145">
        <v>0.14583333333333334</v>
      </c>
      <c r="O11" s="146">
        <v>450</v>
      </c>
      <c r="P11" s="1398">
        <v>1052</v>
      </c>
      <c r="Q11" s="1398"/>
      <c r="R11" s="1398">
        <v>862</v>
      </c>
      <c r="S11" s="1398"/>
      <c r="T11" s="1399">
        <f t="shared" si="2"/>
        <v>190</v>
      </c>
      <c r="U11" s="1399"/>
      <c r="V11" s="224">
        <f t="shared" si="0"/>
        <v>1020</v>
      </c>
      <c r="W11" s="909"/>
    </row>
    <row r="12" spans="1:256" ht="18.75" customHeight="1">
      <c r="A12" s="142" t="s">
        <v>297</v>
      </c>
      <c r="B12" s="910" t="s">
        <v>624</v>
      </c>
      <c r="C12" s="144">
        <v>3</v>
      </c>
      <c r="D12" s="145">
        <v>0.35416666666666669</v>
      </c>
      <c r="E12" s="145">
        <v>0.79166666666666663</v>
      </c>
      <c r="F12" s="146">
        <f t="shared" si="1"/>
        <v>629.99999999999989</v>
      </c>
      <c r="G12" s="1445">
        <f>969+670</f>
        <v>1639</v>
      </c>
      <c r="H12" s="1445"/>
      <c r="I12" s="1396">
        <f>862+616</f>
        <v>1478</v>
      </c>
      <c r="J12" s="1396"/>
      <c r="K12" s="1368">
        <f t="shared" si="3"/>
        <v>161</v>
      </c>
      <c r="L12" s="1397"/>
      <c r="M12" s="145">
        <v>0.79166666666666663</v>
      </c>
      <c r="N12" s="145">
        <v>0.14583333333333334</v>
      </c>
      <c r="O12" s="146">
        <v>450</v>
      </c>
      <c r="P12" s="1398">
        <v>1196</v>
      </c>
      <c r="Q12" s="1398"/>
      <c r="R12" s="1398">
        <v>1179</v>
      </c>
      <c r="S12" s="1398"/>
      <c r="T12" s="1399">
        <f t="shared" si="2"/>
        <v>17</v>
      </c>
      <c r="U12" s="1399"/>
      <c r="V12" s="224">
        <f t="shared" si="0"/>
        <v>1080</v>
      </c>
      <c r="W12" s="909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46"/>
      <c r="H13" s="1446"/>
      <c r="I13" s="1400"/>
      <c r="J13" s="1400"/>
      <c r="K13" s="1366">
        <f t="shared" si="3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2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0.348015873015873</v>
      </c>
      <c r="E14" s="152">
        <f>AVERAGE(E6:E13)</f>
        <v>0.79166666666666674</v>
      </c>
      <c r="F14" s="153">
        <f>SUM(F6:F13)</f>
        <v>4472</v>
      </c>
      <c r="G14" s="1362">
        <f>SUM(G6:H13)</f>
        <v>8357</v>
      </c>
      <c r="H14" s="1363"/>
      <c r="I14" s="1362">
        <f>SUM(I6:I13)</f>
        <v>6848</v>
      </c>
      <c r="J14" s="1363"/>
      <c r="K14" s="1362">
        <f>SUM(K6:K13)</f>
        <v>1509</v>
      </c>
      <c r="L14" s="1394"/>
      <c r="M14" s="198">
        <f>AVERAGE(M6:M13)</f>
        <v>0.79166666666666674</v>
      </c>
      <c r="N14" s="199">
        <f>AVERAGE(N6:N13)</f>
        <v>0.14583333333333334</v>
      </c>
      <c r="O14" s="200">
        <f>SUM(O6:O13)</f>
        <v>3150</v>
      </c>
      <c r="P14" s="1392">
        <f>SUM(P6:P13)</f>
        <v>6835</v>
      </c>
      <c r="Q14" s="1393"/>
      <c r="R14" s="1392">
        <f>SUM(R6:R13)</f>
        <v>6144</v>
      </c>
      <c r="S14" s="1393"/>
      <c r="T14" s="1392">
        <f>SUM(T6:T13)</f>
        <v>691</v>
      </c>
      <c r="U14" s="1393"/>
      <c r="V14" s="228">
        <f>SUM(V6:V13)</f>
        <v>7622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4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5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>
        <v>45</v>
      </c>
      <c r="E17" s="160">
        <v>45</v>
      </c>
      <c r="F17" s="160">
        <v>45</v>
      </c>
      <c r="G17" s="160">
        <v>45</v>
      </c>
      <c r="H17" s="160">
        <v>45</v>
      </c>
      <c r="I17" s="160">
        <v>45</v>
      </c>
      <c r="J17" s="160">
        <v>45</v>
      </c>
      <c r="K17" s="160"/>
      <c r="L17" s="1112">
        <f t="shared" si="4"/>
        <v>315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5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4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5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4+6</f>
        <v>10</v>
      </c>
      <c r="E19" s="1070">
        <v>6</v>
      </c>
      <c r="F19" s="1059">
        <v>6</v>
      </c>
      <c r="G19" s="1070">
        <f>2+8</f>
        <v>10</v>
      </c>
      <c r="H19" s="1070">
        <v>8</v>
      </c>
      <c r="I19" s="1070">
        <v>6</v>
      </c>
      <c r="J19" s="1070">
        <v>4</v>
      </c>
      <c r="K19" s="1070"/>
      <c r="L19" s="1112">
        <f t="shared" si="4"/>
        <v>50</v>
      </c>
      <c r="M19" s="1070">
        <f>3+20</f>
        <v>23</v>
      </c>
      <c r="N19" s="1059">
        <f>15</f>
        <v>15</v>
      </c>
      <c r="O19" s="1070">
        <f>4+4+7</f>
        <v>15</v>
      </c>
      <c r="P19" s="1070">
        <f>10+15</f>
        <v>25</v>
      </c>
      <c r="Q19" s="1070">
        <f>3*4</f>
        <v>12</v>
      </c>
      <c r="R19" s="1059">
        <f>6+6+5+3</f>
        <v>20</v>
      </c>
      <c r="S19" s="1070">
        <f>3+3+3+3+3+3</f>
        <v>18</v>
      </c>
      <c r="T19" s="1070"/>
      <c r="U19" s="1113">
        <f t="shared" si="5"/>
        <v>128</v>
      </c>
      <c r="V19" s="1114">
        <f>L19+U19</f>
        <v>178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4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5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6">SUM(D16:D20)</f>
        <v>55</v>
      </c>
      <c r="E21" s="165">
        <f t="shared" si="6"/>
        <v>51</v>
      </c>
      <c r="F21" s="165">
        <f t="shared" si="6"/>
        <v>51</v>
      </c>
      <c r="G21" s="165">
        <f t="shared" si="6"/>
        <v>55</v>
      </c>
      <c r="H21" s="165">
        <f t="shared" si="6"/>
        <v>53</v>
      </c>
      <c r="I21" s="165">
        <f t="shared" si="6"/>
        <v>51</v>
      </c>
      <c r="J21" s="165">
        <f t="shared" si="6"/>
        <v>49</v>
      </c>
      <c r="K21" s="165">
        <f t="shared" si="6"/>
        <v>0</v>
      </c>
      <c r="L21" s="206">
        <f t="shared" si="4"/>
        <v>365</v>
      </c>
      <c r="M21" s="165">
        <f t="shared" ref="M21:T21" si="7">SUM(M16:M20)</f>
        <v>23</v>
      </c>
      <c r="N21" s="165">
        <f t="shared" si="7"/>
        <v>15</v>
      </c>
      <c r="O21" s="165">
        <f t="shared" si="7"/>
        <v>15</v>
      </c>
      <c r="P21" s="165">
        <f t="shared" si="7"/>
        <v>25</v>
      </c>
      <c r="Q21" s="165">
        <f t="shared" si="7"/>
        <v>12</v>
      </c>
      <c r="R21" s="165">
        <f t="shared" si="7"/>
        <v>20</v>
      </c>
      <c r="S21" s="165">
        <f t="shared" si="7"/>
        <v>18</v>
      </c>
      <c r="T21" s="165">
        <f t="shared" si="7"/>
        <v>0</v>
      </c>
      <c r="U21" s="165">
        <f t="shared" si="5"/>
        <v>128</v>
      </c>
      <c r="V21" s="1117">
        <f>L21+U21</f>
        <v>493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6+7+7</f>
        <v>20</v>
      </c>
      <c r="E23" s="159"/>
      <c r="F23" s="159">
        <v>5</v>
      </c>
      <c r="G23" s="159">
        <f>6+9+4+7+8+8+6+7+14+13+5+14+13</f>
        <v>114</v>
      </c>
      <c r="H23" s="159"/>
      <c r="I23" s="159">
        <v>15</v>
      </c>
      <c r="J23" s="159"/>
      <c r="K23" s="159"/>
      <c r="L23" s="208">
        <f>SUM(D23:K23)</f>
        <v>154</v>
      </c>
      <c r="M23" s="160"/>
      <c r="N23" s="160"/>
      <c r="O23" s="160">
        <v>5</v>
      </c>
      <c r="P23" s="160">
        <v>10</v>
      </c>
      <c r="Q23" s="160"/>
      <c r="R23" s="160"/>
      <c r="S23" s="160"/>
      <c r="T23" s="160"/>
      <c r="U23" s="238">
        <f>SUM(M23:T23)</f>
        <v>15</v>
      </c>
      <c r="V23" s="1112">
        <f>L23+U23</f>
        <v>169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6+6+4+6+7+4+5+4+5+8+4+5+11</f>
        <v>75</v>
      </c>
      <c r="E24" s="169">
        <f>6+4+2+6+4+5+4+5+8+4+5+11</f>
        <v>64</v>
      </c>
      <c r="F24" s="1258">
        <f>4+5+4+5+8+4+5+11</f>
        <v>46</v>
      </c>
      <c r="G24" s="169">
        <f>2+4+5+9+5+2+3+4+4+5+4+5+8+5+11</f>
        <v>76</v>
      </c>
      <c r="H24" s="169">
        <f>3+2+4+4+5+5+5+8+5+5+6+3</f>
        <v>55</v>
      </c>
      <c r="I24" s="169"/>
      <c r="J24" s="169">
        <f>2+3+6+4+25</f>
        <v>40</v>
      </c>
      <c r="K24" s="169"/>
      <c r="L24" s="1115">
        <f>SUM(D24:K24)</f>
        <v>356</v>
      </c>
      <c r="M24" s="1118">
        <f>6+6+2+8+11+6+2+5+3+4+6+4</f>
        <v>63</v>
      </c>
      <c r="N24" s="1119">
        <f>8+11+6+2+5+3+4+8+2+8</f>
        <v>57</v>
      </c>
      <c r="O24" s="1119">
        <f>8+11+6+2+5+3+4+8+2+8</f>
        <v>57</v>
      </c>
      <c r="P24" s="1119">
        <f>8+11+6+2+5+3+4+8+2+5+8</f>
        <v>62</v>
      </c>
      <c r="Q24" s="1119">
        <f>1+3+8+11+6+2+5+3+4+6+4+10</f>
        <v>63</v>
      </c>
      <c r="R24" s="1119">
        <f>6+9+7+20+3+3+8+5+7+10+10+5+15+5</f>
        <v>113</v>
      </c>
      <c r="S24" s="1119">
        <f>1+5+8+11+8+17+18+8+9</f>
        <v>85</v>
      </c>
      <c r="T24" s="1119"/>
      <c r="U24" s="1120">
        <f>SUM(M24:T24)</f>
        <v>500</v>
      </c>
      <c r="V24" s="1112">
        <f>L24+U24</f>
        <v>856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$F6-D$56-D$57-D$21-D$23-D$24-D$34-D$43</f>
        <v>126.33333333333337</v>
      </c>
      <c r="E25" s="171">
        <f>$F7-E$56-E$57-E$21-E$23-E$24-E$34-E$43</f>
        <v>26.666666666666629</v>
      </c>
      <c r="F25" s="171">
        <f>$F8-F$56-F$57-F$21-F$23-F$24-F$34-F$43</f>
        <v>99.333333333333314</v>
      </c>
      <c r="G25" s="171">
        <f>$F9-G$56-G$57-G$21-G$23-G$24-G$34-G$43</f>
        <v>262.66666666666669</v>
      </c>
      <c r="H25" s="171">
        <f>$F10-H$56-H$57-H$21-H$23-H$24-H$34-H$43</f>
        <v>-22.666666666666629</v>
      </c>
      <c r="I25" s="171">
        <f>$F11-I$56-I$57-I$21-I$23-I$24-I$34-I$43</f>
        <v>118.33333333333331</v>
      </c>
      <c r="J25" s="171">
        <f>$F12-J$56-J$57-J$21-J$23-J$24-J$34-J$43</f>
        <v>-5.3333333333334281</v>
      </c>
      <c r="K25" s="171">
        <f>$F13-K$56-K$57-K$21-K$23-K$24-K$34-K$43</f>
        <v>0</v>
      </c>
      <c r="L25" s="209">
        <f>SUM(D25:K25)</f>
        <v>605.33333333333326</v>
      </c>
      <c r="M25" s="171">
        <f>$O6-M$56-M$57-M$21-M$23-M$24-M$34-M$43</f>
        <v>64</v>
      </c>
      <c r="N25" s="171">
        <f>$O7-N$56-N$57-N$21-N$23-N$24-N$34-N$43</f>
        <v>98.666666666666657</v>
      </c>
      <c r="O25" s="171">
        <f>$O8-O$56-O$57-O$21-O$23-O$24-O$34-O$43</f>
        <v>105.66666666666666</v>
      </c>
      <c r="P25" s="171">
        <f>$O9-P$56-P$57-P$21-P$23-P$24-P$34-P$43</f>
        <v>112.33333333333331</v>
      </c>
      <c r="Q25" s="171">
        <f>$O10-Q$56-Q$57-Q$21-Q$23-Q$24-Q$34-Q$43</f>
        <v>-106.66666666666669</v>
      </c>
      <c r="R25" s="171">
        <f>$O11-R$56-R$57-R$21-R$23-R$24-R$34-R$43</f>
        <v>-33.666666666666629</v>
      </c>
      <c r="S25" s="171">
        <f>$O12-S$56-S$57-S$21-S$23-S$24-S$34-S$43</f>
        <v>-51.666666666666686</v>
      </c>
      <c r="T25" s="171">
        <f>$O13-T$56-T$57-T$21-T$23-T$24-T$34-T$43</f>
        <v>0</v>
      </c>
      <c r="U25" s="239">
        <f>SUM(M25:T25)</f>
        <v>188.66666666666663</v>
      </c>
      <c r="V25" s="1112">
        <f>L25+U25</f>
        <v>793.99999999999989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221.33333333333337</v>
      </c>
      <c r="E26" s="172">
        <f t="shared" ref="E26:K26" si="8">SUM(E23:E25)</f>
        <v>90.666666666666629</v>
      </c>
      <c r="F26" s="172">
        <f t="shared" si="8"/>
        <v>150.33333333333331</v>
      </c>
      <c r="G26" s="172">
        <f t="shared" si="8"/>
        <v>452.66666666666669</v>
      </c>
      <c r="H26" s="172">
        <f t="shared" si="8"/>
        <v>32.333333333333371</v>
      </c>
      <c r="I26" s="172">
        <f t="shared" si="8"/>
        <v>133.33333333333331</v>
      </c>
      <c r="J26" s="172">
        <f t="shared" si="8"/>
        <v>34.666666666666572</v>
      </c>
      <c r="K26" s="172">
        <f t="shared" si="8"/>
        <v>0</v>
      </c>
      <c r="L26" s="210">
        <f>SUM(D26:K26)</f>
        <v>1115.3333333333333</v>
      </c>
      <c r="M26" s="211">
        <f>SUM(M23:M25)</f>
        <v>127</v>
      </c>
      <c r="N26" s="211">
        <f t="shared" ref="N26:T26" si="9">SUM(N23:N25)</f>
        <v>155.66666666666666</v>
      </c>
      <c r="O26" s="211">
        <f t="shared" si="9"/>
        <v>167.66666666666666</v>
      </c>
      <c r="P26" s="211">
        <f t="shared" si="9"/>
        <v>184.33333333333331</v>
      </c>
      <c r="Q26" s="211">
        <f t="shared" si="9"/>
        <v>-43.666666666666686</v>
      </c>
      <c r="R26" s="211">
        <f t="shared" si="9"/>
        <v>79.333333333333371</v>
      </c>
      <c r="S26" s="211">
        <f t="shared" si="9"/>
        <v>33.333333333333314</v>
      </c>
      <c r="T26" s="211">
        <f t="shared" si="9"/>
        <v>0</v>
      </c>
      <c r="U26" s="240">
        <f>SUM(M26:T26)</f>
        <v>703.66666666666652</v>
      </c>
      <c r="V26" s="210">
        <f>L26+U26</f>
        <v>1818.9999999999998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>
        <v>13</v>
      </c>
      <c r="E28" s="159">
        <f>13+165</f>
        <v>178</v>
      </c>
      <c r="F28" s="159"/>
      <c r="G28" s="159"/>
      <c r="H28" s="159"/>
      <c r="I28" s="159">
        <v>15</v>
      </c>
      <c r="J28" s="159"/>
      <c r="K28" s="159"/>
      <c r="L28" s="202">
        <f t="shared" ref="L28:L34" si="10">SUM(D28:K28)</f>
        <v>206</v>
      </c>
      <c r="M28" s="159"/>
      <c r="N28" s="159">
        <v>40</v>
      </c>
      <c r="O28" s="159"/>
      <c r="P28" s="159"/>
      <c r="Q28" s="159"/>
      <c r="R28" s="159"/>
      <c r="S28" s="159"/>
      <c r="T28" s="159"/>
      <c r="U28" s="242">
        <f t="shared" ref="U28:U34" si="11">SUM(M28:T28)</f>
        <v>40</v>
      </c>
      <c r="V28" s="243">
        <f t="shared" ref="V28:V34" si="12">L28+U28</f>
        <v>246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0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1"/>
        <v>0</v>
      </c>
      <c r="V29" s="244">
        <f t="shared" si="12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0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1"/>
        <v>0</v>
      </c>
      <c r="V30" s="1112">
        <f t="shared" si="12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0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1"/>
        <v>0</v>
      </c>
      <c r="V31" s="1112">
        <f t="shared" si="12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0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1"/>
        <v>0</v>
      </c>
      <c r="V32" s="1112">
        <f t="shared" si="12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0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1"/>
        <v>0</v>
      </c>
      <c r="V33" s="1112">
        <f t="shared" si="12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3">SUM(D28:D33)</f>
        <v>13</v>
      </c>
      <c r="E34" s="175">
        <f t="shared" si="13"/>
        <v>178</v>
      </c>
      <c r="F34" s="176">
        <f t="shared" si="13"/>
        <v>0</v>
      </c>
      <c r="G34" s="176">
        <f t="shared" si="13"/>
        <v>0</v>
      </c>
      <c r="H34" s="176">
        <f t="shared" si="13"/>
        <v>0</v>
      </c>
      <c r="I34" s="176">
        <f t="shared" si="13"/>
        <v>15</v>
      </c>
      <c r="J34" s="176">
        <f t="shared" si="13"/>
        <v>0</v>
      </c>
      <c r="K34" s="176">
        <f t="shared" si="13"/>
        <v>0</v>
      </c>
      <c r="L34" s="213">
        <f t="shared" si="10"/>
        <v>206</v>
      </c>
      <c r="M34" s="175">
        <f t="shared" ref="M34:T34" si="14">SUM(M28:M33)</f>
        <v>0</v>
      </c>
      <c r="N34" s="176">
        <f t="shared" si="14"/>
        <v>40</v>
      </c>
      <c r="O34" s="176">
        <f t="shared" si="14"/>
        <v>0</v>
      </c>
      <c r="P34" s="176">
        <f t="shared" si="14"/>
        <v>0</v>
      </c>
      <c r="Q34" s="176">
        <f t="shared" si="14"/>
        <v>0</v>
      </c>
      <c r="R34" s="176">
        <f t="shared" si="14"/>
        <v>0</v>
      </c>
      <c r="S34" s="176">
        <f t="shared" si="14"/>
        <v>0</v>
      </c>
      <c r="T34" s="176">
        <f t="shared" si="14"/>
        <v>0</v>
      </c>
      <c r="U34" s="246">
        <f t="shared" si="11"/>
        <v>40</v>
      </c>
      <c r="V34" s="213">
        <f t="shared" si="12"/>
        <v>246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5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6">SUM(M36:T36)</f>
        <v>0</v>
      </c>
      <c r="V36" s="243">
        <f t="shared" ref="V36:V43" si="17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5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6"/>
        <v>0</v>
      </c>
      <c r="V37" s="1114">
        <f t="shared" si="17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5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6"/>
        <v>0</v>
      </c>
      <c r="V38" s="1114">
        <f t="shared" si="17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5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6"/>
        <v>0</v>
      </c>
      <c r="V39" s="1114">
        <f t="shared" si="17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5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6"/>
        <v>0</v>
      </c>
      <c r="V40" s="1114">
        <f t="shared" si="17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5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6"/>
        <v>0</v>
      </c>
      <c r="V41" s="1114">
        <f t="shared" si="17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5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6"/>
        <v>0</v>
      </c>
      <c r="V42" s="1114">
        <f t="shared" si="17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8">SUM(D36:D42)</f>
        <v>0</v>
      </c>
      <c r="E43" s="177">
        <f t="shared" si="18"/>
        <v>0</v>
      </c>
      <c r="F43" s="177">
        <f t="shared" si="18"/>
        <v>0</v>
      </c>
      <c r="G43" s="177">
        <f t="shared" si="18"/>
        <v>0</v>
      </c>
      <c r="H43" s="177">
        <f t="shared" si="18"/>
        <v>0</v>
      </c>
      <c r="I43" s="177">
        <f t="shared" si="18"/>
        <v>0</v>
      </c>
      <c r="J43" s="177">
        <f t="shared" si="18"/>
        <v>0</v>
      </c>
      <c r="K43" s="177">
        <f t="shared" si="18"/>
        <v>0</v>
      </c>
      <c r="L43" s="213">
        <f t="shared" si="15"/>
        <v>0</v>
      </c>
      <c r="M43" s="177">
        <f t="shared" ref="M43:T43" si="19">SUM(M36:M42)</f>
        <v>0</v>
      </c>
      <c r="N43" s="177">
        <f t="shared" si="19"/>
        <v>0</v>
      </c>
      <c r="O43" s="177">
        <f t="shared" si="19"/>
        <v>0</v>
      </c>
      <c r="P43" s="177">
        <f t="shared" si="19"/>
        <v>0</v>
      </c>
      <c r="Q43" s="177">
        <f t="shared" si="19"/>
        <v>0</v>
      </c>
      <c r="R43" s="177">
        <f t="shared" si="19"/>
        <v>0</v>
      </c>
      <c r="S43" s="177">
        <f t="shared" si="19"/>
        <v>0</v>
      </c>
      <c r="T43" s="177">
        <f t="shared" si="19"/>
        <v>0</v>
      </c>
      <c r="U43" s="165">
        <f t="shared" si="16"/>
        <v>0</v>
      </c>
      <c r="V43" s="213">
        <f t="shared" si="17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638</v>
      </c>
      <c r="B45" s="1039">
        <v>8.43</v>
      </c>
      <c r="C45" s="1038">
        <v>13</v>
      </c>
      <c r="D45" s="1349" t="s">
        <v>639</v>
      </c>
      <c r="E45" s="1350"/>
      <c r="F45" s="1350"/>
      <c r="G45" s="1350"/>
      <c r="H45" s="1350"/>
      <c r="I45" s="1350"/>
      <c r="J45" s="1351"/>
      <c r="K45" s="1059" t="s">
        <v>291</v>
      </c>
      <c r="L45" s="1060"/>
      <c r="M45" s="1060"/>
      <c r="N45" s="1060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 t="s">
        <v>640</v>
      </c>
      <c r="B46" s="1039">
        <v>9.2799999999999994</v>
      </c>
      <c r="C46" s="1038">
        <v>13</v>
      </c>
      <c r="D46" s="1349" t="s">
        <v>641</v>
      </c>
      <c r="E46" s="1350"/>
      <c r="F46" s="1350"/>
      <c r="G46" s="1350"/>
      <c r="H46" s="1350"/>
      <c r="I46" s="1350"/>
      <c r="J46" s="1351"/>
      <c r="K46" s="1059" t="s">
        <v>292</v>
      </c>
      <c r="L46" s="1069"/>
      <c r="M46" s="1070"/>
      <c r="N46" s="1437"/>
      <c r="O46" s="1438"/>
      <c r="P46" s="1438"/>
      <c r="Q46" s="1438"/>
      <c r="R46" s="1438"/>
      <c r="S46" s="1438"/>
      <c r="T46" s="1438"/>
      <c r="U46" s="1438"/>
      <c r="V46" s="1439"/>
      <c r="W46" s="250"/>
    </row>
    <row r="47" spans="1:23" ht="15" customHeight="1">
      <c r="A47" s="1058" t="s">
        <v>604</v>
      </c>
      <c r="B47" s="1076" t="s">
        <v>604</v>
      </c>
      <c r="C47" s="1124">
        <v>15</v>
      </c>
      <c r="D47" s="1077" t="s">
        <v>642</v>
      </c>
      <c r="E47" s="1063"/>
      <c r="F47" s="1063"/>
      <c r="G47" s="1063"/>
      <c r="H47" s="1063"/>
      <c r="I47" s="1063"/>
      <c r="J47" s="1063"/>
      <c r="K47" s="1071" t="s">
        <v>296</v>
      </c>
      <c r="L47" s="1069"/>
      <c r="M47" s="1070"/>
      <c r="N47" s="1063"/>
      <c r="O47" s="1074"/>
      <c r="P47" s="1063"/>
      <c r="Q47" s="1063"/>
      <c r="R47" s="1063"/>
      <c r="S47" s="1063"/>
      <c r="T47" s="1063"/>
      <c r="U47" s="1063"/>
      <c r="V47" s="1064"/>
      <c r="W47" s="250"/>
    </row>
    <row r="48" spans="1:23" ht="15" customHeight="1">
      <c r="A48" s="1058" t="s">
        <v>604</v>
      </c>
      <c r="B48" s="1039" t="s">
        <v>604</v>
      </c>
      <c r="C48" s="1038">
        <f>120+45</f>
        <v>165</v>
      </c>
      <c r="D48" s="1349" t="s">
        <v>643</v>
      </c>
      <c r="E48" s="1350"/>
      <c r="F48" s="1350"/>
      <c r="G48" s="1350"/>
      <c r="H48" s="1350"/>
      <c r="I48" s="1350"/>
      <c r="J48" s="1351"/>
      <c r="K48" s="1059" t="s">
        <v>292</v>
      </c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 t="s">
        <v>645</v>
      </c>
      <c r="B49" s="1039">
        <v>22.1</v>
      </c>
      <c r="C49" s="1038">
        <v>40</v>
      </c>
      <c r="D49" s="1349" t="s">
        <v>646</v>
      </c>
      <c r="E49" s="1350"/>
      <c r="F49" s="1350"/>
      <c r="G49" s="1350"/>
      <c r="H49" s="1350"/>
      <c r="I49" s="1350"/>
      <c r="J49" s="1351"/>
      <c r="K49" s="1059" t="s">
        <v>292</v>
      </c>
      <c r="L49" s="1069"/>
      <c r="M49" s="1072"/>
      <c r="N49" s="107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58"/>
      <c r="B50" s="1039"/>
      <c r="C50" s="1038"/>
      <c r="D50" s="1349"/>
      <c r="E50" s="1350"/>
      <c r="F50" s="1350"/>
      <c r="G50" s="1350"/>
      <c r="H50" s="1350"/>
      <c r="I50" s="1350"/>
      <c r="J50" s="1351"/>
      <c r="K50" s="1059"/>
      <c r="L50" s="1069"/>
      <c r="M50" s="106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58"/>
      <c r="B51" s="1237"/>
      <c r="C51" s="1238"/>
      <c r="D51" s="1236"/>
      <c r="E51" s="1235"/>
      <c r="F51" s="1235"/>
      <c r="G51" s="1235"/>
      <c r="H51" s="1235"/>
      <c r="I51" s="1235"/>
      <c r="J51" s="1235"/>
      <c r="K51" s="105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228"/>
      <c r="W51" s="250"/>
    </row>
    <row r="52" spans="1:25" ht="15" customHeight="1">
      <c r="A52" s="1075"/>
      <c r="B52" s="1076"/>
      <c r="C52" s="1124"/>
      <c r="D52" s="1077"/>
      <c r="E52" s="1063"/>
      <c r="F52" s="1063"/>
      <c r="G52" s="1063"/>
      <c r="H52" s="1063"/>
      <c r="I52" s="1063"/>
      <c r="J52" s="1063"/>
      <c r="K52" s="1071"/>
      <c r="L52" s="1065"/>
      <c r="M52" s="1065"/>
      <c r="N52" s="1353"/>
      <c r="O52" s="1354"/>
      <c r="P52" s="1354"/>
      <c r="Q52" s="1354"/>
      <c r="R52" s="1354"/>
      <c r="S52" s="1354"/>
      <c r="T52" s="1354"/>
      <c r="U52" s="1354"/>
      <c r="V52" s="1355"/>
      <c r="W52" s="250"/>
    </row>
    <row r="53" spans="1:25" ht="15" customHeight="1" thickBot="1">
      <c r="A53" s="1080"/>
      <c r="B53" s="1081"/>
      <c r="C53" s="1125"/>
      <c r="D53" s="1082"/>
      <c r="E53" s="1083"/>
      <c r="F53" s="1083"/>
      <c r="G53" s="1083"/>
      <c r="H53" s="1083"/>
      <c r="I53" s="1083"/>
      <c r="J53" s="1083"/>
      <c r="K53" s="1084"/>
      <c r="L53" s="1084"/>
      <c r="M53" s="1126"/>
      <c r="N53" s="216"/>
      <c r="O53" s="1127"/>
      <c r="P53" s="1083"/>
      <c r="Q53" s="1083"/>
      <c r="R53" s="1083"/>
      <c r="S53" s="1083"/>
      <c r="T53" s="1083"/>
      <c r="U53" s="1083"/>
      <c r="V53" s="1128"/>
      <c r="W53" s="250"/>
    </row>
    <row r="54" spans="1:25" ht="18" customHeight="1" thickBot="1">
      <c r="A54" s="183" t="s">
        <v>337</v>
      </c>
      <c r="B54" s="184" t="s">
        <v>338</v>
      </c>
      <c r="C54" s="184"/>
      <c r="D54" s="166" t="s">
        <v>300</v>
      </c>
      <c r="E54" s="166" t="s">
        <v>301</v>
      </c>
      <c r="F54" s="166" t="s">
        <v>302</v>
      </c>
      <c r="G54" s="166" t="s">
        <v>303</v>
      </c>
      <c r="H54" s="166" t="s">
        <v>304</v>
      </c>
      <c r="I54" s="166" t="s">
        <v>305</v>
      </c>
      <c r="J54" s="166" t="s">
        <v>306</v>
      </c>
      <c r="K54" s="166" t="s">
        <v>307</v>
      </c>
      <c r="L54" s="207" t="s">
        <v>173</v>
      </c>
      <c r="M54" s="166" t="s">
        <v>300</v>
      </c>
      <c r="N54" s="166" t="s">
        <v>301</v>
      </c>
      <c r="O54" s="166" t="s">
        <v>302</v>
      </c>
      <c r="P54" s="166" t="s">
        <v>303</v>
      </c>
      <c r="Q54" s="166" t="s">
        <v>304</v>
      </c>
      <c r="R54" s="166" t="s">
        <v>305</v>
      </c>
      <c r="S54" s="166" t="s">
        <v>306</v>
      </c>
      <c r="T54" s="166" t="s">
        <v>307</v>
      </c>
      <c r="U54" s="166" t="s">
        <v>173</v>
      </c>
      <c r="V54" s="207" t="s">
        <v>367</v>
      </c>
      <c r="W54" s="231"/>
    </row>
    <row r="55" spans="1:25" ht="18" customHeight="1">
      <c r="A55" s="185">
        <v>1</v>
      </c>
      <c r="B55" s="186" t="s">
        <v>223</v>
      </c>
      <c r="C55" s="158"/>
      <c r="D55" s="187">
        <f>$F6-D$21-D$43-D$34</f>
        <v>584</v>
      </c>
      <c r="E55" s="187">
        <f>$F7-E$21-E$43-E$34</f>
        <v>427</v>
      </c>
      <c r="F55" s="187">
        <f>$F8-F$21-F$43-F$34</f>
        <v>603</v>
      </c>
      <c r="G55" s="187">
        <f>$F9-G$21-G$43-G$34</f>
        <v>595</v>
      </c>
      <c r="H55" s="187">
        <f>$F10-H$21-H$43-H$34</f>
        <v>607</v>
      </c>
      <c r="I55" s="187">
        <f>$F11-I$21-I$43-I$34</f>
        <v>504</v>
      </c>
      <c r="J55" s="187">
        <f>$F12-J$21-J$43-J$34</f>
        <v>580.99999999999989</v>
      </c>
      <c r="K55" s="187">
        <f>$F13-K$21-K$43-K$34</f>
        <v>0</v>
      </c>
      <c r="L55" s="202">
        <f>SUM(D55:K55)</f>
        <v>3901</v>
      </c>
      <c r="M55" s="187">
        <f>O6-M21-M43-M34</f>
        <v>427</v>
      </c>
      <c r="N55" s="187">
        <f>O7-N21-N43-N34</f>
        <v>395</v>
      </c>
      <c r="O55" s="187">
        <f>O8-O21-O43-O34</f>
        <v>435</v>
      </c>
      <c r="P55" s="187">
        <f>O9-P21-P43-P34</f>
        <v>425</v>
      </c>
      <c r="Q55" s="187">
        <f>O10-Q21-Q43-Q34</f>
        <v>438</v>
      </c>
      <c r="R55" s="187">
        <f>O11-R21-R43-R34</f>
        <v>430</v>
      </c>
      <c r="S55" s="187">
        <f>O12-S21-S43-S34</f>
        <v>432</v>
      </c>
      <c r="T55" s="187">
        <f>O13-T21-T43-T34</f>
        <v>0</v>
      </c>
      <c r="U55" s="242">
        <f>SUM(M55:T55)</f>
        <v>2982</v>
      </c>
      <c r="V55" s="202">
        <f>L55+U55</f>
        <v>6883</v>
      </c>
      <c r="W55" s="233"/>
    </row>
    <row r="56" spans="1:25" ht="18" customHeight="1">
      <c r="A56" s="1085">
        <v>2</v>
      </c>
      <c r="B56" s="1086" t="s">
        <v>339</v>
      </c>
      <c r="C56" s="1046"/>
      <c r="D56" s="1087">
        <f>$K6/$C6</f>
        <v>90.666666666666671</v>
      </c>
      <c r="E56" s="1087">
        <f>$K7/$C7</f>
        <v>44.333333333333336</v>
      </c>
      <c r="F56" s="1087">
        <f>$K8/$C8</f>
        <v>65.333333333333329</v>
      </c>
      <c r="G56" s="1087">
        <f>$K9/$C9</f>
        <v>68.666666666666671</v>
      </c>
      <c r="H56" s="1087">
        <f>$K10/$C10</f>
        <v>83.666666666666671</v>
      </c>
      <c r="I56" s="1087">
        <f>$K11/$C11</f>
        <v>96.666666666666671</v>
      </c>
      <c r="J56" s="1087">
        <f>$K12/$C12</f>
        <v>53.666666666666664</v>
      </c>
      <c r="K56" s="1087">
        <f>$K13/$C13</f>
        <v>0</v>
      </c>
      <c r="L56" s="1112">
        <f>SUM(D56:K56)</f>
        <v>503.00000000000006</v>
      </c>
      <c r="M56" s="1087">
        <f>T6/C6</f>
        <v>60</v>
      </c>
      <c r="N56" s="1087">
        <f>T7/C7</f>
        <v>22.666666666666668</v>
      </c>
      <c r="O56" s="1087">
        <f>$T$8/$C$8</f>
        <v>34</v>
      </c>
      <c r="P56" s="1087">
        <f>$T$9/$C$9</f>
        <v>12.666666666666666</v>
      </c>
      <c r="Q56" s="1087">
        <f>$T$10/$C$10</f>
        <v>32</v>
      </c>
      <c r="R56" s="1087">
        <f>$T$11/$C$11</f>
        <v>63.333333333333336</v>
      </c>
      <c r="S56" s="1087">
        <f>$T$12/$C$12</f>
        <v>5.666666666666667</v>
      </c>
      <c r="T56" s="1087">
        <f>$T$13/$C$13</f>
        <v>0</v>
      </c>
      <c r="U56" s="1129">
        <f>SUM(M56:T56)</f>
        <v>230.33333333333334</v>
      </c>
      <c r="V56" s="1112">
        <f>L56+U56</f>
        <v>733.33333333333337</v>
      </c>
      <c r="W56" s="233"/>
    </row>
    <row r="57" spans="1:25" ht="18" customHeight="1" thickBot="1">
      <c r="A57" s="1031">
        <v>3</v>
      </c>
      <c r="B57" s="1088" t="s">
        <v>340</v>
      </c>
      <c r="C57" s="1056"/>
      <c r="D57" s="1087">
        <f>$I6/$C6</f>
        <v>272</v>
      </c>
      <c r="E57" s="1087">
        <f>$I7/$C7</f>
        <v>292</v>
      </c>
      <c r="F57" s="1087">
        <f>$I8/$C8</f>
        <v>387.33333333333331</v>
      </c>
      <c r="G57" s="1087">
        <f>$I9/$C9</f>
        <v>73.666666666666671</v>
      </c>
      <c r="H57" s="1087">
        <f>$I10/$C10</f>
        <v>491</v>
      </c>
      <c r="I57" s="1087">
        <f>$I11/$C11</f>
        <v>274</v>
      </c>
      <c r="J57" s="1087">
        <f>$I12/$C12</f>
        <v>492.66666666666669</v>
      </c>
      <c r="K57" s="1087">
        <f>$I13/$C13</f>
        <v>0</v>
      </c>
      <c r="L57" s="1115">
        <f>SUM(D57:K57)</f>
        <v>2282.6666666666665</v>
      </c>
      <c r="M57" s="1130">
        <f>R6/C6</f>
        <v>240</v>
      </c>
      <c r="N57" s="1130">
        <f>R7/C7</f>
        <v>216.66666666666666</v>
      </c>
      <c r="O57" s="1130">
        <f>R8/C8</f>
        <v>233.33333333333334</v>
      </c>
      <c r="P57" s="1130">
        <f>R9/C9</f>
        <v>228</v>
      </c>
      <c r="Q57" s="1130">
        <f>R10/C10</f>
        <v>449.66666666666669</v>
      </c>
      <c r="R57" s="1130">
        <f>R11/C11</f>
        <v>287.33333333333331</v>
      </c>
      <c r="S57" s="1130">
        <f>R12/C12</f>
        <v>393</v>
      </c>
      <c r="T57" s="1130">
        <f>R13/C13</f>
        <v>0</v>
      </c>
      <c r="U57" s="1131">
        <f>SUM(M57:T57)</f>
        <v>2048</v>
      </c>
      <c r="V57" s="1115">
        <f>L57+U57</f>
        <v>4330.6666666666661</v>
      </c>
      <c r="W57" s="233"/>
    </row>
    <row r="58" spans="1:25" ht="18" customHeight="1">
      <c r="A58" s="185">
        <v>4</v>
      </c>
      <c r="B58" s="186" t="s">
        <v>341</v>
      </c>
      <c r="C58" s="158"/>
      <c r="D58" s="188">
        <f>IF(F6=0,0,D21/F6*100)</f>
        <v>8.4355828220858893</v>
      </c>
      <c r="E58" s="188">
        <f>IF(F7=0,0,E21/F7*100)</f>
        <v>7.774390243902439</v>
      </c>
      <c r="F58" s="188">
        <f>IF(F8=0,0,F21/F8*100)</f>
        <v>7.7981651376146797</v>
      </c>
      <c r="G58" s="188">
        <f>IF(F9=0,0,G21/F9*100)</f>
        <v>8.4615384615384617</v>
      </c>
      <c r="H58" s="188">
        <f>IF(F10=0,0,H21/F10*100)</f>
        <v>8.0303030303030312</v>
      </c>
      <c r="I58" s="188">
        <f>IF(F11=0,0,I21/F11*100)</f>
        <v>8.9473684210526319</v>
      </c>
      <c r="J58" s="188">
        <f>IF(F12=0,0,J21/F12*100)</f>
        <v>7.7777777777777795</v>
      </c>
      <c r="K58" s="188">
        <f>IF(F13=0,0,K21/F13*100)</f>
        <v>0</v>
      </c>
      <c r="L58" s="217">
        <f>IF(F14=0,0,L21/F14*100)</f>
        <v>8.1618962432915918</v>
      </c>
      <c r="M58" s="188">
        <f>IF(O6=0,0,M21/O6*100)</f>
        <v>5.1111111111111116</v>
      </c>
      <c r="N58" s="188">
        <f>IF(O7=0,0,N21/O7*100)</f>
        <v>3.3333333333333335</v>
      </c>
      <c r="O58" s="188">
        <f>IF(O8=0,0,O21/O8*100)</f>
        <v>3.3333333333333335</v>
      </c>
      <c r="P58" s="188">
        <f>IF(O9=0,0,P21/O9*100)</f>
        <v>5.5555555555555554</v>
      </c>
      <c r="Q58" s="188">
        <f>IF(O10=0,0,Q21/O10*100)</f>
        <v>2.666666666666667</v>
      </c>
      <c r="R58" s="188">
        <f>IF(O11=0,0,R21/O11*100)</f>
        <v>4.4444444444444446</v>
      </c>
      <c r="S58" s="188">
        <f>IF(O12=0,0,S21/O12*100)</f>
        <v>4</v>
      </c>
      <c r="T58" s="188">
        <f>IF(O13=0,0,T21/O13*100)</f>
        <v>0</v>
      </c>
      <c r="U58" s="251">
        <f>IF(O14=0,0,U21/O14*100)</f>
        <v>4.0634920634920633</v>
      </c>
      <c r="V58" s="217">
        <f>IF((F14+O14)=0,0,V21/(F14+O14)*100)</f>
        <v>6.4681186040409342</v>
      </c>
      <c r="W58" s="252"/>
    </row>
    <row r="59" spans="1:25" ht="18" customHeight="1">
      <c r="A59" s="1085">
        <v>5</v>
      </c>
      <c r="B59" s="1086" t="s">
        <v>342</v>
      </c>
      <c r="C59" s="1046"/>
      <c r="D59" s="1090">
        <f>IF(F6=0,0,D34/F6*100)</f>
        <v>1.9938650306748467</v>
      </c>
      <c r="E59" s="1090">
        <f>IF(F7=0,0,E34/F7*100)</f>
        <v>27.134146341463417</v>
      </c>
      <c r="F59" s="1090">
        <f>IF(F8=0,0,F34/F8*100)</f>
        <v>0</v>
      </c>
      <c r="G59" s="1090">
        <f>IF(F9=0,0,G34/F9*100)</f>
        <v>0</v>
      </c>
      <c r="H59" s="1090">
        <f>IF(F10=0,0,H34/F10*100)</f>
        <v>0</v>
      </c>
      <c r="I59" s="1090">
        <f>IF(F11=0,0,I34/F11*100)</f>
        <v>2.6315789473684208</v>
      </c>
      <c r="J59" s="1090">
        <f>IF(F12=0,0,J34/F12*100)</f>
        <v>0</v>
      </c>
      <c r="K59" s="1090">
        <f>IF(F13=0,0,K34/F13*100)</f>
        <v>0</v>
      </c>
      <c r="L59" s="1132">
        <f>IF(F14=0,0,L34/F14*100)</f>
        <v>4.6064400715563512</v>
      </c>
      <c r="M59" s="1090">
        <f>IF(O6=0,0,M34/O6*100)</f>
        <v>0</v>
      </c>
      <c r="N59" s="1090">
        <f>IF(O7=0,0,N34/O7*100)</f>
        <v>8.8888888888888893</v>
      </c>
      <c r="O59" s="1090">
        <f>IF(O8=0,0,O34/O8*100)</f>
        <v>0</v>
      </c>
      <c r="P59" s="1090">
        <f>IF(O9=0,0,P34/O9*100)</f>
        <v>0</v>
      </c>
      <c r="Q59" s="1090">
        <f>IF(O10=0,0,Q34/O10*100)</f>
        <v>0</v>
      </c>
      <c r="R59" s="1090">
        <f>IF(O11=0,0,R34/O11*100)</f>
        <v>0</v>
      </c>
      <c r="S59" s="1090">
        <f>IF(O12=0,0,S34/O12*100)</f>
        <v>0</v>
      </c>
      <c r="T59" s="1090">
        <f>IF(O13=0,0,T34/O13*100)</f>
        <v>0</v>
      </c>
      <c r="U59" s="1133">
        <f>IF(O14=0,0,U34/O14*100)</f>
        <v>1.2698412698412698</v>
      </c>
      <c r="V59" s="1132">
        <f>IF((F14+O14)=0,0,V34/(F14+O14)*100)</f>
        <v>3.2274993440041984</v>
      </c>
      <c r="W59" s="252"/>
      <c r="Y59" s="258">
        <f>SUM(V58:V61)</f>
        <v>100</v>
      </c>
    </row>
    <row r="60" spans="1:25" ht="18" customHeight="1">
      <c r="A60" s="1085">
        <v>6</v>
      </c>
      <c r="B60" s="1086" t="s">
        <v>343</v>
      </c>
      <c r="C60" s="1046"/>
      <c r="D60" s="1090">
        <f>IF(F6=0,0,D43/F6*100)</f>
        <v>0</v>
      </c>
      <c r="E60" s="1090">
        <f>IF(F7=0,0,E43/F7*100)</f>
        <v>0</v>
      </c>
      <c r="F60" s="1090">
        <f>IF(F8=0,0,F43/F8*100)</f>
        <v>0</v>
      </c>
      <c r="G60" s="1090">
        <f>IF(F9=0,0,G43/F9*100)</f>
        <v>0</v>
      </c>
      <c r="H60" s="1090">
        <f>IF(F10=0,0,H43/F10*100)</f>
        <v>0</v>
      </c>
      <c r="I60" s="1090">
        <f>IF(F11=0,0,I43/F11*100)</f>
        <v>0</v>
      </c>
      <c r="J60" s="1090">
        <f>IF(F12=0,0,J43/F12*100)</f>
        <v>0</v>
      </c>
      <c r="K60" s="1090">
        <f>IF(F13=0,0,K43/F13*100)</f>
        <v>0</v>
      </c>
      <c r="L60" s="1132">
        <f>IF(F14=0,0,L43/F14*100)</f>
        <v>0</v>
      </c>
      <c r="M60" s="1090">
        <f>IF(O6=0,0,M43/O6*100)</f>
        <v>0</v>
      </c>
      <c r="N60" s="1090">
        <f>IF(O7=0,0,N43/O7*100)</f>
        <v>0</v>
      </c>
      <c r="O60" s="1090">
        <f>IF(O8=0,0,O43/O8*100)</f>
        <v>0</v>
      </c>
      <c r="P60" s="1090">
        <f>IF(O9=0,0,P43/O9*100)</f>
        <v>0</v>
      </c>
      <c r="Q60" s="1090">
        <f>IF(O10=0,0,Q43/O10*100)</f>
        <v>0</v>
      </c>
      <c r="R60" s="1090">
        <f>IF(O11=0,0,R43/O11*100)</f>
        <v>0</v>
      </c>
      <c r="S60" s="1090">
        <f>IF(O12=0,0,S43/O12*100)</f>
        <v>0</v>
      </c>
      <c r="T60" s="1090">
        <f>IF(O13=0,0,T43/O13*100)</f>
        <v>0</v>
      </c>
      <c r="U60" s="1133">
        <f>IF(O14=0,0,U43/O14*100)</f>
        <v>0</v>
      </c>
      <c r="V60" s="1132">
        <f>IF((F14+O14)=0,0,V43/(F14+O14)*100)</f>
        <v>0</v>
      </c>
      <c r="W60" s="252"/>
    </row>
    <row r="61" spans="1:25" ht="18" customHeight="1" thickBot="1">
      <c r="A61" s="1031">
        <v>7</v>
      </c>
      <c r="B61" s="1092" t="s">
        <v>344</v>
      </c>
      <c r="C61" s="1056"/>
      <c r="D61" s="1093">
        <f>IF(F6=0,0,D55/F6*100)</f>
        <v>89.570552147239269</v>
      </c>
      <c r="E61" s="1093">
        <f>IF(F7=0,0,E55/F7*100)</f>
        <v>65.091463414634148</v>
      </c>
      <c r="F61" s="1093">
        <f>IF(F8=0,0,F55/F8*100)</f>
        <v>92.201834862385326</v>
      </c>
      <c r="G61" s="1093">
        <f>IF(F9=0,0,G55/F9*100)</f>
        <v>91.538461538461533</v>
      </c>
      <c r="H61" s="1093">
        <f>IF(F10=0,0,H55/F10*100)</f>
        <v>91.969696969696969</v>
      </c>
      <c r="I61" s="1093">
        <f>IF(F11=0,0,I55/F11*100)</f>
        <v>88.421052631578945</v>
      </c>
      <c r="J61" s="1093">
        <f>IF(F12=0,0,J55/F12*100)</f>
        <v>92.222222222222214</v>
      </c>
      <c r="K61" s="1093">
        <f>IF(F13=0,0,K55/F13*100)</f>
        <v>0</v>
      </c>
      <c r="L61" s="1134">
        <f>IF(F14=0,0,L55/F14*100)</f>
        <v>87.231663685152057</v>
      </c>
      <c r="M61" s="1095">
        <f>IF(O6=0,0,M55/O6*100)</f>
        <v>94.888888888888886</v>
      </c>
      <c r="N61" s="1095">
        <f>IF(O7=0,0,N55/O7*100)</f>
        <v>87.777777777777771</v>
      </c>
      <c r="O61" s="1095">
        <f>IF(O8=0,0,O55/O8*100)</f>
        <v>96.666666666666671</v>
      </c>
      <c r="P61" s="1095">
        <f>IF(O9=0,0,P55/O9*100)</f>
        <v>94.444444444444443</v>
      </c>
      <c r="Q61" s="1095">
        <f>IF(O10=0,0,Q55/O10*100)</f>
        <v>97.333333333333343</v>
      </c>
      <c r="R61" s="1095">
        <f>IF(O11=0,0,R55/O11*100)</f>
        <v>95.555555555555557</v>
      </c>
      <c r="S61" s="1095">
        <f>IF(O12=0,0,S55/O12*100)</f>
        <v>96</v>
      </c>
      <c r="T61" s="1095">
        <f>IF(O13=0,0,T55/O13*100)</f>
        <v>0</v>
      </c>
      <c r="U61" s="1093">
        <f>IF(O14=0,0,U55/O14*100)</f>
        <v>94.666666666666671</v>
      </c>
      <c r="V61" s="1134">
        <f>IF((F14+O14)=0,0,V55/(F14+O14)*100)</f>
        <v>90.304382051954875</v>
      </c>
      <c r="W61" s="252"/>
    </row>
    <row r="62" spans="1:25" ht="18" customHeight="1">
      <c r="A62" s="185">
        <v>8</v>
      </c>
      <c r="B62" s="186" t="s">
        <v>345</v>
      </c>
      <c r="C62" s="158"/>
      <c r="D62" s="188">
        <f>IF(D55=0,0,D56/D55*100)</f>
        <v>15.525114155251144</v>
      </c>
      <c r="E62" s="188">
        <f>IF(E55=0,0,E56/E55*100)</f>
        <v>10.382513661202186</v>
      </c>
      <c r="F62" s="188">
        <f t="shared" ref="F62:V62" si="20">IF(F55=0,0,F56/F55*100)</f>
        <v>10.834715312327251</v>
      </c>
      <c r="G62" s="188">
        <f t="shared" si="20"/>
        <v>11.540616246498599</v>
      </c>
      <c r="H62" s="188">
        <f t="shared" si="20"/>
        <v>13.783635365183965</v>
      </c>
      <c r="I62" s="188">
        <f t="shared" si="20"/>
        <v>19.17989417989418</v>
      </c>
      <c r="J62" s="188">
        <f t="shared" si="20"/>
        <v>9.2369477911646598</v>
      </c>
      <c r="K62" s="188">
        <f t="shared" si="20"/>
        <v>0</v>
      </c>
      <c r="L62" s="217">
        <f t="shared" si="20"/>
        <v>12.894129710330684</v>
      </c>
      <c r="M62" s="188">
        <f t="shared" si="20"/>
        <v>14.051522248243559</v>
      </c>
      <c r="N62" s="188">
        <f t="shared" si="20"/>
        <v>5.7383966244725739</v>
      </c>
      <c r="O62" s="188">
        <f t="shared" si="20"/>
        <v>7.8160919540229887</v>
      </c>
      <c r="P62" s="188">
        <f t="shared" si="20"/>
        <v>2.9803921568627452</v>
      </c>
      <c r="Q62" s="188">
        <f t="shared" si="20"/>
        <v>7.3059360730593603</v>
      </c>
      <c r="R62" s="188">
        <f t="shared" si="20"/>
        <v>14.728682170542637</v>
      </c>
      <c r="S62" s="188">
        <f t="shared" si="20"/>
        <v>1.3117283950617284</v>
      </c>
      <c r="T62" s="188">
        <f t="shared" si="20"/>
        <v>0</v>
      </c>
      <c r="U62" s="251">
        <f t="shared" si="20"/>
        <v>7.7241225128549074</v>
      </c>
      <c r="V62" s="217">
        <f t="shared" si="20"/>
        <v>10.654268971863043</v>
      </c>
      <c r="W62" s="252"/>
    </row>
    <row r="63" spans="1:25" ht="18" customHeight="1">
      <c r="A63" s="1085">
        <v>9</v>
      </c>
      <c r="B63" s="1086" t="s">
        <v>346</v>
      </c>
      <c r="C63" s="1046"/>
      <c r="D63" s="1090">
        <f t="shared" ref="D63:V63" si="21">IF(D55=0,0,D26/D55*100)</f>
        <v>37.899543378995446</v>
      </c>
      <c r="E63" s="1090">
        <f t="shared" si="21"/>
        <v>21.233411397345815</v>
      </c>
      <c r="F63" s="1090">
        <f t="shared" si="21"/>
        <v>24.930901050304033</v>
      </c>
      <c r="G63" s="1090">
        <f t="shared" si="21"/>
        <v>76.078431372549034</v>
      </c>
      <c r="H63" s="1090">
        <f t="shared" si="21"/>
        <v>5.3267435475013798</v>
      </c>
      <c r="I63" s="1090">
        <f t="shared" si="21"/>
        <v>26.455026455026452</v>
      </c>
      <c r="J63" s="1090">
        <f t="shared" si="21"/>
        <v>5.9667240390131804</v>
      </c>
      <c r="K63" s="1090">
        <f t="shared" si="21"/>
        <v>0</v>
      </c>
      <c r="L63" s="1132">
        <f t="shared" si="21"/>
        <v>28.590959583012896</v>
      </c>
      <c r="M63" s="1090">
        <f t="shared" si="21"/>
        <v>29.742388758782202</v>
      </c>
      <c r="N63" s="1090">
        <f t="shared" si="21"/>
        <v>39.40928270042194</v>
      </c>
      <c r="O63" s="1090">
        <f t="shared" si="21"/>
        <v>38.544061302681989</v>
      </c>
      <c r="P63" s="1090">
        <f t="shared" si="21"/>
        <v>43.372549019607838</v>
      </c>
      <c r="Q63" s="1090">
        <f t="shared" si="21"/>
        <v>-9.9695585996955902</v>
      </c>
      <c r="R63" s="1090">
        <f t="shared" si="21"/>
        <v>18.449612403100783</v>
      </c>
      <c r="S63" s="1090">
        <f t="shared" si="21"/>
        <v>7.7160493827160446</v>
      </c>
      <c r="T63" s="1090">
        <f t="shared" si="21"/>
        <v>0</v>
      </c>
      <c r="U63" s="1133">
        <f t="shared" si="21"/>
        <v>23.597138385870775</v>
      </c>
      <c r="V63" s="1132">
        <f t="shared" si="21"/>
        <v>26.427429899753012</v>
      </c>
      <c r="W63" s="252"/>
      <c r="Y63" s="258">
        <f>SUM(V62:V64)</f>
        <v>100</v>
      </c>
    </row>
    <row r="64" spans="1:25" ht="18" customHeight="1" thickBot="1">
      <c r="A64" s="1031">
        <v>10</v>
      </c>
      <c r="B64" s="1092" t="s">
        <v>347</v>
      </c>
      <c r="C64" s="1056"/>
      <c r="D64" s="1095">
        <f t="shared" ref="D64:V64" si="22">IF(D55=0,0,D57/D55*100)</f>
        <v>46.575342465753423</v>
      </c>
      <c r="E64" s="1095">
        <f t="shared" si="22"/>
        <v>68.384074941451985</v>
      </c>
      <c r="F64" s="1095">
        <f t="shared" si="22"/>
        <v>64.234383637368708</v>
      </c>
      <c r="G64" s="1095">
        <f t="shared" si="22"/>
        <v>12.380952380952381</v>
      </c>
      <c r="H64" s="1095">
        <f t="shared" si="22"/>
        <v>80.889621087314666</v>
      </c>
      <c r="I64" s="1095">
        <f t="shared" si="22"/>
        <v>54.36507936507936</v>
      </c>
      <c r="J64" s="1095">
        <f t="shared" si="22"/>
        <v>84.796328169822161</v>
      </c>
      <c r="K64" s="1095">
        <f t="shared" si="22"/>
        <v>0</v>
      </c>
      <c r="L64" s="1134">
        <f t="shared" si="22"/>
        <v>58.514910706656408</v>
      </c>
      <c r="M64" s="1095">
        <f t="shared" si="22"/>
        <v>56.206088992974237</v>
      </c>
      <c r="N64" s="1095">
        <f t="shared" si="22"/>
        <v>54.852320675105481</v>
      </c>
      <c r="O64" s="1095">
        <f t="shared" si="22"/>
        <v>53.639846743295017</v>
      </c>
      <c r="P64" s="1095">
        <f t="shared" si="22"/>
        <v>53.647058823529413</v>
      </c>
      <c r="Q64" s="1095">
        <f t="shared" si="22"/>
        <v>102.66362252663623</v>
      </c>
      <c r="R64" s="1095">
        <f t="shared" si="22"/>
        <v>66.821705426356587</v>
      </c>
      <c r="S64" s="1095">
        <f t="shared" si="22"/>
        <v>90.972222222222214</v>
      </c>
      <c r="T64" s="1095">
        <f t="shared" si="22"/>
        <v>0</v>
      </c>
      <c r="U64" s="1093">
        <f t="shared" si="22"/>
        <v>68.678739101274317</v>
      </c>
      <c r="V64" s="1134">
        <f t="shared" si="22"/>
        <v>62.918301128383938</v>
      </c>
      <c r="W64" s="252"/>
    </row>
    <row r="65" spans="1:23" ht="18" customHeight="1" thickBot="1">
      <c r="A65" s="183">
        <v>11</v>
      </c>
      <c r="B65" s="189" t="s">
        <v>254</v>
      </c>
      <c r="C65" s="155"/>
      <c r="D65" s="190">
        <f>IF(E75=0,0,D75/E75*100)</f>
        <v>90.458281097645909</v>
      </c>
      <c r="E65" s="190">
        <f>IF(E75=0,0,D75/E75*100)</f>
        <v>90.458281097645909</v>
      </c>
      <c r="F65" s="190">
        <f>IF(E75=0,0,D75/E75*100)</f>
        <v>90.458281097645909</v>
      </c>
      <c r="G65" s="190">
        <f>IF(E75=0,0,D75/E75*100)</f>
        <v>90.458281097645909</v>
      </c>
      <c r="H65" s="190">
        <f>IF(E75=0,0,D75/E75*100)</f>
        <v>90.458281097645909</v>
      </c>
      <c r="I65" s="190">
        <f>IF(E75=0,0,D75/E75*100)</f>
        <v>90.458281097645909</v>
      </c>
      <c r="J65" s="190">
        <f>IF(E75=0,0,D75/E75*100)</f>
        <v>90.458281097645909</v>
      </c>
      <c r="K65" s="190">
        <f>IF(E75=0,0,D75/E75*100)</f>
        <v>90.458281097645909</v>
      </c>
      <c r="L65" s="218">
        <f>IF(E75=0,0,D75/E75*100)</f>
        <v>90.458281097645909</v>
      </c>
      <c r="M65" s="219">
        <f>IF(N75=0,0,M75/N75*100)</f>
        <v>89.89027066569129</v>
      </c>
      <c r="N65" s="219">
        <f>IF(N75=0,0,M75/N75*100)</f>
        <v>89.89027066569129</v>
      </c>
      <c r="O65" s="219">
        <f>IF(N75=0,0,M75/N75*100)</f>
        <v>89.89027066569129</v>
      </c>
      <c r="P65" s="219">
        <f>IF(N75=0,0,M75/N75*100)</f>
        <v>89.89027066569129</v>
      </c>
      <c r="Q65" s="219">
        <f>IF(N75=0,0,M75/N75*100)</f>
        <v>89.89027066569129</v>
      </c>
      <c r="R65" s="219">
        <f>IF(N75=0,0,M75/N75*100)</f>
        <v>89.89027066569129</v>
      </c>
      <c r="S65" s="219">
        <f>IF(N75=0,0,M75/N75*100)</f>
        <v>89.89027066569129</v>
      </c>
      <c r="T65" s="219">
        <f>IF(N75=0,0,M75/N75*100)</f>
        <v>89.89027066569129</v>
      </c>
      <c r="U65" s="190">
        <f>IF(N75=0,0,M75/N75*100)</f>
        <v>89.89027066569129</v>
      </c>
      <c r="V65" s="218">
        <f>IF(N79=0,0,M79/N79*100)</f>
        <v>90.181247324104461</v>
      </c>
      <c r="W65" s="252"/>
    </row>
    <row r="66" spans="1:23" ht="18" customHeight="1" thickBot="1">
      <c r="A66" s="183">
        <v>12</v>
      </c>
      <c r="B66" s="189" t="s">
        <v>348</v>
      </c>
      <c r="C66" s="155"/>
      <c r="D66" s="190">
        <f t="shared" ref="D66:T66" si="23">(D61*D64*D65)/10000</f>
        <v>37.737197022330804</v>
      </c>
      <c r="E66" s="190">
        <f t="shared" si="23"/>
        <v>40.26496658614726</v>
      </c>
      <c r="F66" s="190">
        <f t="shared" si="23"/>
        <v>53.574170558340739</v>
      </c>
      <c r="G66" s="190">
        <f t="shared" si="23"/>
        <v>10.25193852439987</v>
      </c>
      <c r="H66" s="190">
        <f t="shared" si="23"/>
        <v>67.295478816582047</v>
      </c>
      <c r="I66" s="190">
        <f t="shared" si="23"/>
        <v>43.483454422377157</v>
      </c>
      <c r="J66" s="190">
        <f t="shared" si="23"/>
        <v>70.739333048846916</v>
      </c>
      <c r="K66" s="190">
        <f t="shared" si="23"/>
        <v>0</v>
      </c>
      <c r="L66" s="190">
        <f t="shared" si="23"/>
        <v>46.173099952048233</v>
      </c>
      <c r="M66" s="219">
        <f t="shared" si="23"/>
        <v>47.941477688368686</v>
      </c>
      <c r="N66" s="219">
        <f t="shared" si="23"/>
        <v>43.280500690888395</v>
      </c>
      <c r="O66" s="219">
        <f t="shared" si="23"/>
        <v>46.609769974802887</v>
      </c>
      <c r="P66" s="219">
        <f t="shared" si="23"/>
        <v>45.54440380395026</v>
      </c>
      <c r="Q66" s="219">
        <f t="shared" si="23"/>
        <v>89.823685280013024</v>
      </c>
      <c r="R66" s="219">
        <f t="shared" si="23"/>
        <v>57.396602454685848</v>
      </c>
      <c r="S66" s="219">
        <f t="shared" si="23"/>
        <v>78.504169714703707</v>
      </c>
      <c r="T66" s="219">
        <f t="shared" si="23"/>
        <v>0</v>
      </c>
      <c r="U66" s="190">
        <f>IF(10000=0,0,(U61*U64*U65)/10000)</f>
        <v>58.442944229630406</v>
      </c>
      <c r="V66" s="218">
        <f>IF(10000=0,0,(V61*V64*V65)/10000)</f>
        <v>51.239165802272595</v>
      </c>
      <c r="W66" s="252"/>
    </row>
    <row r="67" spans="1:23" ht="12.75" customHeight="1">
      <c r="A67" s="259"/>
      <c r="B67" s="259"/>
      <c r="C67" s="259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84"/>
    </row>
    <row r="68" spans="1:23" ht="18" customHeight="1">
      <c r="A68" s="1352" t="s">
        <v>349</v>
      </c>
      <c r="B68" s="1352"/>
      <c r="C68" s="261" t="s">
        <v>350</v>
      </c>
      <c r="D68" s="260"/>
      <c r="E68" s="260"/>
      <c r="F68" s="260"/>
      <c r="G68" s="262" t="s">
        <v>263</v>
      </c>
      <c r="H68" s="262"/>
      <c r="I68" s="262"/>
      <c r="J68" s="262"/>
      <c r="K68" s="260"/>
      <c r="L68" s="260"/>
      <c r="M68" s="260"/>
      <c r="N68" s="262"/>
      <c r="O68" s="260"/>
      <c r="P68" s="262" t="s">
        <v>351</v>
      </c>
      <c r="Q68" s="262"/>
      <c r="R68" s="262"/>
      <c r="S68" s="262"/>
      <c r="T68" s="260"/>
      <c r="U68" s="260"/>
      <c r="V68" s="260"/>
      <c r="W68" s="284"/>
    </row>
    <row r="69" spans="1:23" ht="3.75" customHeight="1">
      <c r="D69" s="263"/>
      <c r="E69" s="263"/>
      <c r="G69" s="263"/>
      <c r="H69" s="263"/>
      <c r="I69" s="263"/>
      <c r="J69" s="263"/>
      <c r="K69" s="263"/>
      <c r="L69" s="263"/>
      <c r="M69" s="262"/>
      <c r="N69" s="263"/>
      <c r="O69" s="263"/>
      <c r="P69" s="280"/>
      <c r="Q69" s="280"/>
      <c r="R69" s="280"/>
      <c r="S69" s="280"/>
      <c r="T69" s="280"/>
      <c r="U69" s="260"/>
      <c r="V69" s="260"/>
      <c r="W69" s="284"/>
    </row>
    <row r="70" spans="1:23" ht="16.5" customHeight="1">
      <c r="B70" s="261"/>
      <c r="C70" s="261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A73" s="259"/>
      <c r="B73" s="259"/>
      <c r="C73" s="259"/>
      <c r="D73" s="1096" t="s">
        <v>70</v>
      </c>
      <c r="E73" s="260"/>
      <c r="F73" s="260"/>
      <c r="G73" s="260"/>
      <c r="H73" s="260"/>
      <c r="I73" s="260"/>
      <c r="J73" s="260"/>
      <c r="K73" s="260"/>
      <c r="L73" s="260"/>
      <c r="M73" s="1096" t="s">
        <v>73</v>
      </c>
      <c r="N73" s="260"/>
      <c r="O73" s="260"/>
      <c r="P73" s="260"/>
      <c r="Q73" s="260"/>
      <c r="R73" s="260"/>
      <c r="S73" s="260"/>
      <c r="T73" s="260"/>
      <c r="U73" s="260"/>
      <c r="V73" s="260"/>
      <c r="W73" s="284"/>
    </row>
    <row r="74" spans="1:23">
      <c r="B74" s="259"/>
      <c r="C74" s="1097"/>
      <c r="D74" s="1098" t="s">
        <v>51</v>
      </c>
      <c r="E74" s="1098" t="s">
        <v>50</v>
      </c>
      <c r="F74" s="260"/>
      <c r="G74" s="260"/>
      <c r="H74" s="260"/>
      <c r="I74" s="260"/>
      <c r="J74" s="260"/>
      <c r="K74" s="260"/>
      <c r="M74" s="1098" t="s">
        <v>51</v>
      </c>
      <c r="N74" s="1098" t="s">
        <v>50</v>
      </c>
      <c r="O74" s="260"/>
      <c r="P74" s="260"/>
      <c r="Q74" s="260"/>
      <c r="R74" s="260"/>
      <c r="S74" s="260"/>
      <c r="T74" s="260"/>
      <c r="U74" s="260"/>
    </row>
    <row r="75" spans="1:23">
      <c r="A75" s="259"/>
      <c r="B75" s="259"/>
      <c r="C75" s="259"/>
      <c r="D75" s="1099">
        <f>6351+143</f>
        <v>6494</v>
      </c>
      <c r="E75" s="1099">
        <v>7179</v>
      </c>
      <c r="F75" s="264"/>
      <c r="G75" s="260"/>
      <c r="H75" s="260"/>
      <c r="I75" s="260"/>
      <c r="J75" s="260"/>
      <c r="K75" s="260"/>
      <c r="L75" s="260"/>
      <c r="M75" s="1099">
        <v>6144</v>
      </c>
      <c r="N75" s="1099">
        <v>6835</v>
      </c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5"/>
      <c r="E76" s="265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6" t="s">
        <v>368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098" t="s">
        <v>51</v>
      </c>
      <c r="N78" s="1098" t="s">
        <v>50</v>
      </c>
      <c r="O78" s="260"/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1135">
        <f>D75+M75</f>
        <v>12638</v>
      </c>
      <c r="N79" s="1135">
        <f>E75+N75</f>
        <v>14014</v>
      </c>
      <c r="O79" s="281">
        <f>M79/N79</f>
        <v>0.90181247324104463</v>
      </c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59"/>
      <c r="B81" s="259"/>
      <c r="C81" s="259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 ht="28" thickBot="1">
      <c r="A82" s="266" t="s">
        <v>353</v>
      </c>
      <c r="B82" s="267"/>
      <c r="C82" s="268"/>
      <c r="D82" s="269"/>
      <c r="E82" s="270" t="s">
        <v>354</v>
      </c>
      <c r="F82" s="270"/>
      <c r="G82" s="270"/>
      <c r="H82" s="270"/>
      <c r="I82" s="270"/>
      <c r="J82" s="270"/>
      <c r="K82" s="270"/>
      <c r="L82" s="282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271">
        <v>1</v>
      </c>
      <c r="B83" s="272" t="s">
        <v>223</v>
      </c>
      <c r="C83" s="273"/>
      <c r="D83" s="274"/>
      <c r="E83" s="275" t="s">
        <v>355</v>
      </c>
      <c r="F83" s="275"/>
      <c r="G83" s="275"/>
      <c r="H83" s="275"/>
      <c r="I83" s="275"/>
      <c r="J83" s="275"/>
      <c r="K83" s="275"/>
      <c r="L83" s="28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2</v>
      </c>
      <c r="B84" s="1101" t="s">
        <v>339</v>
      </c>
      <c r="C84" s="1102"/>
      <c r="D84" s="1103"/>
      <c r="E84" s="1104" t="s">
        <v>227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3</v>
      </c>
      <c r="B85" s="1101" t="s">
        <v>340</v>
      </c>
      <c r="C85" s="1102"/>
      <c r="D85" s="1103"/>
      <c r="E85" s="1104" t="s">
        <v>230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4</v>
      </c>
      <c r="B86" s="1101" t="s">
        <v>356</v>
      </c>
      <c r="C86" s="1102"/>
      <c r="D86" s="1103"/>
      <c r="E86" s="1104" t="s">
        <v>357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5</v>
      </c>
      <c r="B87" s="1101" t="s">
        <v>358</v>
      </c>
      <c r="C87" s="1102"/>
      <c r="D87" s="1103"/>
      <c r="E87" s="1104" t="s">
        <v>359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6</v>
      </c>
      <c r="B88" s="1101" t="s">
        <v>360</v>
      </c>
      <c r="C88" s="1102"/>
      <c r="D88" s="1103"/>
      <c r="E88" s="1104" t="s">
        <v>236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7</v>
      </c>
      <c r="B89" s="1101" t="s">
        <v>344</v>
      </c>
      <c r="C89" s="1102"/>
      <c r="D89" s="1103"/>
      <c r="E89" s="1104" t="s">
        <v>240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8</v>
      </c>
      <c r="B90" s="1101" t="s">
        <v>361</v>
      </c>
      <c r="C90" s="1102"/>
      <c r="D90" s="1103"/>
      <c r="E90" s="1104" t="s">
        <v>243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9</v>
      </c>
      <c r="B91" s="1101" t="s">
        <v>362</v>
      </c>
      <c r="C91" s="1102"/>
      <c r="D91" s="1103"/>
      <c r="E91" s="1104" t="s">
        <v>246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10</v>
      </c>
      <c r="B92" s="1101" t="s">
        <v>347</v>
      </c>
      <c r="C92" s="1102"/>
      <c r="D92" s="1103"/>
      <c r="E92" s="1104" t="s">
        <v>363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>
      <c r="A93" s="1100">
        <v>11</v>
      </c>
      <c r="B93" s="1105" t="s">
        <v>254</v>
      </c>
      <c r="C93" s="1102"/>
      <c r="D93" s="1103"/>
      <c r="E93" s="1104" t="s">
        <v>364</v>
      </c>
      <c r="F93" s="1104"/>
      <c r="G93" s="1104"/>
      <c r="H93" s="1104"/>
      <c r="I93" s="1104"/>
      <c r="J93" s="1104"/>
      <c r="K93" s="1104"/>
      <c r="L93" s="1103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 ht="28" thickBot="1">
      <c r="A94" s="1106">
        <v>12</v>
      </c>
      <c r="B94" s="1107" t="s">
        <v>348</v>
      </c>
      <c r="C94" s="276"/>
      <c r="D94" s="277"/>
      <c r="E94" s="1108" t="s">
        <v>365</v>
      </c>
      <c r="F94" s="1108"/>
      <c r="G94" s="1108"/>
      <c r="H94" s="1108"/>
      <c r="I94" s="1108"/>
      <c r="J94" s="1108"/>
      <c r="K94" s="1108"/>
      <c r="L94" s="1109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>
      <c r="A109" s="259"/>
      <c r="B109" s="259"/>
      <c r="C109" s="259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84"/>
    </row>
    <row r="110" spans="1:34" s="134" customFormat="1">
      <c r="D110" s="278"/>
      <c r="E110" s="278"/>
      <c r="F110" s="278"/>
      <c r="G110" s="279"/>
      <c r="H110" s="279"/>
      <c r="I110" s="279"/>
      <c r="J110" s="279"/>
      <c r="K110" s="279"/>
      <c r="L110" s="278"/>
      <c r="M110" s="278"/>
      <c r="N110" s="278"/>
      <c r="O110" s="278"/>
      <c r="P110" s="279"/>
      <c r="Q110" s="279"/>
      <c r="R110" s="279"/>
      <c r="S110" s="279"/>
      <c r="T110" s="279"/>
      <c r="U110" s="279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34" s="134" customFormat="1"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85"/>
      <c r="Z113" s="286"/>
      <c r="AA113" s="286"/>
      <c r="AB113" s="286"/>
      <c r="AC113" s="286"/>
      <c r="AD113" s="286"/>
      <c r="AE113" s="286"/>
      <c r="AF113" s="286"/>
      <c r="AG113" s="286"/>
      <c r="AH113" s="286"/>
    </row>
    <row r="114" spans="1:34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34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34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34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34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34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34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34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34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  <row r="123" spans="1:34">
      <c r="A123" s="259"/>
      <c r="B123" s="259"/>
      <c r="C123" s="259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84"/>
    </row>
  </sheetData>
  <mergeCells count="84"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G6:H6"/>
    <mergeCell ref="I6:J6"/>
    <mergeCell ref="K6:L6"/>
    <mergeCell ref="P6:Q6"/>
    <mergeCell ref="R6:S6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D49:J49"/>
    <mergeCell ref="A68:B68"/>
    <mergeCell ref="T14:U14"/>
    <mergeCell ref="D45:J45"/>
    <mergeCell ref="N52:V52"/>
    <mergeCell ref="D46:J46"/>
    <mergeCell ref="N46:V46"/>
    <mergeCell ref="A14:B14"/>
    <mergeCell ref="G14:H14"/>
    <mergeCell ref="I14:J14"/>
    <mergeCell ref="K14:L14"/>
    <mergeCell ref="P14:Q14"/>
    <mergeCell ref="R14:S14"/>
    <mergeCell ref="D48:J48"/>
    <mergeCell ref="D50:J50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22EA-A7CC-46BF-8732-930A5B67C8B6}">
  <sheetPr codeName="Sheet35">
    <tabColor rgb="FFFFFF00"/>
    <pageSetUpPr fitToPage="1"/>
  </sheetPr>
  <dimension ref="A1:IV122"/>
  <sheetViews>
    <sheetView showGridLines="0" topLeftCell="A25" zoomScale="84" zoomScaleNormal="84" zoomScaleSheetLayoutView="70" workbookViewId="0">
      <selection activeCell="B6" sqref="B6:F12"/>
    </sheetView>
  </sheetViews>
  <sheetFormatPr defaultColWidth="7" defaultRowHeight="27.5"/>
  <cols>
    <col min="1" max="1" width="7.83203125" style="135" customWidth="1"/>
    <col min="2" max="2" width="23.75" style="135" customWidth="1"/>
    <col min="3" max="3" width="15.58203125" style="135" customWidth="1"/>
    <col min="4" max="5" width="6.83203125" style="136" customWidth="1"/>
    <col min="6" max="6" width="7.75" style="136" customWidth="1"/>
    <col min="7" max="7" width="6.83203125" style="136" customWidth="1"/>
    <col min="8" max="8" width="7.75" style="136" customWidth="1"/>
    <col min="9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244565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4347</v>
      </c>
      <c r="AB4" s="256">
        <f>L54</f>
        <v>4207</v>
      </c>
      <c r="AC4" s="256">
        <f>L55</f>
        <v>372.66666666666669</v>
      </c>
      <c r="AD4" s="256">
        <f>L56</f>
        <v>2729.333333333333</v>
      </c>
      <c r="AE4" s="256">
        <f>L21</f>
        <v>140</v>
      </c>
      <c r="AF4" s="256">
        <f>L26</f>
        <v>1100.9999999999995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911"/>
      <c r="Z5" s="1030" t="s">
        <v>73</v>
      </c>
      <c r="AA5" s="256">
        <f>O14</f>
        <v>2940</v>
      </c>
      <c r="AB5" s="256">
        <f>U54</f>
        <v>2863</v>
      </c>
      <c r="AC5" s="256">
        <f>U55</f>
        <v>267.66666666666663</v>
      </c>
      <c r="AD5" s="256">
        <f>U56</f>
        <v>1736</v>
      </c>
      <c r="AE5" s="256">
        <f>U21</f>
        <v>77</v>
      </c>
      <c r="AF5" s="256">
        <f>U26</f>
        <v>859.33333333333314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621</v>
      </c>
      <c r="C6" s="144">
        <v>3</v>
      </c>
      <c r="D6" s="145">
        <v>0.34027777777777773</v>
      </c>
      <c r="E6" s="145">
        <v>0.79166666666666663</v>
      </c>
      <c r="F6" s="146">
        <f>(E6-D6)*1440</f>
        <v>650</v>
      </c>
      <c r="G6" s="1365">
        <v>1393</v>
      </c>
      <c r="H6" s="1365"/>
      <c r="I6" s="1405">
        <v>1270</v>
      </c>
      <c r="J6" s="1406"/>
      <c r="K6" s="1370">
        <f>G6-I6</f>
        <v>123</v>
      </c>
      <c r="L6" s="1407"/>
      <c r="M6" s="145">
        <v>0.79166666666666663</v>
      </c>
      <c r="N6" s="145">
        <v>0.125</v>
      </c>
      <c r="O6" s="146">
        <v>420</v>
      </c>
      <c r="P6" s="1408">
        <v>637</v>
      </c>
      <c r="Q6" s="1408"/>
      <c r="R6" s="1409">
        <v>476</v>
      </c>
      <c r="S6" s="1408"/>
      <c r="T6" s="1421">
        <f>P6-R6</f>
        <v>161</v>
      </c>
      <c r="U6" s="1421"/>
      <c r="V6" s="224">
        <f t="shared" ref="V6:V13" si="0">F6+O6</f>
        <v>1070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0.34375</v>
      </c>
      <c r="E7" s="145">
        <v>0.79166666666666663</v>
      </c>
      <c r="F7" s="146">
        <f>(E7-D7)*1440</f>
        <v>645</v>
      </c>
      <c r="G7" s="1403">
        <v>1280</v>
      </c>
      <c r="H7" s="1404"/>
      <c r="I7" s="1403">
        <v>1150</v>
      </c>
      <c r="J7" s="1404"/>
      <c r="K7" s="1368">
        <f>G7-I7</f>
        <v>130</v>
      </c>
      <c r="L7" s="1397"/>
      <c r="M7" s="145">
        <v>0.79166666666666663</v>
      </c>
      <c r="N7" s="145">
        <v>0.125</v>
      </c>
      <c r="O7" s="146">
        <v>420</v>
      </c>
      <c r="P7" s="1398">
        <v>820</v>
      </c>
      <c r="Q7" s="1398"/>
      <c r="R7" s="1398">
        <v>748</v>
      </c>
      <c r="S7" s="1398"/>
      <c r="T7" s="1399">
        <f t="shared" ref="T7:T13" si="1">P7-R7</f>
        <v>72</v>
      </c>
      <c r="U7" s="1399"/>
      <c r="V7" s="224">
        <f t="shared" si="0"/>
        <v>1065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0.34722222222222227</v>
      </c>
      <c r="E8" s="145">
        <v>0.79166666666666663</v>
      </c>
      <c r="F8" s="146">
        <f>(E8-D8)*1440</f>
        <v>639.99999999999989</v>
      </c>
      <c r="G8" s="1403">
        <v>1364</v>
      </c>
      <c r="H8" s="1404"/>
      <c r="I8" s="1396">
        <v>1250</v>
      </c>
      <c r="J8" s="1396"/>
      <c r="K8" s="1368">
        <f t="shared" ref="K8:K13" si="2">G8-I8</f>
        <v>114</v>
      </c>
      <c r="L8" s="1397"/>
      <c r="M8" s="145">
        <v>0.79166666666666663</v>
      </c>
      <c r="N8" s="145">
        <v>0.125</v>
      </c>
      <c r="O8" s="146">
        <v>420</v>
      </c>
      <c r="P8" s="1398">
        <v>648</v>
      </c>
      <c r="Q8" s="1398"/>
      <c r="R8" s="1398">
        <v>600</v>
      </c>
      <c r="S8" s="1398"/>
      <c r="T8" s="1399">
        <f t="shared" si="1"/>
        <v>48</v>
      </c>
      <c r="U8" s="1399"/>
      <c r="V8" s="224">
        <f t="shared" si="0"/>
        <v>1060</v>
      </c>
      <c r="W8" s="226"/>
    </row>
    <row r="9" spans="1:256" ht="18.75" customHeight="1">
      <c r="A9" s="142" t="s">
        <v>294</v>
      </c>
      <c r="B9" s="910" t="s">
        <v>644</v>
      </c>
      <c r="C9" s="144">
        <v>3</v>
      </c>
      <c r="D9" s="145">
        <v>0.35138888888888892</v>
      </c>
      <c r="E9" s="145">
        <v>0.79166666666666663</v>
      </c>
      <c r="F9" s="146">
        <f>(E9-D9)*1440</f>
        <v>633.99999999999989</v>
      </c>
      <c r="G9" s="1403">
        <v>1245</v>
      </c>
      <c r="H9" s="1404"/>
      <c r="I9" s="1396">
        <v>957</v>
      </c>
      <c r="J9" s="1396"/>
      <c r="K9" s="1368">
        <f t="shared" si="2"/>
        <v>288</v>
      </c>
      <c r="L9" s="1397"/>
      <c r="M9" s="145">
        <v>0.79166666666666663</v>
      </c>
      <c r="N9" s="145">
        <v>0.125</v>
      </c>
      <c r="O9" s="146">
        <v>420</v>
      </c>
      <c r="P9" s="1398">
        <v>860</v>
      </c>
      <c r="Q9" s="1398"/>
      <c r="R9" s="1398">
        <v>648</v>
      </c>
      <c r="S9" s="1398"/>
      <c r="T9" s="1399">
        <f t="shared" si="1"/>
        <v>212</v>
      </c>
      <c r="U9" s="1399"/>
      <c r="V9" s="224">
        <f t="shared" si="0"/>
        <v>1054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0.34861111111111115</v>
      </c>
      <c r="E10" s="145">
        <v>0.79166666666666663</v>
      </c>
      <c r="F10" s="146">
        <f>(E10-D10)*1440</f>
        <v>637.99999999999989</v>
      </c>
      <c r="G10" s="1403">
        <v>1550</v>
      </c>
      <c r="H10" s="1404"/>
      <c r="I10" s="1396">
        <v>1392</v>
      </c>
      <c r="J10" s="1396"/>
      <c r="K10" s="1368">
        <f t="shared" si="2"/>
        <v>158</v>
      </c>
      <c r="L10" s="1397"/>
      <c r="M10" s="145">
        <v>0.79166666666666663</v>
      </c>
      <c r="N10" s="145">
        <v>0.125</v>
      </c>
      <c r="O10" s="146">
        <v>420</v>
      </c>
      <c r="P10" s="1398">
        <v>1128</v>
      </c>
      <c r="Q10" s="1398"/>
      <c r="R10" s="1398">
        <v>1000</v>
      </c>
      <c r="S10" s="1398"/>
      <c r="T10" s="1399">
        <f t="shared" si="1"/>
        <v>128</v>
      </c>
      <c r="U10" s="1399"/>
      <c r="V10" s="224">
        <f t="shared" si="0"/>
        <v>1058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0.4375</v>
      </c>
      <c r="E11" s="145">
        <v>0.79166666666666663</v>
      </c>
      <c r="F11" s="146">
        <f t="shared" ref="F11:F12" si="3">(E11-D11)*1440</f>
        <v>509.99999999999994</v>
      </c>
      <c r="G11" s="1396">
        <v>804</v>
      </c>
      <c r="H11" s="1396"/>
      <c r="I11" s="1396">
        <v>694</v>
      </c>
      <c r="J11" s="1396"/>
      <c r="K11" s="1368">
        <f>G11-I11</f>
        <v>110</v>
      </c>
      <c r="L11" s="1397"/>
      <c r="M11" s="145">
        <v>0.79166666666666663</v>
      </c>
      <c r="N11" s="145">
        <v>0.125</v>
      </c>
      <c r="O11" s="146">
        <v>420</v>
      </c>
      <c r="P11" s="1398">
        <v>931</v>
      </c>
      <c r="Q11" s="1398"/>
      <c r="R11" s="1398">
        <v>770</v>
      </c>
      <c r="S11" s="1398"/>
      <c r="T11" s="1399">
        <f t="shared" si="1"/>
        <v>161</v>
      </c>
      <c r="U11" s="1399"/>
      <c r="V11" s="224">
        <f t="shared" si="0"/>
        <v>930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0.35416666666666669</v>
      </c>
      <c r="E12" s="145">
        <v>0.79166666666666663</v>
      </c>
      <c r="F12" s="146">
        <f t="shared" si="3"/>
        <v>629.99999999999989</v>
      </c>
      <c r="G12" s="1396">
        <v>1670</v>
      </c>
      <c r="H12" s="1396"/>
      <c r="I12" s="1396">
        <v>1475</v>
      </c>
      <c r="J12" s="1396"/>
      <c r="K12" s="1368">
        <f t="shared" si="2"/>
        <v>195</v>
      </c>
      <c r="L12" s="1397"/>
      <c r="M12" s="145">
        <v>0.79166666666666663</v>
      </c>
      <c r="N12" s="145">
        <v>0.125</v>
      </c>
      <c r="O12" s="146">
        <v>420</v>
      </c>
      <c r="P12" s="1398">
        <v>987</v>
      </c>
      <c r="Q12" s="1398"/>
      <c r="R12" s="1398">
        <v>966</v>
      </c>
      <c r="S12" s="1398"/>
      <c r="T12" s="1399">
        <f t="shared" si="1"/>
        <v>21</v>
      </c>
      <c r="U12" s="1399"/>
      <c r="V12" s="224">
        <f t="shared" si="0"/>
        <v>1050</v>
      </c>
      <c r="W12" s="909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2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0.36041666666666666</v>
      </c>
      <c r="E14" s="152">
        <f>AVERAGE(E6:E13)</f>
        <v>0.79166666666666674</v>
      </c>
      <c r="F14" s="153">
        <f>SUM(F6:F13)</f>
        <v>4347</v>
      </c>
      <c r="G14" s="1362">
        <f>SUM(G6:H13)</f>
        <v>9306</v>
      </c>
      <c r="H14" s="1363"/>
      <c r="I14" s="1362">
        <f>SUM(I6:I13)</f>
        <v>8188</v>
      </c>
      <c r="J14" s="1363"/>
      <c r="K14" s="1362">
        <f>SUM(K6:K13)</f>
        <v>1118</v>
      </c>
      <c r="L14" s="1394"/>
      <c r="M14" s="198">
        <f>AVERAGE(M6:M13)</f>
        <v>0.79166666666666674</v>
      </c>
      <c r="N14" s="199">
        <f>AVERAGE(N6:N13)</f>
        <v>0.125</v>
      </c>
      <c r="O14" s="200">
        <f>SUM(O6:O13)</f>
        <v>2940</v>
      </c>
      <c r="P14" s="1392">
        <f>SUM(P6:P13)</f>
        <v>6011</v>
      </c>
      <c r="Q14" s="1393"/>
      <c r="R14" s="1392">
        <f>SUM(R6:R13)</f>
        <v>5208</v>
      </c>
      <c r="S14" s="1393"/>
      <c r="T14" s="1392">
        <f>SUM(T6:T13)</f>
        <v>803</v>
      </c>
      <c r="U14" s="1393"/>
      <c r="V14" s="228">
        <f>SUM(V6:V13)</f>
        <v>7287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4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5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4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5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>
        <v>60</v>
      </c>
      <c r="H18" s="160"/>
      <c r="I18" s="160"/>
      <c r="J18" s="160"/>
      <c r="K18" s="160"/>
      <c r="L18" s="1112">
        <f t="shared" si="4"/>
        <v>60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5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15</v>
      </c>
      <c r="E19" s="1070">
        <v>8</v>
      </c>
      <c r="F19" s="1070">
        <v>10</v>
      </c>
      <c r="G19" s="1070">
        <f>3+3+3+3+3+4+3</f>
        <v>22</v>
      </c>
      <c r="H19" s="1070">
        <f>2*6</f>
        <v>12</v>
      </c>
      <c r="I19" s="1070">
        <v>5</v>
      </c>
      <c r="J19" s="1070">
        <f>8</f>
        <v>8</v>
      </c>
      <c r="K19" s="1070"/>
      <c r="L19" s="1112">
        <f t="shared" si="4"/>
        <v>80</v>
      </c>
      <c r="M19" s="1070">
        <f>3+3+4</f>
        <v>10</v>
      </c>
      <c r="N19" s="1059">
        <v>10</v>
      </c>
      <c r="O19" s="1070">
        <v>9</v>
      </c>
      <c r="P19" s="1070">
        <v>15</v>
      </c>
      <c r="Q19" s="1070">
        <v>9</v>
      </c>
      <c r="R19" s="1070">
        <f>3*5</f>
        <v>15</v>
      </c>
      <c r="S19" s="1070">
        <f>9</f>
        <v>9</v>
      </c>
      <c r="T19" s="1070"/>
      <c r="U19" s="1113">
        <f t="shared" si="5"/>
        <v>77</v>
      </c>
      <c r="V19" s="1114">
        <f>L19+U19</f>
        <v>157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4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5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6">SUM(D16:D20)</f>
        <v>15</v>
      </c>
      <c r="E21" s="165">
        <f t="shared" si="6"/>
        <v>8</v>
      </c>
      <c r="F21" s="165">
        <f t="shared" si="6"/>
        <v>10</v>
      </c>
      <c r="G21" s="165">
        <f t="shared" si="6"/>
        <v>82</v>
      </c>
      <c r="H21" s="165">
        <f t="shared" si="6"/>
        <v>12</v>
      </c>
      <c r="I21" s="165">
        <f t="shared" si="6"/>
        <v>5</v>
      </c>
      <c r="J21" s="165">
        <f t="shared" si="6"/>
        <v>8</v>
      </c>
      <c r="K21" s="165">
        <f t="shared" si="6"/>
        <v>0</v>
      </c>
      <c r="L21" s="206">
        <f t="shared" si="4"/>
        <v>140</v>
      </c>
      <c r="M21" s="165">
        <f t="shared" ref="M21:T21" si="7">SUM(M16:M20)</f>
        <v>10</v>
      </c>
      <c r="N21" s="165">
        <f t="shared" si="7"/>
        <v>10</v>
      </c>
      <c r="O21" s="165">
        <f t="shared" si="7"/>
        <v>9</v>
      </c>
      <c r="P21" s="165">
        <f t="shared" si="7"/>
        <v>15</v>
      </c>
      <c r="Q21" s="165">
        <f t="shared" si="7"/>
        <v>9</v>
      </c>
      <c r="R21" s="165">
        <f t="shared" si="7"/>
        <v>15</v>
      </c>
      <c r="S21" s="165">
        <f t="shared" si="7"/>
        <v>9</v>
      </c>
      <c r="T21" s="165">
        <f t="shared" si="7"/>
        <v>0</v>
      </c>
      <c r="U21" s="165">
        <f t="shared" si="5"/>
        <v>77</v>
      </c>
      <c r="V21" s="1117">
        <f>L21+U21</f>
        <v>217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v>10</v>
      </c>
      <c r="E23" s="159">
        <v>7</v>
      </c>
      <c r="F23" s="159">
        <v>9</v>
      </c>
      <c r="G23" s="159"/>
      <c r="H23" s="159">
        <v>5</v>
      </c>
      <c r="I23" s="159">
        <v>30</v>
      </c>
      <c r="J23" s="159"/>
      <c r="K23" s="159"/>
      <c r="L23" s="208">
        <f>SUM(D23:K23)</f>
        <v>61</v>
      </c>
      <c r="M23" s="160">
        <f>5</f>
        <v>5</v>
      </c>
      <c r="N23" s="160"/>
      <c r="O23" s="160"/>
      <c r="P23" s="160">
        <v>5</v>
      </c>
      <c r="Q23" s="160">
        <v>3</v>
      </c>
      <c r="R23" s="160">
        <v>5</v>
      </c>
      <c r="S23" s="160"/>
      <c r="T23" s="160"/>
      <c r="U23" s="238">
        <f>SUM(M23:T23)</f>
        <v>18</v>
      </c>
      <c r="V23" s="1112">
        <f>L23+U23</f>
        <v>79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3+4+5+5+6+5+3+10+12+4+5+5+2+6+1+7+5+10+6+8+9+6+7+6+4+7+5+14+5+6+7+9+3+6</f>
        <v>206</v>
      </c>
      <c r="E24" s="169">
        <f>5+7+5+6+6+14+3+18+4+6+5+6+2+7+5+10+6+8+9+6+7+6+4+7+5+14+5+6+7+9+3</f>
        <v>211</v>
      </c>
      <c r="F24" s="169">
        <f>2+2+1+2+4+4+6+5+6+2+7+5+10+6+8+9+6+7+6+4+7+5+14+5+6+5+2+9+3</f>
        <v>158</v>
      </c>
      <c r="G24" s="169">
        <f>3+2+2+4+6+5+6+2+2+7+5+10+6+3+5+9+6+7+6+4+7+5+14+5+6+5+3+9+3+8</f>
        <v>165</v>
      </c>
      <c r="H24" s="169">
        <f>3+6+4+4+5+4+7+5+9+6+4+4+4+4+5+7+6+4+6+5+6+2+2+7+5+10+6+8+9+6+7+6+4+7+5+14+5+6+7+9+11+7+3</f>
        <v>254</v>
      </c>
      <c r="I24" s="169">
        <f>7+10+8+6+8+9+7+20</f>
        <v>75</v>
      </c>
      <c r="J24" s="169">
        <f>6+7+4+7+4+3+8+12+65+35</f>
        <v>151</v>
      </c>
      <c r="K24" s="169"/>
      <c r="L24" s="1115">
        <f>SUM(D24:K24)</f>
        <v>1220</v>
      </c>
      <c r="M24" s="1118">
        <f>2+3+8+4+6+3+4+6+7+5+6+5+4+5+3+14+8+8+8</f>
        <v>109</v>
      </c>
      <c r="N24" s="1118">
        <f>8+4+9+10+7+5+6+5+6+3+3+14+8</f>
        <v>88</v>
      </c>
      <c r="O24" s="1118">
        <f>8+4+9+10+7+5+6+5+6+3+3+14+8</f>
        <v>88</v>
      </c>
      <c r="P24" s="1118">
        <f>8+4+9+4+6+7+5+6+5+6+3+3+14+8</f>
        <v>88</v>
      </c>
      <c r="Q24" s="1118">
        <f>8+4+9+10+7+5+6+5+6+3+3+14+8</f>
        <v>88</v>
      </c>
      <c r="R24" s="1118">
        <f>35+9+9+8+8+10+10</f>
        <v>89</v>
      </c>
      <c r="S24" s="1118">
        <f>20+15+5+8+3+7+8+2+6+10</f>
        <v>84</v>
      </c>
      <c r="T24" s="1119"/>
      <c r="U24" s="1120">
        <f>SUM(M24:T24)</f>
        <v>634</v>
      </c>
      <c r="V24" s="1112">
        <f>L24+U24</f>
        <v>1854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-45.333333333333314</v>
      </c>
      <c r="E25" s="171">
        <f>$F7-E$55-E$56-E$21-E$23-E$24-E$34-E$43</f>
        <v>-7.6666666666666856</v>
      </c>
      <c r="F25" s="171">
        <f>$F8-F$55-F$56-F$21-F$23-F$24-F$34-F$43</f>
        <v>8.3333333333332007</v>
      </c>
      <c r="G25" s="171">
        <f>$F9-G$55-G$56-G$21-G$23-G$24-G$34-G$43</f>
        <v>-28.000000000000114</v>
      </c>
      <c r="H25" s="171">
        <f>$F9-H$55-H$56-H$21-H$23-H$24-H$34-H$43</f>
        <v>-153.66666666666674</v>
      </c>
      <c r="I25" s="171">
        <f>$F11-I$55-I$56-I$21-I$23-I$24-I$34-I$43</f>
        <v>131.99999999999991</v>
      </c>
      <c r="J25" s="171">
        <f>$F12-J$55-J$56-J$21-J$23-J$24-J$34-J$43</f>
        <v>-85.666666666666799</v>
      </c>
      <c r="K25" s="171">
        <f>$F13-K$55-K$56-K$21-K$23-K$24-K$34-K$43</f>
        <v>0</v>
      </c>
      <c r="L25" s="209">
        <f>SUM(D25:K25)</f>
        <v>-180.00000000000054</v>
      </c>
      <c r="M25" s="171">
        <f>$O6-M$55-M$56-M$21-M$23-M$24-M$34-M$43</f>
        <v>83.666666666666657</v>
      </c>
      <c r="N25" s="171">
        <f>$O7-N$55-N$56-N$21-N$23-N$24-N$34-N$43</f>
        <v>48.666666666666657</v>
      </c>
      <c r="O25" s="171">
        <f>$O8-O$55-O$56-O$21-O$23-O$24-O$34-O$43</f>
        <v>107</v>
      </c>
      <c r="P25" s="171">
        <f>$O9-P$55-P$56-P$21-P$23-P$24-P$34-P$43</f>
        <v>25.333333333333314</v>
      </c>
      <c r="Q25" s="171">
        <f>$O10-Q$55-Q$56-Q$21-Q$23-Q$24-Q$34-Q$43</f>
        <v>-56</v>
      </c>
      <c r="R25" s="171">
        <f>$O11-R$55-R$56-R$21-R$23-R$24-R$34-R$43</f>
        <v>0.66666666666662877</v>
      </c>
      <c r="S25" s="171">
        <f>$O12-S$55-S$56-S$21-S$23-S$24-S$34-S$43</f>
        <v>-2</v>
      </c>
      <c r="T25" s="171">
        <f>$O13-T$55-T$56-T$21-T$23-T$24-T$34-T$43</f>
        <v>0</v>
      </c>
      <c r="U25" s="239">
        <f>SUM(M25:T25)</f>
        <v>207.33333333333326</v>
      </c>
      <c r="V25" s="1112">
        <f>L25+U25</f>
        <v>27.333333333332718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170.66666666666669</v>
      </c>
      <c r="E26" s="172">
        <f t="shared" ref="E26:K26" si="8">SUM(E23:E25)</f>
        <v>210.33333333333331</v>
      </c>
      <c r="F26" s="172">
        <f t="shared" si="8"/>
        <v>175.3333333333332</v>
      </c>
      <c r="G26" s="172">
        <f t="shared" si="8"/>
        <v>136.99999999999989</v>
      </c>
      <c r="H26" s="172">
        <f t="shared" si="8"/>
        <v>105.33333333333326</v>
      </c>
      <c r="I26" s="172">
        <f t="shared" si="8"/>
        <v>236.99999999999991</v>
      </c>
      <c r="J26" s="172">
        <f t="shared" si="8"/>
        <v>65.333333333333201</v>
      </c>
      <c r="K26" s="172">
        <f t="shared" si="8"/>
        <v>0</v>
      </c>
      <c r="L26" s="210">
        <f>SUM(D26:K26)</f>
        <v>1100.9999999999995</v>
      </c>
      <c r="M26" s="211">
        <f>SUM(M23:M25)</f>
        <v>197.66666666666666</v>
      </c>
      <c r="N26" s="211">
        <f t="shared" ref="N26:T26" si="9">SUM(N23:N25)</f>
        <v>136.66666666666666</v>
      </c>
      <c r="O26" s="211">
        <f t="shared" si="9"/>
        <v>195</v>
      </c>
      <c r="P26" s="211">
        <f t="shared" si="9"/>
        <v>118.33333333333331</v>
      </c>
      <c r="Q26" s="211">
        <f t="shared" si="9"/>
        <v>35</v>
      </c>
      <c r="R26" s="211">
        <f t="shared" si="9"/>
        <v>94.666666666666629</v>
      </c>
      <c r="S26" s="211">
        <f t="shared" si="9"/>
        <v>82</v>
      </c>
      <c r="T26" s="211">
        <f t="shared" si="9"/>
        <v>0</v>
      </c>
      <c r="U26" s="240">
        <f>SUM(M26:T26)</f>
        <v>859.33333333333314</v>
      </c>
      <c r="V26" s="210">
        <f>L26+U26</f>
        <v>1960.3333333333326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10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1">SUM(M28:T28)</f>
        <v>0</v>
      </c>
      <c r="V28" s="243">
        <f t="shared" ref="V28:V34" si="12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0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1"/>
        <v>0</v>
      </c>
      <c r="V29" s="244">
        <f t="shared" si="12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0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1"/>
        <v>0</v>
      </c>
      <c r="V30" s="1112">
        <f t="shared" si="12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0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1"/>
        <v>0</v>
      </c>
      <c r="V31" s="1112">
        <f t="shared" si="12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0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1"/>
        <v>0</v>
      </c>
      <c r="V32" s="1112">
        <f t="shared" si="12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0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1"/>
        <v>0</v>
      </c>
      <c r="V33" s="1112">
        <f t="shared" si="12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3">SUM(D28:D33)</f>
        <v>0</v>
      </c>
      <c r="E34" s="175">
        <f t="shared" si="13"/>
        <v>0</v>
      </c>
      <c r="F34" s="176">
        <f t="shared" si="13"/>
        <v>0</v>
      </c>
      <c r="G34" s="176">
        <f t="shared" si="13"/>
        <v>0</v>
      </c>
      <c r="H34" s="176">
        <f t="shared" si="13"/>
        <v>0</v>
      </c>
      <c r="I34" s="176">
        <f t="shared" si="13"/>
        <v>0</v>
      </c>
      <c r="J34" s="176">
        <f t="shared" si="13"/>
        <v>0</v>
      </c>
      <c r="K34" s="176">
        <f t="shared" si="13"/>
        <v>0</v>
      </c>
      <c r="L34" s="213">
        <f t="shared" si="10"/>
        <v>0</v>
      </c>
      <c r="M34" s="175">
        <f t="shared" ref="M34:T34" si="14">SUM(M28:M33)</f>
        <v>0</v>
      </c>
      <c r="N34" s="176">
        <f t="shared" si="14"/>
        <v>0</v>
      </c>
      <c r="O34" s="176">
        <f t="shared" si="14"/>
        <v>0</v>
      </c>
      <c r="P34" s="176">
        <f t="shared" si="14"/>
        <v>0</v>
      </c>
      <c r="Q34" s="176">
        <f t="shared" si="14"/>
        <v>0</v>
      </c>
      <c r="R34" s="176">
        <f t="shared" si="14"/>
        <v>0</v>
      </c>
      <c r="S34" s="176">
        <f t="shared" si="14"/>
        <v>0</v>
      </c>
      <c r="T34" s="176">
        <f t="shared" si="14"/>
        <v>0</v>
      </c>
      <c r="U34" s="246">
        <f t="shared" si="11"/>
        <v>0</v>
      </c>
      <c r="V34" s="213">
        <f t="shared" si="12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5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6">SUM(M36:T36)</f>
        <v>0</v>
      </c>
      <c r="V36" s="243">
        <f t="shared" ref="V36:V43" si="17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5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6"/>
        <v>0</v>
      </c>
      <c r="V37" s="1114">
        <f t="shared" si="17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5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6"/>
        <v>0</v>
      </c>
      <c r="V38" s="1114">
        <f t="shared" si="17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5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6"/>
        <v>0</v>
      </c>
      <c r="V39" s="1114">
        <f t="shared" si="17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5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6"/>
        <v>0</v>
      </c>
      <c r="V40" s="1114">
        <f t="shared" si="17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5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6"/>
        <v>0</v>
      </c>
      <c r="V41" s="1114">
        <f t="shared" si="17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5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6"/>
        <v>0</v>
      </c>
      <c r="V42" s="1114">
        <f t="shared" si="17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8">SUM(D36:D42)</f>
        <v>0</v>
      </c>
      <c r="E43" s="177">
        <f t="shared" si="18"/>
        <v>0</v>
      </c>
      <c r="F43" s="177">
        <f t="shared" si="18"/>
        <v>0</v>
      </c>
      <c r="G43" s="177">
        <f t="shared" si="18"/>
        <v>0</v>
      </c>
      <c r="H43" s="177">
        <f t="shared" si="18"/>
        <v>0</v>
      </c>
      <c r="I43" s="177">
        <f t="shared" si="18"/>
        <v>0</v>
      </c>
      <c r="J43" s="177">
        <f t="shared" si="18"/>
        <v>0</v>
      </c>
      <c r="K43" s="177">
        <f t="shared" si="18"/>
        <v>0</v>
      </c>
      <c r="L43" s="213">
        <f t="shared" si="15"/>
        <v>0</v>
      </c>
      <c r="M43" s="177">
        <f t="shared" ref="M43:T43" si="19">SUM(M36:M42)</f>
        <v>0</v>
      </c>
      <c r="N43" s="177">
        <f t="shared" si="19"/>
        <v>0</v>
      </c>
      <c r="O43" s="177">
        <f t="shared" si="19"/>
        <v>0</v>
      </c>
      <c r="P43" s="177">
        <f t="shared" si="19"/>
        <v>0</v>
      </c>
      <c r="Q43" s="177">
        <f t="shared" si="19"/>
        <v>0</v>
      </c>
      <c r="R43" s="177">
        <f t="shared" si="19"/>
        <v>0</v>
      </c>
      <c r="S43" s="177">
        <f t="shared" si="19"/>
        <v>0</v>
      </c>
      <c r="T43" s="177">
        <f t="shared" si="19"/>
        <v>0</v>
      </c>
      <c r="U43" s="165">
        <f t="shared" si="16"/>
        <v>0</v>
      </c>
      <c r="V43" s="213">
        <f t="shared" si="17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27.75" customHeight="1">
      <c r="A45" s="1058"/>
      <c r="B45" s="1039"/>
      <c r="C45" s="1038"/>
      <c r="D45" s="1349"/>
      <c r="E45" s="1350"/>
      <c r="F45" s="1350"/>
      <c r="G45" s="1350"/>
      <c r="H45" s="1350"/>
      <c r="I45" s="1350"/>
      <c r="J45" s="1351"/>
      <c r="K45" s="1059"/>
      <c r="L45" s="1060"/>
      <c r="M45" s="1060"/>
      <c r="N45" s="1248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59"/>
      <c r="C46" s="1038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75"/>
      <c r="B47" s="1066"/>
      <c r="C47" s="1070"/>
      <c r="D47" s="1356"/>
      <c r="E47" s="1357"/>
      <c r="F47" s="1357"/>
      <c r="G47" s="1357"/>
      <c r="H47" s="1357"/>
      <c r="I47" s="1357"/>
      <c r="J47" s="1357"/>
      <c r="K47" s="1070"/>
      <c r="L47" s="1069"/>
      <c r="M47" s="1070"/>
      <c r="N47" s="1437"/>
      <c r="O47" s="1438"/>
      <c r="P47" s="1438"/>
      <c r="Q47" s="1438"/>
      <c r="R47" s="1438"/>
      <c r="S47" s="1438"/>
      <c r="T47" s="1438"/>
      <c r="U47" s="1438"/>
      <c r="V47" s="1439"/>
      <c r="W47" s="250"/>
    </row>
    <row r="48" spans="1:23" ht="15" customHeight="1">
      <c r="A48" s="1075"/>
      <c r="B48" s="1059"/>
      <c r="C48" s="1123"/>
      <c r="D48" s="1349"/>
      <c r="E48" s="1350"/>
      <c r="F48" s="1350"/>
      <c r="G48" s="1350"/>
      <c r="H48" s="1350"/>
      <c r="I48" s="1350"/>
      <c r="J48" s="1351"/>
      <c r="K48" s="1071"/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71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635</v>
      </c>
      <c r="E54" s="187">
        <f>$F7-E$21-E$43-E$34</f>
        <v>637</v>
      </c>
      <c r="F54" s="187">
        <f>$F8-F$21-F$43-F$34</f>
        <v>629.99999999999989</v>
      </c>
      <c r="G54" s="187">
        <f>$F9-G$21-G$43-G$34</f>
        <v>551.99999999999989</v>
      </c>
      <c r="H54" s="187">
        <f>$F10-H$21-H$43-H$34</f>
        <v>625.99999999999989</v>
      </c>
      <c r="I54" s="187">
        <f>$F11-I$21-I$43-I$34</f>
        <v>504.99999999999994</v>
      </c>
      <c r="J54" s="187">
        <f>$F12-J$21-J$43-J$34</f>
        <v>621.99999999999989</v>
      </c>
      <c r="K54" s="187">
        <f>$F13-K$21-K$43-K$34</f>
        <v>0</v>
      </c>
      <c r="L54" s="202">
        <f>SUM(D54:K54)</f>
        <v>4207</v>
      </c>
      <c r="M54" s="187">
        <f>O6-M21-M43-M34</f>
        <v>410</v>
      </c>
      <c r="N54" s="187">
        <f>O7-N21-N43-N34</f>
        <v>410</v>
      </c>
      <c r="O54" s="187">
        <f>O8-O21-O43-O34</f>
        <v>411</v>
      </c>
      <c r="P54" s="187">
        <f>O9-P21-P43-P34</f>
        <v>405</v>
      </c>
      <c r="Q54" s="187">
        <f>O10-Q21-Q43-Q34</f>
        <v>411</v>
      </c>
      <c r="R54" s="187">
        <f>O11-R21-R43-R34</f>
        <v>405</v>
      </c>
      <c r="S54" s="187">
        <f>O12-S21-S43-S34</f>
        <v>411</v>
      </c>
      <c r="T54" s="187">
        <f>O13-T21-T43-T34</f>
        <v>0</v>
      </c>
      <c r="U54" s="242">
        <f>SUM(M54:T54)</f>
        <v>2863</v>
      </c>
      <c r="V54" s="202">
        <f>L54+U54</f>
        <v>7070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41</v>
      </c>
      <c r="E55" s="1087">
        <f>$K7/$C7</f>
        <v>43.333333333333336</v>
      </c>
      <c r="F55" s="1087">
        <f>$K8/$C8</f>
        <v>38</v>
      </c>
      <c r="G55" s="1087">
        <f>$K9/$C9</f>
        <v>96</v>
      </c>
      <c r="H55" s="1087">
        <f>$K10/$C10</f>
        <v>52.666666666666664</v>
      </c>
      <c r="I55" s="1087">
        <f>$K11/$C11</f>
        <v>36.666666666666664</v>
      </c>
      <c r="J55" s="1087">
        <f>$K12/$C12</f>
        <v>65</v>
      </c>
      <c r="K55" s="1087">
        <f>$K13/$C13</f>
        <v>0</v>
      </c>
      <c r="L55" s="1112">
        <f>SUM(D55:K55)</f>
        <v>372.66666666666669</v>
      </c>
      <c r="M55" s="1087">
        <f>T6/C6</f>
        <v>53.666666666666664</v>
      </c>
      <c r="N55" s="1087">
        <f>T7/C7</f>
        <v>24</v>
      </c>
      <c r="O55" s="1087">
        <f>$T$8/$C$8</f>
        <v>16</v>
      </c>
      <c r="P55" s="1087">
        <f>$T$9/$C$9</f>
        <v>70.666666666666671</v>
      </c>
      <c r="Q55" s="1087">
        <f>$T$10/$C$10</f>
        <v>42.666666666666664</v>
      </c>
      <c r="R55" s="1087">
        <f>$T$11/$C$11</f>
        <v>53.666666666666664</v>
      </c>
      <c r="S55" s="1087">
        <f>$T$12/$C$12</f>
        <v>7</v>
      </c>
      <c r="T55" s="1087">
        <f>$T$13/$C$13</f>
        <v>0</v>
      </c>
      <c r="U55" s="1129">
        <f>SUM(M55:T55)</f>
        <v>267.66666666666663</v>
      </c>
      <c r="V55" s="1112">
        <f>L55+U55</f>
        <v>640.33333333333326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423.33333333333331</v>
      </c>
      <c r="E56" s="1087">
        <f>$I7/$C7</f>
        <v>383.33333333333331</v>
      </c>
      <c r="F56" s="1087">
        <f>$I8/$C8</f>
        <v>416.66666666666669</v>
      </c>
      <c r="G56" s="1087">
        <f>$I9/$C9</f>
        <v>319</v>
      </c>
      <c r="H56" s="1087">
        <f>$I10/$C10</f>
        <v>464</v>
      </c>
      <c r="I56" s="1087">
        <f>$I11/$C11</f>
        <v>231.33333333333334</v>
      </c>
      <c r="J56" s="1087">
        <f>$I12/$C12</f>
        <v>491.66666666666669</v>
      </c>
      <c r="K56" s="1087">
        <f>$I13/$C13</f>
        <v>0</v>
      </c>
      <c r="L56" s="1115">
        <f>SUM(D56:K56)</f>
        <v>2729.333333333333</v>
      </c>
      <c r="M56" s="1130">
        <f>R6/C6</f>
        <v>158.66666666666666</v>
      </c>
      <c r="N56" s="1130">
        <f>R7/C7</f>
        <v>249.33333333333334</v>
      </c>
      <c r="O56" s="1130">
        <f>R8/C8</f>
        <v>200</v>
      </c>
      <c r="P56" s="1130">
        <f>R9/C9</f>
        <v>216</v>
      </c>
      <c r="Q56" s="1130">
        <f>R10/C10</f>
        <v>333.33333333333331</v>
      </c>
      <c r="R56" s="1130">
        <f>R11/C11</f>
        <v>256.66666666666669</v>
      </c>
      <c r="S56" s="1130">
        <f>R12/C12</f>
        <v>322</v>
      </c>
      <c r="T56" s="1130">
        <f>R13/C13</f>
        <v>0</v>
      </c>
      <c r="U56" s="1131">
        <f>SUM(M56:T56)</f>
        <v>1736</v>
      </c>
      <c r="V56" s="1115">
        <f>L56+U56</f>
        <v>4465.333333333333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2.3076923076923079</v>
      </c>
      <c r="E57" s="188">
        <f>IF(F7=0,0,E21/F7*100)</f>
        <v>1.2403100775193798</v>
      </c>
      <c r="F57" s="188">
        <f>IF(F8=0,0,F21/F8*100)</f>
        <v>1.5625000000000004</v>
      </c>
      <c r="G57" s="188">
        <f>IF(F9=0,0,G21/F9*100)</f>
        <v>12.933753943217669</v>
      </c>
      <c r="H57" s="188">
        <f>IF(F10=0,0,H21/F10*100)</f>
        <v>1.880877742946709</v>
      </c>
      <c r="I57" s="188">
        <f>IF(F11=0,0,I21/F11*100)</f>
        <v>0.98039215686274528</v>
      </c>
      <c r="J57" s="188">
        <f>IF(F12=0,0,J21/F12*100)</f>
        <v>1.26984126984127</v>
      </c>
      <c r="K57" s="188">
        <f>IF(F13=0,0,K21/F13*100)</f>
        <v>0</v>
      </c>
      <c r="L57" s="217">
        <f>IF(F14=0,0,L21/F14*100)</f>
        <v>3.2206119162640898</v>
      </c>
      <c r="M57" s="188">
        <f>IF(O6=0,0,M21/O6*100)</f>
        <v>2.3809523809523809</v>
      </c>
      <c r="N57" s="188">
        <f>IF(O7=0,0,N21/O7*100)</f>
        <v>2.3809523809523809</v>
      </c>
      <c r="O57" s="188">
        <f>IF(O8=0,0,O21/O8*100)</f>
        <v>2.1428571428571428</v>
      </c>
      <c r="P57" s="188">
        <f>IF(O9=0,0,P21/O9*100)</f>
        <v>3.5714285714285712</v>
      </c>
      <c r="Q57" s="188">
        <f>IF(O10=0,0,Q21/O10*100)</f>
        <v>2.1428571428571428</v>
      </c>
      <c r="R57" s="188">
        <f>IF(O11=0,0,R21/O11*100)</f>
        <v>3.5714285714285712</v>
      </c>
      <c r="S57" s="188">
        <f>IF(O12=0,0,S21/O12*100)</f>
        <v>2.1428571428571428</v>
      </c>
      <c r="T57" s="188">
        <f>IF(O13=0,0,T21/O13*100)</f>
        <v>0</v>
      </c>
      <c r="U57" s="251">
        <f>IF(O14=0,0,U21/O14*100)</f>
        <v>2.6190476190476191</v>
      </c>
      <c r="V57" s="217">
        <f>IF((F14+O14)=0,0,V21/(F14+O14)*100)</f>
        <v>2.9779058597502401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97.692307692307693</v>
      </c>
      <c r="E60" s="1093">
        <f>IF(F7=0,0,E54/F7*100)</f>
        <v>98.759689922480618</v>
      </c>
      <c r="F60" s="1093">
        <f>IF(F8=0,0,F54/F8*100)</f>
        <v>98.4375</v>
      </c>
      <c r="G60" s="1093">
        <f>IF(F9=0,0,G54/F9*100)</f>
        <v>87.066246056782333</v>
      </c>
      <c r="H60" s="1093">
        <f>IF(F10=0,0,H54/F10*100)</f>
        <v>98.119122257053291</v>
      </c>
      <c r="I60" s="1093">
        <f>IF(F11=0,0,I54/F11*100)</f>
        <v>99.019607843137265</v>
      </c>
      <c r="J60" s="1093">
        <f>IF(F12=0,0,J54/F12*100)</f>
        <v>98.730158730158735</v>
      </c>
      <c r="K60" s="1093">
        <f>IF(F13=0,0,K54/F13*100)</f>
        <v>0</v>
      </c>
      <c r="L60" s="1134">
        <f>IF(F14=0,0,L54/F14*100)</f>
        <v>96.77938808373591</v>
      </c>
      <c r="M60" s="1095">
        <f>IF(O6=0,0,M54/O6*100)</f>
        <v>97.61904761904762</v>
      </c>
      <c r="N60" s="1095">
        <f>IF(O7=0,0,N54/O7*100)</f>
        <v>97.61904761904762</v>
      </c>
      <c r="O60" s="1095">
        <f>IF(O8=0,0,O54/O8*100)</f>
        <v>97.857142857142847</v>
      </c>
      <c r="P60" s="1095">
        <f>IF(O9=0,0,P54/O9*100)</f>
        <v>96.428571428571431</v>
      </c>
      <c r="Q60" s="1095">
        <f>IF(O10=0,0,Q54/O10*100)</f>
        <v>97.857142857142847</v>
      </c>
      <c r="R60" s="1095">
        <f>IF(O11=0,0,R54/O11*100)</f>
        <v>96.428571428571431</v>
      </c>
      <c r="S60" s="1095">
        <f>IF(O12=0,0,S54/O12*100)</f>
        <v>97.857142857142847</v>
      </c>
      <c r="T60" s="1095">
        <f>IF(O13=0,0,T54/O13*100)</f>
        <v>0</v>
      </c>
      <c r="U60" s="1093">
        <f>IF(O14=0,0,U54/O14*100)</f>
        <v>97.38095238095238</v>
      </c>
      <c r="V60" s="1134">
        <f>IF((F14+O14)=0,0,V54/(F14+O14)*100)</f>
        <v>97.022094140249763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6.4566929133858268</v>
      </c>
      <c r="E61" s="188">
        <f>IF(E54=0,0,E55/E54*100)</f>
        <v>6.8027210884353746</v>
      </c>
      <c r="F61" s="188">
        <f t="shared" ref="F61:V61" si="20">IF(F54=0,0,F55/F54*100)</f>
        <v>6.0317460317460325</v>
      </c>
      <c r="G61" s="188">
        <f t="shared" si="20"/>
        <v>17.39130434782609</v>
      </c>
      <c r="H61" s="188">
        <f t="shared" si="20"/>
        <v>8.4132055378061779</v>
      </c>
      <c r="I61" s="188">
        <f t="shared" si="20"/>
        <v>7.2607260726072615</v>
      </c>
      <c r="J61" s="188">
        <f t="shared" si="20"/>
        <v>10.450160771704182</v>
      </c>
      <c r="K61" s="188">
        <f t="shared" si="20"/>
        <v>0</v>
      </c>
      <c r="L61" s="217">
        <f t="shared" si="20"/>
        <v>8.8582521194834012</v>
      </c>
      <c r="M61" s="188">
        <f t="shared" si="20"/>
        <v>13.089430894308943</v>
      </c>
      <c r="N61" s="188">
        <f t="shared" si="20"/>
        <v>5.8536585365853666</v>
      </c>
      <c r="O61" s="188">
        <f t="shared" si="20"/>
        <v>3.8929440389294405</v>
      </c>
      <c r="P61" s="188">
        <f t="shared" si="20"/>
        <v>17.448559670781894</v>
      </c>
      <c r="Q61" s="188">
        <f t="shared" si="20"/>
        <v>10.38118410381184</v>
      </c>
      <c r="R61" s="188">
        <f t="shared" si="20"/>
        <v>13.251028806584362</v>
      </c>
      <c r="S61" s="188">
        <f t="shared" si="20"/>
        <v>1.7031630170316301</v>
      </c>
      <c r="T61" s="188">
        <f t="shared" si="20"/>
        <v>0</v>
      </c>
      <c r="U61" s="251">
        <f t="shared" si="20"/>
        <v>9.3491675398765857</v>
      </c>
      <c r="V61" s="217">
        <f t="shared" si="20"/>
        <v>9.0570485619990571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1">IF(D54=0,0,D26/D54*100)</f>
        <v>26.876640419947513</v>
      </c>
      <c r="E62" s="1090">
        <f t="shared" si="21"/>
        <v>33.019361590790162</v>
      </c>
      <c r="F62" s="1090">
        <f t="shared" si="21"/>
        <v>27.830687830687818</v>
      </c>
      <c r="G62" s="1090">
        <f t="shared" si="21"/>
        <v>24.81884057971013</v>
      </c>
      <c r="H62" s="1090">
        <f t="shared" si="21"/>
        <v>16.826411075612345</v>
      </c>
      <c r="I62" s="1090">
        <f t="shared" si="21"/>
        <v>46.930693069306919</v>
      </c>
      <c r="J62" s="1090">
        <f t="shared" si="21"/>
        <v>10.503751339764182</v>
      </c>
      <c r="K62" s="1090">
        <f t="shared" si="21"/>
        <v>0</v>
      </c>
      <c r="L62" s="1132">
        <f t="shared" si="21"/>
        <v>26.170667934395048</v>
      </c>
      <c r="M62" s="1090">
        <f t="shared" si="21"/>
        <v>48.211382113821138</v>
      </c>
      <c r="N62" s="1090">
        <f t="shared" si="21"/>
        <v>33.333333333333329</v>
      </c>
      <c r="O62" s="1090">
        <f t="shared" si="21"/>
        <v>47.445255474452551</v>
      </c>
      <c r="P62" s="1090">
        <f t="shared" si="21"/>
        <v>29.218106995884767</v>
      </c>
      <c r="Q62" s="1090">
        <f t="shared" si="21"/>
        <v>8.5158150851581507</v>
      </c>
      <c r="R62" s="1090">
        <f t="shared" si="21"/>
        <v>23.37448559670781</v>
      </c>
      <c r="S62" s="1090">
        <f t="shared" si="21"/>
        <v>19.951338199513383</v>
      </c>
      <c r="T62" s="1090">
        <f t="shared" si="21"/>
        <v>0</v>
      </c>
      <c r="U62" s="1133">
        <f t="shared" si="21"/>
        <v>30.015135638607514</v>
      </c>
      <c r="V62" s="1132">
        <f t="shared" si="21"/>
        <v>27.72748703441772</v>
      </c>
      <c r="W62" s="252"/>
      <c r="Y62" s="258">
        <f>SUM(V61:V63)</f>
        <v>99.943422913719928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2">IF(D54=0,0,D56/D54*100)</f>
        <v>66.666666666666657</v>
      </c>
      <c r="E63" s="1095">
        <f t="shared" si="22"/>
        <v>60.177917320774469</v>
      </c>
      <c r="F63" s="1095">
        <f t="shared" si="22"/>
        <v>66.137566137566154</v>
      </c>
      <c r="G63" s="1095">
        <f t="shared" si="22"/>
        <v>57.78985507246378</v>
      </c>
      <c r="H63" s="1095">
        <f t="shared" si="22"/>
        <v>74.121405750798729</v>
      </c>
      <c r="I63" s="1095">
        <f t="shared" si="22"/>
        <v>45.808580858085818</v>
      </c>
      <c r="J63" s="1095">
        <f t="shared" si="22"/>
        <v>79.04608788853163</v>
      </c>
      <c r="K63" s="1095">
        <f t="shared" si="22"/>
        <v>0</v>
      </c>
      <c r="L63" s="1134">
        <f t="shared" si="22"/>
        <v>64.876000316932092</v>
      </c>
      <c r="M63" s="1095">
        <f t="shared" si="22"/>
        <v>38.699186991869915</v>
      </c>
      <c r="N63" s="1095">
        <f t="shared" si="22"/>
        <v>60.8130081300813</v>
      </c>
      <c r="O63" s="1095">
        <f t="shared" si="22"/>
        <v>48.661800486618006</v>
      </c>
      <c r="P63" s="1095">
        <f t="shared" si="22"/>
        <v>53.333333333333336</v>
      </c>
      <c r="Q63" s="1095">
        <f t="shared" si="22"/>
        <v>81.10300081103</v>
      </c>
      <c r="R63" s="1095">
        <f t="shared" si="22"/>
        <v>63.374485596707821</v>
      </c>
      <c r="S63" s="1095">
        <f t="shared" si="22"/>
        <v>78.345498783454985</v>
      </c>
      <c r="T63" s="1095">
        <f t="shared" si="22"/>
        <v>0</v>
      </c>
      <c r="U63" s="1093">
        <f t="shared" si="22"/>
        <v>60.635696821515893</v>
      </c>
      <c r="V63" s="1134">
        <f t="shared" si="22"/>
        <v>63.158887317303162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87.986245433053938</v>
      </c>
      <c r="E64" s="190">
        <f>IF(E74=0,0,D74/E74*100)</f>
        <v>87.986245433053938</v>
      </c>
      <c r="F64" s="190">
        <f>IF(E74=0,0,D74/E74*100)</f>
        <v>87.986245433053938</v>
      </c>
      <c r="G64" s="190">
        <f>IF(E74=0,0,D74/E74*100)</f>
        <v>87.986245433053938</v>
      </c>
      <c r="H64" s="190">
        <f>IF(E74=0,0,D74/E74*100)</f>
        <v>87.986245433053938</v>
      </c>
      <c r="I64" s="190">
        <f>IF(E74=0,0,D74/E74*100)</f>
        <v>87.986245433053938</v>
      </c>
      <c r="J64" s="190">
        <f>IF(E74=0,0,D74/E74*100)</f>
        <v>87.986245433053938</v>
      </c>
      <c r="K64" s="190">
        <f>IF(E74=0,0,D74/E74*100)</f>
        <v>87.986245433053938</v>
      </c>
      <c r="L64" s="218">
        <f>IF(E74=0,0,D74/E74*100)</f>
        <v>87.986245433053938</v>
      </c>
      <c r="M64" s="219">
        <f>IF(N74=0,0,M74/N74*100)</f>
        <v>86.641157877225083</v>
      </c>
      <c r="N64" s="219">
        <f>IF(N74=0,0,M74/N74*100)</f>
        <v>86.641157877225083</v>
      </c>
      <c r="O64" s="219">
        <f>IF(N74=0,0,M74/N74*100)</f>
        <v>86.641157877225083</v>
      </c>
      <c r="P64" s="219">
        <f>IF(N74=0,0,M74/N74*100)</f>
        <v>86.641157877225083</v>
      </c>
      <c r="Q64" s="219">
        <f>IF(N74=0,0,M74/N74*100)</f>
        <v>86.641157877225083</v>
      </c>
      <c r="R64" s="219">
        <f>IF(N74=0,0,M74/N74*100)</f>
        <v>86.641157877225083</v>
      </c>
      <c r="S64" s="219">
        <f>IF(N74=0,0,M74/N74*100)</f>
        <v>86.641157877225083</v>
      </c>
      <c r="T64" s="219">
        <f>IF(N74=0,0,M74/N74*100)</f>
        <v>86.641157877225083</v>
      </c>
      <c r="U64" s="190">
        <f>IF(N74=0,0,M74/N74*100)</f>
        <v>86.641157877225083</v>
      </c>
      <c r="V64" s="218">
        <f>IF(N78=0,0,M78/N78*100)</f>
        <v>87.458379578246394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3">(D60*D63*D64)/10000</f>
        <v>57.30386241024538</v>
      </c>
      <c r="E65" s="190">
        <f t="shared" si="23"/>
        <v>52.291567053236193</v>
      </c>
      <c r="F65" s="190">
        <f t="shared" si="23"/>
        <v>57.28271187047784</v>
      </c>
      <c r="G65" s="190">
        <f t="shared" si="23"/>
        <v>44.270681850385195</v>
      </c>
      <c r="H65" s="190">
        <f t="shared" si="23"/>
        <v>63.989996678584689</v>
      </c>
      <c r="I65" s="190">
        <f t="shared" si="23"/>
        <v>39.910100869633631</v>
      </c>
      <c r="J65" s="190">
        <f t="shared" si="23"/>
        <v>68.666514292991835</v>
      </c>
      <c r="K65" s="190">
        <f t="shared" si="23"/>
        <v>0</v>
      </c>
      <c r="L65" s="190">
        <f t="shared" si="23"/>
        <v>55.243568561141437</v>
      </c>
      <c r="M65" s="219">
        <f t="shared" si="23"/>
        <v>32.731104086951696</v>
      </c>
      <c r="N65" s="219">
        <f t="shared" si="23"/>
        <v>51.434592136638386</v>
      </c>
      <c r="O65" s="219">
        <f t="shared" si="23"/>
        <v>41.257694227250035</v>
      </c>
      <c r="P65" s="219">
        <f t="shared" si="23"/>
        <v>44.558309765430046</v>
      </c>
      <c r="Q65" s="219">
        <f t="shared" si="23"/>
        <v>68.762823712083389</v>
      </c>
      <c r="R65" s="219">
        <f t="shared" si="23"/>
        <v>52.947374258304222</v>
      </c>
      <c r="S65" s="219">
        <f t="shared" si="23"/>
        <v>66.424887705872564</v>
      </c>
      <c r="T65" s="219">
        <f t="shared" si="23"/>
        <v>0</v>
      </c>
      <c r="U65" s="190">
        <f>IF(10000=0,0,(U60*U63*U64)/10000)</f>
        <v>51.159540841790047</v>
      </c>
      <c r="V65" s="218">
        <f>IF(10000=0,0,(V60*V63*V64)/10000)</f>
        <v>53.59281152875846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8188</v>
      </c>
      <c r="E74" s="1099">
        <v>9306</v>
      </c>
      <c r="F74" s="264">
        <f>8/E74</f>
        <v>8.596604341285192E-4</v>
      </c>
      <c r="G74" s="260"/>
      <c r="H74" s="260"/>
      <c r="I74" s="260"/>
      <c r="J74" s="260"/>
      <c r="K74" s="260"/>
      <c r="L74" s="260"/>
      <c r="M74" s="1099">
        <v>5208</v>
      </c>
      <c r="N74" s="1099">
        <v>6011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265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13396</v>
      </c>
      <c r="N78" s="1135">
        <f>E74+N74</f>
        <v>15317</v>
      </c>
      <c r="O78" s="281">
        <f>M78/N78</f>
        <v>0.87458379578246392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181C-553B-48AF-906B-C169BC688C97}">
  <sheetPr codeName="Sheet36">
    <tabColor rgb="FFFFFF00"/>
    <pageSetUpPr fitToPage="1"/>
  </sheetPr>
  <dimension ref="A1:IV122"/>
  <sheetViews>
    <sheetView showGridLines="0" topLeftCell="A13" zoomScale="80" zoomScaleNormal="80" zoomScaleSheetLayoutView="70" workbookViewId="0">
      <selection activeCell="B6" sqref="B6:F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244564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4480</v>
      </c>
      <c r="AB4" s="256">
        <f>L54</f>
        <v>4316</v>
      </c>
      <c r="AC4" s="256">
        <f>L55</f>
        <v>242.33333333333334</v>
      </c>
      <c r="AD4" s="256">
        <f>L56</f>
        <v>2941.333333333333</v>
      </c>
      <c r="AE4" s="256">
        <f>L21</f>
        <v>88</v>
      </c>
      <c r="AF4" s="256">
        <f>L26</f>
        <v>1132.333333333333</v>
      </c>
      <c r="AG4" s="256">
        <f>L28</f>
        <v>76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223"/>
      <c r="Z5" s="1030" t="s">
        <v>73</v>
      </c>
      <c r="AA5" s="256">
        <f>O14</f>
        <v>4200</v>
      </c>
      <c r="AB5" s="256">
        <f>U54</f>
        <v>4078</v>
      </c>
      <c r="AC5" s="256">
        <f>U55</f>
        <v>265.33333333333337</v>
      </c>
      <c r="AD5" s="256">
        <f>U56</f>
        <v>2859.6666666666665</v>
      </c>
      <c r="AE5" s="256">
        <f>U21</f>
        <v>122</v>
      </c>
      <c r="AF5" s="256">
        <f>U26</f>
        <v>953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 t="s">
        <v>621</v>
      </c>
      <c r="C6" s="144">
        <v>3</v>
      </c>
      <c r="D6" s="145">
        <v>0.34930555555555554</v>
      </c>
      <c r="E6" s="145">
        <v>0.79166666666666663</v>
      </c>
      <c r="F6" s="146">
        <f>(E6-D6)*1440</f>
        <v>637</v>
      </c>
      <c r="G6" s="1365">
        <v>1223</v>
      </c>
      <c r="H6" s="1365"/>
      <c r="I6" s="1405">
        <v>1130</v>
      </c>
      <c r="J6" s="1406"/>
      <c r="K6" s="1370">
        <f>G6-I6</f>
        <v>93</v>
      </c>
      <c r="L6" s="1407"/>
      <c r="M6" s="145">
        <v>0.79166666666666663</v>
      </c>
      <c r="N6" s="145">
        <v>0.25</v>
      </c>
      <c r="O6" s="195">
        <v>600</v>
      </c>
      <c r="P6" s="1408">
        <v>1266</v>
      </c>
      <c r="Q6" s="1408"/>
      <c r="R6" s="1409">
        <v>1100</v>
      </c>
      <c r="S6" s="1408"/>
      <c r="T6" s="1421">
        <f>P6-R6</f>
        <v>166</v>
      </c>
      <c r="U6" s="1421"/>
      <c r="V6" s="224">
        <f t="shared" ref="V6:V13" si="0">F6+O6</f>
        <v>1237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0.34583333333333338</v>
      </c>
      <c r="E7" s="145">
        <v>0.79166666666666663</v>
      </c>
      <c r="F7" s="146">
        <f>(E7-D7)*1440</f>
        <v>641.99999999999989</v>
      </c>
      <c r="G7" s="1403">
        <v>1401</v>
      </c>
      <c r="H7" s="1404"/>
      <c r="I7" s="1403">
        <v>1315</v>
      </c>
      <c r="J7" s="1404"/>
      <c r="K7" s="1368">
        <f>G7-I7</f>
        <v>86</v>
      </c>
      <c r="L7" s="1397"/>
      <c r="M7" s="145">
        <v>0.79166666666666663</v>
      </c>
      <c r="N7" s="145">
        <v>0.25</v>
      </c>
      <c r="O7" s="195">
        <v>600</v>
      </c>
      <c r="P7" s="1398">
        <v>1268</v>
      </c>
      <c r="Q7" s="1398"/>
      <c r="R7" s="1398">
        <v>1150</v>
      </c>
      <c r="S7" s="1398"/>
      <c r="T7" s="1399">
        <f t="shared" ref="T7:T13" si="1">P7-R7</f>
        <v>118</v>
      </c>
      <c r="U7" s="1399"/>
      <c r="V7" s="224">
        <f t="shared" si="0"/>
        <v>1242</v>
      </c>
      <c r="W7" s="226"/>
    </row>
    <row r="8" spans="1:256" ht="18.75" customHeight="1">
      <c r="A8" s="142" t="s">
        <v>293</v>
      </c>
      <c r="B8" s="910" t="s">
        <v>634</v>
      </c>
      <c r="C8" s="144">
        <v>3</v>
      </c>
      <c r="D8" s="145">
        <v>0.34513888888888888</v>
      </c>
      <c r="E8" s="145">
        <v>0.79166666666666663</v>
      </c>
      <c r="F8" s="146">
        <f>(E8-D8)*1440</f>
        <v>643</v>
      </c>
      <c r="G8" s="1403">
        <v>1389</v>
      </c>
      <c r="H8" s="1404"/>
      <c r="I8" s="1396">
        <v>1300</v>
      </c>
      <c r="J8" s="1396"/>
      <c r="K8" s="1368">
        <f t="shared" ref="K8:K13" si="2">G8-I8</f>
        <v>89</v>
      </c>
      <c r="L8" s="1397"/>
      <c r="M8" s="145">
        <v>0.79166666666666663</v>
      </c>
      <c r="N8" s="145">
        <v>0.25</v>
      </c>
      <c r="O8" s="195">
        <v>600</v>
      </c>
      <c r="P8" s="1398">
        <v>1156</v>
      </c>
      <c r="Q8" s="1398"/>
      <c r="R8" s="1398">
        <v>1050</v>
      </c>
      <c r="S8" s="1398"/>
      <c r="T8" s="1399">
        <f t="shared" si="1"/>
        <v>106</v>
      </c>
      <c r="U8" s="1399"/>
      <c r="V8" s="224">
        <f t="shared" si="0"/>
        <v>1243</v>
      </c>
      <c r="W8" s="226"/>
    </row>
    <row r="9" spans="1:256" ht="18.75" customHeight="1">
      <c r="A9" s="142" t="s">
        <v>294</v>
      </c>
      <c r="B9" s="910" t="s">
        <v>622</v>
      </c>
      <c r="C9" s="144">
        <v>3</v>
      </c>
      <c r="D9" s="145">
        <v>0.34166666666666662</v>
      </c>
      <c r="E9" s="145">
        <v>0.79166666666666663</v>
      </c>
      <c r="F9" s="146">
        <f>(E9-D9)*1440</f>
        <v>648</v>
      </c>
      <c r="G9" s="1403">
        <v>1156</v>
      </c>
      <c r="H9" s="1404"/>
      <c r="I9" s="1396">
        <v>1039</v>
      </c>
      <c r="J9" s="1396"/>
      <c r="K9" s="1368">
        <f t="shared" si="2"/>
        <v>117</v>
      </c>
      <c r="L9" s="1397"/>
      <c r="M9" s="145">
        <v>0.79166666666666663</v>
      </c>
      <c r="N9" s="145">
        <v>0.25</v>
      </c>
      <c r="O9" s="195">
        <v>600</v>
      </c>
      <c r="P9" s="1398">
        <v>1430</v>
      </c>
      <c r="Q9" s="1398"/>
      <c r="R9" s="1398">
        <v>1321</v>
      </c>
      <c r="S9" s="1398"/>
      <c r="T9" s="1399">
        <f t="shared" si="1"/>
        <v>109</v>
      </c>
      <c r="U9" s="1399"/>
      <c r="V9" s="224">
        <f t="shared" si="0"/>
        <v>1248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0.34027777777777773</v>
      </c>
      <c r="E10" s="145">
        <v>0.79166666666666663</v>
      </c>
      <c r="F10" s="146">
        <f>(E10-D10)*1440</f>
        <v>650</v>
      </c>
      <c r="G10" s="1403">
        <v>1483</v>
      </c>
      <c r="H10" s="1404"/>
      <c r="I10" s="1396">
        <v>1364</v>
      </c>
      <c r="J10" s="1396"/>
      <c r="K10" s="1368">
        <f t="shared" si="2"/>
        <v>119</v>
      </c>
      <c r="L10" s="1397"/>
      <c r="M10" s="145">
        <v>0.79166666666666663</v>
      </c>
      <c r="N10" s="145">
        <v>0.25</v>
      </c>
      <c r="O10" s="195">
        <v>600</v>
      </c>
      <c r="P10" s="1398">
        <v>1525</v>
      </c>
      <c r="Q10" s="1398"/>
      <c r="R10" s="1398">
        <v>1434</v>
      </c>
      <c r="S10" s="1398"/>
      <c r="T10" s="1399">
        <f t="shared" si="1"/>
        <v>91</v>
      </c>
      <c r="U10" s="1399"/>
      <c r="V10" s="224">
        <f t="shared" si="0"/>
        <v>1250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0.35416666666666669</v>
      </c>
      <c r="E11" s="145">
        <v>0.79166666666666663</v>
      </c>
      <c r="F11" s="146">
        <f t="shared" ref="F11:F12" si="3">(E11-D11)*1440</f>
        <v>629.99999999999989</v>
      </c>
      <c r="G11" s="1396">
        <v>1372</v>
      </c>
      <c r="H11" s="1396"/>
      <c r="I11" s="1396">
        <v>1279</v>
      </c>
      <c r="J11" s="1396"/>
      <c r="K11" s="1368">
        <f t="shared" ref="K11" si="4">G11-I11</f>
        <v>93</v>
      </c>
      <c r="L11" s="1397"/>
      <c r="M11" s="145">
        <v>0.79166666666666663</v>
      </c>
      <c r="N11" s="145">
        <v>0.25</v>
      </c>
      <c r="O11" s="195">
        <v>600</v>
      </c>
      <c r="P11" s="1398">
        <v>1356</v>
      </c>
      <c r="Q11" s="1398"/>
      <c r="R11" s="1398">
        <v>1167</v>
      </c>
      <c r="S11" s="1398"/>
      <c r="T11" s="1399">
        <f t="shared" si="1"/>
        <v>189</v>
      </c>
      <c r="U11" s="1399"/>
      <c r="V11" s="224">
        <f t="shared" si="0"/>
        <v>1230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0.35416666666666669</v>
      </c>
      <c r="E12" s="145">
        <v>0.79166666666666663</v>
      </c>
      <c r="F12" s="146">
        <f t="shared" si="3"/>
        <v>629.99999999999989</v>
      </c>
      <c r="G12" s="1396">
        <v>1527</v>
      </c>
      <c r="H12" s="1396"/>
      <c r="I12" s="1396">
        <v>1397</v>
      </c>
      <c r="J12" s="1396"/>
      <c r="K12" s="1368">
        <f t="shared" si="2"/>
        <v>130</v>
      </c>
      <c r="L12" s="1397"/>
      <c r="M12" s="145">
        <v>0.79166666666666663</v>
      </c>
      <c r="N12" s="145">
        <v>0.25</v>
      </c>
      <c r="O12" s="195">
        <v>600</v>
      </c>
      <c r="P12" s="1398">
        <v>1374</v>
      </c>
      <c r="Q12" s="1398"/>
      <c r="R12" s="1398">
        <v>1357</v>
      </c>
      <c r="S12" s="1398"/>
      <c r="T12" s="1399">
        <f t="shared" si="1"/>
        <v>17</v>
      </c>
      <c r="U12" s="1399"/>
      <c r="V12" s="224">
        <f t="shared" si="0"/>
        <v>1230</v>
      </c>
      <c r="W12" s="225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2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225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0.34722222222222221</v>
      </c>
      <c r="E14" s="152">
        <f>AVERAGE(E6:E13)</f>
        <v>0.79166666666666674</v>
      </c>
      <c r="F14" s="153">
        <f>SUM(F6:F13)</f>
        <v>4480</v>
      </c>
      <c r="G14" s="1362">
        <f>SUM(G6:H13)</f>
        <v>9551</v>
      </c>
      <c r="H14" s="1363"/>
      <c r="I14" s="1362">
        <f>SUM(I6:I13)</f>
        <v>8824</v>
      </c>
      <c r="J14" s="1363"/>
      <c r="K14" s="1362">
        <f>SUM(K6:K13)</f>
        <v>727</v>
      </c>
      <c r="L14" s="1394"/>
      <c r="M14" s="198">
        <f>AVERAGE(M6:M13)</f>
        <v>0.79166666666666674</v>
      </c>
      <c r="N14" s="199">
        <f>AVERAGE(N6:N13)</f>
        <v>0.25</v>
      </c>
      <c r="O14" s="200">
        <f>SUM(O6:O13)</f>
        <v>4200</v>
      </c>
      <c r="P14" s="1392">
        <f>SUM(P6:P13)</f>
        <v>9375</v>
      </c>
      <c r="Q14" s="1393"/>
      <c r="R14" s="1392">
        <f>SUM(R6:R13)</f>
        <v>8579</v>
      </c>
      <c r="S14" s="1393"/>
      <c r="T14" s="1392">
        <f>SUM(T6:T13)</f>
        <v>796</v>
      </c>
      <c r="U14" s="1393"/>
      <c r="V14" s="228">
        <f>SUM(V6:V13)</f>
        <v>8680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5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6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5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6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5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6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f>3+6+6</f>
        <v>15</v>
      </c>
      <c r="E19" s="1070">
        <v>6</v>
      </c>
      <c r="F19" s="1070">
        <v>8</v>
      </c>
      <c r="G19" s="1070">
        <f>4*4+6+15+3</f>
        <v>40</v>
      </c>
      <c r="H19" s="1070">
        <v>6</v>
      </c>
      <c r="I19" s="1070">
        <v>6</v>
      </c>
      <c r="J19" s="1070">
        <f>7</f>
        <v>7</v>
      </c>
      <c r="K19" s="1070"/>
      <c r="L19" s="1112">
        <f t="shared" si="5"/>
        <v>88</v>
      </c>
      <c r="M19" s="1070">
        <v>20</v>
      </c>
      <c r="N19" s="1059">
        <v>20</v>
      </c>
      <c r="O19" s="1070">
        <f>2+2+3+3</f>
        <v>10</v>
      </c>
      <c r="P19" s="1070">
        <f>3*6</f>
        <v>18</v>
      </c>
      <c r="Q19" s="1070">
        <f>3*5</f>
        <v>15</v>
      </c>
      <c r="R19" s="1070">
        <f>3+7+7+7</f>
        <v>24</v>
      </c>
      <c r="S19" s="1070">
        <v>15</v>
      </c>
      <c r="T19" s="1070"/>
      <c r="U19" s="1113">
        <f t="shared" si="6"/>
        <v>122</v>
      </c>
      <c r="V19" s="1114">
        <f>L19+U19</f>
        <v>210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5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6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7">SUM(D16:D20)</f>
        <v>15</v>
      </c>
      <c r="E21" s="165">
        <f t="shared" si="7"/>
        <v>6</v>
      </c>
      <c r="F21" s="165">
        <f t="shared" si="7"/>
        <v>8</v>
      </c>
      <c r="G21" s="165">
        <f t="shared" si="7"/>
        <v>40</v>
      </c>
      <c r="H21" s="165">
        <f t="shared" si="7"/>
        <v>6</v>
      </c>
      <c r="I21" s="165">
        <f t="shared" si="7"/>
        <v>6</v>
      </c>
      <c r="J21" s="165">
        <f t="shared" si="7"/>
        <v>7</v>
      </c>
      <c r="K21" s="165">
        <f t="shared" si="7"/>
        <v>0</v>
      </c>
      <c r="L21" s="206">
        <f t="shared" si="5"/>
        <v>88</v>
      </c>
      <c r="M21" s="165">
        <f t="shared" ref="M21:T21" si="8">SUM(M16:M20)</f>
        <v>20</v>
      </c>
      <c r="N21" s="165">
        <f t="shared" si="8"/>
        <v>20</v>
      </c>
      <c r="O21" s="165">
        <f t="shared" si="8"/>
        <v>10</v>
      </c>
      <c r="P21" s="165">
        <f t="shared" si="8"/>
        <v>18</v>
      </c>
      <c r="Q21" s="165">
        <f t="shared" si="8"/>
        <v>15</v>
      </c>
      <c r="R21" s="165">
        <f t="shared" si="8"/>
        <v>24</v>
      </c>
      <c r="S21" s="165">
        <f t="shared" si="8"/>
        <v>15</v>
      </c>
      <c r="T21" s="165">
        <f t="shared" si="8"/>
        <v>0</v>
      </c>
      <c r="U21" s="165">
        <f t="shared" si="6"/>
        <v>122</v>
      </c>
      <c r="V21" s="1117">
        <f>L21+U21</f>
        <v>210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f>7+5+4+4+12</f>
        <v>32</v>
      </c>
      <c r="E23" s="159">
        <v>8</v>
      </c>
      <c r="F23" s="159">
        <f>10+5+7+6+9</f>
        <v>37</v>
      </c>
      <c r="G23" s="159"/>
      <c r="H23" s="159">
        <v>8</v>
      </c>
      <c r="I23" s="159"/>
      <c r="J23" s="159"/>
      <c r="K23" s="159"/>
      <c r="L23" s="208">
        <f>SUM(D23:K23)</f>
        <v>85</v>
      </c>
      <c r="M23" s="160"/>
      <c r="N23" s="160"/>
      <c r="O23" s="160">
        <v>5</v>
      </c>
      <c r="P23" s="160"/>
      <c r="Q23" s="160"/>
      <c r="R23" s="160">
        <v>3</v>
      </c>
      <c r="S23" s="160"/>
      <c r="T23" s="160"/>
      <c r="U23" s="238">
        <f>SUM(M23:T23)</f>
        <v>8</v>
      </c>
      <c r="V23" s="1112">
        <f>L23+U23</f>
        <v>93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10+2+13+8+6+7+11+4+3+5+9+9+15+12+4+38+6+6+4+7</f>
        <v>179</v>
      </c>
      <c r="E24" s="169">
        <f>2+6+9+4+4+3+1+7+10+2+13+8+6+7+11+4+3+5+9+9+10+12+27+3</f>
        <v>175</v>
      </c>
      <c r="F24" s="169">
        <f>2+2+2+2+2+2+2+2+2+2+2+3+2+4+10+10+2+13+8+6+7+11+4+3+5+9+9+5+21+10</f>
        <v>164</v>
      </c>
      <c r="G24" s="169">
        <f>1+4+7+10+2+13+8+6+7+11+4+3+5+9+9+7+8</f>
        <v>114</v>
      </c>
      <c r="H24" s="169">
        <f>4+5+5+10+2+13+8+6+7+11+4+4+7+5+9+14</f>
        <v>114</v>
      </c>
      <c r="I24" s="169">
        <f>8+3+4+1+3+7+4+10+5+10+65+90</f>
        <v>210</v>
      </c>
      <c r="J24" s="169">
        <f>1+2+2+12+3+1+2+8+25+10+30+95</f>
        <v>191</v>
      </c>
      <c r="K24" s="169"/>
      <c r="L24" s="1115">
        <f>SUM(D24:K24)</f>
        <v>1147</v>
      </c>
      <c r="M24" s="1118">
        <f>2+5+3+5+1+6+7+5+5+4+5+15+20+55+5</f>
        <v>143</v>
      </c>
      <c r="N24" s="1118">
        <f>2+5+3+5+1+6+7+5+5+4+15+25+20+10+6</f>
        <v>119</v>
      </c>
      <c r="O24" s="1119">
        <f>2+5+3+5+1+6+7+5+5+4+15+25+20+10</f>
        <v>113</v>
      </c>
      <c r="P24" s="1118">
        <f>2+5+3+5+1+6+2+5+5+5+4+20</f>
        <v>63</v>
      </c>
      <c r="Q24" s="1118">
        <f>2+5+3+5+1+6+7+5+5+4</f>
        <v>43</v>
      </c>
      <c r="R24" s="1118">
        <f>10+10+7+18+8+10+15+10+15+5+15+5</f>
        <v>128</v>
      </c>
      <c r="S24" s="1118">
        <f>3+5+4+8+5+3+5+8+55+10+30+20+6</f>
        <v>162</v>
      </c>
      <c r="T24" s="1119"/>
      <c r="U24" s="1120">
        <f>SUM(M24:T24)</f>
        <v>771</v>
      </c>
      <c r="V24" s="1112">
        <f>L24+U24</f>
        <v>1918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3.3333333333333144</v>
      </c>
      <c r="E25" s="171">
        <f>$F7-E$55-E$56-E$21-E$23-E$24-E$34-E$43</f>
        <v>-14.000000000000057</v>
      </c>
      <c r="F25" s="171">
        <f>$F8-F$55-F$56-F$21-F$23-F$24-F$34-F$43</f>
        <v>-28.999999999999943</v>
      </c>
      <c r="G25" s="171">
        <f>$F9-G$55-G$56-G$21-G$23-G$24-G$34-G$43</f>
        <v>32.666666666666686</v>
      </c>
      <c r="H25" s="171">
        <f>$F10-H$55-H$56-H$21-H$23-H$24-H$34-H$43</f>
        <v>27.666666666666686</v>
      </c>
      <c r="I25" s="171">
        <f>$F11-I$55-I$56-I$21-I$23-I$24-I$34-I$43</f>
        <v>-43.333333333333428</v>
      </c>
      <c r="J25" s="171">
        <f>$F12-J$55-J$56-J$21-J$23-J$24-J$34-J$43</f>
        <v>-77.000000000000171</v>
      </c>
      <c r="K25" s="171">
        <f>$F13-K$55-K$56-K$21-K$23-K$24-K$34-K$43</f>
        <v>0</v>
      </c>
      <c r="L25" s="209">
        <f>SUM(D25:K25)</f>
        <v>-99.666666666666913</v>
      </c>
      <c r="M25" s="171">
        <f>$O6-M$55-M$56-M$21-M$23-M$24-M$34-M$43</f>
        <v>14.999999999999943</v>
      </c>
      <c r="N25" s="171">
        <f>$O7-N$55-N$56-N$21-N$23-N$24-N$34-N$43</f>
        <v>38.333333333333314</v>
      </c>
      <c r="O25" s="171">
        <f>$O8-O$55-O$56-O$21-O$23-O$24-O$34-O$43</f>
        <v>86.666666666666629</v>
      </c>
      <c r="P25" s="171">
        <f>$O9-P$55-P$56-P$21-P$23-P$24-P$34-P$43</f>
        <v>42.333333333333314</v>
      </c>
      <c r="Q25" s="171">
        <f>$O10-Q$55-Q$56-Q$21-Q$23-Q$24-Q$34-Q$43</f>
        <v>33.666666666666629</v>
      </c>
      <c r="R25" s="171">
        <f>$O11-R$55-R$56-R$21-R$23-R$24-R$34-R$43</f>
        <v>-7</v>
      </c>
      <c r="S25" s="171">
        <f>$O12-S$55-S$56-S$21-S$23-S$24-S$34-S$43</f>
        <v>-34.999999999999943</v>
      </c>
      <c r="T25" s="171">
        <f>$O13-T$55-T$56-T$21-T$23-T$24-T$34-T$43</f>
        <v>0</v>
      </c>
      <c r="U25" s="239">
        <f>SUM(M25:T25)</f>
        <v>173.99999999999989</v>
      </c>
      <c r="V25" s="1112">
        <f>L25+U25</f>
        <v>74.333333333332973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214.33333333333331</v>
      </c>
      <c r="E26" s="172">
        <f t="shared" ref="E26:K26" si="9">SUM(E23:E25)</f>
        <v>168.99999999999994</v>
      </c>
      <c r="F26" s="172">
        <f t="shared" si="9"/>
        <v>172.00000000000006</v>
      </c>
      <c r="G26" s="172">
        <f t="shared" si="9"/>
        <v>146.66666666666669</v>
      </c>
      <c r="H26" s="172">
        <f t="shared" si="9"/>
        <v>149.66666666666669</v>
      </c>
      <c r="I26" s="172">
        <f t="shared" si="9"/>
        <v>166.66666666666657</v>
      </c>
      <c r="J26" s="172">
        <f t="shared" si="9"/>
        <v>113.99999999999983</v>
      </c>
      <c r="K26" s="172">
        <f t="shared" si="9"/>
        <v>0</v>
      </c>
      <c r="L26" s="210">
        <f>SUM(D26:K26)</f>
        <v>1132.333333333333</v>
      </c>
      <c r="M26" s="211">
        <f>SUM(M23:M25)</f>
        <v>157.99999999999994</v>
      </c>
      <c r="N26" s="211">
        <f t="shared" ref="N26:T26" si="10">SUM(N23:N25)</f>
        <v>157.33333333333331</v>
      </c>
      <c r="O26" s="211">
        <f t="shared" si="10"/>
        <v>204.66666666666663</v>
      </c>
      <c r="P26" s="211">
        <f t="shared" si="10"/>
        <v>105.33333333333331</v>
      </c>
      <c r="Q26" s="211">
        <f t="shared" si="10"/>
        <v>76.666666666666629</v>
      </c>
      <c r="R26" s="211">
        <f t="shared" si="10"/>
        <v>124</v>
      </c>
      <c r="S26" s="211">
        <f t="shared" si="10"/>
        <v>127.00000000000006</v>
      </c>
      <c r="T26" s="211">
        <f t="shared" si="10"/>
        <v>0</v>
      </c>
      <c r="U26" s="240">
        <f>SUM(M26:T26)</f>
        <v>953</v>
      </c>
      <c r="V26" s="210">
        <f>L26+U26</f>
        <v>2085.333333333333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>
        <f>60+16</f>
        <v>76</v>
      </c>
      <c r="H28" s="159"/>
      <c r="I28" s="159"/>
      <c r="J28" s="159"/>
      <c r="K28" s="159"/>
      <c r="L28" s="202">
        <f t="shared" ref="L28:L34" si="11">SUM(D28:K28)</f>
        <v>76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2">SUM(M28:T28)</f>
        <v>0</v>
      </c>
      <c r="V28" s="243">
        <f t="shared" ref="V28:V34" si="13">L28+U28</f>
        <v>76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1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2"/>
        <v>0</v>
      </c>
      <c r="V29" s="244">
        <f t="shared" si="13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1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2"/>
        <v>0</v>
      </c>
      <c r="V30" s="1112">
        <f t="shared" si="13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1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2"/>
        <v>0</v>
      </c>
      <c r="V31" s="1112">
        <f t="shared" si="13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1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2"/>
        <v>0</v>
      </c>
      <c r="V32" s="1112">
        <f t="shared" si="13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1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2"/>
        <v>0</v>
      </c>
      <c r="V33" s="1112">
        <f t="shared" si="13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4">SUM(D28:D33)</f>
        <v>0</v>
      </c>
      <c r="E34" s="175">
        <f t="shared" si="14"/>
        <v>0</v>
      </c>
      <c r="F34" s="176">
        <f t="shared" si="14"/>
        <v>0</v>
      </c>
      <c r="G34" s="176">
        <f t="shared" si="14"/>
        <v>76</v>
      </c>
      <c r="H34" s="176">
        <f t="shared" si="14"/>
        <v>0</v>
      </c>
      <c r="I34" s="176">
        <f t="shared" si="14"/>
        <v>0</v>
      </c>
      <c r="J34" s="176">
        <f t="shared" si="14"/>
        <v>0</v>
      </c>
      <c r="K34" s="176">
        <f t="shared" si="14"/>
        <v>0</v>
      </c>
      <c r="L34" s="213">
        <f t="shared" si="11"/>
        <v>76</v>
      </c>
      <c r="M34" s="175">
        <f t="shared" ref="M34:T34" si="15">SUM(M28:M33)</f>
        <v>0</v>
      </c>
      <c r="N34" s="176">
        <f t="shared" si="15"/>
        <v>0</v>
      </c>
      <c r="O34" s="176">
        <f t="shared" si="15"/>
        <v>0</v>
      </c>
      <c r="P34" s="176">
        <f t="shared" si="15"/>
        <v>0</v>
      </c>
      <c r="Q34" s="176">
        <f t="shared" si="15"/>
        <v>0</v>
      </c>
      <c r="R34" s="176">
        <f t="shared" si="15"/>
        <v>0</v>
      </c>
      <c r="S34" s="176">
        <f t="shared" si="15"/>
        <v>0</v>
      </c>
      <c r="T34" s="176">
        <f t="shared" si="15"/>
        <v>0</v>
      </c>
      <c r="U34" s="246">
        <f t="shared" si="12"/>
        <v>0</v>
      </c>
      <c r="V34" s="213">
        <f t="shared" si="13"/>
        <v>76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6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7">SUM(M36:T36)</f>
        <v>0</v>
      </c>
      <c r="V36" s="243">
        <f t="shared" ref="V36:V43" si="18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6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7"/>
        <v>0</v>
      </c>
      <c r="V37" s="1114">
        <f t="shared" si="18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6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7"/>
        <v>0</v>
      </c>
      <c r="V38" s="1114">
        <f t="shared" si="18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6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7"/>
        <v>0</v>
      </c>
      <c r="V39" s="1114">
        <f t="shared" si="18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6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7"/>
        <v>0</v>
      </c>
      <c r="V40" s="1114">
        <f t="shared" si="18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6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7"/>
        <v>0</v>
      </c>
      <c r="V41" s="1114">
        <f t="shared" si="18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6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7"/>
        <v>0</v>
      </c>
      <c r="V42" s="1114">
        <f t="shared" si="18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9">SUM(D36:D42)</f>
        <v>0</v>
      </c>
      <c r="E43" s="177">
        <f t="shared" si="19"/>
        <v>0</v>
      </c>
      <c r="F43" s="177">
        <f t="shared" si="19"/>
        <v>0</v>
      </c>
      <c r="G43" s="177">
        <f t="shared" si="19"/>
        <v>0</v>
      </c>
      <c r="H43" s="177">
        <f t="shared" si="19"/>
        <v>0</v>
      </c>
      <c r="I43" s="177">
        <f t="shared" si="19"/>
        <v>0</v>
      </c>
      <c r="J43" s="177">
        <f t="shared" si="19"/>
        <v>0</v>
      </c>
      <c r="K43" s="177">
        <f t="shared" si="19"/>
        <v>0</v>
      </c>
      <c r="L43" s="213">
        <f t="shared" si="16"/>
        <v>0</v>
      </c>
      <c r="M43" s="177">
        <f t="shared" ref="M43:T43" si="20">SUM(M36:M42)</f>
        <v>0</v>
      </c>
      <c r="N43" s="177">
        <f t="shared" si="20"/>
        <v>0</v>
      </c>
      <c r="O43" s="177">
        <f t="shared" si="20"/>
        <v>0</v>
      </c>
      <c r="P43" s="177">
        <f t="shared" si="20"/>
        <v>0</v>
      </c>
      <c r="Q43" s="177">
        <f t="shared" si="20"/>
        <v>0</v>
      </c>
      <c r="R43" s="177">
        <f t="shared" si="20"/>
        <v>0</v>
      </c>
      <c r="S43" s="177">
        <f t="shared" si="20"/>
        <v>0</v>
      </c>
      <c r="T43" s="177">
        <f t="shared" si="20"/>
        <v>0</v>
      </c>
      <c r="U43" s="165">
        <f t="shared" si="17"/>
        <v>0</v>
      </c>
      <c r="V43" s="213">
        <f t="shared" si="18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188" t="s">
        <v>635</v>
      </c>
      <c r="B45" s="1189">
        <v>16.309999999999999</v>
      </c>
      <c r="C45" s="1187">
        <v>76</v>
      </c>
      <c r="D45" s="1349" t="s">
        <v>636</v>
      </c>
      <c r="E45" s="1350"/>
      <c r="F45" s="1350"/>
      <c r="G45" s="1350"/>
      <c r="H45" s="1350"/>
      <c r="I45" s="1350"/>
      <c r="J45" s="1351"/>
      <c r="K45" s="1059" t="s">
        <v>294</v>
      </c>
      <c r="L45" s="1068"/>
      <c r="M45" s="1068"/>
      <c r="N45" s="1068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188"/>
      <c r="B46" s="1187"/>
      <c r="C46" s="1187"/>
      <c r="D46" s="1349"/>
      <c r="E46" s="1350"/>
      <c r="F46" s="1350"/>
      <c r="G46" s="1350"/>
      <c r="H46" s="1350"/>
      <c r="I46" s="1350"/>
      <c r="J46" s="1351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75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437"/>
      <c r="O47" s="1438"/>
      <c r="P47" s="1438"/>
      <c r="Q47" s="1438"/>
      <c r="R47" s="1438"/>
      <c r="S47" s="1438"/>
      <c r="T47" s="1438"/>
      <c r="U47" s="1438"/>
      <c r="V47" s="1439"/>
      <c r="W47" s="250"/>
    </row>
    <row r="48" spans="1:23" ht="15" customHeight="1">
      <c r="A48" s="1075"/>
      <c r="B48" s="1059"/>
      <c r="C48" s="1123"/>
      <c r="D48" s="1349"/>
      <c r="E48" s="1350"/>
      <c r="F48" s="1350"/>
      <c r="G48" s="1350"/>
      <c r="H48" s="1350"/>
      <c r="I48" s="1350"/>
      <c r="J48" s="1351"/>
      <c r="K48" s="1059"/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75"/>
      <c r="B49" s="1076"/>
      <c r="C49" s="1124"/>
      <c r="D49" s="1077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622</v>
      </c>
      <c r="E54" s="187">
        <f>$F7-E$21-E$43-E$34</f>
        <v>635.99999999999989</v>
      </c>
      <c r="F54" s="187">
        <f>$F8-F$21-F$43-F$34</f>
        <v>635</v>
      </c>
      <c r="G54" s="187">
        <f>$F9-G$21-G$43-G$34</f>
        <v>532</v>
      </c>
      <c r="H54" s="187">
        <f>$F10-H$21-H$43-H$34</f>
        <v>644</v>
      </c>
      <c r="I54" s="187">
        <f>$F11-I$21-I$43-I$34</f>
        <v>623.99999999999989</v>
      </c>
      <c r="J54" s="187">
        <f>$F12-J$21-J$43-J$34</f>
        <v>622.99999999999989</v>
      </c>
      <c r="K54" s="187">
        <f>$F13-K$21-K$43-K$34</f>
        <v>0</v>
      </c>
      <c r="L54" s="202">
        <f>SUM(D54:K54)</f>
        <v>4316</v>
      </c>
      <c r="M54" s="187">
        <f>O6-M21-M43-M34</f>
        <v>580</v>
      </c>
      <c r="N54" s="187">
        <f>O7-N21-N43-N34</f>
        <v>580</v>
      </c>
      <c r="O54" s="187">
        <f>O8-O21-O43-O34</f>
        <v>590</v>
      </c>
      <c r="P54" s="187">
        <f>O9-P21-P43-P34</f>
        <v>582</v>
      </c>
      <c r="Q54" s="187">
        <f>O10-Q21-Q43-Q34</f>
        <v>585</v>
      </c>
      <c r="R54" s="187">
        <f>O11-R21-R43-R34</f>
        <v>576</v>
      </c>
      <c r="S54" s="187">
        <f>O12-S21-S43-S34</f>
        <v>585</v>
      </c>
      <c r="T54" s="187">
        <f>O13-T21-T43-T34</f>
        <v>0</v>
      </c>
      <c r="U54" s="242">
        <f>SUM(M54:T54)</f>
        <v>4078</v>
      </c>
      <c r="V54" s="202">
        <f>L54+U54</f>
        <v>8394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31</v>
      </c>
      <c r="E55" s="1087">
        <f>$K7/$C7</f>
        <v>28.666666666666668</v>
      </c>
      <c r="F55" s="1087">
        <f>$K8/$C8</f>
        <v>29.666666666666668</v>
      </c>
      <c r="G55" s="1087">
        <f>$K9/$C9</f>
        <v>39</v>
      </c>
      <c r="H55" s="1087">
        <f>$K10/$C10</f>
        <v>39.666666666666664</v>
      </c>
      <c r="I55" s="1087">
        <f>$K11/$C11</f>
        <v>31</v>
      </c>
      <c r="J55" s="1087">
        <f>$K12/$C12</f>
        <v>43.333333333333336</v>
      </c>
      <c r="K55" s="1087">
        <f>$K13/$C13</f>
        <v>0</v>
      </c>
      <c r="L55" s="1112">
        <f>SUM(D55:K55)</f>
        <v>242.33333333333334</v>
      </c>
      <c r="M55" s="1087">
        <f>T6/C6</f>
        <v>55.333333333333336</v>
      </c>
      <c r="N55" s="1087">
        <f>T7/C7</f>
        <v>39.333333333333336</v>
      </c>
      <c r="O55" s="1087">
        <f>$T$8/$C$8</f>
        <v>35.333333333333336</v>
      </c>
      <c r="P55" s="1087">
        <f>$T$9/$C$9</f>
        <v>36.333333333333336</v>
      </c>
      <c r="Q55" s="1087">
        <f>$T$10/$C$10</f>
        <v>30.333333333333332</v>
      </c>
      <c r="R55" s="1087">
        <f>$T$11/$C$11</f>
        <v>63</v>
      </c>
      <c r="S55" s="1087">
        <f>$T$12/$C$12</f>
        <v>5.666666666666667</v>
      </c>
      <c r="T55" s="1087">
        <f>$T$13/$C$13</f>
        <v>0</v>
      </c>
      <c r="U55" s="1129">
        <f>SUM(M55:T55)</f>
        <v>265.33333333333337</v>
      </c>
      <c r="V55" s="1112">
        <f>L55+U55</f>
        <v>507.66666666666674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376.66666666666669</v>
      </c>
      <c r="E56" s="1087">
        <f>$I7/$C7</f>
        <v>438.33333333333331</v>
      </c>
      <c r="F56" s="1087">
        <f>$I8/$C8</f>
        <v>433.33333333333331</v>
      </c>
      <c r="G56" s="1087">
        <f>$I9/$C9</f>
        <v>346.33333333333331</v>
      </c>
      <c r="H56" s="1087">
        <f>$I10/$C10</f>
        <v>454.66666666666669</v>
      </c>
      <c r="I56" s="1087">
        <f>$I11/$C11</f>
        <v>426.33333333333331</v>
      </c>
      <c r="J56" s="1087">
        <f>$I12/$C12</f>
        <v>465.66666666666669</v>
      </c>
      <c r="K56" s="1087">
        <f>$I13/$C13</f>
        <v>0</v>
      </c>
      <c r="L56" s="1115">
        <f>SUM(D56:K56)</f>
        <v>2941.333333333333</v>
      </c>
      <c r="M56" s="1130">
        <f>R6/C6</f>
        <v>366.66666666666669</v>
      </c>
      <c r="N56" s="1130">
        <f>R7/C7</f>
        <v>383.33333333333331</v>
      </c>
      <c r="O56" s="1130">
        <f>R8/C8</f>
        <v>350</v>
      </c>
      <c r="P56" s="1130">
        <f>R9/C9</f>
        <v>440.33333333333331</v>
      </c>
      <c r="Q56" s="1130">
        <f>R10/C10</f>
        <v>478</v>
      </c>
      <c r="R56" s="1130">
        <f>R11/C11</f>
        <v>389</v>
      </c>
      <c r="S56" s="1130">
        <f>R12/C12</f>
        <v>452.33333333333331</v>
      </c>
      <c r="T56" s="1130">
        <f>R13/C13</f>
        <v>0</v>
      </c>
      <c r="U56" s="1131">
        <f>SUM(M56:T56)</f>
        <v>2859.6666666666665</v>
      </c>
      <c r="V56" s="1115">
        <f>L56+U56</f>
        <v>5801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2.3547880690737837</v>
      </c>
      <c r="E57" s="188">
        <f>IF(F7=0,0,E21/F7*100)</f>
        <v>0.93457943925233655</v>
      </c>
      <c r="F57" s="188">
        <f>IF(F8=0,0,F21/F8*100)</f>
        <v>1.2441679626749611</v>
      </c>
      <c r="G57" s="188">
        <f>IF(F9=0,0,G21/F9*100)</f>
        <v>6.1728395061728394</v>
      </c>
      <c r="H57" s="188">
        <f>IF(F10=0,0,H21/F10*100)</f>
        <v>0.92307692307692313</v>
      </c>
      <c r="I57" s="188">
        <f>IF(F11=0,0,I21/F11*100)</f>
        <v>0.95238095238095244</v>
      </c>
      <c r="J57" s="188">
        <f>IF(F12=0,0,J21/F12*100)</f>
        <v>1.1111111111111114</v>
      </c>
      <c r="K57" s="188">
        <f>IF(F13=0,0,K21/F13*100)</f>
        <v>0</v>
      </c>
      <c r="L57" s="217">
        <f>IF(F14=0,0,L21/F14*100)</f>
        <v>1.9642857142857142</v>
      </c>
      <c r="M57" s="188">
        <f>IF(O6=0,0,M21/O6*100)</f>
        <v>3.3333333333333335</v>
      </c>
      <c r="N57" s="188">
        <f>IF(O7=0,0,N21/O7*100)</f>
        <v>3.3333333333333335</v>
      </c>
      <c r="O57" s="188">
        <f>IF(O8=0,0,O21/O8*100)</f>
        <v>1.6666666666666667</v>
      </c>
      <c r="P57" s="188">
        <f>IF(O9=0,0,P21/O9*100)</f>
        <v>3</v>
      </c>
      <c r="Q57" s="188">
        <f>IF(O10=0,0,Q21/O10*100)</f>
        <v>2.5</v>
      </c>
      <c r="R57" s="188">
        <f>IF(O11=0,0,R21/O11*100)</f>
        <v>4</v>
      </c>
      <c r="S57" s="188">
        <f>IF(O12=0,0,S21/O12*100)</f>
        <v>2.5</v>
      </c>
      <c r="T57" s="188">
        <f>IF(O13=0,0,T21/O13*100)</f>
        <v>0</v>
      </c>
      <c r="U57" s="251">
        <f>IF(O14=0,0,U21/O14*100)</f>
        <v>2.9047619047619047</v>
      </c>
      <c r="V57" s="217">
        <f>IF((F14+O14)=0,0,V21/(F14+O14)*100)</f>
        <v>2.4193548387096775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11.728395061728394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1.6964285714285714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0.87557603686635943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97.645211930926209</v>
      </c>
      <c r="E60" s="1093">
        <f>IF(F7=0,0,E54/F7*100)</f>
        <v>99.065420560747668</v>
      </c>
      <c r="F60" s="1093">
        <f>IF(F8=0,0,F54/F8*100)</f>
        <v>98.755832037325035</v>
      </c>
      <c r="G60" s="1093">
        <f>IF(F9=0,0,G54/F9*100)</f>
        <v>82.098765432098759</v>
      </c>
      <c r="H60" s="1093">
        <f>IF(F10=0,0,H54/F10*100)</f>
        <v>99.07692307692308</v>
      </c>
      <c r="I60" s="1093">
        <f>IF(F11=0,0,I54/F11*100)</f>
        <v>99.047619047619051</v>
      </c>
      <c r="J60" s="1093">
        <f>IF(F12=0,0,J54/F12*100)</f>
        <v>98.888888888888886</v>
      </c>
      <c r="K60" s="1093">
        <f>IF(F13=0,0,K54/F13*100)</f>
        <v>0</v>
      </c>
      <c r="L60" s="1134">
        <f>IF(F14=0,0,L54/F14*100)</f>
        <v>96.339285714285722</v>
      </c>
      <c r="M60" s="1095">
        <f>IF(O6=0,0,M54/O6*100)</f>
        <v>96.666666666666671</v>
      </c>
      <c r="N60" s="1095">
        <f>IF(O7=0,0,N54/O7*100)</f>
        <v>96.666666666666671</v>
      </c>
      <c r="O60" s="1095">
        <f>IF(O8=0,0,O54/O8*100)</f>
        <v>98.333333333333329</v>
      </c>
      <c r="P60" s="1095">
        <f>IF(O9=0,0,P54/O9*100)</f>
        <v>97</v>
      </c>
      <c r="Q60" s="1095">
        <f>IF(O10=0,0,Q54/O10*100)</f>
        <v>97.5</v>
      </c>
      <c r="R60" s="1095">
        <f>IF(O11=0,0,R54/O11*100)</f>
        <v>96</v>
      </c>
      <c r="S60" s="1095">
        <f>IF(O12=0,0,S54/O12*100)</f>
        <v>97.5</v>
      </c>
      <c r="T60" s="1095">
        <f>IF(O13=0,0,T54/O13*100)</f>
        <v>0</v>
      </c>
      <c r="U60" s="1093">
        <f>IF(O14=0,0,U54/O14*100)</f>
        <v>97.095238095238088</v>
      </c>
      <c r="V60" s="1134">
        <f>IF((F14+O14)=0,0,V54/(F14+O14)*100)</f>
        <v>96.705069124423957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4.983922829581994</v>
      </c>
      <c r="E61" s="188">
        <f>IF(E54=0,0,E55/E54*100)</f>
        <v>4.5073375262054514</v>
      </c>
      <c r="F61" s="188">
        <f t="shared" ref="F61:V61" si="21">IF(F54=0,0,F55/F54*100)</f>
        <v>4.6719160104986877</v>
      </c>
      <c r="G61" s="188">
        <f t="shared" si="21"/>
        <v>7.3308270676691727</v>
      </c>
      <c r="H61" s="188">
        <f t="shared" si="21"/>
        <v>6.1594202898550723</v>
      </c>
      <c r="I61" s="188">
        <f t="shared" si="21"/>
        <v>4.967948717948719</v>
      </c>
      <c r="J61" s="188">
        <f t="shared" si="21"/>
        <v>6.9555912252541487</v>
      </c>
      <c r="K61" s="188">
        <f t="shared" si="21"/>
        <v>0</v>
      </c>
      <c r="L61" s="217">
        <f t="shared" si="21"/>
        <v>5.6147667593450734</v>
      </c>
      <c r="M61" s="188">
        <f t="shared" si="21"/>
        <v>9.5402298850574709</v>
      </c>
      <c r="N61" s="188">
        <f t="shared" si="21"/>
        <v>6.7816091954022992</v>
      </c>
      <c r="O61" s="188">
        <f t="shared" si="21"/>
        <v>5.9887005649717517</v>
      </c>
      <c r="P61" s="188">
        <f t="shared" si="21"/>
        <v>6.2428407789232541</v>
      </c>
      <c r="Q61" s="188">
        <f t="shared" si="21"/>
        <v>5.1851851851851851</v>
      </c>
      <c r="R61" s="188">
        <f t="shared" si="21"/>
        <v>10.9375</v>
      </c>
      <c r="S61" s="188">
        <f t="shared" si="21"/>
        <v>0.96866096866096862</v>
      </c>
      <c r="T61" s="188">
        <f t="shared" si="21"/>
        <v>0</v>
      </c>
      <c r="U61" s="251">
        <f t="shared" si="21"/>
        <v>6.5064574137649185</v>
      </c>
      <c r="V61" s="217">
        <f t="shared" si="21"/>
        <v>6.0479707727742049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2">IF(D54=0,0,D26/D54*100)</f>
        <v>34.458735262593784</v>
      </c>
      <c r="E62" s="1090">
        <f t="shared" si="22"/>
        <v>26.572327044025151</v>
      </c>
      <c r="F62" s="1090">
        <f t="shared" si="22"/>
        <v>27.086614173228359</v>
      </c>
      <c r="G62" s="1090">
        <f t="shared" si="22"/>
        <v>27.568922305764413</v>
      </c>
      <c r="H62" s="1090">
        <f t="shared" si="22"/>
        <v>23.240165631469985</v>
      </c>
      <c r="I62" s="1090">
        <f t="shared" si="22"/>
        <v>26.709401709401696</v>
      </c>
      <c r="J62" s="1090">
        <f t="shared" si="22"/>
        <v>18.298555377207038</v>
      </c>
      <c r="K62" s="1090">
        <f t="shared" si="22"/>
        <v>0</v>
      </c>
      <c r="L62" s="1132">
        <f t="shared" si="22"/>
        <v>26.235712079085566</v>
      </c>
      <c r="M62" s="1090">
        <f t="shared" si="22"/>
        <v>27.241379310344815</v>
      </c>
      <c r="N62" s="1090">
        <f t="shared" si="22"/>
        <v>27.126436781609193</v>
      </c>
      <c r="O62" s="1090">
        <f t="shared" si="22"/>
        <v>34.689265536723155</v>
      </c>
      <c r="P62" s="1090">
        <f t="shared" si="22"/>
        <v>18.098510882016033</v>
      </c>
      <c r="Q62" s="1090">
        <f t="shared" si="22"/>
        <v>13.105413105413099</v>
      </c>
      <c r="R62" s="1090">
        <f t="shared" si="22"/>
        <v>21.527777777777779</v>
      </c>
      <c r="S62" s="1090">
        <f t="shared" si="22"/>
        <v>21.709401709401718</v>
      </c>
      <c r="T62" s="1090">
        <f t="shared" si="22"/>
        <v>0</v>
      </c>
      <c r="U62" s="1133">
        <f t="shared" si="22"/>
        <v>23.369298675821483</v>
      </c>
      <c r="V62" s="1132">
        <f t="shared" si="22"/>
        <v>24.84314192677309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3">IF(D54=0,0,D56/D54*100)</f>
        <v>60.557341907824224</v>
      </c>
      <c r="E63" s="1095">
        <f t="shared" si="23"/>
        <v>68.920335429769395</v>
      </c>
      <c r="F63" s="1095">
        <f t="shared" si="23"/>
        <v>68.241469816272954</v>
      </c>
      <c r="G63" s="1095">
        <f t="shared" si="23"/>
        <v>65.100250626566407</v>
      </c>
      <c r="H63" s="1095">
        <f t="shared" si="23"/>
        <v>70.600414078674959</v>
      </c>
      <c r="I63" s="1095">
        <f t="shared" si="23"/>
        <v>68.322649572649581</v>
      </c>
      <c r="J63" s="1095">
        <f t="shared" si="23"/>
        <v>74.745853397538809</v>
      </c>
      <c r="K63" s="1095">
        <f t="shared" si="23"/>
        <v>0</v>
      </c>
      <c r="L63" s="1134">
        <f t="shared" si="23"/>
        <v>68.149521161569353</v>
      </c>
      <c r="M63" s="1095">
        <f t="shared" si="23"/>
        <v>63.218390804597703</v>
      </c>
      <c r="N63" s="1095">
        <f t="shared" si="23"/>
        <v>66.091954022988503</v>
      </c>
      <c r="O63" s="1095">
        <f t="shared" si="23"/>
        <v>59.322033898305079</v>
      </c>
      <c r="P63" s="1095">
        <f t="shared" si="23"/>
        <v>75.658648339060704</v>
      </c>
      <c r="Q63" s="1095">
        <f t="shared" si="23"/>
        <v>81.709401709401703</v>
      </c>
      <c r="R63" s="1095">
        <f t="shared" si="23"/>
        <v>67.534722222222214</v>
      </c>
      <c r="S63" s="1095">
        <f t="shared" si="23"/>
        <v>77.321937321937313</v>
      </c>
      <c r="T63" s="1095">
        <f t="shared" si="23"/>
        <v>0</v>
      </c>
      <c r="U63" s="1093">
        <f t="shared" si="23"/>
        <v>70.124243910413597</v>
      </c>
      <c r="V63" s="1134">
        <f t="shared" si="23"/>
        <v>69.108887300452707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92.388231598785467</v>
      </c>
      <c r="E64" s="190">
        <f>IF(E74=0,0,D74/E74*100)</f>
        <v>92.388231598785467</v>
      </c>
      <c r="F64" s="190">
        <f>IF(E74=0,0,D74/E74*100)</f>
        <v>92.388231598785467</v>
      </c>
      <c r="G64" s="190">
        <f>IF(E74=0,0,D74/E74*100)</f>
        <v>92.388231598785467</v>
      </c>
      <c r="H64" s="190">
        <f>IF(E74=0,0,D74/E74*100)</f>
        <v>92.388231598785467</v>
      </c>
      <c r="I64" s="190">
        <f>IF(E74=0,0,D74/E74*100)</f>
        <v>92.388231598785467</v>
      </c>
      <c r="J64" s="190">
        <f>IF(E74=0,0,D74/E74*100)</f>
        <v>92.388231598785467</v>
      </c>
      <c r="K64" s="190">
        <f>IF(E74=0,0,D74/E74*100)</f>
        <v>92.388231598785467</v>
      </c>
      <c r="L64" s="218">
        <f>IF(E74=0,0,D74/E74*100)</f>
        <v>92.388231598785467</v>
      </c>
      <c r="M64" s="219">
        <f>IF(N74=0,0,M74/N74*100)</f>
        <v>91.509333333333331</v>
      </c>
      <c r="N64" s="219">
        <f>IF(N74=0,0,M74/N74*100)</f>
        <v>91.509333333333331</v>
      </c>
      <c r="O64" s="219">
        <f>IF(N74=0,0,M74/N74*100)</f>
        <v>91.509333333333331</v>
      </c>
      <c r="P64" s="219">
        <f>IF(N74=0,0,M74/N74*100)</f>
        <v>91.509333333333331</v>
      </c>
      <c r="Q64" s="219">
        <f>IF(N74=0,0,M74/N74*100)</f>
        <v>91.509333333333331</v>
      </c>
      <c r="R64" s="219">
        <f>IF(N74=0,0,M74/N74*100)</f>
        <v>91.509333333333331</v>
      </c>
      <c r="S64" s="219">
        <f>IF(N74=0,0,M74/N74*100)</f>
        <v>91.509333333333331</v>
      </c>
      <c r="T64" s="219">
        <f>IF(N74=0,0,M74/N74*100)</f>
        <v>91.509333333333331</v>
      </c>
      <c r="U64" s="190">
        <f>IF(N74=0,0,M74/N74*100)</f>
        <v>91.509333333333331</v>
      </c>
      <c r="V64" s="218">
        <f>IF(N78=0,0,M78/N78*100)</f>
        <v>91.952869069005601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4">(D60*D63*D64)/10000</f>
        <v>54.630403823457648</v>
      </c>
      <c r="E65" s="190">
        <f t="shared" si="24"/>
        <v>63.079192394809404</v>
      </c>
      <c r="F65" s="190">
        <f t="shared" si="24"/>
        <v>62.262675520176813</v>
      </c>
      <c r="G65" s="190">
        <f t="shared" si="24"/>
        <v>49.378278102437285</v>
      </c>
      <c r="H65" s="190">
        <f t="shared" si="24"/>
        <v>64.624383538842778</v>
      </c>
      <c r="I65" s="190">
        <f t="shared" si="24"/>
        <v>62.520924981400334</v>
      </c>
      <c r="J65" s="190">
        <f t="shared" si="24"/>
        <v>68.289079123546728</v>
      </c>
      <c r="K65" s="190">
        <f t="shared" si="24"/>
        <v>0</v>
      </c>
      <c r="L65" s="190">
        <f t="shared" si="24"/>
        <v>60.657273484202605</v>
      </c>
      <c r="M65" s="219">
        <f t="shared" si="24"/>
        <v>55.922370370370373</v>
      </c>
      <c r="N65" s="219">
        <f t="shared" si="24"/>
        <v>58.46429629629629</v>
      </c>
      <c r="O65" s="219">
        <f t="shared" si="24"/>
        <v>53.380444444444429</v>
      </c>
      <c r="P65" s="219">
        <f t="shared" si="24"/>
        <v>67.157682962962966</v>
      </c>
      <c r="Q65" s="219">
        <f t="shared" si="24"/>
        <v>72.902435555555542</v>
      </c>
      <c r="R65" s="219">
        <f t="shared" si="24"/>
        <v>59.328551111111103</v>
      </c>
      <c r="S65" s="219">
        <f t="shared" si="24"/>
        <v>68.987869629629614</v>
      </c>
      <c r="T65" s="219">
        <f t="shared" si="24"/>
        <v>0</v>
      </c>
      <c r="U65" s="190">
        <f>IF(10000=0,0,(U60*U63*U64)/10000)</f>
        <v>62.306235767195759</v>
      </c>
      <c r="V65" s="218">
        <f>IF(10000=0,0,(V60*V63*V64)/10000)</f>
        <v>61.45375500798405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8824</v>
      </c>
      <c r="E74" s="1099">
        <v>9551</v>
      </c>
      <c r="F74" s="264">
        <f>8/E74</f>
        <v>8.3760862736886193E-4</v>
      </c>
      <c r="G74" s="260"/>
      <c r="H74" s="260"/>
      <c r="I74" s="260"/>
      <c r="J74" s="260"/>
      <c r="K74" s="260"/>
      <c r="L74" s="260"/>
      <c r="M74" s="1099">
        <v>8579</v>
      </c>
      <c r="N74" s="1099">
        <v>9375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265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1247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17403</v>
      </c>
      <c r="N78" s="1135">
        <f>E74+N74</f>
        <v>18926</v>
      </c>
      <c r="O78" s="281">
        <f>M78/N78</f>
        <v>0.91952869069005605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79" orientation="landscape" verticalDpi="36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28CC-16F0-4A80-AA70-78A0D534FE7D}">
  <sheetPr codeName="Sheet37">
    <tabColor theme="0" tint="-0.14999847407452621"/>
    <pageSetUpPr fitToPage="1"/>
  </sheetPr>
  <dimension ref="A1:IV122"/>
  <sheetViews>
    <sheetView showGridLines="0" zoomScale="80" zoomScaleNormal="80" zoomScaleSheetLayoutView="70" workbookViewId="0">
      <selection activeCell="U1" sqref="U1:V1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 t="s">
        <v>629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0</v>
      </c>
      <c r="AB4" s="256">
        <f>L54</f>
        <v>0</v>
      </c>
      <c r="AC4" s="256">
        <f>L55</f>
        <v>0</v>
      </c>
      <c r="AD4" s="256">
        <f>L56</f>
        <v>0</v>
      </c>
      <c r="AE4" s="256">
        <f>L21</f>
        <v>0</v>
      </c>
      <c r="AF4" s="256">
        <f>L26</f>
        <v>0</v>
      </c>
      <c r="AG4" s="256">
        <f>L28</f>
        <v>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223"/>
      <c r="Z5" s="1030" t="s">
        <v>73</v>
      </c>
      <c r="AA5" s="256">
        <f>O14</f>
        <v>0</v>
      </c>
      <c r="AB5" s="256">
        <f>U54</f>
        <v>0</v>
      </c>
      <c r="AC5" s="256">
        <f>U55</f>
        <v>0</v>
      </c>
      <c r="AD5" s="256">
        <f>U56</f>
        <v>0</v>
      </c>
      <c r="AE5" s="256">
        <f>U21</f>
        <v>0</v>
      </c>
      <c r="AF5" s="256">
        <f>U26</f>
        <v>0</v>
      </c>
      <c r="AG5" s="256">
        <f>U28</f>
        <v>0</v>
      </c>
      <c r="AH5" s="256">
        <f>U43</f>
        <v>0</v>
      </c>
    </row>
    <row r="6" spans="1:256" ht="18.75" customHeight="1">
      <c r="A6" s="142" t="s">
        <v>291</v>
      </c>
      <c r="B6" s="910"/>
      <c r="C6" s="144">
        <v>3</v>
      </c>
      <c r="D6" s="145"/>
      <c r="E6" s="145"/>
      <c r="F6" s="146"/>
      <c r="G6" s="1365"/>
      <c r="H6" s="1365"/>
      <c r="I6" s="1405"/>
      <c r="J6" s="1406"/>
      <c r="K6" s="1370">
        <f t="shared" ref="K6:K13" si="0">G6-I6</f>
        <v>0</v>
      </c>
      <c r="L6" s="1407"/>
      <c r="M6" s="145"/>
      <c r="N6" s="145"/>
      <c r="O6" s="195"/>
      <c r="P6" s="1408"/>
      <c r="Q6" s="1408"/>
      <c r="R6" s="1409"/>
      <c r="S6" s="1408"/>
      <c r="T6" s="1421">
        <f t="shared" ref="T6:T13" si="1">P6-R6</f>
        <v>0</v>
      </c>
      <c r="U6" s="1421"/>
      <c r="V6" s="224">
        <f t="shared" ref="V6:V13" si="2">F6+O6</f>
        <v>0</v>
      </c>
      <c r="W6" s="909"/>
      <c r="IV6" s="135">
        <v>0</v>
      </c>
    </row>
    <row r="7" spans="1:256" ht="18.75" customHeight="1">
      <c r="A7" s="142" t="s">
        <v>292</v>
      </c>
      <c r="B7" s="910"/>
      <c r="C7" s="144">
        <v>3</v>
      </c>
      <c r="D7" s="145"/>
      <c r="E7" s="145"/>
      <c r="F7" s="146"/>
      <c r="G7" s="1403"/>
      <c r="H7" s="1404"/>
      <c r="I7" s="1403"/>
      <c r="J7" s="1404"/>
      <c r="K7" s="1368">
        <f t="shared" si="0"/>
        <v>0</v>
      </c>
      <c r="L7" s="1397"/>
      <c r="M7" s="145"/>
      <c r="N7" s="145"/>
      <c r="O7" s="195"/>
      <c r="P7" s="1398"/>
      <c r="Q7" s="1398"/>
      <c r="R7" s="1398"/>
      <c r="S7" s="1398"/>
      <c r="T7" s="1399">
        <f t="shared" si="1"/>
        <v>0</v>
      </c>
      <c r="U7" s="1399"/>
      <c r="V7" s="224">
        <f t="shared" si="2"/>
        <v>0</v>
      </c>
      <c r="W7" s="226"/>
    </row>
    <row r="8" spans="1:256" ht="18.75" customHeight="1">
      <c r="A8" s="142" t="s">
        <v>293</v>
      </c>
      <c r="B8" s="910"/>
      <c r="C8" s="144">
        <v>3</v>
      </c>
      <c r="D8" s="145"/>
      <c r="E8" s="145"/>
      <c r="F8" s="146"/>
      <c r="G8" s="1403"/>
      <c r="H8" s="1404"/>
      <c r="I8" s="1396"/>
      <c r="J8" s="1396"/>
      <c r="K8" s="1368">
        <f t="shared" si="0"/>
        <v>0</v>
      </c>
      <c r="L8" s="1397"/>
      <c r="M8" s="145"/>
      <c r="N8" s="145"/>
      <c r="O8" s="195"/>
      <c r="P8" s="1398"/>
      <c r="Q8" s="1398"/>
      <c r="R8" s="1398"/>
      <c r="S8" s="1398"/>
      <c r="T8" s="1399">
        <f t="shared" si="1"/>
        <v>0</v>
      </c>
      <c r="U8" s="1399"/>
      <c r="V8" s="224">
        <f t="shared" si="2"/>
        <v>0</v>
      </c>
      <c r="W8" s="226"/>
    </row>
    <row r="9" spans="1:256" ht="18.75" customHeight="1">
      <c r="A9" s="142" t="s">
        <v>294</v>
      </c>
      <c r="B9" s="910"/>
      <c r="C9" s="144">
        <v>3</v>
      </c>
      <c r="D9" s="145"/>
      <c r="E9" s="145"/>
      <c r="F9" s="146"/>
      <c r="G9" s="1403"/>
      <c r="H9" s="1404"/>
      <c r="I9" s="1396"/>
      <c r="J9" s="1396"/>
      <c r="K9" s="1368">
        <f t="shared" si="0"/>
        <v>0</v>
      </c>
      <c r="L9" s="1397"/>
      <c r="M9" s="145"/>
      <c r="N9" s="145"/>
      <c r="O9" s="195"/>
      <c r="P9" s="1398"/>
      <c r="Q9" s="1398"/>
      <c r="R9" s="1398"/>
      <c r="S9" s="1398"/>
      <c r="T9" s="1399">
        <f t="shared" si="1"/>
        <v>0</v>
      </c>
      <c r="U9" s="1399"/>
      <c r="V9" s="224">
        <f t="shared" si="2"/>
        <v>0</v>
      </c>
      <c r="W9" s="909"/>
    </row>
    <row r="10" spans="1:256" ht="18.75" customHeight="1">
      <c r="A10" s="142" t="s">
        <v>295</v>
      </c>
      <c r="B10" s="910"/>
      <c r="C10" s="144">
        <v>3</v>
      </c>
      <c r="D10" s="145"/>
      <c r="E10" s="145"/>
      <c r="F10" s="146"/>
      <c r="G10" s="1403"/>
      <c r="H10" s="1404"/>
      <c r="I10" s="1396"/>
      <c r="J10" s="1396"/>
      <c r="K10" s="1368">
        <f t="shared" si="0"/>
        <v>0</v>
      </c>
      <c r="L10" s="1397"/>
      <c r="M10" s="145"/>
      <c r="N10" s="145"/>
      <c r="O10" s="195"/>
      <c r="P10" s="1398"/>
      <c r="Q10" s="1398"/>
      <c r="R10" s="1398"/>
      <c r="S10" s="1398"/>
      <c r="T10" s="1399">
        <f t="shared" si="1"/>
        <v>0</v>
      </c>
      <c r="U10" s="1399"/>
      <c r="V10" s="224">
        <f t="shared" si="2"/>
        <v>0</v>
      </c>
      <c r="W10" s="909"/>
      <c r="Z10" s="138">
        <v>79</v>
      </c>
    </row>
    <row r="11" spans="1:256" ht="18.75" customHeight="1">
      <c r="A11" s="142" t="s">
        <v>296</v>
      </c>
      <c r="B11" s="910"/>
      <c r="C11" s="144">
        <v>3</v>
      </c>
      <c r="D11" s="145"/>
      <c r="E11" s="145"/>
      <c r="F11" s="146"/>
      <c r="G11" s="1396"/>
      <c r="H11" s="1396"/>
      <c r="I11" s="1396"/>
      <c r="J11" s="1396"/>
      <c r="K11" s="1368">
        <f t="shared" si="0"/>
        <v>0</v>
      </c>
      <c r="L11" s="1397"/>
      <c r="M11" s="145"/>
      <c r="N11" s="145"/>
      <c r="O11" s="195"/>
      <c r="P11" s="1398"/>
      <c r="Q11" s="1398"/>
      <c r="R11" s="1398"/>
      <c r="S11" s="1398"/>
      <c r="T11" s="1399">
        <f t="shared" si="1"/>
        <v>0</v>
      </c>
      <c r="U11" s="1399"/>
      <c r="V11" s="224">
        <f t="shared" si="2"/>
        <v>0</v>
      </c>
      <c r="W11" s="909"/>
    </row>
    <row r="12" spans="1:256" ht="18.75" customHeight="1">
      <c r="A12" s="142" t="s">
        <v>297</v>
      </c>
      <c r="B12" s="910"/>
      <c r="C12" s="144">
        <v>3</v>
      </c>
      <c r="D12" s="145"/>
      <c r="E12" s="145"/>
      <c r="F12" s="146"/>
      <c r="G12" s="1396"/>
      <c r="H12" s="1396"/>
      <c r="I12" s="1396"/>
      <c r="J12" s="1396"/>
      <c r="K12" s="1368">
        <f t="shared" si="0"/>
        <v>0</v>
      </c>
      <c r="L12" s="1397"/>
      <c r="M12" s="145"/>
      <c r="N12" s="145"/>
      <c r="O12" s="195"/>
      <c r="P12" s="1398"/>
      <c r="Q12" s="1398"/>
      <c r="R12" s="1398"/>
      <c r="S12" s="1398"/>
      <c r="T12" s="1399">
        <f t="shared" si="1"/>
        <v>0</v>
      </c>
      <c r="U12" s="1399"/>
      <c r="V12" s="224">
        <f t="shared" si="2"/>
        <v>0</v>
      </c>
      <c r="W12" s="909"/>
    </row>
    <row r="13" spans="1:256" ht="18.75" customHeight="1" thickBot="1">
      <c r="A13" s="142" t="s">
        <v>298</v>
      </c>
      <c r="B13" s="910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0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2"/>
        <v>0</v>
      </c>
      <c r="W13" s="909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 t="e">
        <f>AVERAGE(D6:D13)</f>
        <v>#DIV/0!</v>
      </c>
      <c r="E14" s="152" t="e">
        <f>AVERAGE(E6:E13)</f>
        <v>#DIV/0!</v>
      </c>
      <c r="F14" s="153">
        <f>SUM(F6:F13)</f>
        <v>0</v>
      </c>
      <c r="G14" s="1362">
        <f>SUM(G6:H13)</f>
        <v>0</v>
      </c>
      <c r="H14" s="1363"/>
      <c r="I14" s="1362">
        <f>SUM(I6:I13)</f>
        <v>0</v>
      </c>
      <c r="J14" s="1363"/>
      <c r="K14" s="1362">
        <f>SUM(K6:K13)</f>
        <v>0</v>
      </c>
      <c r="L14" s="1394"/>
      <c r="M14" s="198" t="e">
        <f>AVERAGE(M6:M13)</f>
        <v>#DIV/0!</v>
      </c>
      <c r="N14" s="199" t="e">
        <f>AVERAGE(N6:N13)</f>
        <v>#DIV/0!</v>
      </c>
      <c r="O14" s="200">
        <f>SUM(O6:O13)</f>
        <v>0</v>
      </c>
      <c r="P14" s="1392">
        <f>SUM(P6:P13)</f>
        <v>0</v>
      </c>
      <c r="Q14" s="1393"/>
      <c r="R14" s="1392">
        <f>SUM(R6:R13)</f>
        <v>0</v>
      </c>
      <c r="S14" s="1393"/>
      <c r="T14" s="1392">
        <f>SUM(T6:T13)</f>
        <v>0</v>
      </c>
      <c r="U14" s="1393"/>
      <c r="V14" s="228">
        <f>SUM(V6:V13)</f>
        <v>0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3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4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3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4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3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4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/>
      <c r="E19" s="1070"/>
      <c r="F19" s="1070"/>
      <c r="G19" s="1059"/>
      <c r="H19" s="1070"/>
      <c r="I19" s="1070"/>
      <c r="J19" s="1070"/>
      <c r="K19" s="1070"/>
      <c r="L19" s="1112">
        <f t="shared" si="3"/>
        <v>0</v>
      </c>
      <c r="M19" s="1070"/>
      <c r="N19" s="1059"/>
      <c r="O19" s="1070"/>
      <c r="P19" s="1070"/>
      <c r="Q19" s="1070"/>
      <c r="R19" s="1070"/>
      <c r="S19" s="1070"/>
      <c r="T19" s="1070"/>
      <c r="U19" s="1113">
        <f t="shared" si="4"/>
        <v>0</v>
      </c>
      <c r="V19" s="1114">
        <f>L19+U19</f>
        <v>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3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4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5">SUM(D16:D20)</f>
        <v>0</v>
      </c>
      <c r="E21" s="165">
        <f t="shared" si="5"/>
        <v>0</v>
      </c>
      <c r="F21" s="165">
        <f t="shared" si="5"/>
        <v>0</v>
      </c>
      <c r="G21" s="165">
        <f t="shared" si="5"/>
        <v>0</v>
      </c>
      <c r="H21" s="165">
        <f t="shared" si="5"/>
        <v>0</v>
      </c>
      <c r="I21" s="165">
        <f t="shared" si="5"/>
        <v>0</v>
      </c>
      <c r="J21" s="165">
        <f t="shared" si="5"/>
        <v>0</v>
      </c>
      <c r="K21" s="165">
        <f t="shared" si="5"/>
        <v>0</v>
      </c>
      <c r="L21" s="206">
        <f t="shared" si="3"/>
        <v>0</v>
      </c>
      <c r="M21" s="165">
        <f t="shared" ref="M21:T21" si="6">SUM(M16:M20)</f>
        <v>0</v>
      </c>
      <c r="N21" s="165">
        <f t="shared" si="6"/>
        <v>0</v>
      </c>
      <c r="O21" s="165">
        <f t="shared" si="6"/>
        <v>0</v>
      </c>
      <c r="P21" s="165">
        <f t="shared" si="6"/>
        <v>0</v>
      </c>
      <c r="Q21" s="165">
        <f t="shared" si="6"/>
        <v>0</v>
      </c>
      <c r="R21" s="165">
        <f t="shared" si="6"/>
        <v>0</v>
      </c>
      <c r="S21" s="165">
        <f t="shared" si="6"/>
        <v>0</v>
      </c>
      <c r="T21" s="165">
        <f t="shared" si="6"/>
        <v>0</v>
      </c>
      <c r="U21" s="165">
        <f t="shared" si="4"/>
        <v>0</v>
      </c>
      <c r="V21" s="1117">
        <f>L21+U21</f>
        <v>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/>
      <c r="E23" s="159"/>
      <c r="F23" s="159"/>
      <c r="G23" s="159"/>
      <c r="H23" s="159"/>
      <c r="I23" s="159"/>
      <c r="J23" s="159"/>
      <c r="K23" s="159"/>
      <c r="L23" s="208">
        <f>SUM(D23:K23)</f>
        <v>0</v>
      </c>
      <c r="M23" s="160"/>
      <c r="N23" s="160"/>
      <c r="O23" s="160"/>
      <c r="P23" s="160"/>
      <c r="Q23" s="160"/>
      <c r="R23" s="160"/>
      <c r="S23" s="160"/>
      <c r="T23" s="160"/>
      <c r="U23" s="238">
        <f>SUM(M23:T23)</f>
        <v>0</v>
      </c>
      <c r="V23" s="1112">
        <f>L23+U23</f>
        <v>0</v>
      </c>
      <c r="W23" s="233"/>
    </row>
    <row r="24" spans="1:29" ht="18.75" customHeight="1" thickBot="1">
      <c r="A24" s="1048" t="s">
        <v>314</v>
      </c>
      <c r="B24" s="1046"/>
      <c r="C24" s="1046"/>
      <c r="D24" s="169"/>
      <c r="E24" s="169"/>
      <c r="F24" s="169"/>
      <c r="G24" s="169"/>
      <c r="H24" s="169"/>
      <c r="I24" s="169"/>
      <c r="J24" s="169"/>
      <c r="K24" s="169"/>
      <c r="L24" s="1115">
        <f>SUM(D24:K24)</f>
        <v>0</v>
      </c>
      <c r="M24" s="1118"/>
      <c r="N24" s="1119"/>
      <c r="O24" s="1119"/>
      <c r="P24" s="1119"/>
      <c r="Q24" s="1119"/>
      <c r="R24" s="1119"/>
      <c r="S24" s="1119"/>
      <c r="T24" s="1119"/>
      <c r="U24" s="1120">
        <f>SUM(M24:T24)</f>
        <v>0</v>
      </c>
      <c r="V24" s="1112">
        <f>L24+U24</f>
        <v>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0</v>
      </c>
      <c r="E25" s="171">
        <f>$F7-E$55-E$56-E$21-E$23-E$24-E$34-E$43</f>
        <v>0</v>
      </c>
      <c r="F25" s="171">
        <f>$F8-F$55-F$56-F$21-F$23-F$24-F$34-F$43</f>
        <v>0</v>
      </c>
      <c r="G25" s="171">
        <f>$F9-G$55-G$56-G$21-G$23-G$24-G$34-G$43</f>
        <v>0</v>
      </c>
      <c r="H25" s="171">
        <f>$F10-H$55-H$56-H$21-H$23-H$24-H$34-H$43</f>
        <v>0</v>
      </c>
      <c r="I25" s="171">
        <f>$F11-I$55-I$56-I$21-I$23-I$24-I$34-I$43</f>
        <v>0</v>
      </c>
      <c r="J25" s="171">
        <f>$F12-J$55-J$56-J$21-J$23-J$24-J$34-J$43</f>
        <v>0</v>
      </c>
      <c r="K25" s="171">
        <f>$F13-K$55-K$56-K$21-K$23-K$24-K$34-K$43</f>
        <v>0</v>
      </c>
      <c r="L25" s="209">
        <f>SUM(D25:K25)</f>
        <v>0</v>
      </c>
      <c r="M25" s="171">
        <f>$O6-M$55-M$56-M$21-M$23-M$24-M$34-M$43</f>
        <v>0</v>
      </c>
      <c r="N25" s="171">
        <f>$O7-N$55-N$56-N$21-N$23-N$24-N$34-N$43</f>
        <v>0</v>
      </c>
      <c r="O25" s="171">
        <f>$O8-O$55-O$56-O$21-O$23-O$24-O$34-O$43</f>
        <v>0</v>
      </c>
      <c r="P25" s="171">
        <f>$O9-P$55-P$56-P$21-P$23-P$24-P$34-P$43</f>
        <v>0</v>
      </c>
      <c r="Q25" s="171">
        <f>$O10-Q$55-Q$56-Q$21-Q$23-Q$24-Q$34-Q$43</f>
        <v>0</v>
      </c>
      <c r="R25" s="171">
        <f>$O11-R$55-R$56-R$21-R$23-R$24-R$34-R$43</f>
        <v>0</v>
      </c>
      <c r="S25" s="171">
        <f>$O12-S$55-S$56-S$21-S$23-S$24-S$34-S$43</f>
        <v>0</v>
      </c>
      <c r="T25" s="171">
        <f>$O13-T$55-T$56-T$21-T$23-T$24-T$34-T$43</f>
        <v>0</v>
      </c>
      <c r="U25" s="239">
        <f>SUM(M25:T25)</f>
        <v>0</v>
      </c>
      <c r="V25" s="1112">
        <f>L25+U25</f>
        <v>0</v>
      </c>
      <c r="W25" s="233"/>
    </row>
    <row r="26" spans="1:29" ht="18.75" customHeight="1" thickBot="1">
      <c r="A26" s="163" t="s">
        <v>316</v>
      </c>
      <c r="B26" s="164"/>
      <c r="C26" s="164"/>
      <c r="D26" s="172">
        <f t="shared" ref="D26:K26" si="7">SUM(D23:D25)</f>
        <v>0</v>
      </c>
      <c r="E26" s="172">
        <f t="shared" si="7"/>
        <v>0</v>
      </c>
      <c r="F26" s="172">
        <f t="shared" si="7"/>
        <v>0</v>
      </c>
      <c r="G26" s="172">
        <f t="shared" si="7"/>
        <v>0</v>
      </c>
      <c r="H26" s="172">
        <f t="shared" si="7"/>
        <v>0</v>
      </c>
      <c r="I26" s="172">
        <f t="shared" si="7"/>
        <v>0</v>
      </c>
      <c r="J26" s="172">
        <f t="shared" si="7"/>
        <v>0</v>
      </c>
      <c r="K26" s="172">
        <f t="shared" si="7"/>
        <v>0</v>
      </c>
      <c r="L26" s="210">
        <f>SUM(D26:K26)</f>
        <v>0</v>
      </c>
      <c r="M26" s="211">
        <f t="shared" ref="M26:T26" si="8">SUM(M23:M25)</f>
        <v>0</v>
      </c>
      <c r="N26" s="211">
        <f t="shared" si="8"/>
        <v>0</v>
      </c>
      <c r="O26" s="211">
        <f t="shared" si="8"/>
        <v>0</v>
      </c>
      <c r="P26" s="211">
        <f t="shared" si="8"/>
        <v>0</v>
      </c>
      <c r="Q26" s="211">
        <f t="shared" si="8"/>
        <v>0</v>
      </c>
      <c r="R26" s="211">
        <f t="shared" si="8"/>
        <v>0</v>
      </c>
      <c r="S26" s="211">
        <f t="shared" si="8"/>
        <v>0</v>
      </c>
      <c r="T26" s="211">
        <f t="shared" si="8"/>
        <v>0</v>
      </c>
      <c r="U26" s="240">
        <f>SUM(M26:T26)</f>
        <v>0</v>
      </c>
      <c r="V26" s="210">
        <f>L26+U26</f>
        <v>0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/>
      <c r="E28" s="159"/>
      <c r="F28" s="159"/>
      <c r="G28" s="159"/>
      <c r="H28" s="159"/>
      <c r="I28" s="159"/>
      <c r="J28" s="159"/>
      <c r="K28" s="159"/>
      <c r="L28" s="202">
        <f t="shared" ref="L28:L34" si="9">SUM(D28:K28)</f>
        <v>0</v>
      </c>
      <c r="M28" s="159"/>
      <c r="N28" s="159"/>
      <c r="O28" s="159"/>
      <c r="P28" s="159"/>
      <c r="Q28" s="159"/>
      <c r="R28" s="159"/>
      <c r="S28" s="159"/>
      <c r="T28" s="159"/>
      <c r="U28" s="242">
        <f t="shared" ref="U28:U34" si="10">SUM(M28:T28)</f>
        <v>0</v>
      </c>
      <c r="V28" s="243">
        <f t="shared" ref="V28:V34" si="11">L28+U28</f>
        <v>0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9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0"/>
        <v>0</v>
      </c>
      <c r="V29" s="244">
        <f t="shared" si="11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9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0"/>
        <v>0</v>
      </c>
      <c r="V30" s="1112">
        <f t="shared" si="11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9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0"/>
        <v>0</v>
      </c>
      <c r="V31" s="1112">
        <f t="shared" si="11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9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0"/>
        <v>0</v>
      </c>
      <c r="V32" s="1112">
        <f t="shared" si="11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9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0"/>
        <v>0</v>
      </c>
      <c r="V33" s="1112">
        <f t="shared" si="11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2">SUM(D28:D33)</f>
        <v>0</v>
      </c>
      <c r="E34" s="175">
        <f t="shared" si="12"/>
        <v>0</v>
      </c>
      <c r="F34" s="176">
        <f t="shared" si="12"/>
        <v>0</v>
      </c>
      <c r="G34" s="176">
        <f t="shared" si="12"/>
        <v>0</v>
      </c>
      <c r="H34" s="176">
        <f t="shared" si="12"/>
        <v>0</v>
      </c>
      <c r="I34" s="176">
        <f t="shared" si="12"/>
        <v>0</v>
      </c>
      <c r="J34" s="176">
        <f t="shared" si="12"/>
        <v>0</v>
      </c>
      <c r="K34" s="176">
        <f t="shared" si="12"/>
        <v>0</v>
      </c>
      <c r="L34" s="213">
        <f t="shared" si="9"/>
        <v>0</v>
      </c>
      <c r="M34" s="175">
        <f t="shared" ref="M34:T34" si="13">SUM(M28:M33)</f>
        <v>0</v>
      </c>
      <c r="N34" s="176">
        <f t="shared" si="13"/>
        <v>0</v>
      </c>
      <c r="O34" s="176">
        <f t="shared" si="13"/>
        <v>0</v>
      </c>
      <c r="P34" s="176">
        <f t="shared" si="13"/>
        <v>0</v>
      </c>
      <c r="Q34" s="176">
        <f t="shared" si="13"/>
        <v>0</v>
      </c>
      <c r="R34" s="176">
        <f t="shared" si="13"/>
        <v>0</v>
      </c>
      <c r="S34" s="176">
        <f t="shared" si="13"/>
        <v>0</v>
      </c>
      <c r="T34" s="176">
        <f t="shared" si="13"/>
        <v>0</v>
      </c>
      <c r="U34" s="246">
        <f t="shared" si="10"/>
        <v>0</v>
      </c>
      <c r="V34" s="213">
        <f t="shared" si="11"/>
        <v>0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4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5">SUM(M36:T36)</f>
        <v>0</v>
      </c>
      <c r="V36" s="243">
        <f t="shared" ref="V36:V43" si="16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4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5"/>
        <v>0</v>
      </c>
      <c r="V37" s="1114">
        <f t="shared" si="16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4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5"/>
        <v>0</v>
      </c>
      <c r="V38" s="1114">
        <f t="shared" si="16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4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5"/>
        <v>0</v>
      </c>
      <c r="V39" s="1114">
        <f t="shared" si="16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4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5"/>
        <v>0</v>
      </c>
      <c r="V40" s="1114">
        <f t="shared" si="16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4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5"/>
        <v>0</v>
      </c>
      <c r="V41" s="1114">
        <f t="shared" si="16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4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5"/>
        <v>0</v>
      </c>
      <c r="V42" s="1114">
        <f t="shared" si="16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7">SUM(D36:D42)</f>
        <v>0</v>
      </c>
      <c r="E43" s="177">
        <f t="shared" si="17"/>
        <v>0</v>
      </c>
      <c r="F43" s="177">
        <f t="shared" si="17"/>
        <v>0</v>
      </c>
      <c r="G43" s="177">
        <f t="shared" si="17"/>
        <v>0</v>
      </c>
      <c r="H43" s="177">
        <f t="shared" si="17"/>
        <v>0</v>
      </c>
      <c r="I43" s="177">
        <f t="shared" si="17"/>
        <v>0</v>
      </c>
      <c r="J43" s="177">
        <f t="shared" si="17"/>
        <v>0</v>
      </c>
      <c r="K43" s="177">
        <f t="shared" si="17"/>
        <v>0</v>
      </c>
      <c r="L43" s="213">
        <f t="shared" si="14"/>
        <v>0</v>
      </c>
      <c r="M43" s="177">
        <f t="shared" ref="M43:T43" si="18">SUM(M36:M42)</f>
        <v>0</v>
      </c>
      <c r="N43" s="177">
        <f t="shared" si="18"/>
        <v>0</v>
      </c>
      <c r="O43" s="177">
        <f t="shared" si="18"/>
        <v>0</v>
      </c>
      <c r="P43" s="177">
        <f t="shared" si="18"/>
        <v>0</v>
      </c>
      <c r="Q43" s="177">
        <f t="shared" si="18"/>
        <v>0</v>
      </c>
      <c r="R43" s="177">
        <f t="shared" si="18"/>
        <v>0</v>
      </c>
      <c r="S43" s="177">
        <f t="shared" si="18"/>
        <v>0</v>
      </c>
      <c r="T43" s="177">
        <f t="shared" si="18"/>
        <v>0</v>
      </c>
      <c r="U43" s="165">
        <f t="shared" si="15"/>
        <v>0</v>
      </c>
      <c r="V43" s="213">
        <f t="shared" si="16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/>
      <c r="B45" s="1059"/>
      <c r="C45" s="1059"/>
      <c r="D45" s="1423"/>
      <c r="E45" s="1350"/>
      <c r="F45" s="1350"/>
      <c r="G45" s="1350"/>
      <c r="H45" s="1350"/>
      <c r="I45" s="1350"/>
      <c r="J45" s="1436"/>
      <c r="K45" s="1059"/>
      <c r="L45" s="1060"/>
      <c r="M45" s="1060"/>
      <c r="N45" s="1060"/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customHeight="1">
      <c r="A46" s="1058"/>
      <c r="B46" s="1059"/>
      <c r="C46" s="1059"/>
      <c r="D46" s="1423"/>
      <c r="E46" s="1350"/>
      <c r="F46" s="1350"/>
      <c r="G46" s="1350"/>
      <c r="H46" s="1350"/>
      <c r="I46" s="1350"/>
      <c r="J46" s="1436"/>
      <c r="K46" s="1059"/>
      <c r="L46" s="1065"/>
      <c r="M46" s="1065"/>
      <c r="N46" s="1353"/>
      <c r="O46" s="1354"/>
      <c r="P46" s="1354"/>
      <c r="Q46" s="1354"/>
      <c r="R46" s="1354"/>
      <c r="S46" s="1354"/>
      <c r="T46" s="1354"/>
      <c r="U46" s="1354"/>
      <c r="V46" s="1355"/>
      <c r="W46" s="250"/>
    </row>
    <row r="47" spans="1:23" ht="15" customHeight="1">
      <c r="A47" s="1075"/>
      <c r="B47" s="1066"/>
      <c r="C47" s="1070"/>
      <c r="D47" s="1356"/>
      <c r="E47" s="1357"/>
      <c r="F47" s="1357"/>
      <c r="G47" s="1357"/>
      <c r="H47" s="1357"/>
      <c r="I47" s="1357"/>
      <c r="J47" s="1357"/>
      <c r="K47" s="1059"/>
      <c r="L47" s="1069"/>
      <c r="M47" s="1070"/>
      <c r="N47" s="1437"/>
      <c r="O47" s="1438"/>
      <c r="P47" s="1438"/>
      <c r="Q47" s="1438"/>
      <c r="R47" s="1438"/>
      <c r="S47" s="1438"/>
      <c r="T47" s="1438"/>
      <c r="U47" s="1438"/>
      <c r="V47" s="1439"/>
      <c r="W47" s="250"/>
    </row>
    <row r="48" spans="1:23" ht="15" customHeight="1">
      <c r="A48" s="1075"/>
      <c r="B48" s="1066"/>
      <c r="C48" s="1123"/>
      <c r="D48" s="1423"/>
      <c r="E48" s="1350"/>
      <c r="F48" s="1350"/>
      <c r="G48" s="1350"/>
      <c r="H48" s="1350"/>
      <c r="I48" s="1350"/>
      <c r="J48" s="1436"/>
      <c r="K48" s="1059"/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/>
      <c r="B49" s="1076"/>
      <c r="C49" s="1124"/>
      <c r="D49" s="1218"/>
      <c r="E49" s="1063"/>
      <c r="F49" s="1063"/>
      <c r="G49" s="1063"/>
      <c r="H49" s="1063"/>
      <c r="I49" s="1063"/>
      <c r="J49" s="1063"/>
      <c r="K49" s="1059"/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0</v>
      </c>
      <c r="E54" s="187">
        <f>$F7-E$21-E$43-E$34</f>
        <v>0</v>
      </c>
      <c r="F54" s="187">
        <f>$F8-F$21-F$43-F$34</f>
        <v>0</v>
      </c>
      <c r="G54" s="187">
        <f>$F9-G$21-G$43-G$34</f>
        <v>0</v>
      </c>
      <c r="H54" s="187">
        <f>$F10-H$21-H$43-H$34</f>
        <v>0</v>
      </c>
      <c r="I54" s="187">
        <f>$F11-I$21-I$43-I$34</f>
        <v>0</v>
      </c>
      <c r="J54" s="187">
        <f>$F12-J$21-J$43-J$34</f>
        <v>0</v>
      </c>
      <c r="K54" s="187">
        <f>$F13-K$21-K$43-K$34</f>
        <v>0</v>
      </c>
      <c r="L54" s="202">
        <f>SUM(D54:K54)</f>
        <v>0</v>
      </c>
      <c r="M54" s="187">
        <f>O6-M21-M43-M34</f>
        <v>0</v>
      </c>
      <c r="N54" s="187">
        <f>O7-N21-N43-N34</f>
        <v>0</v>
      </c>
      <c r="O54" s="187">
        <f>O8-O21-O43-O34</f>
        <v>0</v>
      </c>
      <c r="P54" s="187">
        <f>O9-P21-P43-P34</f>
        <v>0</v>
      </c>
      <c r="Q54" s="187">
        <f>O10-Q21-Q43-Q34</f>
        <v>0</v>
      </c>
      <c r="R54" s="187">
        <f>O11-R21-R43-R34</f>
        <v>0</v>
      </c>
      <c r="S54" s="187">
        <f>O12-S21-S43-S34</f>
        <v>0</v>
      </c>
      <c r="T54" s="187">
        <f>O13-T21-T43-T34</f>
        <v>0</v>
      </c>
      <c r="U54" s="242">
        <f>SUM(M54:T54)</f>
        <v>0</v>
      </c>
      <c r="V54" s="202">
        <f>L54+U54</f>
        <v>0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0</v>
      </c>
      <c r="E55" s="1087">
        <f>$K7/$C7</f>
        <v>0</v>
      </c>
      <c r="F55" s="1087">
        <f>$K8/$C8</f>
        <v>0</v>
      </c>
      <c r="G55" s="1087">
        <f>$K9/$C9</f>
        <v>0</v>
      </c>
      <c r="H55" s="1087">
        <f>$K10/$C10</f>
        <v>0</v>
      </c>
      <c r="I55" s="1087">
        <f>$K11/$C11</f>
        <v>0</v>
      </c>
      <c r="J55" s="1087">
        <f>$K12/$C12</f>
        <v>0</v>
      </c>
      <c r="K55" s="1087">
        <f>$K13/$C13</f>
        <v>0</v>
      </c>
      <c r="L55" s="1112">
        <f>SUM(D55:K55)</f>
        <v>0</v>
      </c>
      <c r="M55" s="1087">
        <f>T6/C6</f>
        <v>0</v>
      </c>
      <c r="N55" s="1087">
        <f>T7/C7</f>
        <v>0</v>
      </c>
      <c r="O55" s="1087">
        <f>$T$8/$C$8</f>
        <v>0</v>
      </c>
      <c r="P55" s="1087">
        <f>$T$9/$C$9</f>
        <v>0</v>
      </c>
      <c r="Q55" s="1087">
        <f>$T$10/$C$10</f>
        <v>0</v>
      </c>
      <c r="R55" s="1087">
        <f>$T$11/$C$11</f>
        <v>0</v>
      </c>
      <c r="S55" s="1087">
        <f>$T$12/$C$12</f>
        <v>0</v>
      </c>
      <c r="T55" s="1087">
        <f>$T$13/$C$13</f>
        <v>0</v>
      </c>
      <c r="U55" s="1129">
        <f>SUM(M55:T55)</f>
        <v>0</v>
      </c>
      <c r="V55" s="1112">
        <f>L55+U55</f>
        <v>0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0</v>
      </c>
      <c r="E56" s="1087">
        <f>$I7/$C7</f>
        <v>0</v>
      </c>
      <c r="F56" s="1087">
        <f>$I8/$C8</f>
        <v>0</v>
      </c>
      <c r="G56" s="1087">
        <f>$I9/$C9</f>
        <v>0</v>
      </c>
      <c r="H56" s="1087">
        <f>$I10/$C10</f>
        <v>0</v>
      </c>
      <c r="I56" s="1087">
        <f>$I11/$C11</f>
        <v>0</v>
      </c>
      <c r="J56" s="1087">
        <f>$I12/$C12</f>
        <v>0</v>
      </c>
      <c r="K56" s="1087">
        <f>$I13/$C13</f>
        <v>0</v>
      </c>
      <c r="L56" s="1115">
        <f>SUM(D56:K56)</f>
        <v>0</v>
      </c>
      <c r="M56" s="1130">
        <f>R6/C6</f>
        <v>0</v>
      </c>
      <c r="N56" s="1130">
        <f>R7/C7</f>
        <v>0</v>
      </c>
      <c r="O56" s="1130">
        <f>R8/C8</f>
        <v>0</v>
      </c>
      <c r="P56" s="1130">
        <f>R9/C9</f>
        <v>0</v>
      </c>
      <c r="Q56" s="1130">
        <f>R10/C10</f>
        <v>0</v>
      </c>
      <c r="R56" s="1130">
        <f>R11/C11</f>
        <v>0</v>
      </c>
      <c r="S56" s="1130">
        <f>R12/C12</f>
        <v>0</v>
      </c>
      <c r="T56" s="1130">
        <f>R13/C13</f>
        <v>0</v>
      </c>
      <c r="U56" s="1131">
        <f>SUM(M56:T56)</f>
        <v>0</v>
      </c>
      <c r="V56" s="1115">
        <f>L56+U56</f>
        <v>0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0</v>
      </c>
      <c r="E57" s="188">
        <f>IF(F7=0,0,E21/F7*100)</f>
        <v>0</v>
      </c>
      <c r="F57" s="188">
        <f>IF(F8=0,0,F21/F8*100)</f>
        <v>0</v>
      </c>
      <c r="G57" s="188">
        <f>IF(F9=0,0,G21/F9*100)</f>
        <v>0</v>
      </c>
      <c r="H57" s="188">
        <f>IF(F10=0,0,H21/F10*100)</f>
        <v>0</v>
      </c>
      <c r="I57" s="188">
        <f>IF(F11=0,0,I21/F11*100)</f>
        <v>0</v>
      </c>
      <c r="J57" s="188">
        <f>IF(F12=0,0,J21/F12*100)</f>
        <v>0</v>
      </c>
      <c r="K57" s="188">
        <f>IF(F13=0,0,K21/F13*100)</f>
        <v>0</v>
      </c>
      <c r="L57" s="217">
        <f>IF(F14=0,0,L21/F14*100)</f>
        <v>0</v>
      </c>
      <c r="M57" s="188">
        <f>IF(O6=0,0,M21/O6*100)</f>
        <v>0</v>
      </c>
      <c r="N57" s="188">
        <f>IF(O7=0,0,N21/O7*100)</f>
        <v>0</v>
      </c>
      <c r="O57" s="188">
        <f>IF(O8=0,0,O21/O8*100)</f>
        <v>0</v>
      </c>
      <c r="P57" s="188">
        <f>IF(O9=0,0,P21/O9*100)</f>
        <v>0</v>
      </c>
      <c r="Q57" s="188">
        <f>IF(O10=0,0,Q21/O10*100)</f>
        <v>0</v>
      </c>
      <c r="R57" s="188">
        <f>IF(O11=0,0,R21/O11*100)</f>
        <v>0</v>
      </c>
      <c r="S57" s="188">
        <f>IF(O12=0,0,S21/O12*100)</f>
        <v>0</v>
      </c>
      <c r="T57" s="188">
        <f>IF(O13=0,0,T21/O13*100)</f>
        <v>0</v>
      </c>
      <c r="U57" s="251">
        <f>IF(O14=0,0,U21/O14*100)</f>
        <v>0</v>
      </c>
      <c r="V57" s="217">
        <f>IF((F14+O14)=0,0,V21/(F14+O14)*100)</f>
        <v>0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0</v>
      </c>
      <c r="E58" s="1090">
        <f>IF(F7=0,0,E34/F7*100)</f>
        <v>0</v>
      </c>
      <c r="F58" s="1090">
        <f>IF(F8=0,0,F34/F8*100)</f>
        <v>0</v>
      </c>
      <c r="G58" s="1090">
        <f>IF(F9=0,0,G34/F9*100)</f>
        <v>0</v>
      </c>
      <c r="H58" s="1090">
        <f>IF(F10=0,0,H34/F10*100)</f>
        <v>0</v>
      </c>
      <c r="I58" s="1090">
        <f>IF(F11=0,0,I34/F11*100)</f>
        <v>0</v>
      </c>
      <c r="J58" s="1090">
        <f>IF(F12=0,0,J34/F12*100)</f>
        <v>0</v>
      </c>
      <c r="K58" s="1090">
        <f>IF(F13=0,0,K34/F13*100)</f>
        <v>0</v>
      </c>
      <c r="L58" s="1132">
        <f>IF(F14=0,0,L34/F14*100)</f>
        <v>0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0</v>
      </c>
      <c r="Q58" s="1090">
        <f>IF(O10=0,0,Q34/O10*100)</f>
        <v>0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0</v>
      </c>
      <c r="V58" s="1132">
        <f>IF((F14+O14)=0,0,V34/(F14+O14)*100)</f>
        <v>0</v>
      </c>
      <c r="W58" s="252"/>
      <c r="Y58" s="258">
        <f>SUM(V57:V60)</f>
        <v>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0</v>
      </c>
      <c r="E60" s="1093">
        <f>IF(F7=0,0,E54/F7*100)</f>
        <v>0</v>
      </c>
      <c r="F60" s="1093">
        <f>IF(F8=0,0,F54/F8*100)</f>
        <v>0</v>
      </c>
      <c r="G60" s="1093">
        <f>IF(F9=0,0,G54/F9*100)</f>
        <v>0</v>
      </c>
      <c r="H60" s="1093">
        <f>IF(F10=0,0,H54/F10*100)</f>
        <v>0</v>
      </c>
      <c r="I60" s="1093">
        <f>IF(F11=0,0,I54/F11*100)</f>
        <v>0</v>
      </c>
      <c r="J60" s="1093">
        <f>IF(F12=0,0,J54/F12*100)</f>
        <v>0</v>
      </c>
      <c r="K60" s="1093">
        <f>IF(F13=0,0,K54/F13*100)</f>
        <v>0</v>
      </c>
      <c r="L60" s="1134">
        <f>IF(F14=0,0,L54/F14*100)</f>
        <v>0</v>
      </c>
      <c r="M60" s="1095">
        <f>IF(O6=0,0,M54/O6*100)</f>
        <v>0</v>
      </c>
      <c r="N60" s="1095">
        <f>IF(O7=0,0,N54/O7*100)</f>
        <v>0</v>
      </c>
      <c r="O60" s="1095">
        <f>IF(O8=0,0,O54/O8*100)</f>
        <v>0</v>
      </c>
      <c r="P60" s="1095">
        <f>IF(O9=0,0,P54/O9*100)</f>
        <v>0</v>
      </c>
      <c r="Q60" s="1095">
        <f>IF(O10=0,0,Q54/O10*100)</f>
        <v>0</v>
      </c>
      <c r="R60" s="1095">
        <f>IF(O11=0,0,R54/O11*100)</f>
        <v>0</v>
      </c>
      <c r="S60" s="1095">
        <f>IF(O12=0,0,S54/O12*100)</f>
        <v>0</v>
      </c>
      <c r="T60" s="1095">
        <f>IF(O13=0,0,T54/O13*100)</f>
        <v>0</v>
      </c>
      <c r="U60" s="1093">
        <f>IF(O14=0,0,U54/O14*100)</f>
        <v>0</v>
      </c>
      <c r="V60" s="1134">
        <f>IF((F14+O14)=0,0,V54/(F14+O14)*100)</f>
        <v>0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0</v>
      </c>
      <c r="E61" s="188">
        <f>IF(E54=0,0,E55/E54*100)</f>
        <v>0</v>
      </c>
      <c r="F61" s="188">
        <f t="shared" ref="F61:V61" si="19">IF(F54=0,0,F55/F54*100)</f>
        <v>0</v>
      </c>
      <c r="G61" s="188">
        <f t="shared" si="19"/>
        <v>0</v>
      </c>
      <c r="H61" s="188">
        <f t="shared" si="19"/>
        <v>0</v>
      </c>
      <c r="I61" s="188">
        <f t="shared" si="19"/>
        <v>0</v>
      </c>
      <c r="J61" s="188">
        <f t="shared" si="19"/>
        <v>0</v>
      </c>
      <c r="K61" s="188">
        <f t="shared" si="19"/>
        <v>0</v>
      </c>
      <c r="L61" s="217">
        <f t="shared" si="19"/>
        <v>0</v>
      </c>
      <c r="M61" s="188">
        <f t="shared" si="19"/>
        <v>0</v>
      </c>
      <c r="N61" s="188">
        <f t="shared" si="19"/>
        <v>0</v>
      </c>
      <c r="O61" s="188">
        <f t="shared" si="19"/>
        <v>0</v>
      </c>
      <c r="P61" s="188">
        <f t="shared" si="19"/>
        <v>0</v>
      </c>
      <c r="Q61" s="188">
        <f t="shared" si="19"/>
        <v>0</v>
      </c>
      <c r="R61" s="188">
        <f t="shared" si="19"/>
        <v>0</v>
      </c>
      <c r="S61" s="188">
        <f t="shared" si="19"/>
        <v>0</v>
      </c>
      <c r="T61" s="188">
        <f t="shared" si="19"/>
        <v>0</v>
      </c>
      <c r="U61" s="251">
        <f t="shared" si="19"/>
        <v>0</v>
      </c>
      <c r="V61" s="217">
        <f t="shared" si="19"/>
        <v>0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0">IF(D54=0,0,D26/D54*100)</f>
        <v>0</v>
      </c>
      <c r="E62" s="1090">
        <f t="shared" si="20"/>
        <v>0</v>
      </c>
      <c r="F62" s="1090">
        <f t="shared" si="20"/>
        <v>0</v>
      </c>
      <c r="G62" s="1090">
        <f t="shared" si="20"/>
        <v>0</v>
      </c>
      <c r="H62" s="1090">
        <f t="shared" si="20"/>
        <v>0</v>
      </c>
      <c r="I62" s="1090">
        <f t="shared" si="20"/>
        <v>0</v>
      </c>
      <c r="J62" s="1090">
        <f t="shared" si="20"/>
        <v>0</v>
      </c>
      <c r="K62" s="1090">
        <f t="shared" si="20"/>
        <v>0</v>
      </c>
      <c r="L62" s="1132">
        <f t="shared" si="20"/>
        <v>0</v>
      </c>
      <c r="M62" s="1090">
        <f t="shared" si="20"/>
        <v>0</v>
      </c>
      <c r="N62" s="1090">
        <f t="shared" si="20"/>
        <v>0</v>
      </c>
      <c r="O62" s="1090">
        <f t="shared" si="20"/>
        <v>0</v>
      </c>
      <c r="P62" s="1090">
        <f t="shared" si="20"/>
        <v>0</v>
      </c>
      <c r="Q62" s="1090">
        <f t="shared" si="20"/>
        <v>0</v>
      </c>
      <c r="R62" s="1090">
        <f t="shared" si="20"/>
        <v>0</v>
      </c>
      <c r="S62" s="1090">
        <f t="shared" si="20"/>
        <v>0</v>
      </c>
      <c r="T62" s="1090">
        <f t="shared" si="20"/>
        <v>0</v>
      </c>
      <c r="U62" s="1133">
        <f t="shared" si="20"/>
        <v>0</v>
      </c>
      <c r="V62" s="1132">
        <f t="shared" si="20"/>
        <v>0</v>
      </c>
      <c r="W62" s="252"/>
      <c r="Y62" s="258">
        <f>SUM(V61:V63)</f>
        <v>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1">IF(D54=0,0,D56/D54*100)</f>
        <v>0</v>
      </c>
      <c r="E63" s="1095">
        <f t="shared" si="21"/>
        <v>0</v>
      </c>
      <c r="F63" s="1095">
        <f t="shared" si="21"/>
        <v>0</v>
      </c>
      <c r="G63" s="1095">
        <f t="shared" si="21"/>
        <v>0</v>
      </c>
      <c r="H63" s="1095">
        <f t="shared" si="21"/>
        <v>0</v>
      </c>
      <c r="I63" s="1095">
        <f t="shared" si="21"/>
        <v>0</v>
      </c>
      <c r="J63" s="1095">
        <f t="shared" si="21"/>
        <v>0</v>
      </c>
      <c r="K63" s="1095">
        <f t="shared" si="21"/>
        <v>0</v>
      </c>
      <c r="L63" s="1134">
        <f t="shared" si="21"/>
        <v>0</v>
      </c>
      <c r="M63" s="1095">
        <f t="shared" si="21"/>
        <v>0</v>
      </c>
      <c r="N63" s="1095">
        <f t="shared" si="21"/>
        <v>0</v>
      </c>
      <c r="O63" s="1095">
        <f t="shared" si="21"/>
        <v>0</v>
      </c>
      <c r="P63" s="1095">
        <f t="shared" si="21"/>
        <v>0</v>
      </c>
      <c r="Q63" s="1095">
        <f t="shared" si="21"/>
        <v>0</v>
      </c>
      <c r="R63" s="1095">
        <f t="shared" si="21"/>
        <v>0</v>
      </c>
      <c r="S63" s="1095">
        <f t="shared" si="21"/>
        <v>0</v>
      </c>
      <c r="T63" s="1095">
        <f t="shared" si="21"/>
        <v>0</v>
      </c>
      <c r="U63" s="1093">
        <f t="shared" si="21"/>
        <v>0</v>
      </c>
      <c r="V63" s="1134">
        <f t="shared" si="21"/>
        <v>0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0</v>
      </c>
      <c r="E64" s="190">
        <f>IF(E74=0,0,D74/E74*100)</f>
        <v>0</v>
      </c>
      <c r="F64" s="190">
        <f>IF(E74=0,0,D74/E74*100)</f>
        <v>0</v>
      </c>
      <c r="G64" s="190">
        <f>IF(E74=0,0,D74/E74*100)</f>
        <v>0</v>
      </c>
      <c r="H64" s="190">
        <f>IF(E74=0,0,D74/E74*100)</f>
        <v>0</v>
      </c>
      <c r="I64" s="190">
        <f>IF(E74=0,0,D74/E74*100)</f>
        <v>0</v>
      </c>
      <c r="J64" s="190">
        <f>IF(E74=0,0,D74/E74*100)</f>
        <v>0</v>
      </c>
      <c r="K64" s="190">
        <f>IF(E74=0,0,D74/E74*100)</f>
        <v>0</v>
      </c>
      <c r="L64" s="218">
        <f>IF(E74=0,0,D74/E74*100)</f>
        <v>0</v>
      </c>
      <c r="M64" s="219">
        <f>IF(N74=0,0,M74/N74*100)</f>
        <v>0</v>
      </c>
      <c r="N64" s="219">
        <f>IF(N74=0,0,M74/N74*100)</f>
        <v>0</v>
      </c>
      <c r="O64" s="219">
        <f>IF(N74=0,0,M74/N74*100)</f>
        <v>0</v>
      </c>
      <c r="P64" s="219">
        <f>IF(N74=0,0,M74/N74*100)</f>
        <v>0</v>
      </c>
      <c r="Q64" s="219">
        <f>IF(N74=0,0,M74/N74*100)</f>
        <v>0</v>
      </c>
      <c r="R64" s="219">
        <f>IF(N74=0,0,M74/N74*100)</f>
        <v>0</v>
      </c>
      <c r="S64" s="219">
        <f>IF(N74=0,0,M74/N74*100)</f>
        <v>0</v>
      </c>
      <c r="T64" s="219">
        <f>IF(N74=0,0,M74/N74*100)</f>
        <v>0</v>
      </c>
      <c r="U64" s="190">
        <f>IF(N74=0,0,M74/N74*100)</f>
        <v>0</v>
      </c>
      <c r="V64" s="218">
        <f>IF(N78=0,0,M78/N78*100)</f>
        <v>0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2">(D60*D63*D64)/10000</f>
        <v>0</v>
      </c>
      <c r="E65" s="190">
        <f t="shared" si="22"/>
        <v>0</v>
      </c>
      <c r="F65" s="190">
        <f t="shared" si="22"/>
        <v>0</v>
      </c>
      <c r="G65" s="190">
        <f t="shared" si="22"/>
        <v>0</v>
      </c>
      <c r="H65" s="190">
        <f t="shared" si="22"/>
        <v>0</v>
      </c>
      <c r="I65" s="190">
        <f t="shared" si="22"/>
        <v>0</v>
      </c>
      <c r="J65" s="190">
        <f t="shared" si="22"/>
        <v>0</v>
      </c>
      <c r="K65" s="190">
        <f t="shared" si="22"/>
        <v>0</v>
      </c>
      <c r="L65" s="190">
        <f t="shared" si="22"/>
        <v>0</v>
      </c>
      <c r="M65" s="219">
        <f t="shared" si="22"/>
        <v>0</v>
      </c>
      <c r="N65" s="219">
        <f t="shared" si="22"/>
        <v>0</v>
      </c>
      <c r="O65" s="219">
        <f t="shared" si="22"/>
        <v>0</v>
      </c>
      <c r="P65" s="219">
        <f t="shared" si="22"/>
        <v>0</v>
      </c>
      <c r="Q65" s="219">
        <f t="shared" si="22"/>
        <v>0</v>
      </c>
      <c r="R65" s="219">
        <f t="shared" si="22"/>
        <v>0</v>
      </c>
      <c r="S65" s="219">
        <f t="shared" si="22"/>
        <v>0</v>
      </c>
      <c r="T65" s="219">
        <f t="shared" si="22"/>
        <v>0</v>
      </c>
      <c r="U65" s="190">
        <f>IF(10000=0,0,(U60*U63*U64)/10000)</f>
        <v>0</v>
      </c>
      <c r="V65" s="218">
        <f>IF(10000=0,0,(V60*V63*V64)/10000)</f>
        <v>0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G72" s="260"/>
      <c r="H72" s="260"/>
      <c r="I72" s="260"/>
      <c r="J72" s="260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G73" s="260"/>
      <c r="H73" s="260"/>
      <c r="I73" s="260"/>
      <c r="J73" s="260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/>
      <c r="E74" s="1099"/>
      <c r="F74" s="264" t="e">
        <f>8/E74</f>
        <v>#DIV/0!</v>
      </c>
      <c r="G74" s="260"/>
      <c r="H74" s="260"/>
      <c r="I74" s="260"/>
      <c r="J74" s="260"/>
      <c r="K74" s="260"/>
      <c r="L74" s="260"/>
      <c r="M74" s="1099"/>
      <c r="N74" s="1099"/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265"/>
      <c r="E75" s="265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0"/>
      <c r="E76" s="260"/>
      <c r="F76" s="260"/>
      <c r="G76" s="260"/>
      <c r="H76" s="260"/>
      <c r="I76" s="260"/>
      <c r="J76" s="260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260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260"/>
      <c r="K78" s="260"/>
      <c r="L78" s="260"/>
      <c r="M78" s="1135">
        <f>D74+M74</f>
        <v>0</v>
      </c>
      <c r="N78" s="1135">
        <f>E74+N74</f>
        <v>0</v>
      </c>
      <c r="O78" s="281" t="e">
        <f>M78/N78</f>
        <v>#DIV/0!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 ht="28" thickBot="1">
      <c r="A80" s="259"/>
      <c r="B80" s="259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 ht="28" thickBot="1">
      <c r="A81" s="266" t="s">
        <v>353</v>
      </c>
      <c r="B81" s="267"/>
      <c r="C81" s="268"/>
      <c r="D81" s="269"/>
      <c r="E81" s="270" t="s">
        <v>354</v>
      </c>
      <c r="F81" s="270"/>
      <c r="G81" s="270"/>
      <c r="H81" s="270"/>
      <c r="I81" s="270"/>
      <c r="J81" s="270"/>
      <c r="K81" s="270"/>
      <c r="L81" s="282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A82" s="271">
        <v>1</v>
      </c>
      <c r="B82" s="272" t="s">
        <v>223</v>
      </c>
      <c r="C82" s="273"/>
      <c r="D82" s="274"/>
      <c r="E82" s="275" t="s">
        <v>355</v>
      </c>
      <c r="F82" s="275"/>
      <c r="G82" s="275"/>
      <c r="H82" s="275"/>
      <c r="I82" s="275"/>
      <c r="J82" s="275"/>
      <c r="K82" s="275"/>
      <c r="L82" s="28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A83" s="1100">
        <v>2</v>
      </c>
      <c r="B83" s="1101" t="s">
        <v>339</v>
      </c>
      <c r="C83" s="1102"/>
      <c r="D83" s="1103"/>
      <c r="E83" s="1104" t="s">
        <v>227</v>
      </c>
      <c r="F83" s="1104"/>
      <c r="G83" s="1104"/>
      <c r="H83" s="1104"/>
      <c r="I83" s="1104"/>
      <c r="J83" s="1104"/>
      <c r="K83" s="1104"/>
      <c r="L83" s="1103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A84" s="1100">
        <v>3</v>
      </c>
      <c r="B84" s="1101" t="s">
        <v>340</v>
      </c>
      <c r="C84" s="1102"/>
      <c r="D84" s="1103"/>
      <c r="E84" s="1104" t="s">
        <v>230</v>
      </c>
      <c r="F84" s="1104"/>
      <c r="G84" s="1104"/>
      <c r="H84" s="1104"/>
      <c r="I84" s="1104"/>
      <c r="J84" s="1104"/>
      <c r="K84" s="1104"/>
      <c r="L84" s="1103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A85" s="1100">
        <v>4</v>
      </c>
      <c r="B85" s="1101" t="s">
        <v>356</v>
      </c>
      <c r="C85" s="1102"/>
      <c r="D85" s="1103"/>
      <c r="E85" s="1104" t="s">
        <v>357</v>
      </c>
      <c r="F85" s="1104"/>
      <c r="G85" s="1104"/>
      <c r="H85" s="1104"/>
      <c r="I85" s="1104"/>
      <c r="J85" s="1104"/>
      <c r="K85" s="1104"/>
      <c r="L85" s="1103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>
      <c r="A86" s="1100">
        <v>5</v>
      </c>
      <c r="B86" s="1101" t="s">
        <v>358</v>
      </c>
      <c r="C86" s="1102"/>
      <c r="D86" s="1103"/>
      <c r="E86" s="1104" t="s">
        <v>359</v>
      </c>
      <c r="F86" s="1104"/>
      <c r="G86" s="1104"/>
      <c r="H86" s="1104"/>
      <c r="I86" s="1104"/>
      <c r="J86" s="1104"/>
      <c r="K86" s="1104"/>
      <c r="L86" s="1103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>
      <c r="A87" s="1100">
        <v>6</v>
      </c>
      <c r="B87" s="1101" t="s">
        <v>360</v>
      </c>
      <c r="C87" s="1102"/>
      <c r="D87" s="1103"/>
      <c r="E87" s="1104" t="s">
        <v>236</v>
      </c>
      <c r="F87" s="1104"/>
      <c r="G87" s="1104"/>
      <c r="H87" s="1104"/>
      <c r="I87" s="1104"/>
      <c r="J87" s="1104"/>
      <c r="K87" s="1104"/>
      <c r="L87" s="1103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1100">
        <v>7</v>
      </c>
      <c r="B88" s="1101" t="s">
        <v>344</v>
      </c>
      <c r="C88" s="1102"/>
      <c r="D88" s="1103"/>
      <c r="E88" s="1104" t="s">
        <v>240</v>
      </c>
      <c r="F88" s="1104"/>
      <c r="G88" s="1104"/>
      <c r="H88" s="1104"/>
      <c r="I88" s="1104"/>
      <c r="J88" s="1104"/>
      <c r="K88" s="1104"/>
      <c r="L88" s="110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8</v>
      </c>
      <c r="B89" s="1101" t="s">
        <v>361</v>
      </c>
      <c r="C89" s="1102"/>
      <c r="D89" s="1103"/>
      <c r="E89" s="1104" t="s">
        <v>243</v>
      </c>
      <c r="F89" s="1104"/>
      <c r="G89" s="1104"/>
      <c r="H89" s="1104"/>
      <c r="I89" s="1104"/>
      <c r="J89" s="1104"/>
      <c r="K89" s="1104"/>
      <c r="L89" s="1103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9</v>
      </c>
      <c r="B90" s="1101" t="s">
        <v>362</v>
      </c>
      <c r="C90" s="1102"/>
      <c r="D90" s="1103"/>
      <c r="E90" s="1104" t="s">
        <v>246</v>
      </c>
      <c r="F90" s="1104"/>
      <c r="G90" s="1104"/>
      <c r="H90" s="1104"/>
      <c r="I90" s="1104"/>
      <c r="J90" s="1104"/>
      <c r="K90" s="1104"/>
      <c r="L90" s="1103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10</v>
      </c>
      <c r="B91" s="1101" t="s">
        <v>347</v>
      </c>
      <c r="C91" s="1102"/>
      <c r="D91" s="1103"/>
      <c r="E91" s="1104" t="s">
        <v>363</v>
      </c>
      <c r="F91" s="1104"/>
      <c r="G91" s="1104"/>
      <c r="H91" s="1104"/>
      <c r="I91" s="1104"/>
      <c r="J91" s="1104"/>
      <c r="K91" s="1104"/>
      <c r="L91" s="1103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11</v>
      </c>
      <c r="B92" s="1105" t="s">
        <v>254</v>
      </c>
      <c r="C92" s="1102"/>
      <c r="D92" s="1103"/>
      <c r="E92" s="1104" t="s">
        <v>364</v>
      </c>
      <c r="F92" s="1104"/>
      <c r="G92" s="1104"/>
      <c r="H92" s="1104"/>
      <c r="I92" s="1104"/>
      <c r="J92" s="1104"/>
      <c r="K92" s="1104"/>
      <c r="L92" s="1103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6">
        <v>12</v>
      </c>
      <c r="B93" s="1107" t="s">
        <v>348</v>
      </c>
      <c r="C93" s="276"/>
      <c r="D93" s="277"/>
      <c r="E93" s="1108" t="s">
        <v>365</v>
      </c>
      <c r="F93" s="1108"/>
      <c r="G93" s="1108"/>
      <c r="H93" s="1108"/>
      <c r="I93" s="1108"/>
      <c r="J93" s="1108"/>
      <c r="K93" s="1108"/>
      <c r="L93" s="1109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>
      <c r="A94" s="259"/>
      <c r="B94" s="259"/>
      <c r="C94" s="259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259"/>
      <c r="B95" s="259"/>
      <c r="C95" s="259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259"/>
      <c r="B96" s="259"/>
      <c r="C96" s="259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259"/>
      <c r="B97" s="259"/>
      <c r="C97" s="259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259"/>
      <c r="B98" s="259"/>
      <c r="C98" s="259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>
      <c r="A99" s="259"/>
      <c r="B99" s="259"/>
      <c r="C99" s="259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259"/>
      <c r="C100" s="259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259"/>
      <c r="C101" s="259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259"/>
      <c r="C102" s="259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259"/>
      <c r="C103" s="259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259"/>
      <c r="C104" s="259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259"/>
      <c r="C105" s="259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>
      <c r="A106" s="259"/>
      <c r="B106" s="259"/>
      <c r="C106" s="259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3">
    <mergeCell ref="D48:J48"/>
    <mergeCell ref="A67:B67"/>
    <mergeCell ref="T14:U14"/>
    <mergeCell ref="D45:J45"/>
    <mergeCell ref="D46:J46"/>
    <mergeCell ref="N46:V46"/>
    <mergeCell ref="D47:J47"/>
    <mergeCell ref="N47:V47"/>
    <mergeCell ref="A14:B14"/>
    <mergeCell ref="G14:H14"/>
    <mergeCell ref="I14:J14"/>
    <mergeCell ref="K14:L14"/>
    <mergeCell ref="P14:Q14"/>
    <mergeCell ref="R14:S14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81" orientation="landscape" verticalDpi="36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4566-87C4-49B3-A16D-8DB902803CC6}">
  <sheetPr codeName="Sheet38">
    <tabColor rgb="FFFFFF00"/>
    <pageSetUpPr fitToPage="1"/>
  </sheetPr>
  <dimension ref="A1:IV122"/>
  <sheetViews>
    <sheetView showGridLines="0" topLeftCell="A20" zoomScale="80" zoomScaleNormal="80" zoomScaleSheetLayoutView="70" workbookViewId="0">
      <selection activeCell="N6" sqref="N6:N12"/>
    </sheetView>
  </sheetViews>
  <sheetFormatPr defaultColWidth="7" defaultRowHeight="27.5"/>
  <cols>
    <col min="1" max="1" width="7.83203125" style="135" customWidth="1"/>
    <col min="2" max="2" width="17.33203125" style="135" customWidth="1"/>
    <col min="3" max="3" width="15.58203125" style="135" customWidth="1"/>
    <col min="4" max="5" width="6.83203125" style="136" customWidth="1"/>
    <col min="6" max="6" width="7.75" style="136" customWidth="1"/>
    <col min="7" max="9" width="6.83203125" style="136" customWidth="1"/>
    <col min="10" max="10" width="7.58203125" style="136" customWidth="1"/>
    <col min="11" max="11" width="8.08203125" style="136" customWidth="1"/>
    <col min="12" max="14" width="6.83203125" style="136" customWidth="1"/>
    <col min="15" max="15" width="7.75" style="136" customWidth="1"/>
    <col min="16" max="21" width="6.83203125" style="136" customWidth="1"/>
    <col min="22" max="22" width="11.08203125" style="136" customWidth="1"/>
    <col min="23" max="23" width="9.5" style="137" customWidth="1"/>
    <col min="24" max="25" width="7" style="135" customWidth="1"/>
    <col min="26" max="34" width="7" style="138" customWidth="1"/>
    <col min="35" max="16384" width="7" style="135"/>
  </cols>
  <sheetData>
    <row r="1" spans="1:256" s="132" customFormat="1" ht="24.75" customHeight="1">
      <c r="A1" s="133" t="s">
        <v>146</v>
      </c>
      <c r="D1" s="133"/>
      <c r="E1" s="139" t="s">
        <v>270</v>
      </c>
      <c r="F1" s="133"/>
      <c r="G1" s="133"/>
      <c r="H1" s="133"/>
      <c r="I1" s="133" t="s">
        <v>605</v>
      </c>
      <c r="M1" s="1378" t="s">
        <v>272</v>
      </c>
      <c r="N1" s="1378"/>
      <c r="O1" s="191" t="s">
        <v>603</v>
      </c>
      <c r="P1" s="191"/>
      <c r="Q1" s="133"/>
      <c r="R1" s="133"/>
      <c r="S1" s="133"/>
      <c r="T1" s="220" t="s">
        <v>94</v>
      </c>
      <c r="U1" s="1379">
        <v>244562</v>
      </c>
      <c r="V1" s="1379"/>
      <c r="W1" s="221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256" s="133" customFormat="1" ht="7.5" customHeight="1" thickBot="1">
      <c r="L2" s="192"/>
      <c r="V2" s="192"/>
      <c r="W2" s="222"/>
      <c r="Z2" s="254"/>
      <c r="AA2" s="254"/>
      <c r="AB2" s="254"/>
      <c r="AC2" s="254"/>
      <c r="AD2" s="254"/>
      <c r="AE2" s="254"/>
      <c r="AF2" s="254"/>
      <c r="AG2" s="254"/>
      <c r="AH2" s="254"/>
    </row>
    <row r="3" spans="1:256" ht="18.75" customHeight="1" thickBot="1">
      <c r="A3" s="1380" t="s">
        <v>274</v>
      </c>
      <c r="B3" s="1381"/>
      <c r="C3" s="1382" t="s">
        <v>275</v>
      </c>
      <c r="D3" s="1385" t="s">
        <v>70</v>
      </c>
      <c r="E3" s="1386"/>
      <c r="F3" s="1386"/>
      <c r="G3" s="1386"/>
      <c r="H3" s="1386"/>
      <c r="I3" s="1386"/>
      <c r="J3" s="1386"/>
      <c r="K3" s="1386"/>
      <c r="L3" s="1386"/>
      <c r="M3" s="1410" t="s">
        <v>73</v>
      </c>
      <c r="N3" s="1411"/>
      <c r="O3" s="1411"/>
      <c r="P3" s="1411"/>
      <c r="Q3" s="1411"/>
      <c r="R3" s="1411"/>
      <c r="S3" s="1411"/>
      <c r="T3" s="1411"/>
      <c r="U3" s="1412"/>
      <c r="V3" s="1413" t="s">
        <v>366</v>
      </c>
      <c r="W3" s="223"/>
      <c r="AA3" s="138" t="s">
        <v>277</v>
      </c>
      <c r="AB3" s="138" t="s">
        <v>278</v>
      </c>
      <c r="AC3" s="138" t="s">
        <v>279</v>
      </c>
      <c r="AD3" s="138" t="s">
        <v>280</v>
      </c>
      <c r="AE3" s="255" t="s">
        <v>281</v>
      </c>
      <c r="AF3" s="255" t="s">
        <v>282</v>
      </c>
      <c r="AG3" s="255" t="s">
        <v>283</v>
      </c>
      <c r="AH3" s="255" t="s">
        <v>284</v>
      </c>
    </row>
    <row r="4" spans="1:256" ht="18.75" customHeight="1">
      <c r="A4" s="1388" t="s">
        <v>285</v>
      </c>
      <c r="B4" s="1390" t="s">
        <v>286</v>
      </c>
      <c r="C4" s="1383"/>
      <c r="D4" s="140" t="s">
        <v>287</v>
      </c>
      <c r="E4" s="141"/>
      <c r="F4" s="141"/>
      <c r="G4" s="1372" t="s">
        <v>40</v>
      </c>
      <c r="H4" s="1374"/>
      <c r="I4" s="1372" t="s">
        <v>41</v>
      </c>
      <c r="J4" s="1373"/>
      <c r="K4" s="1374" t="s">
        <v>279</v>
      </c>
      <c r="L4" s="1374"/>
      <c r="M4" s="193" t="s">
        <v>287</v>
      </c>
      <c r="N4" s="194"/>
      <c r="O4" s="194"/>
      <c r="P4" s="1416" t="s">
        <v>40</v>
      </c>
      <c r="Q4" s="1417"/>
      <c r="R4" s="1416" t="s">
        <v>41</v>
      </c>
      <c r="S4" s="1417"/>
      <c r="T4" s="1416" t="s">
        <v>279</v>
      </c>
      <c r="U4" s="1420"/>
      <c r="V4" s="1414"/>
      <c r="W4" s="223"/>
      <c r="Z4" s="1030" t="s">
        <v>70</v>
      </c>
      <c r="AA4" s="256">
        <f>F14</f>
        <v>4112</v>
      </c>
      <c r="AB4" s="256">
        <f>L54</f>
        <v>3788</v>
      </c>
      <c r="AC4" s="256">
        <f>L55</f>
        <v>216.33333333333334</v>
      </c>
      <c r="AD4" s="256">
        <f>L56</f>
        <v>2276.3333333333335</v>
      </c>
      <c r="AE4" s="256">
        <f>L21</f>
        <v>114</v>
      </c>
      <c r="AF4" s="256">
        <f>L26</f>
        <v>1295.3333333333333</v>
      </c>
      <c r="AG4" s="256">
        <f>L28</f>
        <v>210</v>
      </c>
      <c r="AH4" s="256">
        <f>L43</f>
        <v>0</v>
      </c>
    </row>
    <row r="5" spans="1:256" ht="18.75" customHeight="1" thickBot="1">
      <c r="A5" s="1389"/>
      <c r="B5" s="1391"/>
      <c r="C5" s="1384"/>
      <c r="D5" s="1031" t="s">
        <v>288</v>
      </c>
      <c r="E5" s="1032" t="s">
        <v>289</v>
      </c>
      <c r="F5" s="1033" t="s">
        <v>290</v>
      </c>
      <c r="G5" s="1375" t="s">
        <v>34</v>
      </c>
      <c r="H5" s="1376"/>
      <c r="I5" s="1375" t="s">
        <v>34</v>
      </c>
      <c r="J5" s="1377"/>
      <c r="K5" s="1376" t="s">
        <v>34</v>
      </c>
      <c r="L5" s="1376"/>
      <c r="M5" s="1110" t="s">
        <v>288</v>
      </c>
      <c r="N5" s="1111" t="s">
        <v>289</v>
      </c>
      <c r="O5" s="1033" t="s">
        <v>290</v>
      </c>
      <c r="P5" s="1418" t="s">
        <v>34</v>
      </c>
      <c r="Q5" s="1422"/>
      <c r="R5" s="1418" t="s">
        <v>34</v>
      </c>
      <c r="S5" s="1422"/>
      <c r="T5" s="1418" t="s">
        <v>34</v>
      </c>
      <c r="U5" s="1419"/>
      <c r="V5" s="1415"/>
      <c r="W5" s="223"/>
      <c r="Z5" s="1030" t="s">
        <v>73</v>
      </c>
      <c r="AA5" s="256">
        <f>O14</f>
        <v>4186</v>
      </c>
      <c r="AB5" s="256">
        <f>U54</f>
        <v>3931</v>
      </c>
      <c r="AC5" s="256">
        <f>U55</f>
        <v>144.33333333333334</v>
      </c>
      <c r="AD5" s="256">
        <f>U56</f>
        <v>1342.6666666666665</v>
      </c>
      <c r="AE5" s="256">
        <f>U21</f>
        <v>56</v>
      </c>
      <c r="AF5" s="256">
        <f>U26</f>
        <v>2444</v>
      </c>
      <c r="AG5" s="256">
        <f>U28</f>
        <v>199</v>
      </c>
      <c r="AH5" s="256">
        <f>U43</f>
        <v>0</v>
      </c>
    </row>
    <row r="6" spans="1:256" ht="18.75" customHeight="1">
      <c r="A6" s="142" t="s">
        <v>291</v>
      </c>
      <c r="B6" s="910" t="s">
        <v>621</v>
      </c>
      <c r="C6" s="144">
        <v>3</v>
      </c>
      <c r="D6" s="145">
        <v>0.3347222222222222</v>
      </c>
      <c r="E6" s="145">
        <v>0.75</v>
      </c>
      <c r="F6" s="146">
        <f>(E6-D6)*1440</f>
        <v>598</v>
      </c>
      <c r="G6" s="1365">
        <v>1038</v>
      </c>
      <c r="H6" s="1365"/>
      <c r="I6" s="1405">
        <v>950</v>
      </c>
      <c r="J6" s="1406"/>
      <c r="K6" s="1370">
        <f>G6-I6</f>
        <v>88</v>
      </c>
      <c r="L6" s="1407"/>
      <c r="M6" s="145">
        <v>0.75</v>
      </c>
      <c r="N6" s="145">
        <v>24</v>
      </c>
      <c r="O6" s="195">
        <v>598</v>
      </c>
      <c r="P6" s="1408">
        <v>650</v>
      </c>
      <c r="Q6" s="1408"/>
      <c r="R6" s="1409">
        <v>591</v>
      </c>
      <c r="S6" s="1408"/>
      <c r="T6" s="1421">
        <f>P6-R6</f>
        <v>59</v>
      </c>
      <c r="U6" s="1421"/>
      <c r="V6" s="224">
        <f t="shared" ref="V6:V13" si="0">F6+O6</f>
        <v>1196</v>
      </c>
      <c r="W6" s="909"/>
      <c r="IV6" s="135">
        <v>0</v>
      </c>
    </row>
    <row r="7" spans="1:256" ht="18.75" customHeight="1">
      <c r="A7" s="142" t="s">
        <v>292</v>
      </c>
      <c r="B7" s="910" t="s">
        <v>618</v>
      </c>
      <c r="C7" s="144">
        <v>3</v>
      </c>
      <c r="D7" s="145">
        <v>0.33680555555555558</v>
      </c>
      <c r="E7" s="145">
        <v>0.75</v>
      </c>
      <c r="F7" s="146">
        <f>(E7-D7)*1440</f>
        <v>595</v>
      </c>
      <c r="G7" s="1403">
        <v>1130</v>
      </c>
      <c r="H7" s="1404"/>
      <c r="I7" s="1403">
        <v>1050</v>
      </c>
      <c r="J7" s="1404"/>
      <c r="K7" s="1368">
        <f>G7-I7</f>
        <v>80</v>
      </c>
      <c r="L7" s="1397"/>
      <c r="M7" s="145">
        <v>0.75</v>
      </c>
      <c r="N7" s="145">
        <v>24</v>
      </c>
      <c r="O7" s="195">
        <v>598</v>
      </c>
      <c r="P7" s="1398">
        <v>713</v>
      </c>
      <c r="Q7" s="1398"/>
      <c r="R7" s="1398">
        <v>668</v>
      </c>
      <c r="S7" s="1398"/>
      <c r="T7" s="1399">
        <f t="shared" ref="T7:T13" si="1">P7-R7</f>
        <v>45</v>
      </c>
      <c r="U7" s="1399"/>
      <c r="V7" s="224">
        <f t="shared" si="0"/>
        <v>1193</v>
      </c>
      <c r="W7" s="226"/>
    </row>
    <row r="8" spans="1:256" ht="18.75" customHeight="1">
      <c r="A8" s="142" t="s">
        <v>293</v>
      </c>
      <c r="B8" s="1059" t="s">
        <v>619</v>
      </c>
      <c r="C8" s="144">
        <v>3</v>
      </c>
      <c r="D8" s="145">
        <v>0.33888888888888885</v>
      </c>
      <c r="E8" s="145">
        <v>0.75</v>
      </c>
      <c r="F8" s="146">
        <f>(E8-D8)*1440</f>
        <v>592</v>
      </c>
      <c r="G8" s="1403">
        <v>880</v>
      </c>
      <c r="H8" s="1404"/>
      <c r="I8" s="1403">
        <v>776</v>
      </c>
      <c r="J8" s="1404"/>
      <c r="K8" s="1368">
        <f t="shared" ref="K8:K13" si="2">G8-I8</f>
        <v>104</v>
      </c>
      <c r="L8" s="1397"/>
      <c r="M8" s="145">
        <v>0.75</v>
      </c>
      <c r="N8" s="145">
        <v>24</v>
      </c>
      <c r="O8" s="195">
        <v>598</v>
      </c>
      <c r="P8" s="1398">
        <v>550</v>
      </c>
      <c r="Q8" s="1398"/>
      <c r="R8" s="1398">
        <v>461</v>
      </c>
      <c r="S8" s="1398"/>
      <c r="T8" s="1399">
        <f t="shared" si="1"/>
        <v>89</v>
      </c>
      <c r="U8" s="1399"/>
      <c r="V8" s="224">
        <f t="shared" si="0"/>
        <v>1190</v>
      </c>
      <c r="W8" s="226"/>
    </row>
    <row r="9" spans="1:256" ht="18.75" customHeight="1">
      <c r="A9" s="142" t="s">
        <v>294</v>
      </c>
      <c r="B9" s="910" t="s">
        <v>622</v>
      </c>
      <c r="C9" s="144">
        <v>3</v>
      </c>
      <c r="D9" s="145">
        <v>0.34027777777777773</v>
      </c>
      <c r="E9" s="145">
        <v>0.75</v>
      </c>
      <c r="F9" s="146">
        <f>(E9-D9)*1440</f>
        <v>590.00000000000011</v>
      </c>
      <c r="G9" s="1403">
        <v>1090</v>
      </c>
      <c r="H9" s="1404"/>
      <c r="I9" s="1403">
        <v>949</v>
      </c>
      <c r="J9" s="1404"/>
      <c r="K9" s="1368">
        <f t="shared" si="2"/>
        <v>141</v>
      </c>
      <c r="L9" s="1397"/>
      <c r="M9" s="145">
        <v>0.75</v>
      </c>
      <c r="N9" s="145">
        <v>24</v>
      </c>
      <c r="O9" s="195">
        <v>598</v>
      </c>
      <c r="P9" s="1398">
        <v>315</v>
      </c>
      <c r="Q9" s="1398"/>
      <c r="R9" s="1398">
        <v>231</v>
      </c>
      <c r="S9" s="1398"/>
      <c r="T9" s="1399">
        <f t="shared" si="1"/>
        <v>84</v>
      </c>
      <c r="U9" s="1399"/>
      <c r="V9" s="224">
        <f t="shared" si="0"/>
        <v>1188</v>
      </c>
      <c r="W9" s="909"/>
    </row>
    <row r="10" spans="1:256" ht="18.75" customHeight="1">
      <c r="A10" s="142" t="s">
        <v>295</v>
      </c>
      <c r="B10" s="910" t="s">
        <v>623</v>
      </c>
      <c r="C10" s="144">
        <v>3</v>
      </c>
      <c r="D10" s="145">
        <v>0.34236111111111112</v>
      </c>
      <c r="E10" s="145">
        <v>0.75</v>
      </c>
      <c r="F10" s="146">
        <f>(E10-D10)*1440</f>
        <v>587</v>
      </c>
      <c r="G10" s="1403">
        <v>1190</v>
      </c>
      <c r="H10" s="1404"/>
      <c r="I10" s="1396">
        <v>1084</v>
      </c>
      <c r="J10" s="1396"/>
      <c r="K10" s="1368">
        <f t="shared" si="2"/>
        <v>106</v>
      </c>
      <c r="L10" s="1397"/>
      <c r="M10" s="145">
        <v>0.75</v>
      </c>
      <c r="N10" s="145">
        <v>24</v>
      </c>
      <c r="O10" s="195">
        <v>598</v>
      </c>
      <c r="P10" s="1398">
        <v>480</v>
      </c>
      <c r="Q10" s="1398"/>
      <c r="R10" s="1398">
        <v>449</v>
      </c>
      <c r="S10" s="1398"/>
      <c r="T10" s="1399">
        <f t="shared" si="1"/>
        <v>31</v>
      </c>
      <c r="U10" s="1399"/>
      <c r="V10" s="224">
        <f t="shared" si="0"/>
        <v>1185</v>
      </c>
      <c r="W10" s="909"/>
    </row>
    <row r="11" spans="1:256" ht="18.75" customHeight="1">
      <c r="A11" s="142" t="s">
        <v>296</v>
      </c>
      <c r="B11" s="910" t="s">
        <v>617</v>
      </c>
      <c r="C11" s="144">
        <v>3</v>
      </c>
      <c r="D11" s="145">
        <v>0.34722222222222227</v>
      </c>
      <c r="E11" s="145">
        <v>0.75</v>
      </c>
      <c r="F11" s="146">
        <f t="shared" ref="F11:F12" si="3">(E11-D11)*1440</f>
        <v>579.99999999999989</v>
      </c>
      <c r="G11" s="1396">
        <v>1050</v>
      </c>
      <c r="H11" s="1396"/>
      <c r="I11" s="1396">
        <v>942</v>
      </c>
      <c r="J11" s="1396"/>
      <c r="K11" s="1368">
        <f>G11-I11</f>
        <v>108</v>
      </c>
      <c r="L11" s="1397"/>
      <c r="M11" s="145">
        <v>0.75</v>
      </c>
      <c r="N11" s="145">
        <v>24</v>
      </c>
      <c r="O11" s="195">
        <v>598</v>
      </c>
      <c r="P11" s="1398">
        <v>910</v>
      </c>
      <c r="Q11" s="1398"/>
      <c r="R11" s="1398">
        <v>827</v>
      </c>
      <c r="S11" s="1398"/>
      <c r="T11" s="1399">
        <f t="shared" si="1"/>
        <v>83</v>
      </c>
      <c r="U11" s="1399"/>
      <c r="V11" s="224">
        <f t="shared" si="0"/>
        <v>1178</v>
      </c>
      <c r="W11" s="909"/>
    </row>
    <row r="12" spans="1:256" ht="18.75" customHeight="1">
      <c r="A12" s="142" t="s">
        <v>297</v>
      </c>
      <c r="B12" s="1059" t="s">
        <v>624</v>
      </c>
      <c r="C12" s="914">
        <v>3</v>
      </c>
      <c r="D12" s="145">
        <v>0.35416666666666669</v>
      </c>
      <c r="E12" s="145">
        <v>0.75</v>
      </c>
      <c r="F12" s="146">
        <f t="shared" si="3"/>
        <v>570</v>
      </c>
      <c r="G12" s="1396">
        <v>1100</v>
      </c>
      <c r="H12" s="1396"/>
      <c r="I12" s="1396">
        <v>1078</v>
      </c>
      <c r="J12" s="1396"/>
      <c r="K12" s="1368">
        <f>G12-I12</f>
        <v>22</v>
      </c>
      <c r="L12" s="1397"/>
      <c r="M12" s="145">
        <v>0.75</v>
      </c>
      <c r="N12" s="145">
        <v>24</v>
      </c>
      <c r="O12" s="195">
        <v>598</v>
      </c>
      <c r="P12" s="1398">
        <v>843</v>
      </c>
      <c r="Q12" s="1398"/>
      <c r="R12" s="1398">
        <v>801</v>
      </c>
      <c r="S12" s="1398"/>
      <c r="T12" s="1399">
        <f t="shared" si="1"/>
        <v>42</v>
      </c>
      <c r="U12" s="1399"/>
      <c r="V12" s="224">
        <f t="shared" si="0"/>
        <v>1168</v>
      </c>
      <c r="W12" s="225"/>
    </row>
    <row r="13" spans="1:256" ht="18.75" customHeight="1" thickBot="1">
      <c r="A13" s="142" t="s">
        <v>298</v>
      </c>
      <c r="B13" s="143"/>
      <c r="C13" s="147">
        <v>3</v>
      </c>
      <c r="D13" s="148"/>
      <c r="E13" s="148"/>
      <c r="F13" s="149"/>
      <c r="G13" s="1400"/>
      <c r="H13" s="1400"/>
      <c r="I13" s="1400"/>
      <c r="J13" s="1400"/>
      <c r="K13" s="1366">
        <f t="shared" si="2"/>
        <v>0</v>
      </c>
      <c r="L13" s="1401"/>
      <c r="M13" s="148"/>
      <c r="N13" s="196"/>
      <c r="O13" s="197"/>
      <c r="P13" s="1402"/>
      <c r="Q13" s="1402"/>
      <c r="R13" s="1402"/>
      <c r="S13" s="1402"/>
      <c r="T13" s="1395">
        <f t="shared" si="1"/>
        <v>0</v>
      </c>
      <c r="U13" s="1395"/>
      <c r="V13" s="227">
        <f t="shared" si="0"/>
        <v>0</v>
      </c>
      <c r="W13" s="225"/>
    </row>
    <row r="14" spans="1:256" ht="21.75" customHeight="1" thickBot="1">
      <c r="A14" s="1360" t="s">
        <v>173</v>
      </c>
      <c r="B14" s="1430"/>
      <c r="C14" s="150">
        <f>SUM(C6:C13)</f>
        <v>24</v>
      </c>
      <c r="D14" s="151">
        <f>AVERAGE(D6:D13)</f>
        <v>0.34206349206349201</v>
      </c>
      <c r="E14" s="152">
        <f>AVERAGE(E6:E13)</f>
        <v>0.75</v>
      </c>
      <c r="F14" s="153">
        <f>SUM(F6:F13)</f>
        <v>4112</v>
      </c>
      <c r="G14" s="1362">
        <f>SUM(G6:H13)</f>
        <v>7478</v>
      </c>
      <c r="H14" s="1363"/>
      <c r="I14" s="1362">
        <f>SUM(I6:I13)</f>
        <v>6829</v>
      </c>
      <c r="J14" s="1363"/>
      <c r="K14" s="1362">
        <f>SUM(K6:K13)</f>
        <v>649</v>
      </c>
      <c r="L14" s="1394"/>
      <c r="M14" s="198">
        <f>AVERAGE(M6:M13)</f>
        <v>0.75</v>
      </c>
      <c r="N14" s="199">
        <f>AVERAGE(N6:N13)</f>
        <v>24</v>
      </c>
      <c r="O14" s="200">
        <f>SUM(O6:O13)</f>
        <v>4186</v>
      </c>
      <c r="P14" s="1392">
        <f>SUM(P6:P13)</f>
        <v>4461</v>
      </c>
      <c r="Q14" s="1393"/>
      <c r="R14" s="1392">
        <f>SUM(R6:R13)</f>
        <v>4028</v>
      </c>
      <c r="S14" s="1393"/>
      <c r="T14" s="1392">
        <f>SUM(T6:T13)</f>
        <v>433</v>
      </c>
      <c r="U14" s="1393"/>
      <c r="V14" s="228">
        <f>SUM(V6:V13)</f>
        <v>8298</v>
      </c>
      <c r="W14" s="229"/>
      <c r="AD14" s="135"/>
      <c r="AE14" s="135"/>
      <c r="AF14" s="135"/>
      <c r="AG14" s="135"/>
      <c r="AH14" s="135"/>
    </row>
    <row r="15" spans="1:256" ht="18.75" customHeight="1" thickBot="1">
      <c r="A15" s="154" t="s">
        <v>299</v>
      </c>
      <c r="B15" s="155"/>
      <c r="C15" s="155"/>
      <c r="D15" s="156" t="s">
        <v>300</v>
      </c>
      <c r="E15" s="156" t="s">
        <v>301</v>
      </c>
      <c r="F15" s="156" t="s">
        <v>302</v>
      </c>
      <c r="G15" s="156" t="s">
        <v>303</v>
      </c>
      <c r="H15" s="156" t="s">
        <v>304</v>
      </c>
      <c r="I15" s="156" t="s">
        <v>305</v>
      </c>
      <c r="J15" s="156" t="s">
        <v>306</v>
      </c>
      <c r="K15" s="166" t="s">
        <v>307</v>
      </c>
      <c r="L15" s="201" t="s">
        <v>173</v>
      </c>
      <c r="M15" s="166" t="s">
        <v>300</v>
      </c>
      <c r="N15" s="166" t="s">
        <v>301</v>
      </c>
      <c r="O15" s="166" t="s">
        <v>302</v>
      </c>
      <c r="P15" s="166" t="s">
        <v>303</v>
      </c>
      <c r="Q15" s="166" t="s">
        <v>304</v>
      </c>
      <c r="R15" s="166" t="s">
        <v>305</v>
      </c>
      <c r="S15" s="166" t="s">
        <v>306</v>
      </c>
      <c r="T15" s="166" t="s">
        <v>307</v>
      </c>
      <c r="U15" s="230" t="s">
        <v>173</v>
      </c>
      <c r="V15" s="207" t="s">
        <v>367</v>
      </c>
      <c r="W15" s="231"/>
      <c r="Z15" s="138">
        <v>2989</v>
      </c>
      <c r="AA15" s="138">
        <v>2954</v>
      </c>
    </row>
    <row r="16" spans="1:256" ht="18.75" customHeight="1">
      <c r="A16" s="157" t="s">
        <v>308</v>
      </c>
      <c r="B16" s="158"/>
      <c r="C16" s="158"/>
      <c r="D16" s="159"/>
      <c r="E16" s="159"/>
      <c r="F16" s="159"/>
      <c r="G16" s="159"/>
      <c r="H16" s="159"/>
      <c r="I16" s="159"/>
      <c r="J16" s="159"/>
      <c r="K16" s="159"/>
      <c r="L16" s="202">
        <f t="shared" ref="L16:L21" si="4">SUM(D16:K16)</f>
        <v>0</v>
      </c>
      <c r="M16" s="203"/>
      <c r="N16" s="159"/>
      <c r="O16" s="159"/>
      <c r="P16" s="159"/>
      <c r="Q16" s="159"/>
      <c r="R16" s="159"/>
      <c r="S16" s="159"/>
      <c r="T16" s="159"/>
      <c r="U16" s="232">
        <f t="shared" ref="U16:U21" si="5">SUM(M16:T16)</f>
        <v>0</v>
      </c>
      <c r="V16" s="1112">
        <f>L16+U16</f>
        <v>0</v>
      </c>
      <c r="W16" s="233"/>
    </row>
    <row r="17" spans="1:29" ht="18.75" customHeight="1">
      <c r="A17" s="1045" t="s">
        <v>179</v>
      </c>
      <c r="B17" s="1046"/>
      <c r="C17" s="1046"/>
      <c r="D17" s="160"/>
      <c r="E17" s="160"/>
      <c r="F17" s="160"/>
      <c r="G17" s="160"/>
      <c r="H17" s="160"/>
      <c r="I17" s="160"/>
      <c r="J17" s="160"/>
      <c r="K17" s="160"/>
      <c r="L17" s="1112">
        <f t="shared" si="4"/>
        <v>0</v>
      </c>
      <c r="M17" s="204"/>
      <c r="N17" s="160"/>
      <c r="O17" s="160"/>
      <c r="P17" s="1070"/>
      <c r="Q17" s="1070"/>
      <c r="R17" s="1070"/>
      <c r="S17" s="1070"/>
      <c r="T17" s="1070"/>
      <c r="U17" s="1113">
        <f t="shared" si="5"/>
        <v>0</v>
      </c>
      <c r="V17" s="1114">
        <f>SUM(M17:U17)</f>
        <v>0</v>
      </c>
      <c r="W17" s="234"/>
      <c r="Z17" s="138">
        <f>Z15-1000</f>
        <v>1989</v>
      </c>
      <c r="AA17" s="138">
        <f>AA15-1000</f>
        <v>1954</v>
      </c>
    </row>
    <row r="18" spans="1:29" ht="18.75" customHeight="1">
      <c r="A18" s="1048" t="s">
        <v>309</v>
      </c>
      <c r="B18" s="1046"/>
      <c r="C18" s="1046"/>
      <c r="D18" s="160"/>
      <c r="E18" s="160"/>
      <c r="F18" s="160"/>
      <c r="G18" s="160"/>
      <c r="H18" s="160"/>
      <c r="I18" s="160"/>
      <c r="J18" s="160"/>
      <c r="K18" s="160"/>
      <c r="L18" s="1112">
        <f t="shared" si="4"/>
        <v>0</v>
      </c>
      <c r="M18" s="205"/>
      <c r="N18" s="160"/>
      <c r="O18" s="160"/>
      <c r="P18" s="1070"/>
      <c r="Q18" s="1070"/>
      <c r="R18" s="1070"/>
      <c r="S18" s="1070"/>
      <c r="T18" s="1070"/>
      <c r="U18" s="1113">
        <f t="shared" si="5"/>
        <v>0</v>
      </c>
      <c r="V18" s="1114">
        <f>SUM(M18:U18)</f>
        <v>0</v>
      </c>
      <c r="W18" s="234"/>
    </row>
    <row r="19" spans="1:29" ht="18.75" customHeight="1">
      <c r="A19" s="1048" t="s">
        <v>310</v>
      </c>
      <c r="B19" s="1046"/>
      <c r="C19" s="1046"/>
      <c r="D19" s="1070">
        <v>15</v>
      </c>
      <c r="E19" s="1070">
        <v>15</v>
      </c>
      <c r="F19" s="1070">
        <v>20</v>
      </c>
      <c r="G19" s="1070">
        <v>25</v>
      </c>
      <c r="H19" s="1070">
        <v>12</v>
      </c>
      <c r="I19" s="1070">
        <v>15</v>
      </c>
      <c r="J19" s="1070">
        <v>12</v>
      </c>
      <c r="K19" s="1070"/>
      <c r="L19" s="1112">
        <f t="shared" si="4"/>
        <v>114</v>
      </c>
      <c r="M19" s="1070">
        <v>20</v>
      </c>
      <c r="N19" s="1059">
        <v>6</v>
      </c>
      <c r="O19" s="1070">
        <v>12</v>
      </c>
      <c r="P19" s="1070">
        <v>4</v>
      </c>
      <c r="Q19" s="1070">
        <v>4</v>
      </c>
      <c r="R19" s="1070">
        <v>6</v>
      </c>
      <c r="S19" s="1070">
        <v>4</v>
      </c>
      <c r="T19" s="1070"/>
      <c r="U19" s="1113">
        <f t="shared" si="5"/>
        <v>56</v>
      </c>
      <c r="V19" s="1114">
        <f>L19+U19</f>
        <v>170</v>
      </c>
      <c r="W19" s="234"/>
    </row>
    <row r="20" spans="1:29" ht="18.75" customHeight="1" thickBot="1">
      <c r="A20" s="161" t="s">
        <v>311</v>
      </c>
      <c r="B20" s="162"/>
      <c r="C20" s="162"/>
      <c r="D20" s="1070"/>
      <c r="E20" s="1070"/>
      <c r="F20" s="1070"/>
      <c r="G20" s="1070"/>
      <c r="H20" s="1070"/>
      <c r="I20" s="1070"/>
      <c r="J20" s="1070"/>
      <c r="K20" s="1070"/>
      <c r="L20" s="1115">
        <f t="shared" si="4"/>
        <v>0</v>
      </c>
      <c r="M20" s="160"/>
      <c r="N20" s="160"/>
      <c r="O20" s="160"/>
      <c r="P20" s="160"/>
      <c r="Q20" s="160"/>
      <c r="R20" s="160"/>
      <c r="S20" s="160"/>
      <c r="T20" s="235"/>
      <c r="U20" s="1116">
        <f t="shared" si="5"/>
        <v>0</v>
      </c>
      <c r="V20" s="236">
        <f>L20+U20</f>
        <v>0</v>
      </c>
      <c r="W20" s="234"/>
    </row>
    <row r="21" spans="1:29" ht="18.75" customHeight="1" thickBot="1">
      <c r="A21" s="163" t="s">
        <v>312</v>
      </c>
      <c r="B21" s="164"/>
      <c r="C21" s="164"/>
      <c r="D21" s="165">
        <f t="shared" ref="D21:K21" si="6">SUM(D16:D20)</f>
        <v>15</v>
      </c>
      <c r="E21" s="165">
        <f t="shared" si="6"/>
        <v>15</v>
      </c>
      <c r="F21" s="165">
        <f t="shared" si="6"/>
        <v>20</v>
      </c>
      <c r="G21" s="165">
        <f t="shared" si="6"/>
        <v>25</v>
      </c>
      <c r="H21" s="165">
        <f t="shared" si="6"/>
        <v>12</v>
      </c>
      <c r="I21" s="165">
        <f t="shared" si="6"/>
        <v>15</v>
      </c>
      <c r="J21" s="165">
        <f t="shared" si="6"/>
        <v>12</v>
      </c>
      <c r="K21" s="165">
        <f t="shared" si="6"/>
        <v>0</v>
      </c>
      <c r="L21" s="206">
        <f t="shared" si="4"/>
        <v>114</v>
      </c>
      <c r="M21" s="165">
        <f t="shared" ref="M21:T21" si="7">SUM(M16:M20)</f>
        <v>20</v>
      </c>
      <c r="N21" s="165">
        <f t="shared" si="7"/>
        <v>6</v>
      </c>
      <c r="O21" s="165">
        <f t="shared" si="7"/>
        <v>12</v>
      </c>
      <c r="P21" s="165">
        <f t="shared" si="7"/>
        <v>4</v>
      </c>
      <c r="Q21" s="165">
        <f t="shared" si="7"/>
        <v>4</v>
      </c>
      <c r="R21" s="165">
        <f t="shared" si="7"/>
        <v>6</v>
      </c>
      <c r="S21" s="165">
        <f t="shared" si="7"/>
        <v>4</v>
      </c>
      <c r="T21" s="165">
        <f t="shared" si="7"/>
        <v>0</v>
      </c>
      <c r="U21" s="165">
        <f t="shared" si="5"/>
        <v>56</v>
      </c>
      <c r="V21" s="1117">
        <f>L21+U21</f>
        <v>170</v>
      </c>
      <c r="W21" s="237"/>
    </row>
    <row r="22" spans="1:29" ht="18.75" customHeight="1" thickBot="1">
      <c r="A22" s="154" t="s">
        <v>313</v>
      </c>
      <c r="B22" s="155"/>
      <c r="C22" s="155"/>
      <c r="D22" s="166" t="s">
        <v>300</v>
      </c>
      <c r="E22" s="166" t="s">
        <v>301</v>
      </c>
      <c r="F22" s="166" t="s">
        <v>302</v>
      </c>
      <c r="G22" s="166" t="s">
        <v>303</v>
      </c>
      <c r="H22" s="166" t="s">
        <v>304</v>
      </c>
      <c r="I22" s="166" t="s">
        <v>305</v>
      </c>
      <c r="J22" s="166" t="s">
        <v>306</v>
      </c>
      <c r="K22" s="166" t="s">
        <v>307</v>
      </c>
      <c r="L22" s="207" t="s">
        <v>173</v>
      </c>
      <c r="M22" s="166" t="s">
        <v>300</v>
      </c>
      <c r="N22" s="166" t="s">
        <v>301</v>
      </c>
      <c r="O22" s="166" t="s">
        <v>302</v>
      </c>
      <c r="P22" s="166" t="s">
        <v>303</v>
      </c>
      <c r="Q22" s="166" t="s">
        <v>304</v>
      </c>
      <c r="R22" s="166" t="s">
        <v>305</v>
      </c>
      <c r="S22" s="166" t="s">
        <v>306</v>
      </c>
      <c r="T22" s="166" t="s">
        <v>307</v>
      </c>
      <c r="U22" s="166" t="s">
        <v>173</v>
      </c>
      <c r="V22" s="207" t="s">
        <v>367</v>
      </c>
      <c r="W22" s="231"/>
      <c r="AC22" s="257"/>
    </row>
    <row r="23" spans="1:29" ht="18.75" customHeight="1">
      <c r="A23" s="167" t="s">
        <v>192</v>
      </c>
      <c r="B23" s="168"/>
      <c r="C23" s="168"/>
      <c r="D23" s="159">
        <v>5</v>
      </c>
      <c r="E23" s="159"/>
      <c r="F23" s="159"/>
      <c r="G23" s="159">
        <v>5</v>
      </c>
      <c r="H23" s="159"/>
      <c r="I23" s="159">
        <v>3</v>
      </c>
      <c r="J23" s="159"/>
      <c r="K23" s="159"/>
      <c r="L23" s="208">
        <f>SUM(D23:K23)</f>
        <v>13</v>
      </c>
      <c r="M23" s="160"/>
      <c r="N23" s="160"/>
      <c r="O23" s="160">
        <f>9+3+7</f>
        <v>19</v>
      </c>
      <c r="P23" s="160"/>
      <c r="Q23" s="160"/>
      <c r="R23" s="160"/>
      <c r="S23" s="160"/>
      <c r="T23" s="160"/>
      <c r="U23" s="238">
        <f>SUM(M23:T23)</f>
        <v>19</v>
      </c>
      <c r="V23" s="1112">
        <f>L23+U23</f>
        <v>32</v>
      </c>
      <c r="W23" s="233"/>
    </row>
    <row r="24" spans="1:29" ht="18.75" customHeight="1" thickBot="1">
      <c r="A24" s="1048" t="s">
        <v>314</v>
      </c>
      <c r="B24" s="1046"/>
      <c r="C24" s="1046"/>
      <c r="D24" s="169">
        <f>1+3+1+6+2+7+4+5+6+15+60</f>
        <v>110</v>
      </c>
      <c r="E24" s="169">
        <f>6+2+7+4+5+6+15+40</f>
        <v>85</v>
      </c>
      <c r="F24" s="169">
        <f>6+2+7+4+5+6+15</f>
        <v>45</v>
      </c>
      <c r="G24" s="169">
        <f>6+2+7+4+5+6+15+35+1</f>
        <v>81</v>
      </c>
      <c r="H24" s="169">
        <f>6+2+7+4+5+6+15+25+5</f>
        <v>75</v>
      </c>
      <c r="I24" s="169">
        <f>10+20+5+10+15+5+30</f>
        <v>95</v>
      </c>
      <c r="J24" s="169">
        <f>2+3+5+10+37+10+60+40</f>
        <v>167</v>
      </c>
      <c r="K24" s="169"/>
      <c r="L24" s="1115">
        <f>SUM(D24:K24)</f>
        <v>658</v>
      </c>
      <c r="M24" s="1118">
        <f>6+7+3+7+4+4+3+9+6+6+8+7+9+16</f>
        <v>95</v>
      </c>
      <c r="N24" s="1119">
        <f>7+3+3+3+9+6+6+8+7+9+16+4+6</f>
        <v>87</v>
      </c>
      <c r="O24" s="1119">
        <f>2+2+3+6+5+3+9+6+6+8+7+9+13+4+4</f>
        <v>87</v>
      </c>
      <c r="P24" s="1119">
        <f>10+3+9+6+6+8+13+3</f>
        <v>58</v>
      </c>
      <c r="Q24" s="1119">
        <f>10+3+9+6+6+8+16+1</f>
        <v>59</v>
      </c>
      <c r="R24" s="1119">
        <f>7+6+5+4+8+5+10+13+20</f>
        <v>78</v>
      </c>
      <c r="S24" s="1119">
        <f>10+6+8+4+5+30+35</f>
        <v>98</v>
      </c>
      <c r="T24" s="1119"/>
      <c r="U24" s="1120">
        <f>SUM(M24:T24)</f>
        <v>562</v>
      </c>
      <c r="V24" s="1112">
        <f>L24+U24</f>
        <v>1220</v>
      </c>
      <c r="W24" s="233"/>
    </row>
    <row r="25" spans="1:29" ht="18.75" customHeight="1" thickBot="1">
      <c r="A25" s="1052" t="s">
        <v>315</v>
      </c>
      <c r="B25" s="170"/>
      <c r="C25" s="170"/>
      <c r="D25" s="171">
        <f>$F6-D$55-D$56-D$21-D$23-D$24-D$34-D$43</f>
        <v>91.999999999999943</v>
      </c>
      <c r="E25" s="171">
        <f>$F7-E$55-E$56-E$21-E$23-E$24-E$34-E$43</f>
        <v>88.333333333333371</v>
      </c>
      <c r="F25" s="171">
        <f>$F8-F$55-F$56-F$21-F$23-F$24-F$34-F$43</f>
        <v>203.66666666666669</v>
      </c>
      <c r="G25" s="171">
        <f>$F9-G$55-G$56-G$21-G$23-G$24-G$34-G$43</f>
        <v>85.666666666666799</v>
      </c>
      <c r="H25" s="171">
        <f>$F10-H$55-H$56-H$21-H$23-H$24-H$34-H$43</f>
        <v>73.333333333333314</v>
      </c>
      <c r="I25" s="171">
        <f>$F11-I$55-I$56-I$21-I$23-I$24-I$34-I$43</f>
        <v>86.999999999999886</v>
      </c>
      <c r="J25" s="171">
        <f>$F12-J$55-J$56-J$21-J$23-J$24-J$34-J$43</f>
        <v>-5.6666666666666856</v>
      </c>
      <c r="K25" s="171">
        <f>$F13-K$55-K$56-K$21-K$23-K$24-K$34-K$43</f>
        <v>0</v>
      </c>
      <c r="L25" s="209">
        <f>SUM(D25:K25)</f>
        <v>624.33333333333326</v>
      </c>
      <c r="M25" s="171">
        <f>$O6-M$55-M$56-M$21-M$23-M$24-M$34-M$43</f>
        <v>266.33333333333337</v>
      </c>
      <c r="N25" s="171">
        <f>$O7-N$55-N$56-N$21-N$23-N$24-N$34-N$43</f>
        <v>267.33333333333337</v>
      </c>
      <c r="O25" s="171">
        <f>$O8-O$55-O$56-O$21-O$23-O$24-O$34-O$43</f>
        <v>296.66666666666674</v>
      </c>
      <c r="P25" s="171">
        <f>$O9-P$55-P$56-P$21-P$23-P$24-P$34-P$43</f>
        <v>322</v>
      </c>
      <c r="Q25" s="171">
        <f>$O10-Q$55-Q$56-Q$21-Q$23-Q$24-Q$34-Q$43</f>
        <v>285</v>
      </c>
      <c r="R25" s="171">
        <f>$O11-R$55-R$56-R$21-R$23-R$24-R$34-R$43</f>
        <v>210.66666666666669</v>
      </c>
      <c r="S25" s="171">
        <f>$O12-S$55-S$56-S$21-S$23-S$24-S$34-S$43</f>
        <v>215</v>
      </c>
      <c r="T25" s="171">
        <f>$O13-T$55-T$56-T$21-T$23-T$24-T$34-T$43</f>
        <v>0</v>
      </c>
      <c r="U25" s="239">
        <f>SUM(M25:T25)</f>
        <v>1863.0000000000002</v>
      </c>
      <c r="V25" s="1112">
        <f>L25+U25</f>
        <v>2487.3333333333335</v>
      </c>
      <c r="W25" s="233"/>
    </row>
    <row r="26" spans="1:29" ht="18.75" customHeight="1" thickBot="1">
      <c r="A26" s="163" t="s">
        <v>316</v>
      </c>
      <c r="B26" s="164"/>
      <c r="C26" s="164"/>
      <c r="D26" s="172">
        <f>SUM(D23:D25)</f>
        <v>206.99999999999994</v>
      </c>
      <c r="E26" s="172">
        <f t="shared" ref="E26:K26" si="8">SUM(E23:E25)</f>
        <v>173.33333333333337</v>
      </c>
      <c r="F26" s="172">
        <f t="shared" si="8"/>
        <v>248.66666666666669</v>
      </c>
      <c r="G26" s="172">
        <f t="shared" si="8"/>
        <v>171.6666666666668</v>
      </c>
      <c r="H26" s="172">
        <f t="shared" si="8"/>
        <v>148.33333333333331</v>
      </c>
      <c r="I26" s="172">
        <f t="shared" si="8"/>
        <v>184.99999999999989</v>
      </c>
      <c r="J26" s="172">
        <f t="shared" si="8"/>
        <v>161.33333333333331</v>
      </c>
      <c r="K26" s="172">
        <f t="shared" si="8"/>
        <v>0</v>
      </c>
      <c r="L26" s="210">
        <f>SUM(D26:K26)</f>
        <v>1295.3333333333333</v>
      </c>
      <c r="M26" s="211">
        <f>SUM(M23:M25)</f>
        <v>361.33333333333337</v>
      </c>
      <c r="N26" s="211">
        <f t="shared" ref="N26:T26" si="9">SUM(N23:N25)</f>
        <v>354.33333333333337</v>
      </c>
      <c r="O26" s="211">
        <f t="shared" si="9"/>
        <v>402.66666666666674</v>
      </c>
      <c r="P26" s="211">
        <f t="shared" si="9"/>
        <v>380</v>
      </c>
      <c r="Q26" s="211">
        <f t="shared" si="9"/>
        <v>344</v>
      </c>
      <c r="R26" s="211">
        <f t="shared" si="9"/>
        <v>288.66666666666669</v>
      </c>
      <c r="S26" s="211">
        <f t="shared" si="9"/>
        <v>313</v>
      </c>
      <c r="T26" s="211">
        <f t="shared" si="9"/>
        <v>0</v>
      </c>
      <c r="U26" s="240">
        <f>SUM(M26:T26)</f>
        <v>2444</v>
      </c>
      <c r="V26" s="210">
        <f>L26+U26</f>
        <v>3739.333333333333</v>
      </c>
      <c r="W26" s="241"/>
    </row>
    <row r="27" spans="1:29" ht="18.75" customHeight="1" thickBot="1">
      <c r="A27" s="154" t="s">
        <v>317</v>
      </c>
      <c r="B27" s="155"/>
      <c r="C27" s="155"/>
      <c r="D27" s="166" t="s">
        <v>300</v>
      </c>
      <c r="E27" s="166" t="s">
        <v>301</v>
      </c>
      <c r="F27" s="166" t="s">
        <v>302</v>
      </c>
      <c r="G27" s="166" t="s">
        <v>303</v>
      </c>
      <c r="H27" s="166" t="s">
        <v>304</v>
      </c>
      <c r="I27" s="166" t="s">
        <v>305</v>
      </c>
      <c r="J27" s="166" t="s">
        <v>306</v>
      </c>
      <c r="K27" s="166" t="s">
        <v>307</v>
      </c>
      <c r="L27" s="207" t="s">
        <v>173</v>
      </c>
      <c r="M27" s="166" t="s">
        <v>300</v>
      </c>
      <c r="N27" s="166" t="s">
        <v>301</v>
      </c>
      <c r="O27" s="166" t="s">
        <v>302</v>
      </c>
      <c r="P27" s="166" t="s">
        <v>303</v>
      </c>
      <c r="Q27" s="166" t="s">
        <v>304</v>
      </c>
      <c r="R27" s="166" t="s">
        <v>305</v>
      </c>
      <c r="S27" s="166" t="s">
        <v>306</v>
      </c>
      <c r="T27" s="166" t="s">
        <v>307</v>
      </c>
      <c r="U27" s="166" t="s">
        <v>173</v>
      </c>
      <c r="V27" s="207" t="s">
        <v>367</v>
      </c>
      <c r="W27" s="231"/>
    </row>
    <row r="28" spans="1:29" ht="18.75" customHeight="1">
      <c r="A28" s="157" t="s">
        <v>318</v>
      </c>
      <c r="B28" s="158"/>
      <c r="C28" s="158"/>
      <c r="D28" s="159">
        <v>30</v>
      </c>
      <c r="E28" s="159">
        <v>30</v>
      </c>
      <c r="F28" s="159">
        <v>30</v>
      </c>
      <c r="G28" s="159">
        <v>30</v>
      </c>
      <c r="H28" s="159">
        <v>30</v>
      </c>
      <c r="I28" s="159">
        <v>30</v>
      </c>
      <c r="J28" s="159">
        <v>30</v>
      </c>
      <c r="K28" s="159"/>
      <c r="L28" s="202">
        <f t="shared" ref="L28:L34" si="10">SUM(D28:K28)</f>
        <v>210</v>
      </c>
      <c r="M28" s="159"/>
      <c r="N28" s="159"/>
      <c r="O28" s="159"/>
      <c r="P28" s="159">
        <f>90+19</f>
        <v>109</v>
      </c>
      <c r="Q28" s="159">
        <f>90</f>
        <v>90</v>
      </c>
      <c r="R28" s="159"/>
      <c r="S28" s="159"/>
      <c r="T28" s="159"/>
      <c r="U28" s="242">
        <f t="shared" ref="U28:U34" si="11">SUM(M28:T28)</f>
        <v>199</v>
      </c>
      <c r="V28" s="243">
        <f t="shared" ref="V28:V34" si="12">L28+U28</f>
        <v>409</v>
      </c>
      <c r="W28" s="234"/>
    </row>
    <row r="29" spans="1:29" ht="18.75" customHeight="1">
      <c r="A29" s="167" t="s">
        <v>319</v>
      </c>
      <c r="B29" s="168"/>
      <c r="C29" s="168"/>
      <c r="D29" s="1070"/>
      <c r="E29" s="1070"/>
      <c r="F29" s="1070"/>
      <c r="G29" s="1070"/>
      <c r="H29" s="1070"/>
      <c r="I29" s="1070"/>
      <c r="J29" s="1070"/>
      <c r="K29" s="1070"/>
      <c r="L29" s="1112">
        <f t="shared" si="10"/>
        <v>0</v>
      </c>
      <c r="M29" s="160"/>
      <c r="N29" s="160"/>
      <c r="O29" s="160"/>
      <c r="P29" s="160"/>
      <c r="Q29" s="160"/>
      <c r="R29" s="160"/>
      <c r="S29" s="160"/>
      <c r="T29" s="160"/>
      <c r="U29" s="238">
        <f t="shared" si="11"/>
        <v>0</v>
      </c>
      <c r="V29" s="244">
        <f t="shared" si="12"/>
        <v>0</v>
      </c>
      <c r="W29" s="233"/>
    </row>
    <row r="30" spans="1:29" ht="18.75" customHeight="1">
      <c r="A30" s="1048" t="s">
        <v>320</v>
      </c>
      <c r="B30" s="1046"/>
      <c r="C30" s="1046"/>
      <c r="D30" s="1070"/>
      <c r="E30" s="1070"/>
      <c r="F30" s="1070"/>
      <c r="G30" s="1070"/>
      <c r="H30" s="1070"/>
      <c r="I30" s="1070"/>
      <c r="J30" s="1070"/>
      <c r="K30" s="1070"/>
      <c r="L30" s="1112">
        <f t="shared" si="10"/>
        <v>0</v>
      </c>
      <c r="M30" s="1070"/>
      <c r="N30" s="1070"/>
      <c r="O30" s="1070"/>
      <c r="P30" s="1070"/>
      <c r="Q30" s="1070"/>
      <c r="R30" s="1070"/>
      <c r="S30" s="1070"/>
      <c r="T30" s="1070"/>
      <c r="U30" s="1121">
        <f t="shared" si="11"/>
        <v>0</v>
      </c>
      <c r="V30" s="1112">
        <f t="shared" si="12"/>
        <v>0</v>
      </c>
      <c r="W30" s="233"/>
    </row>
    <row r="31" spans="1:29" ht="18.75" customHeight="1">
      <c r="A31" s="1048" t="s">
        <v>321</v>
      </c>
      <c r="B31" s="1046"/>
      <c r="C31" s="1046"/>
      <c r="D31" s="1070"/>
      <c r="E31" s="1070"/>
      <c r="F31" s="1070"/>
      <c r="G31" s="1070"/>
      <c r="H31" s="1070"/>
      <c r="I31" s="1070"/>
      <c r="J31" s="1070"/>
      <c r="K31" s="1070"/>
      <c r="L31" s="1112">
        <f t="shared" si="10"/>
        <v>0</v>
      </c>
      <c r="M31" s="1070"/>
      <c r="N31" s="1070"/>
      <c r="O31" s="1070"/>
      <c r="P31" s="1070"/>
      <c r="Q31" s="1070"/>
      <c r="R31" s="1070"/>
      <c r="S31" s="1070"/>
      <c r="T31" s="1070"/>
      <c r="U31" s="1121">
        <f t="shared" si="11"/>
        <v>0</v>
      </c>
      <c r="V31" s="1112">
        <f t="shared" si="12"/>
        <v>0</v>
      </c>
      <c r="W31" s="233"/>
    </row>
    <row r="32" spans="1:29" ht="18.75" customHeight="1">
      <c r="A32" s="173" t="s">
        <v>322</v>
      </c>
      <c r="B32" s="174"/>
      <c r="C32" s="174"/>
      <c r="D32" s="1070"/>
      <c r="E32" s="1070"/>
      <c r="F32" s="1070"/>
      <c r="G32" s="1070"/>
      <c r="H32" s="1070"/>
      <c r="I32" s="1070"/>
      <c r="J32" s="1070"/>
      <c r="K32" s="1070"/>
      <c r="L32" s="1112">
        <f t="shared" si="10"/>
        <v>0</v>
      </c>
      <c r="M32" s="212"/>
      <c r="N32" s="212"/>
      <c r="O32" s="212"/>
      <c r="P32" s="212"/>
      <c r="Q32" s="212"/>
      <c r="R32" s="212"/>
      <c r="S32" s="212"/>
      <c r="T32" s="212"/>
      <c r="U32" s="1121">
        <f t="shared" si="11"/>
        <v>0</v>
      </c>
      <c r="V32" s="1112">
        <f t="shared" si="12"/>
        <v>0</v>
      </c>
      <c r="W32" s="233"/>
    </row>
    <row r="33" spans="1:23" ht="18.75" customHeight="1" thickBot="1">
      <c r="A33" s="1055" t="s">
        <v>323</v>
      </c>
      <c r="B33" s="1056"/>
      <c r="C33" s="1056"/>
      <c r="D33" s="1122"/>
      <c r="E33" s="1122"/>
      <c r="F33" s="1122"/>
      <c r="G33" s="1122"/>
      <c r="H33" s="1122"/>
      <c r="I33" s="1122"/>
      <c r="J33" s="1122"/>
      <c r="K33" s="1122"/>
      <c r="L33" s="1115">
        <f t="shared" si="10"/>
        <v>0</v>
      </c>
      <c r="M33" s="212"/>
      <c r="N33" s="212"/>
      <c r="O33" s="212"/>
      <c r="P33" s="212"/>
      <c r="Q33" s="212"/>
      <c r="R33" s="212"/>
      <c r="S33" s="212"/>
      <c r="T33" s="212"/>
      <c r="U33" s="245">
        <f t="shared" si="11"/>
        <v>0</v>
      </c>
      <c r="V33" s="1112">
        <f t="shared" si="12"/>
        <v>0</v>
      </c>
      <c r="W33" s="233"/>
    </row>
    <row r="34" spans="1:23" ht="18.75" customHeight="1" thickBot="1">
      <c r="A34" s="163" t="s">
        <v>324</v>
      </c>
      <c r="B34" s="164"/>
      <c r="C34" s="164"/>
      <c r="D34" s="175">
        <f t="shared" ref="D34:K34" si="13">SUM(D28:D33)</f>
        <v>30</v>
      </c>
      <c r="E34" s="175">
        <f t="shared" si="13"/>
        <v>30</v>
      </c>
      <c r="F34" s="176">
        <f t="shared" si="13"/>
        <v>30</v>
      </c>
      <c r="G34" s="176">
        <f t="shared" si="13"/>
        <v>30</v>
      </c>
      <c r="H34" s="176">
        <f t="shared" si="13"/>
        <v>30</v>
      </c>
      <c r="I34" s="176">
        <f t="shared" si="13"/>
        <v>30</v>
      </c>
      <c r="J34" s="176">
        <f t="shared" si="13"/>
        <v>30</v>
      </c>
      <c r="K34" s="176">
        <f t="shared" si="13"/>
        <v>0</v>
      </c>
      <c r="L34" s="213">
        <f t="shared" si="10"/>
        <v>210</v>
      </c>
      <c r="M34" s="175">
        <f t="shared" ref="M34:T34" si="14">SUM(M28:M33)</f>
        <v>0</v>
      </c>
      <c r="N34" s="176">
        <f t="shared" si="14"/>
        <v>0</v>
      </c>
      <c r="O34" s="176">
        <f t="shared" si="14"/>
        <v>0</v>
      </c>
      <c r="P34" s="176">
        <f t="shared" si="14"/>
        <v>109</v>
      </c>
      <c r="Q34" s="176">
        <f t="shared" si="14"/>
        <v>90</v>
      </c>
      <c r="R34" s="176">
        <f t="shared" si="14"/>
        <v>0</v>
      </c>
      <c r="S34" s="176">
        <f t="shared" si="14"/>
        <v>0</v>
      </c>
      <c r="T34" s="176">
        <f t="shared" si="14"/>
        <v>0</v>
      </c>
      <c r="U34" s="246">
        <f t="shared" si="11"/>
        <v>199</v>
      </c>
      <c r="V34" s="213">
        <f t="shared" si="12"/>
        <v>409</v>
      </c>
      <c r="W34" s="247"/>
    </row>
    <row r="35" spans="1:23" ht="18.75" customHeight="1" thickBot="1">
      <c r="A35" s="154" t="s">
        <v>325</v>
      </c>
      <c r="B35" s="155"/>
      <c r="C35" s="155"/>
      <c r="D35" s="166" t="s">
        <v>300</v>
      </c>
      <c r="E35" s="166" t="s">
        <v>301</v>
      </c>
      <c r="F35" s="166" t="s">
        <v>302</v>
      </c>
      <c r="G35" s="166" t="s">
        <v>303</v>
      </c>
      <c r="H35" s="166" t="s">
        <v>304</v>
      </c>
      <c r="I35" s="166" t="s">
        <v>305</v>
      </c>
      <c r="J35" s="166" t="s">
        <v>306</v>
      </c>
      <c r="K35" s="166" t="s">
        <v>307</v>
      </c>
      <c r="L35" s="207" t="s">
        <v>173</v>
      </c>
      <c r="M35" s="166" t="s">
        <v>300</v>
      </c>
      <c r="N35" s="166" t="s">
        <v>301</v>
      </c>
      <c r="O35" s="166" t="s">
        <v>302</v>
      </c>
      <c r="P35" s="166" t="s">
        <v>303</v>
      </c>
      <c r="Q35" s="166" t="s">
        <v>304</v>
      </c>
      <c r="R35" s="166" t="s">
        <v>305</v>
      </c>
      <c r="S35" s="166" t="s">
        <v>306</v>
      </c>
      <c r="T35" s="166" t="s">
        <v>307</v>
      </c>
      <c r="U35" s="166" t="s">
        <v>173</v>
      </c>
      <c r="V35" s="207" t="s">
        <v>367</v>
      </c>
      <c r="W35" s="231"/>
    </row>
    <row r="36" spans="1:23" ht="18.75" customHeight="1">
      <c r="A36" s="157" t="s">
        <v>193</v>
      </c>
      <c r="B36" s="158"/>
      <c r="C36" s="158"/>
      <c r="D36" s="159"/>
      <c r="E36" s="159"/>
      <c r="F36" s="159"/>
      <c r="G36" s="159"/>
      <c r="H36" s="159"/>
      <c r="I36" s="159"/>
      <c r="J36" s="159"/>
      <c r="K36" s="159"/>
      <c r="L36" s="202">
        <f t="shared" ref="L36:L43" si="15">SUM(D36:K36)</f>
        <v>0</v>
      </c>
      <c r="M36" s="159"/>
      <c r="N36" s="159"/>
      <c r="O36" s="159"/>
      <c r="P36" s="159"/>
      <c r="Q36" s="159"/>
      <c r="R36" s="159"/>
      <c r="S36" s="159"/>
      <c r="T36" s="159"/>
      <c r="U36" s="242">
        <f t="shared" ref="U36:U43" si="16">SUM(M36:T36)</f>
        <v>0</v>
      </c>
      <c r="V36" s="243">
        <f t="shared" ref="V36:V43" si="17">L36+U36</f>
        <v>0</v>
      </c>
      <c r="W36" s="234"/>
    </row>
    <row r="37" spans="1:23" ht="18.75" customHeight="1">
      <c r="A37" s="1048" t="s">
        <v>195</v>
      </c>
      <c r="B37" s="1046"/>
      <c r="C37" s="1046"/>
      <c r="D37" s="1070"/>
      <c r="E37" s="1070"/>
      <c r="F37" s="1070"/>
      <c r="G37" s="1070"/>
      <c r="H37" s="1070"/>
      <c r="I37" s="1070"/>
      <c r="J37" s="1070"/>
      <c r="K37" s="1070"/>
      <c r="L37" s="1114">
        <f t="shared" si="15"/>
        <v>0</v>
      </c>
      <c r="M37" s="1070"/>
      <c r="N37" s="1070"/>
      <c r="O37" s="1070"/>
      <c r="P37" s="1070"/>
      <c r="Q37" s="1070"/>
      <c r="R37" s="1070"/>
      <c r="S37" s="1070"/>
      <c r="T37" s="1070"/>
      <c r="U37" s="1121">
        <f t="shared" si="16"/>
        <v>0</v>
      </c>
      <c r="V37" s="1114">
        <f t="shared" si="17"/>
        <v>0</v>
      </c>
      <c r="W37" s="234"/>
    </row>
    <row r="38" spans="1:23" ht="18.75" customHeight="1">
      <c r="A38" s="1048" t="s">
        <v>198</v>
      </c>
      <c r="B38" s="1046"/>
      <c r="C38" s="1046"/>
      <c r="D38" s="1070"/>
      <c r="E38" s="1070"/>
      <c r="F38" s="1070"/>
      <c r="G38" s="1070"/>
      <c r="H38" s="1070"/>
      <c r="I38" s="1070"/>
      <c r="J38" s="1070"/>
      <c r="K38" s="1070"/>
      <c r="L38" s="1114">
        <f t="shared" si="15"/>
        <v>0</v>
      </c>
      <c r="M38" s="1070"/>
      <c r="N38" s="1070"/>
      <c r="O38" s="1070"/>
      <c r="P38" s="1070"/>
      <c r="Q38" s="1070"/>
      <c r="R38" s="1070"/>
      <c r="S38" s="1070"/>
      <c r="T38" s="1070"/>
      <c r="U38" s="1121">
        <f t="shared" si="16"/>
        <v>0</v>
      </c>
      <c r="V38" s="1114">
        <f t="shared" si="17"/>
        <v>0</v>
      </c>
      <c r="W38" s="234"/>
    </row>
    <row r="39" spans="1:23" ht="18.75" customHeight="1">
      <c r="A39" s="1048" t="s">
        <v>326</v>
      </c>
      <c r="B39" s="1046"/>
      <c r="C39" s="1046"/>
      <c r="D39" s="1070"/>
      <c r="E39" s="1070"/>
      <c r="F39" s="1070"/>
      <c r="G39" s="1070"/>
      <c r="H39" s="1070"/>
      <c r="I39" s="1070"/>
      <c r="J39" s="1070"/>
      <c r="K39" s="1070"/>
      <c r="L39" s="1114">
        <f t="shared" si="15"/>
        <v>0</v>
      </c>
      <c r="M39" s="1070"/>
      <c r="N39" s="1070"/>
      <c r="O39" s="1070"/>
      <c r="P39" s="1070"/>
      <c r="Q39" s="1070"/>
      <c r="R39" s="1070"/>
      <c r="S39" s="1070"/>
      <c r="T39" s="1070"/>
      <c r="U39" s="1121">
        <f t="shared" si="16"/>
        <v>0</v>
      </c>
      <c r="V39" s="1114">
        <f t="shared" si="17"/>
        <v>0</v>
      </c>
      <c r="W39" s="234"/>
    </row>
    <row r="40" spans="1:23" ht="18.75" customHeight="1">
      <c r="A40" s="1048" t="s">
        <v>327</v>
      </c>
      <c r="B40" s="1046"/>
      <c r="C40" s="1046"/>
      <c r="D40" s="1070"/>
      <c r="E40" s="1070"/>
      <c r="F40" s="1070"/>
      <c r="G40" s="1070"/>
      <c r="H40" s="1070"/>
      <c r="I40" s="1070"/>
      <c r="J40" s="1070"/>
      <c r="K40" s="1070"/>
      <c r="L40" s="1114">
        <f t="shared" si="15"/>
        <v>0</v>
      </c>
      <c r="M40" s="1070"/>
      <c r="N40" s="1070"/>
      <c r="O40" s="1070"/>
      <c r="P40" s="1070"/>
      <c r="Q40" s="1070"/>
      <c r="R40" s="1070"/>
      <c r="S40" s="1070"/>
      <c r="T40" s="1070"/>
      <c r="U40" s="1121">
        <f t="shared" si="16"/>
        <v>0</v>
      </c>
      <c r="V40" s="1114">
        <f t="shared" si="17"/>
        <v>0</v>
      </c>
      <c r="W40" s="234"/>
    </row>
    <row r="41" spans="1:23" ht="18.75" customHeight="1">
      <c r="A41" s="1048" t="s">
        <v>328</v>
      </c>
      <c r="B41" s="1046"/>
      <c r="C41" s="1046"/>
      <c r="D41" s="1070"/>
      <c r="E41" s="1070"/>
      <c r="F41" s="1070"/>
      <c r="G41" s="1070"/>
      <c r="H41" s="1070"/>
      <c r="I41" s="1070"/>
      <c r="J41" s="1070"/>
      <c r="K41" s="1070"/>
      <c r="L41" s="1114">
        <f t="shared" si="15"/>
        <v>0</v>
      </c>
      <c r="M41" s="1070"/>
      <c r="N41" s="1070"/>
      <c r="O41" s="1070"/>
      <c r="P41" s="1070"/>
      <c r="Q41" s="1070"/>
      <c r="R41" s="1070"/>
      <c r="S41" s="1070"/>
      <c r="T41" s="1070"/>
      <c r="U41" s="1121">
        <f t="shared" si="16"/>
        <v>0</v>
      </c>
      <c r="V41" s="1114">
        <f t="shared" si="17"/>
        <v>0</v>
      </c>
      <c r="W41" s="234"/>
    </row>
    <row r="42" spans="1:23" ht="18.75" customHeight="1" thickBot="1">
      <c r="A42" s="1048" t="s">
        <v>329</v>
      </c>
      <c r="B42" s="1046"/>
      <c r="C42" s="1046"/>
      <c r="D42" s="1122"/>
      <c r="E42" s="1122"/>
      <c r="F42" s="1122"/>
      <c r="G42" s="1122"/>
      <c r="H42" s="1122"/>
      <c r="I42" s="1122"/>
      <c r="J42" s="1122"/>
      <c r="K42" s="1122"/>
      <c r="L42" s="1114">
        <f t="shared" si="15"/>
        <v>0</v>
      </c>
      <c r="M42" s="1070"/>
      <c r="N42" s="1070"/>
      <c r="O42" s="1070"/>
      <c r="P42" s="1070"/>
      <c r="Q42" s="1070"/>
      <c r="R42" s="1070"/>
      <c r="S42" s="1070"/>
      <c r="T42" s="1070"/>
      <c r="U42" s="1121">
        <f t="shared" si="16"/>
        <v>0</v>
      </c>
      <c r="V42" s="1114">
        <f t="shared" si="17"/>
        <v>0</v>
      </c>
      <c r="W42" s="234"/>
    </row>
    <row r="43" spans="1:23" ht="18.75" customHeight="1" thickBot="1">
      <c r="A43" s="163" t="s">
        <v>330</v>
      </c>
      <c r="B43" s="164"/>
      <c r="C43" s="164"/>
      <c r="D43" s="177">
        <f t="shared" ref="D43:K43" si="18">SUM(D36:D42)</f>
        <v>0</v>
      </c>
      <c r="E43" s="177">
        <f t="shared" si="18"/>
        <v>0</v>
      </c>
      <c r="F43" s="177">
        <f t="shared" si="18"/>
        <v>0</v>
      </c>
      <c r="G43" s="177">
        <f t="shared" si="18"/>
        <v>0</v>
      </c>
      <c r="H43" s="177">
        <f t="shared" si="18"/>
        <v>0</v>
      </c>
      <c r="I43" s="177">
        <f t="shared" si="18"/>
        <v>0</v>
      </c>
      <c r="J43" s="177">
        <f t="shared" si="18"/>
        <v>0</v>
      </c>
      <c r="K43" s="177">
        <f t="shared" si="18"/>
        <v>0</v>
      </c>
      <c r="L43" s="213">
        <f t="shared" si="15"/>
        <v>0</v>
      </c>
      <c r="M43" s="177">
        <f t="shared" ref="M43:T43" si="19">SUM(M36:M42)</f>
        <v>0</v>
      </c>
      <c r="N43" s="177">
        <f t="shared" si="19"/>
        <v>0</v>
      </c>
      <c r="O43" s="177">
        <f t="shared" si="19"/>
        <v>0</v>
      </c>
      <c r="P43" s="177">
        <f t="shared" si="19"/>
        <v>0</v>
      </c>
      <c r="Q43" s="177">
        <f t="shared" si="19"/>
        <v>0</v>
      </c>
      <c r="R43" s="177">
        <f t="shared" si="19"/>
        <v>0</v>
      </c>
      <c r="S43" s="177">
        <f t="shared" si="19"/>
        <v>0</v>
      </c>
      <c r="T43" s="177">
        <f t="shared" si="19"/>
        <v>0</v>
      </c>
      <c r="U43" s="165">
        <f t="shared" si="16"/>
        <v>0</v>
      </c>
      <c r="V43" s="213">
        <f t="shared" si="17"/>
        <v>0</v>
      </c>
      <c r="W43" s="247"/>
    </row>
    <row r="44" spans="1:23" ht="19.5" customHeight="1">
      <c r="A44" s="178" t="s">
        <v>331</v>
      </c>
      <c r="B44" s="179"/>
      <c r="C44" s="180" t="s">
        <v>211</v>
      </c>
      <c r="D44" s="181" t="s">
        <v>332</v>
      </c>
      <c r="E44" s="182"/>
      <c r="F44" s="182"/>
      <c r="G44" s="179"/>
      <c r="H44" s="179"/>
      <c r="I44" s="179"/>
      <c r="J44" s="179"/>
      <c r="K44" s="214" t="s">
        <v>333</v>
      </c>
      <c r="L44" s="214" t="s">
        <v>334</v>
      </c>
      <c r="M44" s="215" t="s">
        <v>335</v>
      </c>
      <c r="N44" s="182" t="s">
        <v>336</v>
      </c>
      <c r="O44" s="182"/>
      <c r="P44" s="182"/>
      <c r="Q44" s="182"/>
      <c r="R44" s="182"/>
      <c r="S44" s="182"/>
      <c r="T44" s="182"/>
      <c r="U44" s="182"/>
      <c r="V44" s="248"/>
      <c r="W44" s="249"/>
    </row>
    <row r="45" spans="1:23" ht="15.75" customHeight="1">
      <c r="A45" s="1058" t="s">
        <v>604</v>
      </c>
      <c r="B45" s="1059" t="s">
        <v>604</v>
      </c>
      <c r="C45" s="1038">
        <v>30</v>
      </c>
      <c r="D45" s="1425" t="s">
        <v>620</v>
      </c>
      <c r="E45" s="1350"/>
      <c r="F45" s="1350"/>
      <c r="G45" s="1350"/>
      <c r="H45" s="1350"/>
      <c r="I45" s="1350"/>
      <c r="J45" s="1351"/>
      <c r="K45" s="1070" t="s">
        <v>625</v>
      </c>
      <c r="L45" s="1060"/>
      <c r="M45" s="1060"/>
      <c r="N45" s="1060" t="s">
        <v>626</v>
      </c>
      <c r="O45" s="1062"/>
      <c r="P45" s="1063"/>
      <c r="Q45" s="1063"/>
      <c r="R45" s="1063"/>
      <c r="S45" s="1063"/>
      <c r="T45" s="1063"/>
      <c r="U45" s="1063"/>
      <c r="V45" s="1064"/>
      <c r="W45" s="250"/>
    </row>
    <row r="46" spans="1:23" ht="15" hidden="1" customHeight="1">
      <c r="A46" s="1058" t="s">
        <v>604</v>
      </c>
      <c r="B46" s="1059" t="s">
        <v>604</v>
      </c>
      <c r="C46" s="1038"/>
      <c r="D46" s="1425"/>
      <c r="E46" s="1350"/>
      <c r="F46" s="1350"/>
      <c r="G46" s="1350"/>
      <c r="H46" s="1350"/>
      <c r="I46" s="1350"/>
      <c r="J46" s="1351"/>
      <c r="K46" s="1070"/>
      <c r="L46" s="1065"/>
      <c r="M46" s="1065"/>
      <c r="N46" s="1425"/>
      <c r="O46" s="1350"/>
      <c r="P46" s="1350"/>
      <c r="Q46" s="1350"/>
      <c r="R46" s="1350"/>
      <c r="S46" s="1350"/>
      <c r="T46" s="1350"/>
      <c r="U46" s="1350"/>
      <c r="V46" s="1426"/>
      <c r="W46" s="250"/>
    </row>
    <row r="47" spans="1:23" ht="15" customHeight="1">
      <c r="A47" s="1058" t="s">
        <v>630</v>
      </c>
      <c r="B47" s="1066" t="s">
        <v>631</v>
      </c>
      <c r="C47" s="1070">
        <v>90</v>
      </c>
      <c r="D47" s="1356" t="s">
        <v>627</v>
      </c>
      <c r="E47" s="1357"/>
      <c r="F47" s="1357"/>
      <c r="G47" s="1357"/>
      <c r="H47" s="1357"/>
      <c r="I47" s="1357"/>
      <c r="J47" s="1357"/>
      <c r="K47" s="1071" t="s">
        <v>294</v>
      </c>
      <c r="L47" s="1069"/>
      <c r="M47" s="1070"/>
      <c r="N47" s="1349"/>
      <c r="O47" s="1358"/>
      <c r="P47" s="1358"/>
      <c r="Q47" s="1358"/>
      <c r="R47" s="1358"/>
      <c r="S47" s="1358"/>
      <c r="T47" s="1358"/>
      <c r="U47" s="1358"/>
      <c r="V47" s="1359"/>
      <c r="W47" s="250"/>
    </row>
    <row r="48" spans="1:23" ht="15" customHeight="1">
      <c r="A48" s="1058" t="s">
        <v>632</v>
      </c>
      <c r="B48" s="1066" t="s">
        <v>633</v>
      </c>
      <c r="C48" s="1123">
        <v>19</v>
      </c>
      <c r="D48" s="1349" t="s">
        <v>628</v>
      </c>
      <c r="E48" s="1350"/>
      <c r="F48" s="1350"/>
      <c r="G48" s="1350"/>
      <c r="H48" s="1350"/>
      <c r="I48" s="1350"/>
      <c r="J48" s="1351"/>
      <c r="K48" s="1071" t="s">
        <v>294</v>
      </c>
      <c r="L48" s="1069"/>
      <c r="M48" s="1072"/>
      <c r="N48" s="1063"/>
      <c r="O48" s="1074"/>
      <c r="P48" s="1063"/>
      <c r="Q48" s="1063"/>
      <c r="R48" s="1063"/>
      <c r="S48" s="1063"/>
      <c r="T48" s="1063"/>
      <c r="U48" s="1063"/>
      <c r="V48" s="1064"/>
      <c r="W48" s="250"/>
    </row>
    <row r="49" spans="1:25" ht="15" customHeight="1">
      <c r="A49" s="1058" t="s">
        <v>630</v>
      </c>
      <c r="B49" s="1076" t="s">
        <v>631</v>
      </c>
      <c r="C49" s="1124">
        <v>90</v>
      </c>
      <c r="D49" s="1356" t="s">
        <v>627</v>
      </c>
      <c r="E49" s="1357"/>
      <c r="F49" s="1357"/>
      <c r="G49" s="1357"/>
      <c r="H49" s="1357"/>
      <c r="I49" s="1357"/>
      <c r="J49" s="1357"/>
      <c r="K49" s="1071" t="s">
        <v>295</v>
      </c>
      <c r="L49" s="1069"/>
      <c r="M49" s="1070"/>
      <c r="N49" s="1063"/>
      <c r="O49" s="1074"/>
      <c r="P49" s="1063"/>
      <c r="Q49" s="1063"/>
      <c r="R49" s="1063"/>
      <c r="S49" s="1063"/>
      <c r="T49" s="1063"/>
      <c r="U49" s="1063"/>
      <c r="V49" s="1064"/>
      <c r="W49" s="250"/>
    </row>
    <row r="50" spans="1:25" ht="15" customHeight="1">
      <c r="A50" s="1075"/>
      <c r="B50" s="1078"/>
      <c r="C50" s="1123"/>
      <c r="D50" s="1079"/>
      <c r="E50" s="1063"/>
      <c r="F50" s="1063"/>
      <c r="G50" s="1063"/>
      <c r="H50" s="1063"/>
      <c r="I50" s="1063"/>
      <c r="J50" s="1063"/>
      <c r="K50" s="1069"/>
      <c r="L50" s="1069"/>
      <c r="M50" s="1072"/>
      <c r="N50" s="1063"/>
      <c r="O50" s="1074"/>
      <c r="P50" s="1063"/>
      <c r="Q50" s="1063"/>
      <c r="R50" s="1063"/>
      <c r="S50" s="1063"/>
      <c r="T50" s="1063"/>
      <c r="U50" s="1063"/>
      <c r="V50" s="1064"/>
      <c r="W50" s="250"/>
    </row>
    <row r="51" spans="1:25" ht="15" customHeight="1">
      <c r="A51" s="1075"/>
      <c r="B51" s="1078"/>
      <c r="C51" s="1123"/>
      <c r="D51" s="1079"/>
      <c r="E51" s="1063"/>
      <c r="F51" s="1063"/>
      <c r="G51" s="1063"/>
      <c r="H51" s="1063"/>
      <c r="I51" s="1063"/>
      <c r="J51" s="1063"/>
      <c r="K51" s="1069"/>
      <c r="L51" s="1069"/>
      <c r="M51" s="1062"/>
      <c r="N51" s="1063"/>
      <c r="O51" s="1074"/>
      <c r="P51" s="1063"/>
      <c r="Q51" s="1063"/>
      <c r="R51" s="1063"/>
      <c r="S51" s="1063"/>
      <c r="T51" s="1063"/>
      <c r="U51" s="1063"/>
      <c r="V51" s="1064"/>
      <c r="W51" s="250"/>
    </row>
    <row r="52" spans="1:25" ht="15" customHeight="1" thickBot="1">
      <c r="A52" s="1080"/>
      <c r="B52" s="1081"/>
      <c r="C52" s="1125"/>
      <c r="D52" s="1082"/>
      <c r="E52" s="1083"/>
      <c r="F52" s="1083"/>
      <c r="G52" s="1083"/>
      <c r="H52" s="1083"/>
      <c r="I52" s="1083"/>
      <c r="J52" s="1083"/>
      <c r="K52" s="1084"/>
      <c r="L52" s="1084"/>
      <c r="M52" s="1126"/>
      <c r="N52" s="216"/>
      <c r="O52" s="1127"/>
      <c r="P52" s="1083"/>
      <c r="Q52" s="1083"/>
      <c r="R52" s="1083"/>
      <c r="S52" s="1083"/>
      <c r="T52" s="1083"/>
      <c r="U52" s="1083"/>
      <c r="V52" s="1128"/>
      <c r="W52" s="250"/>
    </row>
    <row r="53" spans="1:25" ht="18" customHeight="1" thickBot="1">
      <c r="A53" s="183" t="s">
        <v>337</v>
      </c>
      <c r="B53" s="184" t="s">
        <v>338</v>
      </c>
      <c r="C53" s="184"/>
      <c r="D53" s="166" t="s">
        <v>300</v>
      </c>
      <c r="E53" s="166" t="s">
        <v>301</v>
      </c>
      <c r="F53" s="166" t="s">
        <v>302</v>
      </c>
      <c r="G53" s="166" t="s">
        <v>303</v>
      </c>
      <c r="H53" s="166" t="s">
        <v>304</v>
      </c>
      <c r="I53" s="166" t="s">
        <v>305</v>
      </c>
      <c r="J53" s="166" t="s">
        <v>306</v>
      </c>
      <c r="K53" s="166" t="s">
        <v>307</v>
      </c>
      <c r="L53" s="207" t="s">
        <v>173</v>
      </c>
      <c r="M53" s="166" t="s">
        <v>300</v>
      </c>
      <c r="N53" s="166" t="s">
        <v>301</v>
      </c>
      <c r="O53" s="166" t="s">
        <v>302</v>
      </c>
      <c r="P53" s="166" t="s">
        <v>303</v>
      </c>
      <c r="Q53" s="166" t="s">
        <v>304</v>
      </c>
      <c r="R53" s="166" t="s">
        <v>305</v>
      </c>
      <c r="S53" s="166" t="s">
        <v>306</v>
      </c>
      <c r="T53" s="166" t="s">
        <v>307</v>
      </c>
      <c r="U53" s="166" t="s">
        <v>173</v>
      </c>
      <c r="V53" s="207" t="s">
        <v>367</v>
      </c>
      <c r="W53" s="231"/>
    </row>
    <row r="54" spans="1:25" ht="18" customHeight="1">
      <c r="A54" s="185">
        <v>1</v>
      </c>
      <c r="B54" s="186" t="s">
        <v>223</v>
      </c>
      <c r="C54" s="158"/>
      <c r="D54" s="187">
        <f>$F6-D$21-D$43-D$34</f>
        <v>553</v>
      </c>
      <c r="E54" s="187">
        <f>$F7-E$21-E$43-E$34</f>
        <v>550</v>
      </c>
      <c r="F54" s="187">
        <f>$F8-F$21-F$43-F$34</f>
        <v>542</v>
      </c>
      <c r="G54" s="187">
        <f>$F9-G$21-G$43-G$34</f>
        <v>535.00000000000011</v>
      </c>
      <c r="H54" s="187">
        <f>$F10-H$21-H$43-H$34</f>
        <v>545</v>
      </c>
      <c r="I54" s="187">
        <f>$F11-I$21-I$43-I$34</f>
        <v>534.99999999999989</v>
      </c>
      <c r="J54" s="187">
        <f>$F12-J$21-J$43-J$34</f>
        <v>528</v>
      </c>
      <c r="K54" s="187">
        <f>$F13-K$21-K$43-K$34</f>
        <v>0</v>
      </c>
      <c r="L54" s="202">
        <f>SUM(D54:K54)</f>
        <v>3788</v>
      </c>
      <c r="M54" s="187">
        <f>O6-M21-M43-M34</f>
        <v>578</v>
      </c>
      <c r="N54" s="187">
        <f>O7-N21-N43-N34</f>
        <v>592</v>
      </c>
      <c r="O54" s="187">
        <f>O8-O21-O43-O34</f>
        <v>586</v>
      </c>
      <c r="P54" s="187">
        <f>O9-P21-P43-P34</f>
        <v>485</v>
      </c>
      <c r="Q54" s="187">
        <f>O10-Q21-Q43-Q34</f>
        <v>504</v>
      </c>
      <c r="R54" s="187">
        <f>O11-R21-R43-R34</f>
        <v>592</v>
      </c>
      <c r="S54" s="187">
        <f>O12-S21-S43-S34</f>
        <v>594</v>
      </c>
      <c r="T54" s="187">
        <f>O13-T21-T43-T34</f>
        <v>0</v>
      </c>
      <c r="U54" s="242">
        <f>SUM(M54:T54)</f>
        <v>3931</v>
      </c>
      <c r="V54" s="202">
        <f>L54+U54</f>
        <v>7719</v>
      </c>
      <c r="W54" s="233"/>
    </row>
    <row r="55" spans="1:25" ht="18" customHeight="1">
      <c r="A55" s="1085">
        <v>2</v>
      </c>
      <c r="B55" s="1086" t="s">
        <v>339</v>
      </c>
      <c r="C55" s="1046"/>
      <c r="D55" s="1087">
        <f>$K6/$C6</f>
        <v>29.333333333333332</v>
      </c>
      <c r="E55" s="1087">
        <f>$K7/$C7</f>
        <v>26.666666666666668</v>
      </c>
      <c r="F55" s="1087">
        <f>$K8/$C8</f>
        <v>34.666666666666664</v>
      </c>
      <c r="G55" s="1087">
        <f>$K9/$C9</f>
        <v>47</v>
      </c>
      <c r="H55" s="1087">
        <f>$K10/$C10</f>
        <v>35.333333333333336</v>
      </c>
      <c r="I55" s="1087">
        <f>$K11/$C11</f>
        <v>36</v>
      </c>
      <c r="J55" s="1087">
        <f>$K12/$C12</f>
        <v>7.333333333333333</v>
      </c>
      <c r="K55" s="1087">
        <f>$K13/$C13</f>
        <v>0</v>
      </c>
      <c r="L55" s="1112">
        <f>SUM(D55:K55)</f>
        <v>216.33333333333334</v>
      </c>
      <c r="M55" s="1087">
        <f>T6/C6</f>
        <v>19.666666666666668</v>
      </c>
      <c r="N55" s="1087">
        <f>T7/C7</f>
        <v>15</v>
      </c>
      <c r="O55" s="1087">
        <f>$T$8/$C$8</f>
        <v>29.666666666666668</v>
      </c>
      <c r="P55" s="1087">
        <f>$T$9/$C$9</f>
        <v>28</v>
      </c>
      <c r="Q55" s="1087">
        <f>$T$10/$C$10</f>
        <v>10.333333333333334</v>
      </c>
      <c r="R55" s="1087">
        <f>$T$11/$C$11</f>
        <v>27.666666666666668</v>
      </c>
      <c r="S55" s="1087">
        <f>$T$12/$C$12</f>
        <v>14</v>
      </c>
      <c r="T55" s="1087">
        <f>$T$13/$C$13</f>
        <v>0</v>
      </c>
      <c r="U55" s="1129">
        <f>SUM(M55:T55)</f>
        <v>144.33333333333334</v>
      </c>
      <c r="V55" s="1112">
        <f>L55+U55</f>
        <v>360.66666666666669</v>
      </c>
      <c r="W55" s="233"/>
    </row>
    <row r="56" spans="1:25" ht="18" customHeight="1" thickBot="1">
      <c r="A56" s="1031">
        <v>3</v>
      </c>
      <c r="B56" s="1088" t="s">
        <v>340</v>
      </c>
      <c r="C56" s="1056"/>
      <c r="D56" s="1087">
        <f>$I6/$C6</f>
        <v>316.66666666666669</v>
      </c>
      <c r="E56" s="1087">
        <f>$I7/$C7</f>
        <v>350</v>
      </c>
      <c r="F56" s="1087">
        <f>$I8/$C8</f>
        <v>258.66666666666669</v>
      </c>
      <c r="G56" s="1087">
        <f>$I9/$C9</f>
        <v>316.33333333333331</v>
      </c>
      <c r="H56" s="1087">
        <f>$I10/$C10</f>
        <v>361.33333333333331</v>
      </c>
      <c r="I56" s="1087">
        <f>$I11/$C11</f>
        <v>314</v>
      </c>
      <c r="J56" s="1087">
        <f>$I12/$C12</f>
        <v>359.33333333333331</v>
      </c>
      <c r="K56" s="1087">
        <f>$I13/$C13</f>
        <v>0</v>
      </c>
      <c r="L56" s="1115">
        <f>SUM(D56:K56)</f>
        <v>2276.3333333333335</v>
      </c>
      <c r="M56" s="1130">
        <f>R6/C6</f>
        <v>197</v>
      </c>
      <c r="N56" s="1130">
        <f>R7/C7</f>
        <v>222.66666666666666</v>
      </c>
      <c r="O56" s="1130">
        <f>R8/C8</f>
        <v>153.66666666666666</v>
      </c>
      <c r="P56" s="1130">
        <f>R9/C9</f>
        <v>77</v>
      </c>
      <c r="Q56" s="1130">
        <f>R10/C10</f>
        <v>149.66666666666666</v>
      </c>
      <c r="R56" s="1130">
        <f>R11/C11</f>
        <v>275.66666666666669</v>
      </c>
      <c r="S56" s="1130">
        <f>R12/C12</f>
        <v>267</v>
      </c>
      <c r="T56" s="1130">
        <f>R13/C13</f>
        <v>0</v>
      </c>
      <c r="U56" s="1131">
        <f>SUM(M56:T56)</f>
        <v>1342.6666666666665</v>
      </c>
      <c r="V56" s="1115">
        <f>L56+U56</f>
        <v>3619</v>
      </c>
      <c r="W56" s="233"/>
    </row>
    <row r="57" spans="1:25" ht="18" customHeight="1">
      <c r="A57" s="185">
        <v>4</v>
      </c>
      <c r="B57" s="186" t="s">
        <v>341</v>
      </c>
      <c r="C57" s="158"/>
      <c r="D57" s="188">
        <f>IF(F6=0,0,D21/F6*100)</f>
        <v>2.508361204013378</v>
      </c>
      <c r="E57" s="188">
        <f>IF(F7=0,0,E21/F7*100)</f>
        <v>2.5210084033613445</v>
      </c>
      <c r="F57" s="188">
        <f>IF(F8=0,0,F21/F8*100)</f>
        <v>3.3783783783783785</v>
      </c>
      <c r="G57" s="188">
        <f>IF(F9=0,0,G21/F9*100)</f>
        <v>4.2372881355932197</v>
      </c>
      <c r="H57" s="188">
        <f>IF(F10=0,0,H21/F10*100)</f>
        <v>2.0442930153321974</v>
      </c>
      <c r="I57" s="188">
        <f>IF(F11=0,0,I21/F11*100)</f>
        <v>2.5862068965517246</v>
      </c>
      <c r="J57" s="188">
        <f>IF(F12=0,0,J21/F12*100)</f>
        <v>2.1052631578947367</v>
      </c>
      <c r="K57" s="188">
        <f>IF(F13=0,0,K21/F13*100)</f>
        <v>0</v>
      </c>
      <c r="L57" s="217">
        <f>IF(F14=0,0,L21/F14*100)</f>
        <v>2.772373540856031</v>
      </c>
      <c r="M57" s="188">
        <f>IF(O6=0,0,M21/O6*100)</f>
        <v>3.3444816053511706</v>
      </c>
      <c r="N57" s="188">
        <f>IF(O7=0,0,N21/O7*100)</f>
        <v>1.0033444816053512</v>
      </c>
      <c r="O57" s="188">
        <f>IF(O8=0,0,O21/O8*100)</f>
        <v>2.0066889632107023</v>
      </c>
      <c r="P57" s="188">
        <f>IF(O9=0,0,P21/O9*100)</f>
        <v>0.66889632107023411</v>
      </c>
      <c r="Q57" s="188">
        <f>IF(O10=0,0,Q21/O10*100)</f>
        <v>0.66889632107023411</v>
      </c>
      <c r="R57" s="188">
        <f>IF(O11=0,0,R21/O11*100)</f>
        <v>1.0033444816053512</v>
      </c>
      <c r="S57" s="188">
        <f>IF(O12=0,0,S21/O12*100)</f>
        <v>0.66889632107023411</v>
      </c>
      <c r="T57" s="188">
        <f>IF(O13=0,0,T21/O13*100)</f>
        <v>0</v>
      </c>
      <c r="U57" s="251">
        <f>IF(O14=0,0,U21/O14*100)</f>
        <v>1.3377926421404682</v>
      </c>
      <c r="V57" s="217">
        <f>IF((F14+O14)=0,0,V21/(F14+O14)*100)</f>
        <v>2.0486864304651724</v>
      </c>
      <c r="W57" s="252"/>
    </row>
    <row r="58" spans="1:25" ht="18" customHeight="1">
      <c r="A58" s="1085">
        <v>5</v>
      </c>
      <c r="B58" s="1086" t="s">
        <v>342</v>
      </c>
      <c r="C58" s="1046"/>
      <c r="D58" s="1090">
        <f>IF(F6=0,0,D34/F6*100)</f>
        <v>5.0167224080267561</v>
      </c>
      <c r="E58" s="1090">
        <f>IF(F7=0,0,E34/F7*100)</f>
        <v>5.0420168067226889</v>
      </c>
      <c r="F58" s="1090">
        <f>IF(F8=0,0,F34/F8*100)</f>
        <v>5.0675675675675675</v>
      </c>
      <c r="G58" s="1090">
        <f>IF(F9=0,0,G34/F9*100)</f>
        <v>5.0847457627118633</v>
      </c>
      <c r="H58" s="1090">
        <f>IF(F10=0,0,H34/F10*100)</f>
        <v>5.1107325383304936</v>
      </c>
      <c r="I58" s="1090">
        <f>IF(F11=0,0,I34/F11*100)</f>
        <v>5.1724137931034493</v>
      </c>
      <c r="J58" s="1090">
        <f>IF(F12=0,0,J34/F12*100)</f>
        <v>5.2631578947368416</v>
      </c>
      <c r="K58" s="1090">
        <f>IF(F13=0,0,K34/F13*100)</f>
        <v>0</v>
      </c>
      <c r="L58" s="1132">
        <f>IF(F14=0,0,L34/F14*100)</f>
        <v>5.1070038910505833</v>
      </c>
      <c r="M58" s="1090">
        <f>IF(O6=0,0,M34/O6*100)</f>
        <v>0</v>
      </c>
      <c r="N58" s="1090">
        <f>IF(O7=0,0,N34/O7*100)</f>
        <v>0</v>
      </c>
      <c r="O58" s="1090">
        <f>IF(O8=0,0,O34/O8*100)</f>
        <v>0</v>
      </c>
      <c r="P58" s="1090">
        <f>IF(O9=0,0,P34/O9*100)</f>
        <v>18.22742474916388</v>
      </c>
      <c r="Q58" s="1090">
        <f>IF(O10=0,0,Q34/O10*100)</f>
        <v>15.050167224080269</v>
      </c>
      <c r="R58" s="1090">
        <f>IF(O11=0,0,R34/O11*100)</f>
        <v>0</v>
      </c>
      <c r="S58" s="1090">
        <f>IF(O12=0,0,S34/O12*100)</f>
        <v>0</v>
      </c>
      <c r="T58" s="1090">
        <f>IF(O13=0,0,T34/O13*100)</f>
        <v>0</v>
      </c>
      <c r="U58" s="1133">
        <f>IF(O14=0,0,U34/O14*100)</f>
        <v>4.7539417104634492</v>
      </c>
      <c r="V58" s="1132">
        <f>IF((F14+O14)=0,0,V34/(F14+O14)*100)</f>
        <v>4.9288985297662089</v>
      </c>
      <c r="W58" s="252"/>
      <c r="Y58" s="258">
        <f>SUM(V57:V60)</f>
        <v>100</v>
      </c>
    </row>
    <row r="59" spans="1:25" ht="18" customHeight="1">
      <c r="A59" s="1085">
        <v>6</v>
      </c>
      <c r="B59" s="1086" t="s">
        <v>343</v>
      </c>
      <c r="C59" s="1046"/>
      <c r="D59" s="1090">
        <f>IF(F6=0,0,D43/F6*100)</f>
        <v>0</v>
      </c>
      <c r="E59" s="1090">
        <f>IF(F7=0,0,E43/F7*100)</f>
        <v>0</v>
      </c>
      <c r="F59" s="1090">
        <f>IF(F8=0,0,F43/F8*100)</f>
        <v>0</v>
      </c>
      <c r="G59" s="1090">
        <f>IF(F9=0,0,G43/F9*100)</f>
        <v>0</v>
      </c>
      <c r="H59" s="1090">
        <f>IF(F10=0,0,H43/F10*100)</f>
        <v>0</v>
      </c>
      <c r="I59" s="1090">
        <f>IF(F11=0,0,I43/F11*100)</f>
        <v>0</v>
      </c>
      <c r="J59" s="1090">
        <f>IF(F12=0,0,J43/F12*100)</f>
        <v>0</v>
      </c>
      <c r="K59" s="1090">
        <f>IF(F13=0,0,K43/F13*100)</f>
        <v>0</v>
      </c>
      <c r="L59" s="1132">
        <f>IF(F14=0,0,L43/F14*100)</f>
        <v>0</v>
      </c>
      <c r="M59" s="1090">
        <f>IF(O6=0,0,M43/O6*100)</f>
        <v>0</v>
      </c>
      <c r="N59" s="1090">
        <f>IF(O7=0,0,N43/O7*100)</f>
        <v>0</v>
      </c>
      <c r="O59" s="1090">
        <f>IF(O8=0,0,O43/O8*100)</f>
        <v>0</v>
      </c>
      <c r="P59" s="1090">
        <f>IF(O9=0,0,P43/O9*100)</f>
        <v>0</v>
      </c>
      <c r="Q59" s="1090">
        <f>IF(O10=0,0,Q43/O10*100)</f>
        <v>0</v>
      </c>
      <c r="R59" s="1090">
        <f>IF(O11=0,0,R43/O11*100)</f>
        <v>0</v>
      </c>
      <c r="S59" s="1090">
        <f>IF(O12=0,0,S43/O12*100)</f>
        <v>0</v>
      </c>
      <c r="T59" s="1090">
        <f>IF(O13=0,0,T43/O13*100)</f>
        <v>0</v>
      </c>
      <c r="U59" s="1133">
        <f>IF(O14=0,0,U43/O14*100)</f>
        <v>0</v>
      </c>
      <c r="V59" s="1132">
        <f>IF((F14+O14)=0,0,V43/(F14+O14)*100)</f>
        <v>0</v>
      </c>
      <c r="W59" s="252"/>
    </row>
    <row r="60" spans="1:25" ht="18" customHeight="1" thickBot="1">
      <c r="A60" s="1031">
        <v>7</v>
      </c>
      <c r="B60" s="1092" t="s">
        <v>344</v>
      </c>
      <c r="C60" s="1056"/>
      <c r="D60" s="1093">
        <f>IF(F6=0,0,D54/F6*100)</f>
        <v>92.474916387959865</v>
      </c>
      <c r="E60" s="1093">
        <f>IF(F7=0,0,E54/F7*100)</f>
        <v>92.436974789915965</v>
      </c>
      <c r="F60" s="1093">
        <f>IF(F8=0,0,F54/F8*100)</f>
        <v>91.554054054054063</v>
      </c>
      <c r="G60" s="1093">
        <f>IF(F9=0,0,G54/F9*100)</f>
        <v>90.677966101694921</v>
      </c>
      <c r="H60" s="1093">
        <f>IF(F10=0,0,H54/F10*100)</f>
        <v>92.844974446337318</v>
      </c>
      <c r="I60" s="1093">
        <f>IF(F11=0,0,I54/F11*100)</f>
        <v>92.241379310344826</v>
      </c>
      <c r="J60" s="1093">
        <f>IF(F12=0,0,J54/F12*100)</f>
        <v>92.631578947368425</v>
      </c>
      <c r="K60" s="1093">
        <f>IF(F13=0,0,K54/F13*100)</f>
        <v>0</v>
      </c>
      <c r="L60" s="1134">
        <f>IF(F14=0,0,L54/F14*100)</f>
        <v>92.120622568093381</v>
      </c>
      <c r="M60" s="1095">
        <f>IF(O6=0,0,M54/O6*100)</f>
        <v>96.655518394648837</v>
      </c>
      <c r="N60" s="1095">
        <f>IF(O7=0,0,N54/O7*100)</f>
        <v>98.996655518394647</v>
      </c>
      <c r="O60" s="1095">
        <f>IF(O8=0,0,O54/O8*100)</f>
        <v>97.993311036789294</v>
      </c>
      <c r="P60" s="1095">
        <f>IF(O9=0,0,P54/O9*100)</f>
        <v>81.103678929765891</v>
      </c>
      <c r="Q60" s="1095">
        <f>IF(O10=0,0,Q54/O10*100)</f>
        <v>84.280936454849495</v>
      </c>
      <c r="R60" s="1095">
        <f>IF(O11=0,0,R54/O11*100)</f>
        <v>98.996655518394647</v>
      </c>
      <c r="S60" s="1095">
        <f>IF(O12=0,0,S54/O12*100)</f>
        <v>99.331103678929765</v>
      </c>
      <c r="T60" s="1095">
        <f>IF(O13=0,0,T54/O13*100)</f>
        <v>0</v>
      </c>
      <c r="U60" s="1093">
        <f>IF(O14=0,0,U54/O14*100)</f>
        <v>93.908265647396078</v>
      </c>
      <c r="V60" s="1134">
        <f>IF((F14+O14)=0,0,V54/(F14+O14)*100)</f>
        <v>93.022415039768617</v>
      </c>
      <c r="W60" s="252"/>
    </row>
    <row r="61" spans="1:25" ht="18" customHeight="1">
      <c r="A61" s="185">
        <v>8</v>
      </c>
      <c r="B61" s="186" t="s">
        <v>345</v>
      </c>
      <c r="C61" s="158"/>
      <c r="D61" s="188">
        <f>IF(D54=0,0,D55/D54*100)</f>
        <v>5.3044002411091018</v>
      </c>
      <c r="E61" s="188">
        <f>IF(E54=0,0,E55/E54*100)</f>
        <v>4.8484848484848486</v>
      </c>
      <c r="F61" s="188">
        <f t="shared" ref="F61:V61" si="20">IF(F54=0,0,F55/F54*100)</f>
        <v>6.3960639606396059</v>
      </c>
      <c r="G61" s="188">
        <f t="shared" si="20"/>
        <v>8.7850467289719614</v>
      </c>
      <c r="H61" s="188">
        <f t="shared" si="20"/>
        <v>6.4831804281345562</v>
      </c>
      <c r="I61" s="188">
        <f t="shared" si="20"/>
        <v>6.7289719626168241</v>
      </c>
      <c r="J61" s="188">
        <f t="shared" si="20"/>
        <v>1.3888888888888888</v>
      </c>
      <c r="K61" s="188">
        <f t="shared" si="20"/>
        <v>0</v>
      </c>
      <c r="L61" s="217">
        <f t="shared" si="20"/>
        <v>5.7110172474480816</v>
      </c>
      <c r="M61" s="188">
        <f t="shared" si="20"/>
        <v>3.4025374855824686</v>
      </c>
      <c r="N61" s="188">
        <f t="shared" si="20"/>
        <v>2.5337837837837838</v>
      </c>
      <c r="O61" s="188">
        <f t="shared" si="20"/>
        <v>5.0625711035267349</v>
      </c>
      <c r="P61" s="188">
        <f t="shared" si="20"/>
        <v>5.7731958762886597</v>
      </c>
      <c r="Q61" s="188">
        <f t="shared" si="20"/>
        <v>2.0502645502645507</v>
      </c>
      <c r="R61" s="188">
        <f t="shared" si="20"/>
        <v>4.673423423423424</v>
      </c>
      <c r="S61" s="188">
        <f t="shared" si="20"/>
        <v>2.3569023569023568</v>
      </c>
      <c r="T61" s="188">
        <f t="shared" si="20"/>
        <v>0</v>
      </c>
      <c r="U61" s="251">
        <f t="shared" si="20"/>
        <v>3.6716696345289583</v>
      </c>
      <c r="V61" s="217">
        <f t="shared" si="20"/>
        <v>4.6724532538757186</v>
      </c>
      <c r="W61" s="252"/>
    </row>
    <row r="62" spans="1:25" ht="18" customHeight="1">
      <c r="A62" s="1085">
        <v>9</v>
      </c>
      <c r="B62" s="1086" t="s">
        <v>346</v>
      </c>
      <c r="C62" s="1046"/>
      <c r="D62" s="1090">
        <f t="shared" ref="D62:V62" si="21">IF(D54=0,0,D26/D54*100)</f>
        <v>37.432188065099446</v>
      </c>
      <c r="E62" s="1090">
        <f t="shared" si="21"/>
        <v>31.515151515151523</v>
      </c>
      <c r="F62" s="1090">
        <f t="shared" si="21"/>
        <v>45.879458794587954</v>
      </c>
      <c r="G62" s="1090">
        <f t="shared" si="21"/>
        <v>32.087227414330236</v>
      </c>
      <c r="H62" s="1090">
        <f t="shared" si="21"/>
        <v>27.217125382262992</v>
      </c>
      <c r="I62" s="1090">
        <f t="shared" si="21"/>
        <v>34.579439252336435</v>
      </c>
      <c r="J62" s="1090">
        <f t="shared" si="21"/>
        <v>30.555555555555554</v>
      </c>
      <c r="K62" s="1090">
        <f t="shared" si="21"/>
        <v>0</v>
      </c>
      <c r="L62" s="1132">
        <f t="shared" si="21"/>
        <v>34.195705737416397</v>
      </c>
      <c r="M62" s="1090">
        <f t="shared" si="21"/>
        <v>62.514417531718578</v>
      </c>
      <c r="N62" s="1090">
        <f t="shared" si="21"/>
        <v>59.853603603603609</v>
      </c>
      <c r="O62" s="1090">
        <f t="shared" si="21"/>
        <v>68.714448236632549</v>
      </c>
      <c r="P62" s="1090">
        <f t="shared" si="21"/>
        <v>78.350515463917532</v>
      </c>
      <c r="Q62" s="1090">
        <f t="shared" si="21"/>
        <v>68.253968253968253</v>
      </c>
      <c r="R62" s="1090">
        <f t="shared" si="21"/>
        <v>48.761261261261261</v>
      </c>
      <c r="S62" s="1090">
        <f t="shared" si="21"/>
        <v>52.693602693602692</v>
      </c>
      <c r="T62" s="1090">
        <f t="shared" si="21"/>
        <v>0</v>
      </c>
      <c r="U62" s="1133">
        <f t="shared" si="21"/>
        <v>62.17247519715086</v>
      </c>
      <c r="V62" s="1132">
        <f t="shared" si="21"/>
        <v>48.443235306818664</v>
      </c>
      <c r="W62" s="252"/>
      <c r="Y62" s="258">
        <f>SUM(V61:V63)</f>
        <v>100</v>
      </c>
    </row>
    <row r="63" spans="1:25" ht="18" customHeight="1" thickBot="1">
      <c r="A63" s="1031">
        <v>10</v>
      </c>
      <c r="B63" s="1092" t="s">
        <v>347</v>
      </c>
      <c r="C63" s="1056"/>
      <c r="D63" s="1095">
        <f t="shared" ref="D63:V63" si="22">IF(D54=0,0,D56/D54*100)</f>
        <v>57.263411693791447</v>
      </c>
      <c r="E63" s="1095">
        <f t="shared" si="22"/>
        <v>63.636363636363633</v>
      </c>
      <c r="F63" s="1095">
        <f t="shared" si="22"/>
        <v>47.724477244772451</v>
      </c>
      <c r="G63" s="1095">
        <f t="shared" si="22"/>
        <v>59.127725856697801</v>
      </c>
      <c r="H63" s="1095">
        <f t="shared" si="22"/>
        <v>66.299694189602448</v>
      </c>
      <c r="I63" s="1095">
        <f t="shared" si="22"/>
        <v>58.691588785046747</v>
      </c>
      <c r="J63" s="1095">
        <f t="shared" si="22"/>
        <v>68.055555555555543</v>
      </c>
      <c r="K63" s="1095">
        <f t="shared" si="22"/>
        <v>0</v>
      </c>
      <c r="L63" s="1134">
        <f t="shared" si="22"/>
        <v>60.093277015135513</v>
      </c>
      <c r="M63" s="1095">
        <f t="shared" si="22"/>
        <v>34.083044982698965</v>
      </c>
      <c r="N63" s="1095">
        <f t="shared" si="22"/>
        <v>37.612612612612608</v>
      </c>
      <c r="O63" s="1095">
        <f t="shared" si="22"/>
        <v>26.222980659840729</v>
      </c>
      <c r="P63" s="1095">
        <f t="shared" si="22"/>
        <v>15.876288659793813</v>
      </c>
      <c r="Q63" s="1095">
        <f t="shared" si="22"/>
        <v>29.695767195767193</v>
      </c>
      <c r="R63" s="1095">
        <f t="shared" si="22"/>
        <v>46.565315315315317</v>
      </c>
      <c r="S63" s="1095">
        <f t="shared" si="22"/>
        <v>44.949494949494948</v>
      </c>
      <c r="T63" s="1095">
        <f t="shared" si="22"/>
        <v>0</v>
      </c>
      <c r="U63" s="1093">
        <f t="shared" si="22"/>
        <v>34.155855168320187</v>
      </c>
      <c r="V63" s="1134">
        <f t="shared" si="22"/>
        <v>46.884311439305613</v>
      </c>
      <c r="W63" s="252"/>
    </row>
    <row r="64" spans="1:25" ht="18" customHeight="1" thickBot="1">
      <c r="A64" s="183">
        <v>11</v>
      </c>
      <c r="B64" s="189" t="s">
        <v>254</v>
      </c>
      <c r="C64" s="155"/>
      <c r="D64" s="190">
        <f>IF(E74=0,0,D74/E74*100)</f>
        <v>91.321208879379512</v>
      </c>
      <c r="E64" s="190">
        <f>IF(E74=0,0,D74/E74*100)</f>
        <v>91.321208879379512</v>
      </c>
      <c r="F64" s="190">
        <f>IF(E74=0,0,D74/E74*100)</f>
        <v>91.321208879379512</v>
      </c>
      <c r="G64" s="190">
        <f>IF(E74=0,0,D74/E74*100)</f>
        <v>91.321208879379512</v>
      </c>
      <c r="H64" s="190">
        <f>IF(E74=0,0,D74/E74*100)</f>
        <v>91.321208879379512</v>
      </c>
      <c r="I64" s="190">
        <f>IF(E74=0,0,D74/E74*100)</f>
        <v>91.321208879379512</v>
      </c>
      <c r="J64" s="190">
        <f>IF(E74=0,0,D74/E74*100)</f>
        <v>91.321208879379512</v>
      </c>
      <c r="K64" s="190">
        <f>IF(E74=0,0,D74/E74*100)</f>
        <v>91.321208879379512</v>
      </c>
      <c r="L64" s="218">
        <f>IF(E74=0,0,D74/E74*100)</f>
        <v>91.321208879379512</v>
      </c>
      <c r="M64" s="219">
        <f>IF(N74=0,0,M74/N74*100)</f>
        <v>97.10285555863598</v>
      </c>
      <c r="N64" s="219">
        <f>IF(N74=0,0,M74/N74*100)</f>
        <v>97.10285555863598</v>
      </c>
      <c r="O64" s="219">
        <f>IF(N74=0,0,M74/N74*100)</f>
        <v>97.10285555863598</v>
      </c>
      <c r="P64" s="219">
        <f>IF(N74=0,0,M74/N74*100)</f>
        <v>97.10285555863598</v>
      </c>
      <c r="Q64" s="219">
        <f>IF(N74=0,0,M74/N74*100)</f>
        <v>97.10285555863598</v>
      </c>
      <c r="R64" s="219">
        <f>IF(N74=0,0,M74/N74*100)</f>
        <v>97.10285555863598</v>
      </c>
      <c r="S64" s="219">
        <f>IF(N74=0,0,M74/N74*100)</f>
        <v>97.10285555863598</v>
      </c>
      <c r="T64" s="219">
        <f>IF(N74=0,0,M74/N74*100)</f>
        <v>97.10285555863598</v>
      </c>
      <c r="U64" s="190">
        <f>IF(N74=0,0,M74/N74*100)</f>
        <v>97.10285555863598</v>
      </c>
      <c r="V64" s="218">
        <f>IF(N78=0,0,M78/N78*100)</f>
        <v>94.160087122243397</v>
      </c>
      <c r="W64" s="252"/>
    </row>
    <row r="65" spans="1:23" ht="18" customHeight="1" thickBot="1">
      <c r="A65" s="183">
        <v>12</v>
      </c>
      <c r="B65" s="189" t="s">
        <v>348</v>
      </c>
      <c r="C65" s="155"/>
      <c r="D65" s="190">
        <f t="shared" ref="D65:T65" si="23">(D60*D63*D64)/10000</f>
        <v>48.358499685290163</v>
      </c>
      <c r="E65" s="190">
        <f t="shared" si="23"/>
        <v>53.718358164340884</v>
      </c>
      <c r="F65" s="190">
        <f t="shared" si="23"/>
        <v>39.901609285134299</v>
      </c>
      <c r="G65" s="190">
        <f t="shared" si="23"/>
        <v>48.962614252277483</v>
      </c>
      <c r="H65" s="190">
        <f t="shared" si="23"/>
        <v>56.213623182991149</v>
      </c>
      <c r="I65" s="190">
        <f t="shared" si="23"/>
        <v>49.43941308297444</v>
      </c>
      <c r="J65" s="190">
        <f t="shared" si="23"/>
        <v>57.569744545012341</v>
      </c>
      <c r="K65" s="190">
        <f t="shared" si="23"/>
        <v>0</v>
      </c>
      <c r="L65" s="190">
        <f t="shared" si="23"/>
        <v>50.553869604189579</v>
      </c>
      <c r="M65" s="219">
        <f t="shared" si="23"/>
        <v>31.98873335292858</v>
      </c>
      <c r="N65" s="219">
        <f t="shared" si="23"/>
        <v>36.156470185712834</v>
      </c>
      <c r="O65" s="219">
        <f t="shared" si="23"/>
        <v>24.952294544331764</v>
      </c>
      <c r="P65" s="219">
        <f t="shared" si="23"/>
        <v>12.503210498352795</v>
      </c>
      <c r="Q65" s="219">
        <f t="shared" si="23"/>
        <v>24.302777115845903</v>
      </c>
      <c r="R65" s="219">
        <f t="shared" si="23"/>
        <v>44.762576113150473</v>
      </c>
      <c r="S65" s="219">
        <f t="shared" si="23"/>
        <v>43.355288351431113</v>
      </c>
      <c r="T65" s="219">
        <f t="shared" si="23"/>
        <v>0</v>
      </c>
      <c r="U65" s="190">
        <f>IF(10000=0,0,(U60*U63*U64)/10000)</f>
        <v>31.145907165964779</v>
      </c>
      <c r="V65" s="218">
        <f>IF(10000=0,0,(V60*V63*V64)/10000)</f>
        <v>41.06596231566629</v>
      </c>
      <c r="W65" s="252"/>
    </row>
    <row r="66" spans="1:23" ht="12.75" customHeight="1">
      <c r="A66" s="259"/>
      <c r="B66" s="259"/>
      <c r="C66" s="259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84"/>
    </row>
    <row r="67" spans="1:23" ht="18" customHeight="1">
      <c r="A67" s="1352" t="s">
        <v>349</v>
      </c>
      <c r="B67" s="1352"/>
      <c r="C67" s="261" t="s">
        <v>350</v>
      </c>
      <c r="D67" s="260"/>
      <c r="E67" s="260"/>
      <c r="F67" s="260"/>
      <c r="G67" s="262" t="s">
        <v>263</v>
      </c>
      <c r="H67" s="262"/>
      <c r="I67" s="262"/>
      <c r="J67" s="262"/>
      <c r="K67" s="260"/>
      <c r="L67" s="260"/>
      <c r="M67" s="260"/>
      <c r="N67" s="262"/>
      <c r="O67" s="260"/>
      <c r="P67" s="262" t="s">
        <v>351</v>
      </c>
      <c r="Q67" s="262"/>
      <c r="R67" s="262"/>
      <c r="S67" s="262"/>
      <c r="T67" s="260"/>
      <c r="U67" s="260"/>
      <c r="V67" s="260"/>
      <c r="W67" s="284"/>
    </row>
    <row r="68" spans="1:23" ht="3.75" customHeight="1">
      <c r="D68" s="263"/>
      <c r="E68" s="263"/>
      <c r="G68" s="263"/>
      <c r="H68" s="263"/>
      <c r="I68" s="263"/>
      <c r="J68" s="263"/>
      <c r="K68" s="263"/>
      <c r="L68" s="263"/>
      <c r="M68" s="262"/>
      <c r="N68" s="263"/>
      <c r="O68" s="263"/>
      <c r="P68" s="280"/>
      <c r="Q68" s="280"/>
      <c r="R68" s="280"/>
      <c r="S68" s="280"/>
      <c r="T68" s="280"/>
      <c r="U68" s="260"/>
      <c r="V68" s="260"/>
      <c r="W68" s="284"/>
    </row>
    <row r="69" spans="1:23" ht="16.5" customHeight="1">
      <c r="B69" s="261"/>
      <c r="C69" s="261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0"/>
      <c r="V69" s="260"/>
      <c r="W69" s="284"/>
    </row>
    <row r="70" spans="1:23">
      <c r="A70" s="259"/>
      <c r="B70" s="259"/>
      <c r="C70" s="259"/>
      <c r="D70" s="260"/>
      <c r="E70" s="260"/>
      <c r="F70" s="260"/>
      <c r="H70" s="260"/>
      <c r="I70" s="260"/>
      <c r="J70" s="943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84"/>
    </row>
    <row r="71" spans="1:23">
      <c r="A71" s="259"/>
      <c r="B71" s="259"/>
      <c r="C71" s="259"/>
      <c r="D71" s="260"/>
      <c r="E71" s="260"/>
      <c r="F71" s="260"/>
      <c r="H71" s="260"/>
      <c r="I71" s="260"/>
      <c r="J71" s="943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84"/>
    </row>
    <row r="72" spans="1:23">
      <c r="A72" s="259"/>
      <c r="B72" s="259"/>
      <c r="C72" s="259"/>
      <c r="D72" s="1096" t="s">
        <v>70</v>
      </c>
      <c r="E72" s="260"/>
      <c r="F72" s="260"/>
      <c r="H72" s="260"/>
      <c r="I72" s="260"/>
      <c r="J72" s="943"/>
      <c r="K72" s="260"/>
      <c r="L72" s="260"/>
      <c r="M72" s="1096" t="s">
        <v>73</v>
      </c>
      <c r="N72" s="260"/>
      <c r="O72" s="260"/>
      <c r="P72" s="260"/>
      <c r="Q72" s="260"/>
      <c r="R72" s="260"/>
      <c r="S72" s="260"/>
      <c r="T72" s="260"/>
      <c r="U72" s="260"/>
      <c r="V72" s="260"/>
      <c r="W72" s="284"/>
    </row>
    <row r="73" spans="1:23">
      <c r="B73" s="259"/>
      <c r="C73" s="1097"/>
      <c r="D73" s="1098" t="s">
        <v>51</v>
      </c>
      <c r="E73" s="1098" t="s">
        <v>50</v>
      </c>
      <c r="F73" s="260"/>
      <c r="H73" s="260"/>
      <c r="I73" s="260"/>
      <c r="J73" s="943"/>
      <c r="K73" s="260"/>
      <c r="M73" s="1098" t="s">
        <v>51</v>
      </c>
      <c r="N73" s="1098" t="s">
        <v>50</v>
      </c>
      <c r="O73" s="260"/>
      <c r="P73" s="260"/>
      <c r="Q73" s="260"/>
      <c r="R73" s="260"/>
      <c r="S73" s="260"/>
      <c r="T73" s="260"/>
      <c r="U73" s="260"/>
    </row>
    <row r="74" spans="1:23">
      <c r="A74" s="259"/>
      <c r="B74" s="259"/>
      <c r="C74" s="259"/>
      <c r="D74" s="1099">
        <v>6829</v>
      </c>
      <c r="E74" s="1099">
        <v>7478</v>
      </c>
      <c r="F74" s="264"/>
      <c r="H74" s="260"/>
      <c r="I74" s="260"/>
      <c r="J74" s="943"/>
      <c r="K74" s="260"/>
      <c r="L74" s="260"/>
      <c r="M74" s="1099">
        <f>3348+3657</f>
        <v>7005</v>
      </c>
      <c r="N74" s="1099">
        <v>7214</v>
      </c>
      <c r="O74" s="260"/>
      <c r="P74" s="260"/>
      <c r="Q74" s="260"/>
      <c r="R74" s="260"/>
      <c r="S74" s="260"/>
      <c r="T74" s="260"/>
      <c r="U74" s="260"/>
      <c r="V74" s="260"/>
      <c r="W74" s="284"/>
    </row>
    <row r="75" spans="1:23">
      <c r="A75" s="259"/>
      <c r="B75" s="259"/>
      <c r="C75" s="259"/>
      <c r="D75" s="265"/>
      <c r="E75" s="265"/>
      <c r="F75" s="260"/>
      <c r="H75" s="260"/>
      <c r="I75" s="260"/>
      <c r="J75" s="943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84"/>
    </row>
    <row r="76" spans="1:23">
      <c r="A76" s="259"/>
      <c r="B76" s="259"/>
      <c r="C76" s="259"/>
      <c r="D76" s="260"/>
      <c r="E76" s="260"/>
      <c r="F76" s="260"/>
      <c r="G76" s="260"/>
      <c r="H76" s="260"/>
      <c r="I76" s="260"/>
      <c r="J76" s="943"/>
      <c r="K76" s="260"/>
      <c r="L76" s="260"/>
      <c r="M76" s="1096" t="s">
        <v>368</v>
      </c>
      <c r="N76" s="260"/>
      <c r="O76" s="260"/>
      <c r="P76" s="260"/>
      <c r="Q76" s="260"/>
      <c r="R76" s="260"/>
      <c r="S76" s="260"/>
      <c r="T76" s="260"/>
      <c r="U76" s="260"/>
      <c r="V76" s="260"/>
      <c r="W76" s="284"/>
    </row>
    <row r="77" spans="1:23">
      <c r="A77" s="259"/>
      <c r="B77" s="259"/>
      <c r="C77" s="259"/>
      <c r="D77" s="260"/>
      <c r="E77" s="260"/>
      <c r="F77" s="260"/>
      <c r="G77" s="260"/>
      <c r="H77" s="260"/>
      <c r="I77" s="260"/>
      <c r="J77" s="943"/>
      <c r="K77" s="260"/>
      <c r="L77" s="260"/>
      <c r="M77" s="1098" t="s">
        <v>51</v>
      </c>
      <c r="N77" s="1098" t="s">
        <v>50</v>
      </c>
      <c r="O77" s="260"/>
      <c r="P77" s="260"/>
      <c r="Q77" s="260"/>
      <c r="R77" s="260"/>
      <c r="S77" s="260"/>
      <c r="T77" s="260"/>
      <c r="U77" s="260"/>
      <c r="V77" s="260"/>
      <c r="W77" s="284"/>
    </row>
    <row r="78" spans="1:23">
      <c r="A78" s="259"/>
      <c r="B78" s="259"/>
      <c r="C78" s="259"/>
      <c r="D78" s="260"/>
      <c r="E78" s="260"/>
      <c r="F78" s="260"/>
      <c r="G78" s="260"/>
      <c r="H78" s="260"/>
      <c r="I78" s="260"/>
      <c r="J78" s="943"/>
      <c r="K78" s="260"/>
      <c r="L78" s="260"/>
      <c r="M78" s="1135">
        <f>D74+M74</f>
        <v>13834</v>
      </c>
      <c r="N78" s="1135">
        <f>E74+N74</f>
        <v>14692</v>
      </c>
      <c r="O78" s="281">
        <f>M78/N78</f>
        <v>0.94160087122243397</v>
      </c>
      <c r="P78" s="260"/>
      <c r="Q78" s="260"/>
      <c r="R78" s="260"/>
      <c r="S78" s="260"/>
      <c r="T78" s="260"/>
      <c r="U78" s="260"/>
      <c r="V78" s="260"/>
      <c r="W78" s="284"/>
    </row>
    <row r="79" spans="1:23">
      <c r="A79" s="259"/>
      <c r="B79" s="259"/>
      <c r="C79" s="259"/>
      <c r="D79" s="260"/>
      <c r="E79" s="260"/>
      <c r="F79" s="260"/>
      <c r="G79" s="260"/>
      <c r="H79" s="260"/>
      <c r="I79" s="260"/>
      <c r="J79" s="943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84"/>
    </row>
    <row r="80" spans="1:23">
      <c r="A80" s="259"/>
      <c r="B80" s="259"/>
      <c r="C80" s="259"/>
      <c r="D80" s="260"/>
      <c r="E80" s="260"/>
      <c r="F80" s="260"/>
      <c r="G80" s="260"/>
      <c r="H80" s="260"/>
      <c r="I80" s="260"/>
      <c r="J80" s="943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84"/>
    </row>
    <row r="81" spans="1:23">
      <c r="J81" s="943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84"/>
    </row>
    <row r="82" spans="1:23"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84"/>
    </row>
    <row r="83" spans="1:23"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84"/>
    </row>
    <row r="84" spans="1:23"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84"/>
    </row>
    <row r="85" spans="1:23"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84"/>
    </row>
    <row r="86" spans="1:23" ht="28" thickBot="1"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84"/>
    </row>
    <row r="87" spans="1:23" ht="28" thickBot="1">
      <c r="A87" s="266" t="s">
        <v>353</v>
      </c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84"/>
    </row>
    <row r="88" spans="1:23">
      <c r="A88" s="271">
        <v>1</v>
      </c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84"/>
    </row>
    <row r="89" spans="1:23">
      <c r="A89" s="1100">
        <v>2</v>
      </c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84"/>
    </row>
    <row r="90" spans="1:23">
      <c r="A90" s="1100">
        <v>3</v>
      </c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84"/>
    </row>
    <row r="91" spans="1:23">
      <c r="A91" s="1100">
        <v>4</v>
      </c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84"/>
    </row>
    <row r="92" spans="1:23">
      <c r="A92" s="1100">
        <v>5</v>
      </c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84"/>
    </row>
    <row r="93" spans="1:23" ht="28" thickBot="1">
      <c r="A93" s="1100">
        <v>6</v>
      </c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84"/>
    </row>
    <row r="94" spans="1:23" ht="28" thickBot="1">
      <c r="A94" s="1100">
        <v>7</v>
      </c>
      <c r="B94" s="267"/>
      <c r="C94" s="268"/>
      <c r="D94" s="269"/>
      <c r="E94" s="270" t="s">
        <v>354</v>
      </c>
      <c r="F94" s="270"/>
      <c r="G94" s="270"/>
      <c r="H94" s="270"/>
      <c r="I94" s="270"/>
      <c r="J94" s="270"/>
      <c r="K94" s="270"/>
      <c r="L94" s="282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84"/>
    </row>
    <row r="95" spans="1:23">
      <c r="A95" s="1100">
        <v>8</v>
      </c>
      <c r="B95" s="272" t="s">
        <v>223</v>
      </c>
      <c r="C95" s="273"/>
      <c r="D95" s="274"/>
      <c r="E95" s="275" t="s">
        <v>355</v>
      </c>
      <c r="F95" s="275"/>
      <c r="G95" s="275"/>
      <c r="H95" s="275"/>
      <c r="I95" s="275"/>
      <c r="J95" s="275"/>
      <c r="K95" s="275"/>
      <c r="L95" s="28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84"/>
    </row>
    <row r="96" spans="1:23">
      <c r="A96" s="1100">
        <v>9</v>
      </c>
      <c r="B96" s="1101" t="s">
        <v>339</v>
      </c>
      <c r="C96" s="1102"/>
      <c r="D96" s="1103"/>
      <c r="E96" s="1104" t="s">
        <v>227</v>
      </c>
      <c r="F96" s="1104"/>
      <c r="G96" s="1104"/>
      <c r="H96" s="1104"/>
      <c r="I96" s="1104"/>
      <c r="J96" s="1104"/>
      <c r="K96" s="1104"/>
      <c r="L96" s="1103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84"/>
    </row>
    <row r="97" spans="1:34">
      <c r="A97" s="1100">
        <v>10</v>
      </c>
      <c r="B97" s="1101" t="s">
        <v>340</v>
      </c>
      <c r="C97" s="1102"/>
      <c r="D97" s="1103"/>
      <c r="E97" s="1104" t="s">
        <v>230</v>
      </c>
      <c r="F97" s="1104"/>
      <c r="G97" s="1104"/>
      <c r="H97" s="1104"/>
      <c r="I97" s="1104"/>
      <c r="J97" s="1104"/>
      <c r="K97" s="1104"/>
      <c r="L97" s="1103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84"/>
    </row>
    <row r="98" spans="1:34">
      <c r="A98" s="1100">
        <v>11</v>
      </c>
      <c r="B98" s="1101" t="s">
        <v>356</v>
      </c>
      <c r="C98" s="1102"/>
      <c r="D98" s="1103"/>
      <c r="E98" s="1104" t="s">
        <v>357</v>
      </c>
      <c r="F98" s="1104"/>
      <c r="G98" s="1104"/>
      <c r="H98" s="1104"/>
      <c r="I98" s="1104"/>
      <c r="J98" s="1104"/>
      <c r="K98" s="1104"/>
      <c r="L98" s="1103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84"/>
    </row>
    <row r="99" spans="1:34" ht="28" thickBot="1">
      <c r="A99" s="1106">
        <v>12</v>
      </c>
      <c r="B99" s="1101" t="s">
        <v>358</v>
      </c>
      <c r="C99" s="1102"/>
      <c r="D99" s="1103"/>
      <c r="E99" s="1104" t="s">
        <v>359</v>
      </c>
      <c r="F99" s="1104"/>
      <c r="G99" s="1104"/>
      <c r="H99" s="1104"/>
      <c r="I99" s="1104"/>
      <c r="J99" s="1104"/>
      <c r="K99" s="1104"/>
      <c r="L99" s="1103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84"/>
    </row>
    <row r="100" spans="1:34">
      <c r="A100" s="259"/>
      <c r="B100" s="1101" t="s">
        <v>360</v>
      </c>
      <c r="C100" s="1102"/>
      <c r="D100" s="1103"/>
      <c r="E100" s="1104" t="s">
        <v>236</v>
      </c>
      <c r="F100" s="1104"/>
      <c r="G100" s="1104"/>
      <c r="H100" s="1104"/>
      <c r="I100" s="1104"/>
      <c r="J100" s="1104"/>
      <c r="K100" s="1104"/>
      <c r="L100" s="1103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84"/>
    </row>
    <row r="101" spans="1:34">
      <c r="A101" s="259"/>
      <c r="B101" s="1101" t="s">
        <v>344</v>
      </c>
      <c r="C101" s="1102"/>
      <c r="D101" s="1103"/>
      <c r="E101" s="1104" t="s">
        <v>240</v>
      </c>
      <c r="F101" s="1104"/>
      <c r="G101" s="1104"/>
      <c r="H101" s="1104"/>
      <c r="I101" s="1104"/>
      <c r="J101" s="1104"/>
      <c r="K101" s="1104"/>
      <c r="L101" s="1103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84"/>
    </row>
    <row r="102" spans="1:34">
      <c r="A102" s="259"/>
      <c r="B102" s="1101" t="s">
        <v>361</v>
      </c>
      <c r="C102" s="1102"/>
      <c r="D102" s="1103"/>
      <c r="E102" s="1104" t="s">
        <v>243</v>
      </c>
      <c r="F102" s="1104"/>
      <c r="G102" s="1104"/>
      <c r="H102" s="1104"/>
      <c r="I102" s="1104"/>
      <c r="J102" s="1104"/>
      <c r="K102" s="1104"/>
      <c r="L102" s="1103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84"/>
    </row>
    <row r="103" spans="1:34">
      <c r="A103" s="259"/>
      <c r="B103" s="1101" t="s">
        <v>362</v>
      </c>
      <c r="C103" s="1102"/>
      <c r="D103" s="1103"/>
      <c r="E103" s="1104" t="s">
        <v>246</v>
      </c>
      <c r="F103" s="1104"/>
      <c r="G103" s="1104"/>
      <c r="H103" s="1104"/>
      <c r="I103" s="1104"/>
      <c r="J103" s="1104"/>
      <c r="K103" s="1104"/>
      <c r="L103" s="1103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84"/>
    </row>
    <row r="104" spans="1:34">
      <c r="A104" s="259"/>
      <c r="B104" s="1101" t="s">
        <v>347</v>
      </c>
      <c r="C104" s="1102"/>
      <c r="D104" s="1103"/>
      <c r="E104" s="1104" t="s">
        <v>363</v>
      </c>
      <c r="F104" s="1104"/>
      <c r="G104" s="1104"/>
      <c r="H104" s="1104"/>
      <c r="I104" s="1104"/>
      <c r="J104" s="1104"/>
      <c r="K104" s="1104"/>
      <c r="L104" s="1103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84"/>
    </row>
    <row r="105" spans="1:34">
      <c r="A105" s="259"/>
      <c r="B105" s="1105" t="s">
        <v>254</v>
      </c>
      <c r="C105" s="1102"/>
      <c r="D105" s="1103"/>
      <c r="E105" s="1104" t="s">
        <v>364</v>
      </c>
      <c r="F105" s="1104"/>
      <c r="G105" s="1104"/>
      <c r="H105" s="1104"/>
      <c r="I105" s="1104"/>
      <c r="J105" s="1104"/>
      <c r="K105" s="1104"/>
      <c r="L105" s="1103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84"/>
    </row>
    <row r="106" spans="1:34" ht="28" thickBot="1">
      <c r="A106" s="259"/>
      <c r="B106" s="1107" t="s">
        <v>348</v>
      </c>
      <c r="C106" s="276"/>
      <c r="D106" s="277"/>
      <c r="E106" s="1108" t="s">
        <v>365</v>
      </c>
      <c r="F106" s="1108"/>
      <c r="G106" s="1108"/>
      <c r="H106" s="1108"/>
      <c r="I106" s="1108"/>
      <c r="J106" s="1108"/>
      <c r="K106" s="1108"/>
      <c r="L106" s="1109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84"/>
    </row>
    <row r="107" spans="1:34">
      <c r="A107" s="259"/>
      <c r="B107" s="259"/>
      <c r="C107" s="259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84"/>
    </row>
    <row r="108" spans="1:34">
      <c r="A108" s="259"/>
      <c r="B108" s="259"/>
      <c r="C108" s="259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84"/>
    </row>
    <row r="109" spans="1:34" s="134" customFormat="1">
      <c r="D109" s="278"/>
      <c r="E109" s="278"/>
      <c r="F109" s="278"/>
      <c r="G109" s="279"/>
      <c r="H109" s="279"/>
      <c r="I109" s="279"/>
      <c r="J109" s="279"/>
      <c r="K109" s="279"/>
      <c r="L109" s="278"/>
      <c r="M109" s="278"/>
      <c r="N109" s="278"/>
      <c r="O109" s="278"/>
      <c r="P109" s="279"/>
      <c r="Q109" s="279"/>
      <c r="R109" s="279"/>
      <c r="S109" s="279"/>
      <c r="T109" s="279"/>
      <c r="U109" s="279"/>
      <c r="V109" s="278"/>
      <c r="W109" s="285"/>
      <c r="Z109" s="286"/>
      <c r="AA109" s="286"/>
      <c r="AB109" s="286"/>
      <c r="AC109" s="286"/>
      <c r="AD109" s="286"/>
      <c r="AE109" s="286"/>
      <c r="AF109" s="286"/>
      <c r="AG109" s="286"/>
      <c r="AH109" s="286"/>
    </row>
    <row r="110" spans="1:34" s="134" customFormat="1"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85"/>
      <c r="Z110" s="286"/>
      <c r="AA110" s="286"/>
      <c r="AB110" s="286"/>
      <c r="AC110" s="286"/>
      <c r="AD110" s="286"/>
      <c r="AE110" s="286"/>
      <c r="AF110" s="286"/>
      <c r="AG110" s="286"/>
      <c r="AH110" s="286"/>
    </row>
    <row r="111" spans="1:34" s="134" customFormat="1"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85"/>
      <c r="Z111" s="286"/>
      <c r="AA111" s="286"/>
      <c r="AB111" s="286"/>
      <c r="AC111" s="286"/>
      <c r="AD111" s="286"/>
      <c r="AE111" s="286"/>
      <c r="AF111" s="286"/>
      <c r="AG111" s="286"/>
      <c r="AH111" s="286"/>
    </row>
    <row r="112" spans="1:34" s="134" customFormat="1"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85"/>
      <c r="Z112" s="286"/>
      <c r="AA112" s="286"/>
      <c r="AB112" s="286"/>
      <c r="AC112" s="286"/>
      <c r="AD112" s="286"/>
      <c r="AE112" s="286"/>
      <c r="AF112" s="286"/>
      <c r="AG112" s="286"/>
      <c r="AH112" s="286"/>
    </row>
    <row r="113" spans="1:23">
      <c r="A113" s="259"/>
      <c r="B113" s="259"/>
      <c r="C113" s="259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84"/>
    </row>
    <row r="114" spans="1:23">
      <c r="A114" s="259"/>
      <c r="B114" s="259"/>
      <c r="C114" s="259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84"/>
    </row>
    <row r="115" spans="1:23">
      <c r="A115" s="259"/>
      <c r="B115" s="259"/>
      <c r="C115" s="259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84"/>
    </row>
    <row r="116" spans="1:23">
      <c r="A116" s="259"/>
      <c r="B116" s="259"/>
      <c r="C116" s="259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84"/>
    </row>
    <row r="117" spans="1:23">
      <c r="A117" s="259"/>
      <c r="B117" s="259"/>
      <c r="C117" s="259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84"/>
    </row>
    <row r="118" spans="1:23">
      <c r="A118" s="259"/>
      <c r="B118" s="259"/>
      <c r="C118" s="259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84"/>
    </row>
    <row r="119" spans="1:23">
      <c r="A119" s="259"/>
      <c r="B119" s="259"/>
      <c r="C119" s="259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84"/>
    </row>
    <row r="120" spans="1:23">
      <c r="A120" s="259"/>
      <c r="B120" s="259"/>
      <c r="C120" s="259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84"/>
    </row>
    <row r="121" spans="1:23">
      <c r="A121" s="259"/>
      <c r="B121" s="259"/>
      <c r="C121" s="259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84"/>
    </row>
    <row r="122" spans="1:23">
      <c r="A122" s="259"/>
      <c r="B122" s="259"/>
      <c r="C122" s="259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84"/>
    </row>
  </sheetData>
  <mergeCells count="84">
    <mergeCell ref="T14:U14"/>
    <mergeCell ref="D47:J47"/>
    <mergeCell ref="D48:J48"/>
    <mergeCell ref="A67:B67"/>
    <mergeCell ref="A14:B14"/>
    <mergeCell ref="G14:H14"/>
    <mergeCell ref="I14:J14"/>
    <mergeCell ref="K14:L14"/>
    <mergeCell ref="P14:Q14"/>
    <mergeCell ref="R14:S14"/>
    <mergeCell ref="D45:J45"/>
    <mergeCell ref="D46:J46"/>
    <mergeCell ref="N47:V47"/>
    <mergeCell ref="N46:V46"/>
    <mergeCell ref="D49:J49"/>
    <mergeCell ref="T13:U13"/>
    <mergeCell ref="G12:H12"/>
    <mergeCell ref="I12:J12"/>
    <mergeCell ref="K12:L12"/>
    <mergeCell ref="P12:Q12"/>
    <mergeCell ref="R12:S12"/>
    <mergeCell ref="T12:U12"/>
    <mergeCell ref="G13:H13"/>
    <mergeCell ref="I13:J13"/>
    <mergeCell ref="K13:L13"/>
    <mergeCell ref="P13:Q13"/>
    <mergeCell ref="R13:S13"/>
    <mergeCell ref="G7:H7"/>
    <mergeCell ref="T11:U11"/>
    <mergeCell ref="G10:H10"/>
    <mergeCell ref="I10:J10"/>
    <mergeCell ref="K10:L10"/>
    <mergeCell ref="P10:Q10"/>
    <mergeCell ref="R10:S10"/>
    <mergeCell ref="T10:U10"/>
    <mergeCell ref="G11:H11"/>
    <mergeCell ref="I11:J11"/>
    <mergeCell ref="K11:L11"/>
    <mergeCell ref="P11:Q11"/>
    <mergeCell ref="R11:S11"/>
    <mergeCell ref="T9:U9"/>
    <mergeCell ref="G8:H8"/>
    <mergeCell ref="I8:J8"/>
    <mergeCell ref="K8:L8"/>
    <mergeCell ref="P8:Q8"/>
    <mergeCell ref="R8:S8"/>
    <mergeCell ref="T8:U8"/>
    <mergeCell ref="G9:H9"/>
    <mergeCell ref="I9:J9"/>
    <mergeCell ref="K9:L9"/>
    <mergeCell ref="P9:Q9"/>
    <mergeCell ref="R9:S9"/>
    <mergeCell ref="G6:H6"/>
    <mergeCell ref="I6:J6"/>
    <mergeCell ref="K6:L6"/>
    <mergeCell ref="P6:Q6"/>
    <mergeCell ref="R6:S6"/>
    <mergeCell ref="A3:B3"/>
    <mergeCell ref="C3:C5"/>
    <mergeCell ref="D3:L3"/>
    <mergeCell ref="M3:U3"/>
    <mergeCell ref="V3:V5"/>
    <mergeCell ref="A4:A5"/>
    <mergeCell ref="B4:B5"/>
    <mergeCell ref="G4:H4"/>
    <mergeCell ref="I4:J4"/>
    <mergeCell ref="K4:L4"/>
    <mergeCell ref="P4:Q4"/>
    <mergeCell ref="R4:S4"/>
    <mergeCell ref="T5:U5"/>
    <mergeCell ref="G5:H5"/>
    <mergeCell ref="I5:J5"/>
    <mergeCell ref="K5:L5"/>
    <mergeCell ref="T4:U4"/>
    <mergeCell ref="I7:J7"/>
    <mergeCell ref="K7:L7"/>
    <mergeCell ref="M1:N1"/>
    <mergeCell ref="U1:V1"/>
    <mergeCell ref="T6:U6"/>
    <mergeCell ref="P5:Q5"/>
    <mergeCell ref="R5:S5"/>
    <mergeCell ref="P7:Q7"/>
    <mergeCell ref="R7:S7"/>
    <mergeCell ref="T7:U7"/>
  </mergeCells>
  <printOptions horizontalCentered="1" verticalCentered="1"/>
  <pageMargins left="0" right="0" top="0.43307086614173201" bottom="0" header="0" footer="0"/>
  <pageSetup paperSize="9" scale="42" orientation="landscape" verticalDpi="36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P10"/>
  <sheetViews>
    <sheetView workbookViewId="0">
      <selection activeCell="D35" sqref="D35"/>
    </sheetView>
  </sheetViews>
  <sheetFormatPr defaultColWidth="8" defaultRowHeight="21.5"/>
  <cols>
    <col min="1" max="1" width="16.25" style="129" customWidth="1"/>
    <col min="2" max="2" width="9.33203125" style="129" customWidth="1"/>
    <col min="3" max="4" width="8" style="129" customWidth="1"/>
    <col min="5" max="5" width="5.25" style="129" customWidth="1"/>
    <col min="6" max="6" width="9" style="129" customWidth="1"/>
    <col min="7" max="7" width="8.5" style="129" customWidth="1"/>
    <col min="8" max="16384" width="8" style="129"/>
  </cols>
  <sheetData>
    <row r="1" spans="1:16">
      <c r="A1" s="129" t="s">
        <v>369</v>
      </c>
      <c r="B1" s="128" t="s">
        <v>370</v>
      </c>
      <c r="C1" s="129" t="s">
        <v>371</v>
      </c>
      <c r="D1" s="129" t="s">
        <v>372</v>
      </c>
      <c r="E1" s="129" t="s">
        <v>373</v>
      </c>
      <c r="F1" s="129" t="s">
        <v>374</v>
      </c>
      <c r="G1" s="129" t="s">
        <v>375</v>
      </c>
      <c r="H1" s="129" t="s">
        <v>376</v>
      </c>
      <c r="I1" s="129" t="s">
        <v>377</v>
      </c>
      <c r="J1" s="129" t="s">
        <v>378</v>
      </c>
      <c r="K1" s="129" t="s">
        <v>379</v>
      </c>
      <c r="L1" s="129" t="s">
        <v>380</v>
      </c>
      <c r="M1" s="129" t="s">
        <v>381</v>
      </c>
      <c r="N1" s="129" t="s">
        <v>382</v>
      </c>
      <c r="O1" s="129" t="s">
        <v>46</v>
      </c>
      <c r="P1" s="129" t="s">
        <v>383</v>
      </c>
    </row>
    <row r="2" spans="1:16">
      <c r="A2" s="888" t="str">
        <f>รายงานการผลิต!$F$1</f>
        <v>โรงงานนครปฐม ครอบชนผนัง</v>
      </c>
      <c r="B2" s="128">
        <f>รายงานการผลิต!$O$1</f>
        <v>242754</v>
      </c>
      <c r="C2" s="129">
        <v>1</v>
      </c>
      <c r="D2" s="129">
        <f>รายงานการผลิต!B5</f>
        <v>56408503</v>
      </c>
      <c r="E2" s="129" t="str">
        <f>รายงานการผลิต!C5</f>
        <v>AB(E)</v>
      </c>
      <c r="F2" s="129" t="str">
        <f>รายงานการผลิต!D5</f>
        <v>คลาสสิคบลูP</v>
      </c>
      <c r="G2" s="127">
        <f>รายงานการผลิต!G5</f>
        <v>705</v>
      </c>
      <c r="H2" s="131">
        <f>รายงานการผลิต!M5</f>
        <v>0</v>
      </c>
      <c r="I2" s="129">
        <f>รายงานการผลิต!L5</f>
        <v>0</v>
      </c>
      <c r="J2" s="131">
        <f>รายงานการผลิต!O5</f>
        <v>0</v>
      </c>
      <c r="K2" s="131">
        <f>รายงานการผลิต!N5</f>
        <v>0</v>
      </c>
      <c r="L2" s="129">
        <f>รายงานการผลิต!P5</f>
        <v>0</v>
      </c>
      <c r="M2" s="129">
        <f>รายงานการผลิต!Q5</f>
        <v>0</v>
      </c>
      <c r="N2" s="129">
        <f>รายงานการผลิต!R5</f>
        <v>0</v>
      </c>
      <c r="O2" s="129">
        <f>รายงานการผลิต!S5</f>
        <v>0</v>
      </c>
      <c r="P2" s="129">
        <f>รายงานการผลิต!T5</f>
        <v>0</v>
      </c>
    </row>
    <row r="3" spans="1:16">
      <c r="A3" s="888" t="str">
        <f>รายงานการผลิต!$F$1</f>
        <v>โรงงานนครปฐม ครอบชนผนัง</v>
      </c>
      <c r="B3" s="128">
        <f>รายงานการผลิต!$O$1</f>
        <v>242754</v>
      </c>
      <c r="C3" s="129">
        <v>1</v>
      </c>
      <c r="D3" s="129">
        <f>รายงานการผลิต!B6</f>
        <v>0</v>
      </c>
      <c r="E3" s="129">
        <f>รายงานการผลิต!C6</f>
        <v>0</v>
      </c>
      <c r="F3" s="129">
        <f>รายงานการผลิต!D6</f>
        <v>0</v>
      </c>
      <c r="G3" s="127">
        <f>รายงานการผลิต!G6</f>
        <v>0</v>
      </c>
    </row>
    <row r="4" spans="1:16">
      <c r="A4" s="888" t="str">
        <f>รายงานการผลิต!$F$1</f>
        <v>โรงงานนครปฐม ครอบชนผนัง</v>
      </c>
      <c r="B4" s="128">
        <f>รายงานการผลิต!$O$1</f>
        <v>242754</v>
      </c>
      <c r="C4" s="129">
        <v>1</v>
      </c>
      <c r="D4" s="129" t="str">
        <f>รายงานการผลิต!B7</f>
        <v/>
      </c>
      <c r="E4" s="129" t="str">
        <f>รายงานการผลิต!C7</f>
        <v xml:space="preserve"> </v>
      </c>
      <c r="F4" s="129" t="str">
        <f>รายงานการผลิต!D7</f>
        <v/>
      </c>
      <c r="G4" s="127">
        <f>รายงานการผลิต!G7</f>
        <v>0</v>
      </c>
    </row>
    <row r="5" spans="1:16">
      <c r="A5" s="888" t="str">
        <f>รายงานการผลิต!$F$1</f>
        <v>โรงงานนครปฐม ครอบชนผนัง</v>
      </c>
      <c r="B5" s="128">
        <f>รายงานการผลิต!$O$1</f>
        <v>242754</v>
      </c>
      <c r="C5" s="129">
        <v>2</v>
      </c>
      <c r="D5" s="129">
        <f>รายงานการผลิต!B11</f>
        <v>56408415</v>
      </c>
      <c r="E5" s="129" t="str">
        <f>รายงานการผลิต!C11</f>
        <v>AB(B)</v>
      </c>
      <c r="F5" s="129" t="str">
        <f>รายงานการผลิต!D11</f>
        <v>เทาปีกนางนวลP</v>
      </c>
      <c r="G5" s="127">
        <f>รายงานการผลิต!G11</f>
        <v>500</v>
      </c>
      <c r="H5" s="131">
        <f>รายงานการผลิต!M11</f>
        <v>0</v>
      </c>
      <c r="I5" s="129">
        <f>รายงานการผลิต!L11</f>
        <v>0</v>
      </c>
      <c r="J5" s="131">
        <f>รายงานการผลิต!O11</f>
        <v>0</v>
      </c>
      <c r="K5" s="131">
        <f>รายงานการผลิต!N11</f>
        <v>0</v>
      </c>
      <c r="L5" s="129">
        <f>รายงานการผลิต!P11</f>
        <v>0</v>
      </c>
      <c r="M5" s="129">
        <f>รายงานการผลิต!Q11</f>
        <v>0</v>
      </c>
      <c r="N5" s="129">
        <f>รายงานการผลิต!R11</f>
        <v>0</v>
      </c>
      <c r="O5" s="129">
        <f>รายงานการผลิต!S11</f>
        <v>0</v>
      </c>
      <c r="P5" s="129">
        <f>รายงานการผลิต!T11</f>
        <v>0</v>
      </c>
    </row>
    <row r="6" spans="1:16">
      <c r="A6" s="888" t="str">
        <f>รายงานการผลิต!$F$1</f>
        <v>โรงงานนครปฐม ครอบชนผนัง</v>
      </c>
      <c r="B6" s="128">
        <f>รายงานการผลิต!$O$1</f>
        <v>242754</v>
      </c>
      <c r="C6" s="129">
        <v>2</v>
      </c>
      <c r="D6" s="129">
        <f>รายงานการผลิต!B12</f>
        <v>0</v>
      </c>
      <c r="E6" s="129">
        <f>รายงานการผลิต!C12</f>
        <v>0</v>
      </c>
      <c r="F6" s="129">
        <f>รายงานการผลิต!D12</f>
        <v>0</v>
      </c>
      <c r="G6" s="127">
        <f>รายงานการผลิต!G12</f>
        <v>0</v>
      </c>
      <c r="O6" s="131"/>
      <c r="P6" s="131"/>
    </row>
    <row r="7" spans="1:16">
      <c r="A7" s="888" t="str">
        <f>รายงานการผลิต!$F$1</f>
        <v>โรงงานนครปฐม ครอบชนผนัง</v>
      </c>
      <c r="B7" s="128">
        <f>รายงานการผลิต!$O$1</f>
        <v>242754</v>
      </c>
      <c r="C7" s="129">
        <v>2</v>
      </c>
      <c r="D7" s="129" t="str">
        <f>รายงานการผลิต!B13</f>
        <v/>
      </c>
      <c r="E7" s="129" t="str">
        <f>รายงานการผลิต!C13</f>
        <v xml:space="preserve"> </v>
      </c>
      <c r="F7" s="129" t="str">
        <f>รายงานการผลิต!D13</f>
        <v/>
      </c>
      <c r="G7" s="127" t="str">
        <f>รายงานการผลิต!G13</f>
        <v/>
      </c>
      <c r="O7" s="131"/>
      <c r="P7" s="131"/>
    </row>
    <row r="8" spans="1:16">
      <c r="A8" s="888" t="str">
        <f>รายงานการผลิต!$F$1</f>
        <v>โรงงานนครปฐม ครอบชนผนัง</v>
      </c>
      <c r="B8" s="128">
        <f>รายงานการผลิต!$O$1</f>
        <v>242754</v>
      </c>
      <c r="C8" s="129">
        <v>3</v>
      </c>
      <c r="D8" s="129">
        <f>รายงานการผลิต!B16</f>
        <v>0</v>
      </c>
      <c r="E8" s="129">
        <f>รายงานการผลิต!C16</f>
        <v>0</v>
      </c>
      <c r="F8" s="129">
        <f>รายงานการผลิต!D16</f>
        <v>0</v>
      </c>
      <c r="G8" s="127">
        <f>รายงานการผลิต!G16</f>
        <v>0</v>
      </c>
      <c r="H8" s="131">
        <f>รายงานการผลิต!M16</f>
        <v>0</v>
      </c>
      <c r="I8" s="129">
        <f>รายงานการผลิต!L16</f>
        <v>0</v>
      </c>
      <c r="J8" s="131">
        <f>รายงานการผลิต!O16</f>
        <v>0</v>
      </c>
      <c r="K8" s="131">
        <f>รายงานการผลิต!N16</f>
        <v>0</v>
      </c>
      <c r="L8" s="129">
        <f>รายงานการผลิต!P16</f>
        <v>0</v>
      </c>
      <c r="M8" s="129">
        <f>รายงานการผลิต!Q16</f>
        <v>0</v>
      </c>
      <c r="N8" s="129">
        <f>รายงานการผลิต!R16</f>
        <v>0</v>
      </c>
      <c r="O8" s="129">
        <f>รายงานการผลิต!S16</f>
        <v>0</v>
      </c>
      <c r="P8" s="129">
        <f>รายงานการผลิต!T16</f>
        <v>0</v>
      </c>
    </row>
    <row r="9" spans="1:16">
      <c r="A9" s="888" t="str">
        <f>รายงานการผลิต!$F$1</f>
        <v>โรงงานนครปฐม ครอบชนผนัง</v>
      </c>
      <c r="B9" s="128">
        <f>รายงานการผลิต!$O$1</f>
        <v>242754</v>
      </c>
      <c r="C9" s="129">
        <v>3</v>
      </c>
      <c r="D9" s="129" t="str">
        <f>รายงานการผลิต!B17</f>
        <v/>
      </c>
      <c r="E9" s="129">
        <f>รายงานการผลิต!C17</f>
        <v>0</v>
      </c>
      <c r="F9" s="129">
        <f>รายงานการผลิต!D17</f>
        <v>0</v>
      </c>
      <c r="G9" s="127">
        <f>รายงานการผลิต!G17</f>
        <v>0</v>
      </c>
      <c r="O9" s="131"/>
      <c r="P9" s="131"/>
    </row>
    <row r="10" spans="1:16">
      <c r="A10" s="888" t="str">
        <f>รายงานการผลิต!$F$1</f>
        <v>โรงงานนครปฐม ครอบชนผนัง</v>
      </c>
      <c r="B10" s="128">
        <f>รายงานการผลิต!$O$1</f>
        <v>242754</v>
      </c>
      <c r="C10" s="129">
        <v>3</v>
      </c>
      <c r="D10" s="129" t="str">
        <f>รายงานการผลิต!B18</f>
        <v/>
      </c>
      <c r="E10" s="129" t="str">
        <f>รายงานการผลิต!C18</f>
        <v xml:space="preserve"> </v>
      </c>
      <c r="F10" s="129" t="str">
        <f>รายงานการผลิต!D18</f>
        <v/>
      </c>
      <c r="G10" s="127" t="str">
        <f>รายงานการผลิต!G18</f>
        <v/>
      </c>
    </row>
  </sheetData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O10"/>
  <sheetViews>
    <sheetView workbookViewId="0">
      <selection activeCell="D35" sqref="D35"/>
    </sheetView>
  </sheetViews>
  <sheetFormatPr defaultColWidth="8" defaultRowHeight="21.5"/>
  <cols>
    <col min="1" max="1" width="16.25" style="124" customWidth="1"/>
    <col min="2" max="5" width="8" style="124" customWidth="1"/>
    <col min="6" max="6" width="10.58203125" style="124" customWidth="1"/>
    <col min="7" max="7" width="11.5" style="124" customWidth="1"/>
    <col min="8" max="16384" width="8" style="124"/>
  </cols>
  <sheetData>
    <row r="1" spans="1:15">
      <c r="A1" s="124" t="s">
        <v>369</v>
      </c>
      <c r="B1" s="125" t="s">
        <v>370</v>
      </c>
      <c r="C1" s="124" t="s">
        <v>371</v>
      </c>
      <c r="D1" s="124" t="s">
        <v>372</v>
      </c>
      <c r="E1" s="124" t="s">
        <v>373</v>
      </c>
      <c r="F1" s="124" t="s">
        <v>374</v>
      </c>
      <c r="G1" s="124" t="s">
        <v>375</v>
      </c>
      <c r="H1" s="126" t="s">
        <v>384</v>
      </c>
      <c r="I1" s="126" t="s">
        <v>385</v>
      </c>
      <c r="J1" s="126" t="s">
        <v>386</v>
      </c>
      <c r="K1" s="126" t="s">
        <v>387</v>
      </c>
      <c r="L1" s="126" t="s">
        <v>388</v>
      </c>
      <c r="M1" s="126" t="s">
        <v>389</v>
      </c>
      <c r="N1" s="126" t="s">
        <v>390</v>
      </c>
      <c r="O1" s="126" t="s">
        <v>391</v>
      </c>
    </row>
    <row r="2" spans="1:15">
      <c r="A2" s="888" t="str">
        <f>รายงานการผลิต!$F$1</f>
        <v>โรงงานนครปฐม ครอบชนผนัง</v>
      </c>
      <c r="B2" s="128">
        <f>รายงานการผลิต!$O$1</f>
        <v>242754</v>
      </c>
      <c r="C2" s="129">
        <v>1</v>
      </c>
      <c r="D2" s="124">
        <f>รายงานการผลิต!B26</f>
        <v>56408303</v>
      </c>
      <c r="E2" s="124" t="str">
        <f>รายงานการผลิต!C26</f>
        <v>AB(E)</v>
      </c>
      <c r="F2" s="124" t="str">
        <f>รายงานการผลิต!D26</f>
        <v>ลิกไนต์เกรย์P</v>
      </c>
      <c r="G2" s="124">
        <f>รายงานการผลิต!E26</f>
        <v>710</v>
      </c>
      <c r="H2" s="130">
        <f>รายงานการผลิต!J26</f>
        <v>0</v>
      </c>
      <c r="I2" s="130">
        <f>รายงานการผลิต!K26</f>
        <v>0</v>
      </c>
      <c r="J2" s="130">
        <f>รายงานการผลิต!L26</f>
        <v>0</v>
      </c>
      <c r="K2" s="130">
        <f>รายงานการผลิต!M26</f>
        <v>0</v>
      </c>
      <c r="L2" s="130">
        <f>รายงานการผลิต!N26</f>
        <v>0</v>
      </c>
      <c r="M2" s="130">
        <f>รายงานการผลิต!O26</f>
        <v>0</v>
      </c>
      <c r="N2" s="130">
        <f>รายงานการผลิต!P26</f>
        <v>0</v>
      </c>
      <c r="O2" s="130">
        <f>รายงานการผลิต!Q26</f>
        <v>0</v>
      </c>
    </row>
    <row r="3" spans="1:15">
      <c r="A3" s="888" t="str">
        <f>รายงานการผลิต!$F$1</f>
        <v>โรงงานนครปฐม ครอบชนผนัง</v>
      </c>
      <c r="B3" s="128">
        <f>รายงานการผลิต!$O$1</f>
        <v>242754</v>
      </c>
      <c r="C3" s="129">
        <v>1</v>
      </c>
      <c r="D3" s="124">
        <f>รายงานการผลิต!B28</f>
        <v>0</v>
      </c>
      <c r="E3" s="124">
        <f>รายงานการผลิต!C28</f>
        <v>0</v>
      </c>
      <c r="F3" s="124">
        <f>รายงานการผลิต!D28</f>
        <v>0</v>
      </c>
      <c r="G3" s="124">
        <f>รายงานการผลิต!E28</f>
        <v>0</v>
      </c>
      <c r="H3" s="130">
        <f>รายงานการผลิต!J28</f>
        <v>0</v>
      </c>
      <c r="I3" s="130">
        <f>รายงานการผลิต!K28</f>
        <v>0</v>
      </c>
      <c r="J3" s="130">
        <f>รายงานการผลิต!L28</f>
        <v>0</v>
      </c>
      <c r="K3" s="130">
        <f>รายงานการผลิต!M28</f>
        <v>0</v>
      </c>
      <c r="L3" s="130">
        <f>รายงานการผลิต!N28</f>
        <v>0</v>
      </c>
      <c r="M3" s="130">
        <f>รายงานการผลิต!O28</f>
        <v>0</v>
      </c>
      <c r="N3" s="130">
        <f>รายงานการผลิต!P28</f>
        <v>0</v>
      </c>
      <c r="O3" s="130">
        <f>รายงานการผลิต!Q28</f>
        <v>0</v>
      </c>
    </row>
    <row r="4" spans="1:15">
      <c r="A4" s="888" t="str">
        <f>รายงานการผลิต!$F$1</f>
        <v>โรงงานนครปฐม ครอบชนผนัง</v>
      </c>
      <c r="B4" s="128">
        <f>รายงานการผลิต!$O$1</f>
        <v>242754</v>
      </c>
      <c r="C4" s="129">
        <v>1</v>
      </c>
      <c r="D4" s="124">
        <f>รายงานการผลิต!B31</f>
        <v>0</v>
      </c>
      <c r="E4" s="124">
        <f>รายงานการผลิต!C31</f>
        <v>0</v>
      </c>
      <c r="F4" s="124">
        <f>รายงานการผลิต!D31</f>
        <v>0</v>
      </c>
      <c r="G4" s="124">
        <f>รายงานการผลิต!E31</f>
        <v>0</v>
      </c>
      <c r="H4" s="130">
        <f>รายงานการผลิต!J31</f>
        <v>0</v>
      </c>
      <c r="I4" s="130">
        <f>รายงานการผลิต!K31</f>
        <v>0</v>
      </c>
      <c r="J4" s="130">
        <f>รายงานการผลิต!L31</f>
        <v>0</v>
      </c>
      <c r="K4" s="130">
        <f>รายงานการผลิต!M31</f>
        <v>0</v>
      </c>
      <c r="L4" s="130">
        <f>รายงานการผลิต!N31</f>
        <v>0</v>
      </c>
      <c r="M4" s="130">
        <f>รายงานการผลิต!O31</f>
        <v>0</v>
      </c>
      <c r="N4" s="130">
        <f>รายงานการผลิต!P31</f>
        <v>0</v>
      </c>
      <c r="O4" s="130">
        <f>รายงานการผลิต!Q31</f>
        <v>0</v>
      </c>
    </row>
    <row r="5" spans="1:15">
      <c r="A5" s="888" t="str">
        <f>รายงานการผลิต!$F$1</f>
        <v>โรงงานนครปฐม ครอบชนผนัง</v>
      </c>
      <c r="B5" s="128">
        <f>รายงานการผลิต!$O$1</f>
        <v>242754</v>
      </c>
      <c r="C5" s="129">
        <v>2</v>
      </c>
      <c r="D5" s="124">
        <f>รายงานการผลิต!B33</f>
        <v>56408414</v>
      </c>
      <c r="E5" s="124" t="str">
        <f>รายงานการผลิต!C33</f>
        <v>AB(B)</v>
      </c>
      <c r="F5" s="124" t="str">
        <f>รายงานการผลิต!D33</f>
        <v>เทาแทนทาลั่มP</v>
      </c>
      <c r="G5" s="124">
        <f>รายงานการผลิต!E33</f>
        <v>500</v>
      </c>
      <c r="H5" s="130">
        <f>รายงานการผลิต!J33</f>
        <v>0</v>
      </c>
      <c r="I5" s="130">
        <f>รายงานการผลิต!K33</f>
        <v>0</v>
      </c>
      <c r="J5" s="130">
        <f>รายงานการผลิต!L33</f>
        <v>0</v>
      </c>
      <c r="K5" s="130">
        <f>รายงานการผลิต!M33</f>
        <v>0</v>
      </c>
      <c r="L5" s="130">
        <f>รายงานการผลิต!N33</f>
        <v>0</v>
      </c>
      <c r="M5" s="130">
        <f>รายงานการผลิต!O33</f>
        <v>0</v>
      </c>
      <c r="N5" s="130">
        <f>รายงานการผลิต!P33</f>
        <v>0</v>
      </c>
      <c r="O5" s="130">
        <f>รายงานการผลิต!Q33</f>
        <v>0</v>
      </c>
    </row>
    <row r="6" spans="1:15">
      <c r="A6" s="888" t="str">
        <f>รายงานการผลิต!$F$1</f>
        <v>โรงงานนครปฐม ครอบชนผนัง</v>
      </c>
      <c r="B6" s="128">
        <f>รายงานการผลิต!$O$1</f>
        <v>242754</v>
      </c>
      <c r="C6" s="129">
        <v>2</v>
      </c>
      <c r="D6" s="124" t="str">
        <f>รายงานการผลิต!B35</f>
        <v/>
      </c>
      <c r="E6" s="124" t="str">
        <f>รายงานการผลิต!C35</f>
        <v xml:space="preserve"> </v>
      </c>
      <c r="F6" s="124" t="str">
        <f>รายงานการผลิต!D35</f>
        <v/>
      </c>
      <c r="G6" s="124">
        <f>รายงานการผลิต!E35</f>
        <v>0</v>
      </c>
      <c r="H6" s="130" t="str">
        <f>รายงานการผลิต!J35</f>
        <v/>
      </c>
      <c r="I6" s="130" t="str">
        <f>รายงานการผลิต!K35</f>
        <v/>
      </c>
      <c r="J6" s="130" t="str">
        <f>รายงานการผลิต!L35</f>
        <v/>
      </c>
      <c r="K6" s="130" t="str">
        <f>รายงานการผลิต!M35</f>
        <v/>
      </c>
      <c r="L6" s="130" t="str">
        <f>รายงานการผลิต!N35</f>
        <v/>
      </c>
      <c r="M6" s="130" t="str">
        <f>รายงานการผลิต!O35</f>
        <v/>
      </c>
      <c r="N6" s="130" t="str">
        <f>รายงานการผลิต!P35</f>
        <v/>
      </c>
      <c r="O6" s="130" t="str">
        <f>รายงานการผลิต!Q35</f>
        <v/>
      </c>
    </row>
    <row r="7" spans="1:15">
      <c r="A7" s="888" t="str">
        <f>รายงานการผลิต!$F$1</f>
        <v>โรงงานนครปฐม ครอบชนผนัง</v>
      </c>
      <c r="B7" s="128">
        <f>รายงานการผลิต!$O$1</f>
        <v>242754</v>
      </c>
      <c r="C7" s="129">
        <v>2</v>
      </c>
      <c r="D7" s="124" t="str">
        <f>รายงานการผลิต!B38</f>
        <v/>
      </c>
      <c r="E7" s="124" t="str">
        <f>รายงานการผลิต!C38</f>
        <v xml:space="preserve"> </v>
      </c>
      <c r="F7" s="124" t="str">
        <f>รายงานการผลิต!D38</f>
        <v/>
      </c>
      <c r="G7" s="124">
        <f>รายงานการผลิต!E38</f>
        <v>0</v>
      </c>
      <c r="H7" s="130" t="str">
        <f>รายงานการผลิต!J38</f>
        <v/>
      </c>
      <c r="I7" s="130" t="str">
        <f>รายงานการผลิต!K38</f>
        <v/>
      </c>
      <c r="J7" s="130" t="str">
        <f>รายงานการผลิต!L38</f>
        <v/>
      </c>
      <c r="K7" s="130" t="str">
        <f>รายงานการผลิต!M38</f>
        <v/>
      </c>
      <c r="L7" s="130" t="str">
        <f>รายงานการผลิต!N38</f>
        <v/>
      </c>
      <c r="M7" s="130" t="str">
        <f>รายงานการผลิต!O38</f>
        <v/>
      </c>
      <c r="N7" s="130" t="str">
        <f>รายงานการผลิต!P38</f>
        <v/>
      </c>
      <c r="O7" s="130" t="str">
        <f>รายงานการผลิต!Q38</f>
        <v/>
      </c>
    </row>
    <row r="8" spans="1:15">
      <c r="A8" s="888" t="str">
        <f>รายงานการผลิต!$F$1</f>
        <v>โรงงานนครปฐม ครอบชนผนัง</v>
      </c>
      <c r="B8" s="128">
        <f>รายงานการผลิต!$O$1</f>
        <v>242754</v>
      </c>
      <c r="C8" s="129">
        <v>3</v>
      </c>
      <c r="D8" s="124" t="e">
        <f>รายงานการผลิต!#REF!</f>
        <v>#REF!</v>
      </c>
      <c r="E8" s="124" t="e">
        <f>รายงานการผลิต!#REF!</f>
        <v>#REF!</v>
      </c>
      <c r="F8" s="124" t="e">
        <f>รายงานการผลิต!#REF!</f>
        <v>#REF!</v>
      </c>
      <c r="G8" s="124" t="e">
        <f>รายงานการผลิต!#REF!</f>
        <v>#REF!</v>
      </c>
      <c r="H8" s="130" t="e">
        <f>รายงานการผลิต!#REF!</f>
        <v>#REF!</v>
      </c>
      <c r="I8" s="130" t="e">
        <f>รายงานการผลิต!#REF!</f>
        <v>#REF!</v>
      </c>
      <c r="J8" s="130" t="e">
        <f>รายงานการผลิต!#REF!</f>
        <v>#REF!</v>
      </c>
      <c r="K8" s="130" t="e">
        <f>รายงานการผลิต!#REF!</f>
        <v>#REF!</v>
      </c>
      <c r="L8" s="130" t="e">
        <f>รายงานการผลิต!#REF!</f>
        <v>#REF!</v>
      </c>
      <c r="M8" s="130" t="e">
        <f>รายงานการผลิต!#REF!</f>
        <v>#REF!</v>
      </c>
      <c r="N8" s="130" t="e">
        <f>รายงานการผลิต!#REF!</f>
        <v>#REF!</v>
      </c>
      <c r="O8" s="130" t="e">
        <f>รายงานการผลิต!#REF!</f>
        <v>#REF!</v>
      </c>
    </row>
    <row r="9" spans="1:15">
      <c r="A9" s="888" t="str">
        <f>รายงานการผลิต!$F$1</f>
        <v>โรงงานนครปฐม ครอบชนผนัง</v>
      </c>
      <c r="B9" s="128">
        <f>รายงานการผลิต!$O$1</f>
        <v>242754</v>
      </c>
      <c r="C9" s="129">
        <v>3</v>
      </c>
      <c r="D9" s="124" t="str">
        <f>รายงานการผลิต!B40</f>
        <v/>
      </c>
      <c r="E9" s="124" t="str">
        <f>รายงานการผลิต!C40</f>
        <v xml:space="preserve"> </v>
      </c>
      <c r="F9" s="124" t="str">
        <f>รายงานการผลิต!D40</f>
        <v/>
      </c>
      <c r="G9" s="124">
        <f>รายงานการผลิต!E40</f>
        <v>0</v>
      </c>
      <c r="H9" s="130" t="str">
        <f>รายงานการผลิต!J40</f>
        <v/>
      </c>
      <c r="I9" s="130" t="str">
        <f>รายงานการผลิต!K40</f>
        <v/>
      </c>
      <c r="J9" s="130" t="str">
        <f>รายงานการผลิต!L40</f>
        <v/>
      </c>
      <c r="K9" s="130" t="str">
        <f>รายงานการผลิต!M40</f>
        <v/>
      </c>
      <c r="L9" s="130" t="str">
        <f>รายงานการผลิต!N40</f>
        <v/>
      </c>
      <c r="M9" s="130" t="str">
        <f>รายงานการผลิต!O40</f>
        <v/>
      </c>
      <c r="N9" s="130" t="str">
        <f>รายงานการผลิต!P40</f>
        <v/>
      </c>
      <c r="O9" s="130" t="str">
        <f>รายงานการผลิต!Q40</f>
        <v/>
      </c>
    </row>
    <row r="10" spans="1:15">
      <c r="A10" s="888" t="str">
        <f>รายงานการผลิต!$F$1</f>
        <v>โรงงานนครปฐม ครอบชนผนัง</v>
      </c>
      <c r="B10" s="128">
        <f>รายงานการผลิต!$O$1</f>
        <v>242754</v>
      </c>
      <c r="C10" s="129">
        <v>3</v>
      </c>
      <c r="D10" s="124" t="e">
        <f>รายงานการผลิต!#REF!</f>
        <v>#REF!</v>
      </c>
      <c r="E10" s="124" t="e">
        <f>รายงานการผลิต!#REF!</f>
        <v>#REF!</v>
      </c>
      <c r="F10" s="124" t="e">
        <f>รายงานการผลิต!#REF!</f>
        <v>#REF!</v>
      </c>
      <c r="G10" s="124" t="e">
        <f>รายงานการผลิต!#REF!</f>
        <v>#REF!</v>
      </c>
      <c r="H10" s="130" t="e">
        <f>รายงานการผลิต!#REF!</f>
        <v>#REF!</v>
      </c>
      <c r="I10" s="130" t="e">
        <f>รายงานการผลิต!#REF!</f>
        <v>#REF!</v>
      </c>
      <c r="J10" s="130" t="e">
        <f>รายงานการผลิต!#REF!</f>
        <v>#REF!</v>
      </c>
      <c r="K10" s="130" t="e">
        <f>รายงานการผลิต!#REF!</f>
        <v>#REF!</v>
      </c>
      <c r="L10" s="130" t="e">
        <f>รายงานการผลิต!#REF!</f>
        <v>#REF!</v>
      </c>
      <c r="M10" s="130" t="e">
        <f>รายงานการผลิต!#REF!</f>
        <v>#REF!</v>
      </c>
      <c r="N10" s="130" t="e">
        <f>รายงานการผลิต!#REF!</f>
        <v>#REF!</v>
      </c>
      <c r="O10" s="130" t="e">
        <f>รายงานการผลิต!#REF!</f>
        <v>#REF!</v>
      </c>
    </row>
  </sheetData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A1:AE4"/>
  <sheetViews>
    <sheetView workbookViewId="0">
      <selection activeCell="D35" sqref="D35"/>
    </sheetView>
  </sheetViews>
  <sheetFormatPr defaultColWidth="7" defaultRowHeight="17.5"/>
  <cols>
    <col min="1" max="1" width="20.58203125" style="116" customWidth="1"/>
    <col min="2" max="2" width="5.83203125" style="116" customWidth="1"/>
    <col min="3" max="3" width="23.33203125" style="116" customWidth="1"/>
    <col min="4" max="4" width="11.33203125" style="116" customWidth="1"/>
    <col min="5" max="5" width="11.08203125" style="116" customWidth="1"/>
    <col min="6" max="6" width="14.75" style="116" customWidth="1"/>
    <col min="7" max="7" width="7.75" style="116" customWidth="1"/>
    <col min="8" max="8" width="12.33203125" style="116" customWidth="1"/>
    <col min="9" max="9" width="11.83203125" style="116" customWidth="1"/>
    <col min="10" max="17" width="3.75" style="116" customWidth="1"/>
    <col min="18" max="18" width="5.75" style="116" customWidth="1"/>
    <col min="19" max="22" width="3.75" style="116" customWidth="1"/>
    <col min="23" max="28" width="4" style="116" customWidth="1"/>
    <col min="29" max="29" width="130.58203125" style="116" customWidth="1"/>
    <col min="30" max="31" width="10.33203125" style="116" customWidth="1"/>
    <col min="32" max="16384" width="7" style="116"/>
  </cols>
  <sheetData>
    <row r="1" spans="1:31" s="115" customFormat="1" ht="15">
      <c r="A1" s="115" t="s">
        <v>392</v>
      </c>
      <c r="B1" s="115" t="s">
        <v>371</v>
      </c>
      <c r="C1" s="115" t="s">
        <v>369</v>
      </c>
      <c r="D1" s="115" t="s">
        <v>393</v>
      </c>
      <c r="E1" s="115" t="s">
        <v>394</v>
      </c>
      <c r="F1" s="117" t="s">
        <v>395</v>
      </c>
      <c r="G1" s="115" t="s">
        <v>396</v>
      </c>
      <c r="H1" s="115" t="s">
        <v>375</v>
      </c>
      <c r="I1" s="115" t="s">
        <v>397</v>
      </c>
      <c r="J1" s="115" t="s">
        <v>398</v>
      </c>
      <c r="K1" s="115" t="s">
        <v>399</v>
      </c>
      <c r="L1" s="115" t="s">
        <v>400</v>
      </c>
      <c r="M1" s="115" t="s">
        <v>401</v>
      </c>
      <c r="N1" s="115" t="s">
        <v>402</v>
      </c>
      <c r="O1" s="115" t="s">
        <v>403</v>
      </c>
      <c r="P1" s="115" t="s">
        <v>404</v>
      </c>
      <c r="Q1" s="115" t="s">
        <v>405</v>
      </c>
      <c r="R1" s="115" t="s">
        <v>406</v>
      </c>
      <c r="S1" s="115" t="s">
        <v>407</v>
      </c>
      <c r="T1" s="115" t="s">
        <v>408</v>
      </c>
      <c r="U1" s="115" t="s">
        <v>409</v>
      </c>
      <c r="V1" s="115" t="s">
        <v>410</v>
      </c>
      <c r="W1" s="115" t="s">
        <v>411</v>
      </c>
      <c r="X1" s="115" t="s">
        <v>412</v>
      </c>
      <c r="Y1" s="115" t="s">
        <v>413</v>
      </c>
      <c r="Z1" s="115" t="s">
        <v>414</v>
      </c>
      <c r="AA1" s="115" t="s">
        <v>415</v>
      </c>
      <c r="AB1" s="115" t="s">
        <v>416</v>
      </c>
      <c r="AC1" s="122" t="s">
        <v>417</v>
      </c>
      <c r="AD1" s="115" t="s">
        <v>418</v>
      </c>
      <c r="AE1" s="115" t="s">
        <v>51</v>
      </c>
    </row>
    <row r="2" spans="1:31">
      <c r="A2" s="118">
        <f>รายงานการผลิต!$O$1</f>
        <v>242754</v>
      </c>
      <c r="B2" s="116">
        <v>1</v>
      </c>
      <c r="C2" s="889" t="str">
        <f>รายงานการผลิต!$F$1</f>
        <v>โรงงานนครปฐม ครอบชนผนัง</v>
      </c>
      <c r="D2" s="119">
        <f>สมรรถภาพการผลิต_!B4</f>
        <v>0.33333333333333298</v>
      </c>
      <c r="E2" s="119">
        <f>สมรรถภาพการผลิต_!C4</f>
        <v>0.66666666666666696</v>
      </c>
      <c r="F2" s="116">
        <f>สมรรถภาพการผลิต_!D4</f>
        <v>480.00000003072086</v>
      </c>
      <c r="G2" s="116">
        <f>สมรรถภาพการผลิต_!$K$1</f>
        <v>34</v>
      </c>
      <c r="H2" s="120">
        <f>สมรรถภาพการผลิต_!K4</f>
        <v>705</v>
      </c>
      <c r="I2" s="120">
        <f>สมรรถภาพการผลิต_!L4</f>
        <v>70</v>
      </c>
      <c r="J2" s="116">
        <f>สมรรถภาพการผลิต_!$E$8</f>
        <v>10</v>
      </c>
      <c r="K2" s="116">
        <f>สมรรถภาพการผลิต_!$E$9</f>
        <v>10</v>
      </c>
      <c r="L2" s="116">
        <f>สมรรถภาพการผลิต_!$E$10</f>
        <v>20</v>
      </c>
      <c r="M2" s="116">
        <f>สมรรถภาพการผลิต_!$E$11</f>
        <v>30</v>
      </c>
      <c r="N2" s="116">
        <f>สมรรถภาพการผลิต_!$E$14</f>
        <v>0</v>
      </c>
      <c r="O2" s="116">
        <f>สมรรถภาพการผลิต_!$E$15</f>
        <v>0</v>
      </c>
      <c r="P2" s="116">
        <f>สมรรถภาพการผลิต_!$E$16</f>
        <v>0</v>
      </c>
      <c r="Q2" s="116">
        <f>สมรรถภาพการผลิต_!$E$17</f>
        <v>0</v>
      </c>
      <c r="R2" s="116">
        <f>สมรรถภาพการผลิต_!$E$18</f>
        <v>0</v>
      </c>
      <c r="S2" s="116">
        <f>สมรรถภาพการผลิต_!$E$19</f>
        <v>0</v>
      </c>
      <c r="T2" s="116">
        <f>สมรรถภาพการผลิต_!$E$20</f>
        <v>0</v>
      </c>
      <c r="U2" s="116">
        <f>สมรรถภาพการผลิต_!$E$21</f>
        <v>0</v>
      </c>
      <c r="V2" s="121">
        <f>สมรรถภาพการผลิต_!$L$8</f>
        <v>0</v>
      </c>
      <c r="W2" s="121">
        <f>สมรรถภาพการผลิต_!$L$14</f>
        <v>0</v>
      </c>
      <c r="X2" s="121">
        <f>สมรรถภาพการผลิต_!$L$15</f>
        <v>0</v>
      </c>
      <c r="Y2" s="121">
        <f>สมรรถภาพการผลิต_!$L$16</f>
        <v>0</v>
      </c>
      <c r="Z2" s="121">
        <f>สมรรถภาพการผลิต_!$L$17</f>
        <v>0</v>
      </c>
      <c r="AA2" s="121">
        <f>สมรรถภาพการผลิต_!$L$18</f>
        <v>0</v>
      </c>
      <c r="AB2" s="121">
        <f>สมรรถภาพการผลิต_!$L$19</f>
        <v>0</v>
      </c>
      <c r="AC2" s="116" t="e">
        <f>IF((#REF!)=0," - ",IF(#REF!=0," ",#REF!&amp;"--&gt;"&amp;#REF!)&amp;IF(#REF!=0," ","/"&amp;#REF!&amp;"--&gt;"&amp;#REF!)&amp;IF(#REF!=0," ","/"&amp;#REF!&amp;"--&gt;"&amp;#REF!)&amp;IF(#REF!=0," ","/"&amp;#REF!&amp;"--&gt;"&amp;#REF!))</f>
        <v>#REF!</v>
      </c>
      <c r="AD2" s="123">
        <f>รายงานการผลิต!E32</f>
        <v>710</v>
      </c>
      <c r="AE2" s="123">
        <f>รายงานการผลิต!F32</f>
        <v>708</v>
      </c>
    </row>
    <row r="3" spans="1:31">
      <c r="A3" s="118">
        <f>รายงานการผลิต!$O$1</f>
        <v>242754</v>
      </c>
      <c r="B3" s="116">
        <v>2</v>
      </c>
      <c r="C3" s="889" t="str">
        <f>รายงานการผลิต!$F$1</f>
        <v>โรงงานนครปฐม ครอบชนผนัง</v>
      </c>
      <c r="D3" s="119" t="str">
        <f>สมรรถภาพการผลิต_!B5</f>
        <v/>
      </c>
      <c r="E3" s="119" t="str">
        <f>สมรรถภาพการผลิต_!C5</f>
        <v/>
      </c>
      <c r="F3" s="116">
        <f>สมรรถภาพการผลิต_!D5</f>
        <v>0</v>
      </c>
      <c r="G3" s="116">
        <f>สมรรถภาพการผลิต_!$K$1</f>
        <v>34</v>
      </c>
      <c r="H3" s="120">
        <f>สมรรถภาพการผลิต_!K5</f>
        <v>500</v>
      </c>
      <c r="I3" s="120">
        <f>สมรรถภาพการผลิต_!L5</f>
        <v>20</v>
      </c>
      <c r="J3" s="116">
        <f>สมรรถภาพการผลิต_!$F$8</f>
        <v>0</v>
      </c>
      <c r="K3" s="116">
        <f>สมรรถภาพการผลิต_!$F$9</f>
        <v>0</v>
      </c>
      <c r="L3" s="116">
        <f>สมรรถภาพการผลิต_!$F$10</f>
        <v>0</v>
      </c>
      <c r="M3" s="116">
        <f>สมรรถภาพการผลิต_!$F$11</f>
        <v>0</v>
      </c>
      <c r="N3" s="116">
        <f>สมรรถภาพการผลิต_!$F$14</f>
        <v>0</v>
      </c>
      <c r="O3" s="116">
        <f>สมรรถภาพการผลิต_!$F$15</f>
        <v>0</v>
      </c>
      <c r="P3" s="116">
        <f>สมรรถภาพการผลิต_!$F$16</f>
        <v>0</v>
      </c>
      <c r="Q3" s="116">
        <f>สมรรถภาพการผลิต_!$F$17</f>
        <v>0</v>
      </c>
      <c r="R3" s="121">
        <f>สมรรถภาพการผลิต_!$F$18</f>
        <v>0</v>
      </c>
      <c r="S3" s="116">
        <f>สมรรถภาพการผลิต_!$F$19</f>
        <v>0</v>
      </c>
      <c r="T3" s="116">
        <f>สมรรถภาพการผลิต_!$F$20</f>
        <v>0</v>
      </c>
      <c r="U3" s="116">
        <f>สมรรถภาพการผลิต_!$F$21</f>
        <v>0</v>
      </c>
      <c r="V3" s="121">
        <f>สมรรถภาพการผลิต_!$M$8</f>
        <v>0</v>
      </c>
      <c r="W3" s="121">
        <f>สมรรถภาพการผลิต_!$M$14</f>
        <v>0</v>
      </c>
      <c r="X3" s="121">
        <f>สมรรถภาพการผลิต_!$M$15</f>
        <v>0</v>
      </c>
      <c r="Y3" s="121">
        <f>สมรรถภาพการผลิต_!$M$16</f>
        <v>0</v>
      </c>
      <c r="Z3" s="121">
        <f>สมรรถภาพการผลิต_!$M$17</f>
        <v>0</v>
      </c>
      <c r="AA3" s="121">
        <f>สมรรถภาพการผลิต_!$M$18</f>
        <v>0</v>
      </c>
      <c r="AB3" s="121">
        <f>สมรรถภาพการผลิต_!$M$19</f>
        <v>0</v>
      </c>
      <c r="AC3" s="116" t="e">
        <f>IF((#REF!)=0," - ",IF(#REF!=0," ",#REF!&amp;"--&gt;"&amp;#REF!)&amp;IF(#REF!=0," ","/"&amp;#REF!&amp;"--&gt;"&amp;#REF!)&amp;IF(#REF!=0," ","/"&amp;#REF!&amp;"--&gt;"&amp;#REF!)&amp;IF(#REF!=0," ","/"&amp;#REF!&amp;"--&gt;"&amp;#REF!))</f>
        <v>#REF!</v>
      </c>
      <c r="AD3" s="123">
        <f>รายงานการผลิต!E39</f>
        <v>500</v>
      </c>
      <c r="AE3" s="123">
        <f>รายงานการผลิต!F39</f>
        <v>488</v>
      </c>
    </row>
    <row r="4" spans="1:31">
      <c r="A4" s="118">
        <f>รายงานการผลิต!$O$1</f>
        <v>242754</v>
      </c>
      <c r="B4" s="116">
        <v>3</v>
      </c>
      <c r="C4" s="889" t="str">
        <f>รายงานการผลิต!$F$1</f>
        <v>โรงงานนครปฐม ครอบชนผนัง</v>
      </c>
      <c r="D4" s="119" t="str">
        <f>สมรรถภาพการผลิต_!B6</f>
        <v/>
      </c>
      <c r="E4" s="119" t="str">
        <f>สมรรถภาพการผลิต_!C6</f>
        <v/>
      </c>
      <c r="F4" s="116">
        <f>สมรรถภาพการผลิต_!D6</f>
        <v>0</v>
      </c>
      <c r="G4" s="116">
        <f>สมรรถภาพการผลิต_!$K$1</f>
        <v>34</v>
      </c>
      <c r="H4" s="120">
        <f>สมรรถภาพการผลิต_!K6</f>
        <v>0</v>
      </c>
      <c r="I4" s="120">
        <f>สมรรถภาพการผลิต_!L6</f>
        <v>0</v>
      </c>
      <c r="J4" s="116">
        <f>สมรรถภาพการผลิต_!$G$8</f>
        <v>0</v>
      </c>
      <c r="K4" s="116">
        <f>สมรรถภาพการผลิต_!$G$9</f>
        <v>0</v>
      </c>
      <c r="L4" s="116">
        <f>สมรรถภาพการผลิต_!$G$10</f>
        <v>0</v>
      </c>
      <c r="M4" s="116">
        <f>สมรรถภาพการผลิต_!$G$11</f>
        <v>0</v>
      </c>
      <c r="N4" s="116">
        <f>สมรรถภาพการผลิต_!$G$14</f>
        <v>0</v>
      </c>
      <c r="O4" s="116">
        <f>สมรรถภาพการผลิต_!$G$15</f>
        <v>0</v>
      </c>
      <c r="P4" s="116">
        <f>สมรรถภาพการผลิต_!$G$16</f>
        <v>0</v>
      </c>
      <c r="Q4" s="116">
        <f>สมรรถภาพการผลิต_!$G$17</f>
        <v>0</v>
      </c>
      <c r="R4" s="121">
        <f>สมรรถภาพการผลิต_!$G$18</f>
        <v>0</v>
      </c>
      <c r="S4" s="116">
        <f>สมรรถภาพการผลิต_!$G$19</f>
        <v>0</v>
      </c>
      <c r="T4" s="116">
        <f>สมรรถภาพการผลิต_!$G$20</f>
        <v>0</v>
      </c>
      <c r="U4" s="116">
        <f>สมรรถภาพการผลิต_!$G$21</f>
        <v>0</v>
      </c>
      <c r="V4" s="121">
        <f>สมรรถภาพการผลิต_!$N$8</f>
        <v>0</v>
      </c>
      <c r="W4" s="121">
        <f>สมรรถภาพการผลิต_!$N$14</f>
        <v>0</v>
      </c>
      <c r="X4" s="121">
        <f>สมรรถภาพการผลิต_!$N$15</f>
        <v>0</v>
      </c>
      <c r="Y4" s="121">
        <f>สมรรถภาพการผลิต_!$N$16</f>
        <v>0</v>
      </c>
      <c r="Z4" s="121">
        <f>สมรรถภาพการผลิต_!$N$17</f>
        <v>0</v>
      </c>
      <c r="AA4" s="121">
        <f>สมรรถภาพการผลิต_!$N$18</f>
        <v>0</v>
      </c>
      <c r="AB4" s="121">
        <f>สมรรถภาพการผลิต_!$N$19</f>
        <v>0</v>
      </c>
      <c r="AD4" s="123">
        <f>รายงานการผลิต!E41</f>
        <v>0</v>
      </c>
      <c r="AE4" s="123">
        <f>รายงานการผลิต!F41</f>
        <v>0</v>
      </c>
    </row>
  </sheetData>
  <pageMargins left="0.75" right="0.75" top="1" bottom="1" header="0.5" footer="0.5"/>
  <pageSetup paperSize="9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:W53"/>
  <sheetViews>
    <sheetView topLeftCell="A7" workbookViewId="0">
      <selection activeCell="G13" sqref="G13"/>
    </sheetView>
  </sheetViews>
  <sheetFormatPr defaultColWidth="9" defaultRowHeight="24.5"/>
  <cols>
    <col min="1" max="1" width="7.5" customWidth="1"/>
    <col min="2" max="2" width="8.58203125" customWidth="1"/>
    <col min="3" max="3" width="10.08203125" customWidth="1"/>
    <col min="5" max="5" width="6.58203125" customWidth="1"/>
    <col min="7" max="11" width="9.75" customWidth="1"/>
    <col min="12" max="15" width="8.5" customWidth="1"/>
  </cols>
  <sheetData>
    <row r="1" spans="1:14" ht="29">
      <c r="A1" s="87" t="s">
        <v>419</v>
      </c>
    </row>
    <row r="2" spans="1:14">
      <c r="A2" s="1467">
        <f>รายงานการผลิต!$O$1</f>
        <v>242754</v>
      </c>
      <c r="B2" s="1467"/>
    </row>
    <row r="3" spans="1:14">
      <c r="A3" s="88"/>
      <c r="B3" s="89" t="s">
        <v>420</v>
      </c>
    </row>
    <row r="4" spans="1:14">
      <c r="A4" s="1455" t="s">
        <v>160</v>
      </c>
      <c r="B4" s="1457" t="s">
        <v>421</v>
      </c>
      <c r="C4" s="90" t="s">
        <v>40</v>
      </c>
      <c r="D4" s="90" t="s">
        <v>41</v>
      </c>
      <c r="E4" s="1454" t="s">
        <v>422</v>
      </c>
      <c r="F4" s="1454"/>
      <c r="G4" s="91" t="s">
        <v>375</v>
      </c>
      <c r="H4" s="92" t="s">
        <v>423</v>
      </c>
      <c r="I4" s="111" t="s">
        <v>140</v>
      </c>
      <c r="J4" s="92" t="s">
        <v>424</v>
      </c>
      <c r="K4" s="92" t="s">
        <v>425</v>
      </c>
      <c r="L4" s="90" t="s">
        <v>77</v>
      </c>
      <c r="M4" s="90" t="s">
        <v>426</v>
      </c>
    </row>
    <row r="5" spans="1:14">
      <c r="A5" s="1456"/>
      <c r="B5" s="1458"/>
      <c r="C5" s="94" t="s">
        <v>99</v>
      </c>
      <c r="D5" s="94" t="s">
        <v>99</v>
      </c>
      <c r="E5" s="1136" t="s">
        <v>99</v>
      </c>
      <c r="F5" s="1136" t="s">
        <v>66</v>
      </c>
      <c r="G5" s="95" t="s">
        <v>427</v>
      </c>
      <c r="H5" s="96" t="s">
        <v>428</v>
      </c>
      <c r="I5" s="112" t="s">
        <v>429</v>
      </c>
      <c r="J5" s="113" t="s">
        <v>430</v>
      </c>
      <c r="K5" s="113" t="s">
        <v>64</v>
      </c>
      <c r="L5" s="93" t="s">
        <v>20</v>
      </c>
      <c r="M5" s="93" t="s">
        <v>79</v>
      </c>
    </row>
    <row r="6" spans="1:14">
      <c r="A6" s="1136">
        <v>1</v>
      </c>
      <c r="B6" s="1137">
        <f>รายงานการผลิต!$E$10</f>
        <v>700</v>
      </c>
      <c r="C6" s="1137">
        <f>รายงานการผลิต!F10</f>
        <v>775</v>
      </c>
      <c r="D6" s="1137">
        <f>รายงานการผลิต!G10</f>
        <v>705</v>
      </c>
      <c r="E6" s="1136">
        <f>C6-D6</f>
        <v>70</v>
      </c>
      <c r="F6" s="1138">
        <f>+E6*100/C6</f>
        <v>9.0322580645161299</v>
      </c>
      <c r="G6" s="1139">
        <f>+D6*100/B6</f>
        <v>100.71428571428571</v>
      </c>
      <c r="H6" s="1140">
        <f>รายงานการผลิต!$M$7</f>
        <v>0</v>
      </c>
      <c r="I6" s="1140">
        <f>รายงานการผลิต!Q7</f>
        <v>0</v>
      </c>
      <c r="J6" s="1141">
        <f>รายงานการผลิต!R7</f>
        <v>0</v>
      </c>
      <c r="K6" s="1139">
        <f>รายงานการผลิต!$T$7</f>
        <v>0</v>
      </c>
      <c r="L6" s="1139">
        <f>รายงานการผลิต!$P$9</f>
        <v>0</v>
      </c>
      <c r="M6" s="1139">
        <f>รายงานการผลิต!$S$9</f>
        <v>1</v>
      </c>
    </row>
    <row r="7" spans="1:14">
      <c r="A7" s="94">
        <v>2</v>
      </c>
      <c r="B7" s="97">
        <f>รายงานการผลิต!$E$15</f>
        <v>500</v>
      </c>
      <c r="C7" s="97">
        <f>รายงานการผลิต!F15</f>
        <v>520</v>
      </c>
      <c r="D7" s="97">
        <f>รายงานการผลิต!G15</f>
        <v>500</v>
      </c>
      <c r="E7" s="1136">
        <f>C7-D7</f>
        <v>20</v>
      </c>
      <c r="F7" s="1138">
        <f>+E7*100/C7</f>
        <v>3.8461538461538463</v>
      </c>
      <c r="G7" s="1139">
        <f>+D7*100/B7</f>
        <v>100</v>
      </c>
      <c r="H7" s="1140">
        <f>รายงานการผลิต!$M$13</f>
        <v>0</v>
      </c>
      <c r="I7" s="1140">
        <f>รายงานการผลิต!Q13</f>
        <v>0</v>
      </c>
      <c r="J7" s="1141">
        <f>รายงานการผลิต!R13</f>
        <v>0</v>
      </c>
      <c r="K7" s="1139">
        <f>รายงานการผลิต!$T$13</f>
        <v>0</v>
      </c>
      <c r="L7" s="1139">
        <f>รายงานการผลิต!$P$14</f>
        <v>0</v>
      </c>
      <c r="M7" s="1139">
        <f>รายงานการผลิต!$S$14</f>
        <v>1</v>
      </c>
    </row>
    <row r="8" spans="1:14">
      <c r="A8" s="1136" t="s">
        <v>173</v>
      </c>
      <c r="B8" s="1142">
        <f>SUM(B6:B7)</f>
        <v>1200</v>
      </c>
      <c r="C8" s="1137">
        <f>SUM(C6:C7)</f>
        <v>1295</v>
      </c>
      <c r="D8" s="1137">
        <f>SUM(D6:D7)</f>
        <v>1205</v>
      </c>
      <c r="E8" s="1136">
        <f>C8-D8</f>
        <v>90</v>
      </c>
      <c r="F8" s="1138">
        <f>+E8*100/C8</f>
        <v>6.9498069498069501</v>
      </c>
      <c r="G8" s="98">
        <f>+D8*100/B8</f>
        <v>100.41666666666667</v>
      </c>
      <c r="H8" s="1143">
        <f>รายงานการผลิต!$M$22</f>
        <v>0</v>
      </c>
      <c r="I8" s="1143">
        <f>รายงานการผลิต!Q22</f>
        <v>0</v>
      </c>
      <c r="J8" s="1143">
        <f>รายงานการผลิต!R22</f>
        <v>0</v>
      </c>
      <c r="K8" s="1144">
        <f>รายงานการผลิต!$T$22</f>
        <v>0</v>
      </c>
      <c r="L8" s="1139">
        <f>SUM(L6:L7)</f>
        <v>0</v>
      </c>
      <c r="M8" s="1139">
        <f>SUM(M6:M7)</f>
        <v>2</v>
      </c>
    </row>
    <row r="9" spans="1:14">
      <c r="A9" s="99"/>
      <c r="B9" s="100"/>
      <c r="C9" s="101"/>
      <c r="D9" s="101"/>
      <c r="E9" s="99"/>
      <c r="F9" s="1145" t="s">
        <v>431</v>
      </c>
      <c r="G9" s="1146">
        <v>100</v>
      </c>
      <c r="H9" s="1147">
        <v>560</v>
      </c>
      <c r="I9" s="1148">
        <v>5.5</v>
      </c>
      <c r="J9" s="1149">
        <v>9.5</v>
      </c>
      <c r="K9" s="1147">
        <v>480</v>
      </c>
      <c r="L9" s="114"/>
      <c r="M9" s="114"/>
    </row>
    <row r="10" spans="1:14">
      <c r="B10" s="102" t="s">
        <v>50</v>
      </c>
    </row>
    <row r="11" spans="1:14">
      <c r="A11" s="1455" t="s">
        <v>160</v>
      </c>
      <c r="B11" s="1468" t="s">
        <v>432</v>
      </c>
      <c r="C11" s="1468"/>
      <c r="D11" s="1468"/>
      <c r="E11" s="1468"/>
      <c r="F11" s="1469" t="s">
        <v>433</v>
      </c>
      <c r="G11" s="1469"/>
      <c r="H11" s="1469"/>
      <c r="I11" s="1469"/>
      <c r="J11" s="1469"/>
      <c r="K11" s="1469"/>
      <c r="L11" s="1469"/>
      <c r="M11" s="1469"/>
    </row>
    <row r="12" spans="1:14">
      <c r="A12" s="1456"/>
      <c r="B12" s="1150" t="s">
        <v>50</v>
      </c>
      <c r="C12" s="1150" t="s">
        <v>51</v>
      </c>
      <c r="D12" s="1150" t="s">
        <v>42</v>
      </c>
      <c r="E12" s="1151" t="s">
        <v>434</v>
      </c>
      <c r="F12" s="1152" t="s">
        <v>118</v>
      </c>
      <c r="G12" s="1152" t="s">
        <v>435</v>
      </c>
      <c r="H12" s="1152" t="s">
        <v>33</v>
      </c>
      <c r="I12" s="1152" t="s">
        <v>48</v>
      </c>
      <c r="J12" s="1152" t="s">
        <v>436</v>
      </c>
      <c r="K12" s="1152" t="s">
        <v>437</v>
      </c>
      <c r="L12" s="1152" t="s">
        <v>123</v>
      </c>
      <c r="M12" s="1152" t="s">
        <v>438</v>
      </c>
      <c r="N12" s="1153" t="s">
        <v>173</v>
      </c>
    </row>
    <row r="13" spans="1:14">
      <c r="A13" s="1136">
        <v>1</v>
      </c>
      <c r="B13" s="1137">
        <f>รายงานการผลิต!E32</f>
        <v>710</v>
      </c>
      <c r="C13" s="1137">
        <f>รายงานการผลิต!F32</f>
        <v>708</v>
      </c>
      <c r="D13" s="1137">
        <f>B13-C13</f>
        <v>2</v>
      </c>
      <c r="E13" s="1154">
        <f>D13*100/B13</f>
        <v>0.28169014084507044</v>
      </c>
      <c r="F13" s="1137">
        <f>รายงานการผลิต!J32</f>
        <v>0</v>
      </c>
      <c r="G13" s="1137">
        <f>รายงานการผลิต!K32</f>
        <v>0</v>
      </c>
      <c r="H13" s="1137">
        <f>รายงานการผลิต!L32</f>
        <v>0</v>
      </c>
      <c r="I13" s="1137">
        <f>รายงานการผลิต!M32</f>
        <v>0</v>
      </c>
      <c r="J13" s="1137">
        <f>รายงานการผลิต!N32</f>
        <v>0</v>
      </c>
      <c r="K13" s="1137">
        <f>รายงานการผลิต!O32</f>
        <v>0</v>
      </c>
      <c r="L13" s="1137">
        <f>รายงานการผลิต!P32</f>
        <v>0</v>
      </c>
      <c r="M13" s="1137">
        <f>รายงานการผลิต!Q32</f>
        <v>0</v>
      </c>
    </row>
    <row r="14" spans="1:14">
      <c r="A14" s="94"/>
      <c r="B14" s="1137"/>
      <c r="C14" s="1137"/>
      <c r="D14" s="1137"/>
      <c r="E14" s="1154"/>
      <c r="F14" s="1155">
        <f>F13*100/B13</f>
        <v>0</v>
      </c>
      <c r="G14" s="1155">
        <f>G13*100/B13</f>
        <v>0</v>
      </c>
      <c r="H14" s="1155">
        <f>H13*100/B13</f>
        <v>0</v>
      </c>
      <c r="I14" s="1155">
        <f>I13*100/B13</f>
        <v>0</v>
      </c>
      <c r="J14" s="1155">
        <f>J13*100/B13</f>
        <v>0</v>
      </c>
      <c r="K14" s="1155">
        <f>K13*100/B13</f>
        <v>0</v>
      </c>
      <c r="L14" s="1155">
        <f>L13*100/B13</f>
        <v>0</v>
      </c>
      <c r="M14" s="1155">
        <f>M13*100/B13</f>
        <v>0</v>
      </c>
    </row>
    <row r="15" spans="1:14">
      <c r="A15" s="94">
        <v>2</v>
      </c>
      <c r="B15" s="1137">
        <f>รายงานการผลิต!E39</f>
        <v>500</v>
      </c>
      <c r="C15" s="1137">
        <f>รายงานการผลิต!F39</f>
        <v>488</v>
      </c>
      <c r="D15" s="1137">
        <f>B15-C15</f>
        <v>12</v>
      </c>
      <c r="E15" s="1154">
        <f>D15*100/B15</f>
        <v>2.4</v>
      </c>
      <c r="F15" s="1137">
        <f>รายงานการผลิต!J39</f>
        <v>0</v>
      </c>
      <c r="G15" s="1137">
        <f>รายงานการผลิต!K39</f>
        <v>0</v>
      </c>
      <c r="H15" s="1137">
        <f>รายงานการผลิต!L39</f>
        <v>0</v>
      </c>
      <c r="I15" s="1137">
        <f>รายงานการผลิต!M39</f>
        <v>0</v>
      </c>
      <c r="J15" s="1137">
        <f>รายงานการผลิต!N39</f>
        <v>0</v>
      </c>
      <c r="K15" s="1137">
        <f>รายงานการผลิต!O39</f>
        <v>0</v>
      </c>
      <c r="L15" s="1137">
        <f>รายงานการผลิต!P39</f>
        <v>0</v>
      </c>
      <c r="M15" s="1137">
        <f>รายงานการผลิต!Q39</f>
        <v>0</v>
      </c>
    </row>
    <row r="16" spans="1:14">
      <c r="A16" s="94"/>
      <c r="B16" s="1137"/>
      <c r="C16" s="1137"/>
      <c r="D16" s="1137"/>
      <c r="E16" s="1154"/>
      <c r="F16" s="1155">
        <f>F15*100/B15</f>
        <v>0</v>
      </c>
      <c r="G16" s="1155">
        <f>G15*100/B15</f>
        <v>0</v>
      </c>
      <c r="H16" s="1155">
        <f>H15*100/B15</f>
        <v>0</v>
      </c>
      <c r="I16" s="1155">
        <f>I15*100/B15</f>
        <v>0</v>
      </c>
      <c r="J16" s="1155">
        <f>J15*100/B15</f>
        <v>0</v>
      </c>
      <c r="K16" s="1155">
        <f>K15*100/B15</f>
        <v>0</v>
      </c>
      <c r="L16" s="1155">
        <f>L15*100/B15</f>
        <v>0</v>
      </c>
      <c r="M16" s="1155">
        <f>M15*100/B15</f>
        <v>0</v>
      </c>
    </row>
    <row r="17" spans="1:23">
      <c r="A17" s="1136" t="s">
        <v>173</v>
      </c>
      <c r="B17" s="1137">
        <f>รายงานการผลิต!E42</f>
        <v>1210</v>
      </c>
      <c r="C17" s="1137">
        <f>รายงานการผลิต!F42</f>
        <v>1196</v>
      </c>
      <c r="D17" s="1137">
        <f>B17-C17</f>
        <v>14</v>
      </c>
      <c r="E17" s="1156">
        <f>D17*100/B17</f>
        <v>1.1570247933884297</v>
      </c>
      <c r="F17" s="1137">
        <f t="shared" ref="F17:M17" si="0">SUM(F13:F15)</f>
        <v>0</v>
      </c>
      <c r="G17" s="1137">
        <f t="shared" si="0"/>
        <v>0</v>
      </c>
      <c r="H17" s="1137">
        <f t="shared" si="0"/>
        <v>0</v>
      </c>
      <c r="I17" s="1137">
        <f t="shared" si="0"/>
        <v>0</v>
      </c>
      <c r="J17" s="1137">
        <f t="shared" si="0"/>
        <v>0</v>
      </c>
      <c r="K17" s="1137">
        <f t="shared" si="0"/>
        <v>0</v>
      </c>
      <c r="L17" s="1137">
        <f t="shared" si="0"/>
        <v>0</v>
      </c>
      <c r="M17" s="1137">
        <f t="shared" si="0"/>
        <v>0</v>
      </c>
    </row>
    <row r="18" spans="1:23">
      <c r="E18" s="103"/>
      <c r="F18" s="1155">
        <f>F17*100/B17</f>
        <v>0</v>
      </c>
      <c r="G18" s="1155">
        <f>G17*100/B17</f>
        <v>0</v>
      </c>
      <c r="H18" s="1155">
        <f>H17*100/B17</f>
        <v>0</v>
      </c>
      <c r="I18" s="1155">
        <f>I17*100/B17</f>
        <v>0</v>
      </c>
      <c r="J18" s="1155">
        <f>J17*100/B17</f>
        <v>0</v>
      </c>
      <c r="K18" s="1155">
        <f>K17*100/B17</f>
        <v>0</v>
      </c>
      <c r="L18" s="1155">
        <f>L17*100/B17</f>
        <v>0</v>
      </c>
      <c r="M18" s="1155">
        <f>M17*100/B17</f>
        <v>0</v>
      </c>
      <c r="N18" s="1157">
        <f>E17</f>
        <v>1.1570247933884297</v>
      </c>
    </row>
    <row r="19" spans="1:23">
      <c r="E19" s="104"/>
      <c r="F19" s="104"/>
      <c r="G19" s="104"/>
      <c r="H19" s="104"/>
      <c r="I19" s="104"/>
      <c r="J19" s="104"/>
      <c r="K19" s="104"/>
      <c r="L19" s="104"/>
      <c r="P19" s="104"/>
      <c r="Q19" s="104"/>
      <c r="R19" s="104"/>
      <c r="S19" s="104"/>
      <c r="T19" s="104"/>
      <c r="U19" s="104"/>
      <c r="V19" s="104"/>
      <c r="W19" s="104"/>
    </row>
    <row r="20" spans="1:23">
      <c r="E20" s="104"/>
      <c r="F20" s="104"/>
      <c r="G20" s="104"/>
      <c r="H20" s="104"/>
      <c r="I20" s="104"/>
      <c r="J20" s="104"/>
      <c r="K20" s="104"/>
      <c r="L20" s="104"/>
      <c r="P20" s="104"/>
      <c r="Q20" s="104"/>
      <c r="R20" s="104"/>
      <c r="S20" s="104"/>
      <c r="T20" s="104"/>
      <c r="U20" s="104"/>
      <c r="V20" s="104"/>
      <c r="W20" s="104"/>
    </row>
    <row r="21" spans="1:23">
      <c r="E21" s="104"/>
      <c r="F21" s="104"/>
      <c r="G21" s="104"/>
      <c r="H21" s="104"/>
      <c r="I21" s="104"/>
      <c r="J21" s="104"/>
      <c r="K21" s="104"/>
      <c r="L21" s="104"/>
      <c r="P21" s="104"/>
      <c r="Q21" s="104"/>
      <c r="R21" s="104"/>
      <c r="S21" s="104"/>
      <c r="T21" s="104"/>
      <c r="U21" s="104"/>
      <c r="V21" s="104"/>
      <c r="W21" s="104"/>
    </row>
    <row r="22" spans="1:23">
      <c r="E22" s="104"/>
      <c r="F22" s="104"/>
      <c r="G22" s="104"/>
      <c r="H22" s="104"/>
      <c r="I22" s="104"/>
      <c r="J22" s="104"/>
      <c r="K22" s="104"/>
      <c r="L22" s="104"/>
      <c r="P22" s="104"/>
      <c r="Q22" s="104"/>
      <c r="R22" s="104"/>
      <c r="S22" s="104"/>
      <c r="T22" s="104"/>
      <c r="U22" s="104"/>
      <c r="V22" s="104"/>
      <c r="W22" s="104"/>
    </row>
    <row r="23" spans="1:23">
      <c r="E23" s="104"/>
      <c r="F23" s="104"/>
      <c r="G23" s="104"/>
      <c r="H23" s="104"/>
      <c r="I23" s="104"/>
      <c r="J23" s="104"/>
      <c r="K23" s="104"/>
      <c r="L23" s="104"/>
      <c r="P23" s="104"/>
      <c r="Q23" s="104"/>
      <c r="R23" s="104"/>
      <c r="S23" s="104"/>
      <c r="T23" s="104"/>
      <c r="U23" s="104"/>
      <c r="V23" s="104"/>
      <c r="W23" s="104"/>
    </row>
    <row r="24" spans="1:23">
      <c r="E24" s="104"/>
      <c r="F24" s="104"/>
      <c r="G24" s="104"/>
      <c r="H24" s="104"/>
      <c r="I24" s="104"/>
      <c r="J24" s="104"/>
      <c r="K24" s="104"/>
      <c r="L24" s="104"/>
      <c r="P24" s="104"/>
      <c r="Q24" s="104"/>
      <c r="R24" s="104"/>
      <c r="S24" s="104"/>
      <c r="T24" s="104"/>
      <c r="U24" s="104"/>
      <c r="V24" s="104"/>
      <c r="W24" s="104"/>
    </row>
    <row r="25" spans="1:23">
      <c r="E25" s="104"/>
      <c r="F25" s="104"/>
      <c r="G25" s="104"/>
      <c r="H25" s="104"/>
      <c r="I25" s="104"/>
      <c r="J25" s="104"/>
      <c r="K25" s="104"/>
      <c r="L25" s="104"/>
      <c r="P25" s="104"/>
      <c r="Q25" s="104"/>
      <c r="R25" s="104"/>
      <c r="S25" s="104"/>
      <c r="T25" s="104"/>
      <c r="U25" s="104"/>
      <c r="V25" s="104"/>
      <c r="W25" s="104"/>
    </row>
    <row r="26" spans="1:23">
      <c r="P26" s="104"/>
      <c r="Q26" s="104"/>
      <c r="R26" s="104"/>
      <c r="S26" s="104"/>
      <c r="T26" s="104"/>
      <c r="U26" s="104"/>
      <c r="V26" s="104"/>
      <c r="W26" s="104"/>
    </row>
    <row r="27" spans="1:23">
      <c r="P27" s="104"/>
      <c r="Q27" s="104"/>
      <c r="R27" s="104"/>
      <c r="S27" s="104"/>
      <c r="T27" s="104"/>
      <c r="U27" s="104"/>
      <c r="V27" s="104"/>
      <c r="W27" s="104"/>
    </row>
    <row r="28" spans="1:23">
      <c r="P28" s="104"/>
      <c r="Q28" s="104"/>
      <c r="R28" s="104"/>
      <c r="S28" s="104"/>
      <c r="T28" s="104"/>
      <c r="U28" s="104"/>
      <c r="V28" s="104"/>
      <c r="W28" s="104"/>
    </row>
    <row r="29" spans="1:23">
      <c r="B29" s="102" t="s">
        <v>439</v>
      </c>
      <c r="P29" s="104"/>
      <c r="Q29" s="104"/>
      <c r="R29" s="104"/>
      <c r="S29" s="104"/>
      <c r="T29" s="104"/>
      <c r="U29" s="104"/>
      <c r="V29" s="104"/>
      <c r="W29" s="104"/>
    </row>
    <row r="30" spans="1:23">
      <c r="A30" s="1453" t="s">
        <v>440</v>
      </c>
      <c r="B30" s="1453"/>
      <c r="C30" s="1453"/>
      <c r="D30" s="1470" t="s">
        <v>441</v>
      </c>
      <c r="E30" s="1471"/>
      <c r="F30" s="1471"/>
      <c r="G30" s="1471"/>
      <c r="H30" s="1472"/>
      <c r="I30" s="1451" t="s">
        <v>442</v>
      </c>
      <c r="J30" s="1470" t="s">
        <v>443</v>
      </c>
      <c r="K30" s="1471"/>
      <c r="L30" s="1471"/>
      <c r="M30" s="1471"/>
      <c r="N30" s="1472"/>
      <c r="O30" s="1451" t="s">
        <v>444</v>
      </c>
      <c r="P30" s="1451" t="s">
        <v>445</v>
      </c>
    </row>
    <row r="31" spans="1:23">
      <c r="A31" s="1453"/>
      <c r="B31" s="1453"/>
      <c r="C31" s="1453"/>
      <c r="D31" s="1153" t="s">
        <v>446</v>
      </c>
      <c r="E31" s="1153" t="s">
        <v>447</v>
      </c>
      <c r="F31" s="1153" t="s">
        <v>448</v>
      </c>
      <c r="G31" s="1153" t="s">
        <v>449</v>
      </c>
      <c r="H31" s="1153" t="s">
        <v>450</v>
      </c>
      <c r="I31" s="1452"/>
      <c r="J31" s="1158" t="s">
        <v>446</v>
      </c>
      <c r="K31" s="1158" t="s">
        <v>447</v>
      </c>
      <c r="L31" s="1158" t="s">
        <v>448</v>
      </c>
      <c r="M31" s="1158" t="s">
        <v>449</v>
      </c>
      <c r="N31" s="1158" t="s">
        <v>450</v>
      </c>
      <c r="O31" s="1452"/>
      <c r="P31" s="1452"/>
    </row>
    <row r="32" spans="1:23">
      <c r="A32" s="105" t="s">
        <v>451</v>
      </c>
      <c r="B32" s="106"/>
      <c r="C32" s="107"/>
      <c r="D32" s="1154" t="e">
        <f>#REF!</f>
        <v>#REF!</v>
      </c>
      <c r="E32" s="1154" t="e">
        <f>#REF!</f>
        <v>#REF!</v>
      </c>
      <c r="F32" s="1154" t="e">
        <f>#REF!</f>
        <v>#REF!</v>
      </c>
      <c r="G32" s="1154" t="e">
        <f>#REF!</f>
        <v>#REF!</v>
      </c>
      <c r="H32" s="1154" t="e">
        <f>#REF!</f>
        <v>#REF!</v>
      </c>
      <c r="I32" s="1159" t="e">
        <f>#REF!</f>
        <v>#REF!</v>
      </c>
      <c r="J32" s="1136" t="e">
        <f>#REF!</f>
        <v>#REF!</v>
      </c>
      <c r="K32" s="1136" t="e">
        <f>#REF!</f>
        <v>#REF!</v>
      </c>
      <c r="L32" s="1136" t="e">
        <f>#REF!</f>
        <v>#REF!</v>
      </c>
      <c r="M32" s="1136" t="e">
        <f>#REF!</f>
        <v>#REF!</v>
      </c>
      <c r="N32" s="1136" t="e">
        <f>#REF!</f>
        <v>#REF!</v>
      </c>
      <c r="O32" s="1160" t="e">
        <f>#REF!</f>
        <v>#REF!</v>
      </c>
      <c r="P32" s="1136" t="e">
        <f>#REF!</f>
        <v>#REF!</v>
      </c>
    </row>
    <row r="33" spans="1:16">
      <c r="A33" s="1161" t="s">
        <v>452</v>
      </c>
      <c r="B33" s="1162"/>
      <c r="C33" s="1163"/>
      <c r="D33" s="1154" t="e">
        <f>#REF!</f>
        <v>#REF!</v>
      </c>
      <c r="E33" s="1154" t="e">
        <f>#REF!</f>
        <v>#REF!</v>
      </c>
      <c r="F33" s="1154" t="e">
        <f>#REF!</f>
        <v>#REF!</v>
      </c>
      <c r="G33" s="1154" t="e">
        <f>#REF!</f>
        <v>#REF!</v>
      </c>
      <c r="H33" s="1154" t="e">
        <f>#REF!</f>
        <v>#REF!</v>
      </c>
      <c r="I33" s="1164" t="e">
        <f>#REF!</f>
        <v>#REF!</v>
      </c>
      <c r="J33" s="1165" t="e">
        <f>#REF!</f>
        <v>#REF!</v>
      </c>
      <c r="K33" s="1165" t="e">
        <f>#REF!</f>
        <v>#REF!</v>
      </c>
      <c r="L33" s="1165" t="e">
        <f>#REF!</f>
        <v>#REF!</v>
      </c>
      <c r="M33" s="1154" t="e">
        <f>#REF!</f>
        <v>#REF!</v>
      </c>
      <c r="N33" s="1154" t="e">
        <f>#REF!</f>
        <v>#REF!</v>
      </c>
      <c r="O33" s="1160" t="e">
        <f>#REF!</f>
        <v>#REF!</v>
      </c>
      <c r="P33" s="1139" t="e">
        <f>#REF!</f>
        <v>#REF!</v>
      </c>
    </row>
    <row r="34" spans="1:16">
      <c r="A34" s="1161" t="s">
        <v>453</v>
      </c>
      <c r="B34" s="1162"/>
      <c r="C34" s="1163"/>
      <c r="D34" s="1154" t="e">
        <f>#REF!</f>
        <v>#REF!</v>
      </c>
      <c r="E34" s="1154" t="e">
        <f>#REF!</f>
        <v>#REF!</v>
      </c>
      <c r="F34" s="1154" t="e">
        <f>#REF!</f>
        <v>#REF!</v>
      </c>
      <c r="G34" s="1154" t="e">
        <f>#REF!</f>
        <v>#REF!</v>
      </c>
      <c r="H34" s="1154" t="e">
        <f>#REF!</f>
        <v>#REF!</v>
      </c>
      <c r="I34" s="1159" t="e">
        <f>#REF!</f>
        <v>#REF!</v>
      </c>
      <c r="J34" s="1136" t="e">
        <f>#REF!</f>
        <v>#REF!</v>
      </c>
      <c r="K34" s="1136" t="e">
        <f>#REF!</f>
        <v>#REF!</v>
      </c>
      <c r="L34" s="1136" t="e">
        <f>#REF!</f>
        <v>#REF!</v>
      </c>
      <c r="M34" s="1136" t="e">
        <f>#REF!</f>
        <v>#REF!</v>
      </c>
      <c r="N34" s="1136" t="e">
        <f>#REF!</f>
        <v>#REF!</v>
      </c>
      <c r="O34" s="1136" t="e">
        <f>#REF!</f>
        <v>#REF!</v>
      </c>
      <c r="P34" s="1136" t="e">
        <f>#REF!</f>
        <v>#REF!</v>
      </c>
    </row>
    <row r="35" spans="1:16">
      <c r="A35" s="108" t="s">
        <v>324</v>
      </c>
      <c r="B35" s="109"/>
      <c r="C35" s="110"/>
      <c r="D35" s="1166" t="e">
        <f>#REF!</f>
        <v>#REF!</v>
      </c>
      <c r="E35" s="1139" t="e">
        <f>#REF!</f>
        <v>#REF!</v>
      </c>
      <c r="F35" s="1139" t="e">
        <f>#REF!</f>
        <v>#REF!</v>
      </c>
      <c r="G35" s="1139" t="e">
        <f>#REF!</f>
        <v>#REF!</v>
      </c>
      <c r="H35" s="1139" t="e">
        <f>#REF!</f>
        <v>#REF!</v>
      </c>
      <c r="I35" s="1159" t="e">
        <f>#REF!</f>
        <v>#REF!</v>
      </c>
      <c r="J35" s="1136" t="e">
        <f>#REF!</f>
        <v>#REF!</v>
      </c>
      <c r="K35" s="1136" t="e">
        <f>#REF!</f>
        <v>#REF!</v>
      </c>
      <c r="L35" s="1136" t="e">
        <f>#REF!</f>
        <v>#REF!</v>
      </c>
      <c r="M35" s="1136" t="e">
        <f>#REF!</f>
        <v>#REF!</v>
      </c>
      <c r="N35" s="1136" t="e">
        <f>#REF!</f>
        <v>#REF!</v>
      </c>
      <c r="O35" s="1136" t="e">
        <f>#REF!</f>
        <v>#REF!</v>
      </c>
      <c r="P35" s="1136" t="e">
        <f>#REF!</f>
        <v>#REF!</v>
      </c>
    </row>
    <row r="36" spans="1:16">
      <c r="A36" s="1167" t="s">
        <v>330</v>
      </c>
      <c r="B36" s="1168"/>
      <c r="C36" s="1169"/>
      <c r="D36" s="1170" t="e">
        <f>#REF!</f>
        <v>#REF!</v>
      </c>
      <c r="E36" s="1139" t="e">
        <f>#REF!</f>
        <v>#REF!</v>
      </c>
      <c r="F36" s="1139" t="e">
        <f>#REF!</f>
        <v>#REF!</v>
      </c>
      <c r="G36" s="1139" t="e">
        <f>#REF!</f>
        <v>#REF!</v>
      </c>
      <c r="H36" s="1139" t="e">
        <f>#REF!</f>
        <v>#REF!</v>
      </c>
      <c r="I36" s="1159" t="e">
        <f>#REF!</f>
        <v>#REF!</v>
      </c>
      <c r="J36" s="1136" t="e">
        <f>#REF!</f>
        <v>#REF!</v>
      </c>
      <c r="K36" s="1136" t="e">
        <f>#REF!</f>
        <v>#REF!</v>
      </c>
      <c r="L36" s="1136" t="e">
        <f>#REF!</f>
        <v>#REF!</v>
      </c>
      <c r="M36" s="1136" t="e">
        <f>#REF!</f>
        <v>#REF!</v>
      </c>
      <c r="N36" s="1136" t="e">
        <f>#REF!</f>
        <v>#REF!</v>
      </c>
      <c r="O36" s="1136" t="e">
        <f>#REF!</f>
        <v>#REF!</v>
      </c>
      <c r="P36" s="1136" t="e">
        <f>#REF!</f>
        <v>#REF!</v>
      </c>
    </row>
    <row r="37" spans="1:16">
      <c r="A37" s="1171" t="s">
        <v>358</v>
      </c>
      <c r="B37" s="1168"/>
      <c r="C37" s="1169"/>
      <c r="D37" s="1172" t="e">
        <f>#REF!</f>
        <v>#REF!</v>
      </c>
      <c r="E37" s="1139" t="e">
        <f>#REF!</f>
        <v>#REF!</v>
      </c>
      <c r="F37" s="1139" t="e">
        <f>#REF!</f>
        <v>#REF!</v>
      </c>
      <c r="G37" s="1139" t="e">
        <f>#REF!</f>
        <v>#REF!</v>
      </c>
      <c r="H37" s="1139" t="e">
        <f>#REF!</f>
        <v>#REF!</v>
      </c>
      <c r="I37" s="1173" t="e">
        <f>#REF!</f>
        <v>#REF!</v>
      </c>
      <c r="J37" s="1154" t="e">
        <f>#REF!</f>
        <v>#REF!</v>
      </c>
      <c r="K37" s="1154" t="e">
        <f>#REF!</f>
        <v>#REF!</v>
      </c>
      <c r="L37" s="1154" t="e">
        <f>#REF!</f>
        <v>#REF!</v>
      </c>
      <c r="M37" s="1154" t="e">
        <f>#REF!</f>
        <v>#REF!</v>
      </c>
      <c r="N37" s="1154" t="e">
        <f>#REF!</f>
        <v>#REF!</v>
      </c>
      <c r="O37" s="1154" t="e">
        <f>#REF!</f>
        <v>#REF!</v>
      </c>
      <c r="P37" s="1173" t="e">
        <f>#REF!</f>
        <v>#REF!</v>
      </c>
    </row>
    <row r="38" spans="1:16">
      <c r="A38" s="1463" t="s">
        <v>356</v>
      </c>
      <c r="B38" s="1464"/>
      <c r="C38" s="1465"/>
      <c r="D38" s="1166" t="e">
        <f>#REF!</f>
        <v>#REF!</v>
      </c>
      <c r="E38" s="1139" t="e">
        <f>#REF!</f>
        <v>#REF!</v>
      </c>
      <c r="F38" s="1139" t="e">
        <f>#REF!</f>
        <v>#REF!</v>
      </c>
      <c r="G38" s="1139" t="e">
        <f>#REF!</f>
        <v>#REF!</v>
      </c>
      <c r="H38" s="1139" t="e">
        <f>#REF!</f>
        <v>#REF!</v>
      </c>
      <c r="I38" s="1173" t="e">
        <f>#REF!</f>
        <v>#REF!</v>
      </c>
      <c r="J38" s="1154" t="e">
        <f>#REF!</f>
        <v>#REF!</v>
      </c>
      <c r="K38" s="1154" t="e">
        <f>#REF!</f>
        <v>#REF!</v>
      </c>
      <c r="L38" s="1154" t="e">
        <f>#REF!</f>
        <v>#REF!</v>
      </c>
      <c r="M38" s="1154" t="e">
        <f>#REF!</f>
        <v>#REF!</v>
      </c>
      <c r="N38" s="1154" t="e">
        <f>#REF!</f>
        <v>#REF!</v>
      </c>
      <c r="O38" s="1173" t="e">
        <f>#REF!</f>
        <v>#REF!</v>
      </c>
      <c r="P38" s="1173" t="e">
        <f>#REF!</f>
        <v>#REF!</v>
      </c>
    </row>
    <row r="39" spans="1:16">
      <c r="A39" s="1466" t="s">
        <v>454</v>
      </c>
      <c r="B39" s="1466"/>
      <c r="C39" s="1466"/>
      <c r="D39" s="1154" t="e">
        <f>#REF!</f>
        <v>#REF!</v>
      </c>
      <c r="E39" s="1154" t="e">
        <f>#REF!</f>
        <v>#REF!</v>
      </c>
      <c r="F39" s="1154" t="e">
        <f>#REF!</f>
        <v>#REF!</v>
      </c>
      <c r="G39" s="1154" t="e">
        <f>#REF!</f>
        <v>#REF!</v>
      </c>
      <c r="H39" s="1154" t="e">
        <f>#REF!</f>
        <v>#REF!</v>
      </c>
      <c r="I39" s="1174" t="e">
        <f>#REF!</f>
        <v>#REF!</v>
      </c>
      <c r="J39" s="1154" t="e">
        <f>#REF!</f>
        <v>#REF!</v>
      </c>
      <c r="K39" s="1154" t="e">
        <f>#REF!</f>
        <v>#REF!</v>
      </c>
      <c r="L39" s="1154" t="e">
        <f>#REF!</f>
        <v>#REF!</v>
      </c>
      <c r="M39" s="1154" t="e">
        <f>#REF!</f>
        <v>#REF!</v>
      </c>
      <c r="N39" s="1154" t="e">
        <f>#REF!</f>
        <v>#REF!</v>
      </c>
      <c r="O39" s="1154" t="e">
        <f>#REF!</f>
        <v>#REF!</v>
      </c>
      <c r="P39" s="1154" t="e">
        <f>#REF!</f>
        <v>#REF!</v>
      </c>
    </row>
    <row r="40" spans="1:16">
      <c r="A40" s="1463" t="s">
        <v>362</v>
      </c>
      <c r="B40" s="1464"/>
      <c r="C40" s="1465"/>
      <c r="D40" s="1154" t="e">
        <f>#REF!</f>
        <v>#REF!</v>
      </c>
      <c r="E40" s="1154" t="e">
        <f>#REF!</f>
        <v>#REF!</v>
      </c>
      <c r="F40" s="1154" t="e">
        <f>#REF!</f>
        <v>#REF!</v>
      </c>
      <c r="G40" s="1154" t="e">
        <f>#REF!</f>
        <v>#REF!</v>
      </c>
      <c r="H40" s="1154" t="e">
        <f>#REF!</f>
        <v>#REF!</v>
      </c>
      <c r="I40" s="1173" t="e">
        <f>#REF!</f>
        <v>#REF!</v>
      </c>
      <c r="J40" s="1154" t="e">
        <f>#REF!</f>
        <v>#REF!</v>
      </c>
      <c r="K40" s="1154" t="e">
        <f>#REF!</f>
        <v>#REF!</v>
      </c>
      <c r="L40" s="1154" t="e">
        <f>#REF!</f>
        <v>#REF!</v>
      </c>
      <c r="M40" s="1154" t="e">
        <f>#REF!</f>
        <v>#REF!</v>
      </c>
      <c r="N40" s="1154" t="e">
        <f>#REF!</f>
        <v>#REF!</v>
      </c>
      <c r="O40" s="1173" t="e">
        <f>#REF!</f>
        <v>#REF!</v>
      </c>
      <c r="P40" s="1173" t="e">
        <f>#REF!</f>
        <v>#REF!</v>
      </c>
    </row>
    <row r="41" spans="1:16">
      <c r="A41" s="1466" t="s">
        <v>455</v>
      </c>
      <c r="B41" s="1466"/>
      <c r="C41" s="1466"/>
      <c r="D41" s="1154" t="e">
        <f>#REF!</f>
        <v>#REF!</v>
      </c>
      <c r="E41" s="1154" t="e">
        <f>#REF!</f>
        <v>#REF!</v>
      </c>
      <c r="F41" s="1154" t="e">
        <f>#REF!</f>
        <v>#REF!</v>
      </c>
      <c r="G41" s="1154" t="e">
        <f>#REF!</f>
        <v>#REF!</v>
      </c>
      <c r="H41" s="1154" t="e">
        <f>#REF!</f>
        <v>#REF!</v>
      </c>
      <c r="I41" s="1174" t="e">
        <f>#REF!</f>
        <v>#REF!</v>
      </c>
      <c r="J41" s="1154" t="e">
        <f>#REF!</f>
        <v>#REF!</v>
      </c>
      <c r="K41" s="1154" t="e">
        <f>#REF!</f>
        <v>#REF!</v>
      </c>
      <c r="L41" s="1154" t="e">
        <f>#REF!</f>
        <v>#REF!</v>
      </c>
      <c r="M41" s="1154" t="e">
        <f>#REF!</f>
        <v>#REF!</v>
      </c>
      <c r="N41" s="1154" t="e">
        <f>#REF!</f>
        <v>#REF!</v>
      </c>
      <c r="O41" s="1154" t="e">
        <f>#REF!</f>
        <v>#REF!</v>
      </c>
      <c r="P41" s="1154" t="e">
        <f>#REF!</f>
        <v>#REF!</v>
      </c>
    </row>
    <row r="42" spans="1:16">
      <c r="A42" s="1466" t="s">
        <v>456</v>
      </c>
      <c r="B42" s="1466"/>
      <c r="C42" s="1466"/>
      <c r="D42" s="1154" t="e">
        <f>#REF!</f>
        <v>#REF!</v>
      </c>
      <c r="E42" s="1154" t="e">
        <f>#REF!</f>
        <v>#REF!</v>
      </c>
      <c r="F42" s="1154" t="e">
        <f>#REF!</f>
        <v>#REF!</v>
      </c>
      <c r="G42" s="1154" t="e">
        <f>#REF!</f>
        <v>#REF!</v>
      </c>
      <c r="H42" s="1154" t="e">
        <f>#REF!</f>
        <v>#REF!</v>
      </c>
      <c r="I42" s="1174" t="e">
        <f>#REF!</f>
        <v>#REF!</v>
      </c>
      <c r="J42" s="1154" t="e">
        <f>#REF!</f>
        <v>#REF!</v>
      </c>
      <c r="K42" s="1154" t="e">
        <f>#REF!</f>
        <v>#REF!</v>
      </c>
      <c r="L42" s="1154" t="e">
        <f>#REF!</f>
        <v>#REF!</v>
      </c>
      <c r="M42" s="1154" t="e">
        <f>#REF!</f>
        <v>#REF!</v>
      </c>
      <c r="N42" s="1154" t="e">
        <f>#REF!</f>
        <v>#REF!</v>
      </c>
      <c r="O42" s="1154" t="e">
        <f>#REF!</f>
        <v>#REF!</v>
      </c>
      <c r="P42" s="1154" t="e">
        <f>#REF!</f>
        <v>#REF!</v>
      </c>
    </row>
    <row r="43" spans="1:16">
      <c r="A43" s="1459" t="s">
        <v>457</v>
      </c>
      <c r="B43" s="1459"/>
      <c r="C43" s="1459"/>
      <c r="D43" s="1154" t="e">
        <f>#REF!</f>
        <v>#REF!</v>
      </c>
      <c r="E43" s="1154" t="e">
        <f>#REF!</f>
        <v>#REF!</v>
      </c>
      <c r="F43" s="1154" t="e">
        <f>#REF!</f>
        <v>#REF!</v>
      </c>
      <c r="G43" s="1154" t="e">
        <f>#REF!</f>
        <v>#REF!</v>
      </c>
      <c r="H43" s="1154" t="e">
        <f>#REF!</f>
        <v>#REF!</v>
      </c>
      <c r="I43" s="1173" t="e">
        <f>#REF!</f>
        <v>#REF!</v>
      </c>
      <c r="J43" s="1154" t="e">
        <f>#REF!</f>
        <v>#REF!</v>
      </c>
      <c r="K43" s="1154" t="e">
        <f>#REF!</f>
        <v>#REF!</v>
      </c>
      <c r="L43" s="1154" t="e">
        <f>#REF!</f>
        <v>#REF!</v>
      </c>
      <c r="M43" s="1154" t="e">
        <f>#REF!</f>
        <v>#REF!</v>
      </c>
      <c r="N43" s="1154" t="e">
        <f>#REF!</f>
        <v>#REF!</v>
      </c>
      <c r="O43" s="1173" t="e">
        <f>#REF!</f>
        <v>#REF!</v>
      </c>
      <c r="P43" s="1173" t="e">
        <f>#REF!</f>
        <v>#REF!</v>
      </c>
    </row>
    <row r="44" spans="1:16">
      <c r="C44" s="102" t="s">
        <v>458</v>
      </c>
    </row>
    <row r="45" spans="1:16">
      <c r="C45" s="1136" t="s">
        <v>333</v>
      </c>
      <c r="D45" s="1460" t="s">
        <v>459</v>
      </c>
      <c r="E45" s="1461"/>
      <c r="F45" s="1136" t="s">
        <v>460</v>
      </c>
      <c r="G45" s="1460" t="s">
        <v>332</v>
      </c>
      <c r="H45" s="1462"/>
      <c r="I45" s="1462"/>
      <c r="J45" s="1462"/>
      <c r="K45" s="1462"/>
      <c r="L45" s="1462"/>
      <c r="M45" s="1462"/>
      <c r="N45" s="1461"/>
    </row>
    <row r="46" spans="1:16">
      <c r="C46" s="1136" t="e">
        <f>#REF!</f>
        <v>#REF!</v>
      </c>
      <c r="D46" s="1175" t="e">
        <f>#REF!</f>
        <v>#REF!</v>
      </c>
      <c r="E46" s="1175" t="e">
        <f>#REF!</f>
        <v>#REF!</v>
      </c>
      <c r="F46" s="1176" t="e">
        <f>#REF!</f>
        <v>#REF!</v>
      </c>
      <c r="G46" s="1454" t="e">
        <f>#REF!</f>
        <v>#REF!</v>
      </c>
      <c r="H46" s="1454"/>
      <c r="I46" s="1454"/>
      <c r="J46" s="1454"/>
      <c r="K46" s="1454"/>
      <c r="L46" s="1454"/>
      <c r="M46" s="1454"/>
      <c r="N46" s="1454"/>
    </row>
    <row r="47" spans="1:16">
      <c r="C47" s="1136" t="e">
        <f>#REF!</f>
        <v>#REF!</v>
      </c>
      <c r="D47" s="1175" t="e">
        <f>#REF!</f>
        <v>#REF!</v>
      </c>
      <c r="E47" s="1175" t="e">
        <f>#REF!</f>
        <v>#REF!</v>
      </c>
      <c r="F47" s="1176" t="e">
        <f>#REF!</f>
        <v>#REF!</v>
      </c>
      <c r="G47" s="1454" t="e">
        <f>#REF!</f>
        <v>#REF!</v>
      </c>
      <c r="H47" s="1454"/>
      <c r="I47" s="1454"/>
      <c r="J47" s="1454"/>
      <c r="K47" s="1454"/>
      <c r="L47" s="1454"/>
      <c r="M47" s="1454"/>
      <c r="N47" s="1454"/>
    </row>
    <row r="48" spans="1:16">
      <c r="C48" s="1136" t="e">
        <f>#REF!</f>
        <v>#REF!</v>
      </c>
      <c r="D48" s="1175" t="e">
        <f>#REF!</f>
        <v>#REF!</v>
      </c>
      <c r="E48" s="1175" t="e">
        <f>#REF!</f>
        <v>#REF!</v>
      </c>
      <c r="F48" s="1176" t="e">
        <f>#REF!</f>
        <v>#REF!</v>
      </c>
      <c r="G48" s="1454" t="e">
        <f>#REF!</f>
        <v>#REF!</v>
      </c>
      <c r="H48" s="1454"/>
      <c r="I48" s="1454"/>
      <c r="J48" s="1454"/>
      <c r="K48" s="1454"/>
      <c r="L48" s="1454"/>
      <c r="M48" s="1454"/>
      <c r="N48" s="1454"/>
    </row>
    <row r="49" spans="3:14">
      <c r="C49" s="1136" t="e">
        <f>#REF!</f>
        <v>#REF!</v>
      </c>
      <c r="D49" s="1175" t="e">
        <f>#REF!</f>
        <v>#REF!</v>
      </c>
      <c r="E49" s="1175" t="e">
        <f>#REF!</f>
        <v>#REF!</v>
      </c>
      <c r="F49" s="1176" t="e">
        <f>#REF!</f>
        <v>#REF!</v>
      </c>
      <c r="G49" s="1454" t="e">
        <f>#REF!</f>
        <v>#REF!</v>
      </c>
      <c r="H49" s="1454"/>
      <c r="I49" s="1454"/>
      <c r="J49" s="1454"/>
      <c r="K49" s="1454"/>
      <c r="L49" s="1454"/>
      <c r="M49" s="1454"/>
      <c r="N49" s="1454"/>
    </row>
    <row r="50" spans="3:14">
      <c r="C50" s="1136" t="e">
        <f>#REF!</f>
        <v>#REF!</v>
      </c>
      <c r="D50" s="1175" t="e">
        <f>#REF!</f>
        <v>#REF!</v>
      </c>
      <c r="E50" s="1175" t="e">
        <f>#REF!</f>
        <v>#REF!</v>
      </c>
      <c r="F50" s="1176" t="e">
        <f>#REF!</f>
        <v>#REF!</v>
      </c>
      <c r="G50" s="1454" t="e">
        <f>#REF!</f>
        <v>#REF!</v>
      </c>
      <c r="H50" s="1454"/>
      <c r="I50" s="1454"/>
      <c r="J50" s="1454"/>
      <c r="K50" s="1454"/>
      <c r="L50" s="1454"/>
      <c r="M50" s="1454"/>
      <c r="N50" s="1454"/>
    </row>
    <row r="51" spans="3:14">
      <c r="C51" s="1136" t="e">
        <f>#REF!</f>
        <v>#REF!</v>
      </c>
      <c r="D51" s="1175" t="e">
        <f>#REF!</f>
        <v>#REF!</v>
      </c>
      <c r="E51" s="1175" t="e">
        <f>#REF!</f>
        <v>#REF!</v>
      </c>
      <c r="F51" s="1176" t="e">
        <f>#REF!</f>
        <v>#REF!</v>
      </c>
      <c r="G51" s="1454" t="e">
        <f>#REF!</f>
        <v>#REF!</v>
      </c>
      <c r="H51" s="1454"/>
      <c r="I51" s="1454"/>
      <c r="J51" s="1454"/>
      <c r="K51" s="1454"/>
      <c r="L51" s="1454"/>
      <c r="M51" s="1454"/>
      <c r="N51" s="1454"/>
    </row>
    <row r="52" spans="3:14">
      <c r="C52" s="1136" t="e">
        <f>#REF!</f>
        <v>#REF!</v>
      </c>
      <c r="D52" s="1175" t="e">
        <f>#REF!</f>
        <v>#REF!</v>
      </c>
      <c r="E52" s="1175" t="e">
        <f>#REF!</f>
        <v>#REF!</v>
      </c>
      <c r="F52" s="1176" t="e">
        <f>#REF!</f>
        <v>#REF!</v>
      </c>
      <c r="G52" s="1454" t="e">
        <f>#REF!</f>
        <v>#REF!</v>
      </c>
      <c r="H52" s="1454"/>
      <c r="I52" s="1454"/>
      <c r="J52" s="1454"/>
      <c r="K52" s="1454"/>
      <c r="L52" s="1454"/>
      <c r="M52" s="1454"/>
      <c r="N52" s="1454"/>
    </row>
    <row r="53" spans="3:14">
      <c r="C53" s="1136" t="e">
        <f>#REF!</f>
        <v>#REF!</v>
      </c>
      <c r="D53" s="1175" t="e">
        <f>#REF!</f>
        <v>#REF!</v>
      </c>
      <c r="E53" s="1175" t="e">
        <f>#REF!</f>
        <v>#REF!</v>
      </c>
      <c r="F53" s="1176" t="e">
        <f>#REF!</f>
        <v>#REF!</v>
      </c>
      <c r="G53" s="1454" t="e">
        <f>#REF!</f>
        <v>#REF!</v>
      </c>
      <c r="H53" s="1454"/>
      <c r="I53" s="1454"/>
      <c r="J53" s="1454"/>
      <c r="K53" s="1454"/>
      <c r="L53" s="1454"/>
      <c r="M53" s="1454"/>
      <c r="N53" s="1454"/>
    </row>
  </sheetData>
  <mergeCells count="29">
    <mergeCell ref="A2:B2"/>
    <mergeCell ref="E4:F4"/>
    <mergeCell ref="B11:E11"/>
    <mergeCell ref="F11:M11"/>
    <mergeCell ref="D30:H30"/>
    <mergeCell ref="J30:N30"/>
    <mergeCell ref="G46:N46"/>
    <mergeCell ref="G47:N47"/>
    <mergeCell ref="A38:C38"/>
    <mergeCell ref="A39:C39"/>
    <mergeCell ref="A40:C40"/>
    <mergeCell ref="A41:C41"/>
    <mergeCell ref="A42:C42"/>
    <mergeCell ref="O30:O31"/>
    <mergeCell ref="P30:P31"/>
    <mergeCell ref="A30:C31"/>
    <mergeCell ref="G53:N53"/>
    <mergeCell ref="A4:A5"/>
    <mergeCell ref="A11:A12"/>
    <mergeCell ref="B4:B5"/>
    <mergeCell ref="I30:I31"/>
    <mergeCell ref="G48:N48"/>
    <mergeCell ref="G49:N49"/>
    <mergeCell ref="G50:N50"/>
    <mergeCell ref="G51:N51"/>
    <mergeCell ref="G52:N52"/>
    <mergeCell ref="A43:C43"/>
    <mergeCell ref="D45:E45"/>
    <mergeCell ref="G45:N45"/>
  </mergeCells>
  <printOptions horizontalCentered="1"/>
  <pageMargins left="0" right="0" top="0.196850393700787" bottom="0" header="0.511811023622047" footer="0.511811023622047"/>
  <pageSetup paperSize="9" scale="65" orientation="portrait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pageSetUpPr fitToPage="1"/>
  </sheetPr>
  <dimension ref="A1:BG150"/>
  <sheetViews>
    <sheetView topLeftCell="A53" zoomScale="70" zoomScaleNormal="70" workbookViewId="0">
      <selection activeCell="G65" sqref="G65:G66"/>
    </sheetView>
  </sheetViews>
  <sheetFormatPr defaultColWidth="8" defaultRowHeight="13"/>
  <cols>
    <col min="1" max="1" width="14.33203125" style="18" customWidth="1"/>
    <col min="2" max="2" width="12.5" style="19" customWidth="1"/>
    <col min="3" max="3" width="8.58203125" style="19" customWidth="1"/>
    <col min="4" max="4" width="8" style="19" customWidth="1"/>
    <col min="5" max="14" width="8.75" style="19" customWidth="1"/>
    <col min="15" max="31" width="5.58203125" style="19" customWidth="1"/>
    <col min="32" max="39" width="5.58203125" style="18" customWidth="1"/>
    <col min="40" max="40" width="8.75" style="18" customWidth="1"/>
    <col min="41" max="16384" width="8" style="18"/>
  </cols>
  <sheetData>
    <row r="1" spans="1:59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 t="s">
        <v>461</v>
      </c>
      <c r="U1" s="21">
        <f>SUMIF(U4:U7,"&gt;0",J4:J7)</f>
        <v>3235</v>
      </c>
      <c r="V1" s="21">
        <f>SUMIF(V4:V7,"&gt;0",J4:J7)</f>
        <v>3235</v>
      </c>
      <c r="W1" s="21" t="s">
        <v>462</v>
      </c>
      <c r="X1" s="21">
        <f>SUMIF(U4:U7,"&gt;0",K4:K7)</f>
        <v>3125</v>
      </c>
      <c r="Y1" s="21">
        <f>SUMIF(V4:V7,"&gt;0",K4:K7)</f>
        <v>3125</v>
      </c>
      <c r="Z1" s="21"/>
      <c r="AA1" s="21"/>
      <c r="AB1" s="21"/>
      <c r="AC1" s="21"/>
      <c r="AD1" s="21"/>
      <c r="AE1" s="21"/>
      <c r="AF1" s="21"/>
      <c r="AG1" s="20"/>
      <c r="AH1" s="20"/>
      <c r="AI1" s="20"/>
      <c r="AJ1" s="20"/>
      <c r="AK1" s="20"/>
      <c r="AL1" s="20"/>
      <c r="AM1" s="20"/>
      <c r="AN1" s="2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</row>
    <row r="2" spans="1:59">
      <c r="A2" s="22" t="s">
        <v>463</v>
      </c>
      <c r="B2" s="23"/>
      <c r="C2" s="23"/>
      <c r="D2" s="23"/>
      <c r="E2" s="23"/>
      <c r="F2" s="23"/>
      <c r="G2" s="23"/>
      <c r="H2" s="23"/>
      <c r="I2" s="23"/>
      <c r="J2" s="23">
        <f>SUM(J4:J9)</f>
        <v>10263</v>
      </c>
      <c r="K2" s="23">
        <f>SUM(K4:K9)</f>
        <v>9983</v>
      </c>
      <c r="L2" s="21">
        <f>SUM(L4:L7)</f>
        <v>5.2480001449584996</v>
      </c>
      <c r="M2" s="21">
        <f t="shared" ref="M2:Y2" si="0">SUM(M4:M7)</f>
        <v>3.1540000438690199</v>
      </c>
      <c r="N2" s="21">
        <f t="shared" si="0"/>
        <v>1.1499999999999999</v>
      </c>
      <c r="O2" s="21">
        <f t="shared" si="0"/>
        <v>22.468999862670898</v>
      </c>
      <c r="P2" s="21">
        <f t="shared" si="0"/>
        <v>0.57499999999999996</v>
      </c>
      <c r="Q2" s="21">
        <f t="shared" si="0"/>
        <v>35</v>
      </c>
      <c r="R2" s="21">
        <f t="shared" si="0"/>
        <v>70</v>
      </c>
      <c r="S2" s="21">
        <f t="shared" si="0"/>
        <v>5.4050000000000002</v>
      </c>
      <c r="T2" s="21">
        <f t="shared" si="0"/>
        <v>28</v>
      </c>
      <c r="U2" s="21">
        <f t="shared" si="0"/>
        <v>30</v>
      </c>
      <c r="V2" s="21">
        <f t="shared" si="0"/>
        <v>6</v>
      </c>
      <c r="W2" s="21">
        <f t="shared" si="0"/>
        <v>0</v>
      </c>
      <c r="X2" s="21">
        <f t="shared" si="0"/>
        <v>80</v>
      </c>
      <c r="Y2" s="21">
        <f t="shared" si="0"/>
        <v>0</v>
      </c>
      <c r="Z2" s="21">
        <f>Z4</f>
        <v>0.53683266639709504</v>
      </c>
      <c r="AA2" s="21">
        <f t="shared" ref="AA2:AF2" si="1">AVERAGE(AA4:AA7)</f>
        <v>25</v>
      </c>
      <c r="AB2" s="21">
        <f t="shared" si="1"/>
        <v>12.5</v>
      </c>
      <c r="AC2" s="21">
        <f t="shared" si="1"/>
        <v>12.5</v>
      </c>
      <c r="AD2" s="21">
        <f t="shared" si="1"/>
        <v>12.5</v>
      </c>
      <c r="AE2" s="21">
        <f t="shared" si="1"/>
        <v>6.25</v>
      </c>
      <c r="AF2" s="21">
        <f t="shared" si="1"/>
        <v>6.25</v>
      </c>
      <c r="AG2" s="21"/>
      <c r="AH2" s="21">
        <f>SUM(AH4:AH7)</f>
        <v>0</v>
      </c>
      <c r="AI2" s="21">
        <f>AVERAGE(AI4:AI7)</f>
        <v>0</v>
      </c>
      <c r="AJ2" s="20"/>
      <c r="AK2" s="21">
        <f>SUM(AK4:AK7)</f>
        <v>23</v>
      </c>
      <c r="AL2" s="21">
        <f>SUM(AL4:AL7)</f>
        <v>0</v>
      </c>
      <c r="AM2" s="21">
        <f>SUM(AM4:AM7)</f>
        <v>0</v>
      </c>
      <c r="AN2" s="2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</row>
    <row r="3" spans="1:59" s="16" customFormat="1" ht="52">
      <c r="A3" s="24" t="s">
        <v>464</v>
      </c>
      <c r="B3" s="890" t="s">
        <v>465</v>
      </c>
      <c r="C3" s="25" t="s">
        <v>466</v>
      </c>
      <c r="D3" s="890" t="s">
        <v>467</v>
      </c>
      <c r="E3" s="890" t="s">
        <v>468</v>
      </c>
      <c r="F3" s="890" t="s">
        <v>469</v>
      </c>
      <c r="G3" s="890" t="s">
        <v>373</v>
      </c>
      <c r="H3" s="890" t="s">
        <v>470</v>
      </c>
      <c r="I3" s="25" t="s">
        <v>471</v>
      </c>
      <c r="J3" s="890" t="s">
        <v>472</v>
      </c>
      <c r="K3" s="890" t="s">
        <v>473</v>
      </c>
      <c r="L3" s="890" t="s">
        <v>474</v>
      </c>
      <c r="M3" s="890" t="s">
        <v>475</v>
      </c>
      <c r="N3" s="890" t="s">
        <v>476</v>
      </c>
      <c r="O3" s="890" t="s">
        <v>477</v>
      </c>
      <c r="P3" s="890" t="s">
        <v>478</v>
      </c>
      <c r="Q3" s="890" t="s">
        <v>479</v>
      </c>
      <c r="R3" s="890" t="s">
        <v>480</v>
      </c>
      <c r="S3" s="890" t="s">
        <v>481</v>
      </c>
      <c r="T3" s="890" t="s">
        <v>482</v>
      </c>
      <c r="U3" s="890" t="s">
        <v>483</v>
      </c>
      <c r="V3" s="890" t="s">
        <v>484</v>
      </c>
      <c r="W3" s="890" t="s">
        <v>485</v>
      </c>
      <c r="X3" s="890" t="s">
        <v>486</v>
      </c>
      <c r="Y3" s="890" t="s">
        <v>487</v>
      </c>
      <c r="Z3" s="890" t="s">
        <v>488</v>
      </c>
      <c r="AA3" s="890" t="s">
        <v>489</v>
      </c>
      <c r="AB3" s="890" t="s">
        <v>490</v>
      </c>
      <c r="AC3" s="890" t="s">
        <v>491</v>
      </c>
      <c r="AD3" s="890" t="s">
        <v>492</v>
      </c>
      <c r="AE3" s="890" t="s">
        <v>493</v>
      </c>
      <c r="AF3" s="890" t="s">
        <v>494</v>
      </c>
      <c r="AG3" s="890" t="s">
        <v>495</v>
      </c>
      <c r="AH3" s="890" t="s">
        <v>496</v>
      </c>
      <c r="AI3" s="890" t="s">
        <v>497</v>
      </c>
      <c r="AJ3" s="890" t="s">
        <v>498</v>
      </c>
      <c r="AK3" s="890" t="s">
        <v>499</v>
      </c>
      <c r="AL3" s="890" t="s">
        <v>500</v>
      </c>
      <c r="AM3" s="890" t="s">
        <v>501</v>
      </c>
      <c r="AN3" s="20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</row>
    <row r="4" spans="1:59" ht="45.65" customHeight="1">
      <c r="A4" s="1478">
        <v>1</v>
      </c>
      <c r="B4" s="27">
        <v>43017</v>
      </c>
      <c r="C4" s="28" t="s">
        <v>502</v>
      </c>
      <c r="D4" s="891" t="s">
        <v>503</v>
      </c>
      <c r="E4" s="891" t="s">
        <v>504</v>
      </c>
      <c r="F4" s="891" t="s">
        <v>505</v>
      </c>
      <c r="G4" s="891" t="s">
        <v>506</v>
      </c>
      <c r="H4" s="891" t="s">
        <v>507</v>
      </c>
      <c r="I4" s="28">
        <v>3000</v>
      </c>
      <c r="J4" s="28">
        <v>3235</v>
      </c>
      <c r="K4" s="28">
        <v>3125</v>
      </c>
      <c r="L4" s="28">
        <v>2.0880000591278098</v>
      </c>
      <c r="M4" s="28">
        <v>1.2649999856948899</v>
      </c>
      <c r="N4" s="28">
        <v>0.82499999999999996</v>
      </c>
      <c r="O4" s="28">
        <v>9</v>
      </c>
      <c r="P4" s="28">
        <v>0.41249999999999998</v>
      </c>
      <c r="Q4" s="28">
        <v>0</v>
      </c>
      <c r="R4" s="28">
        <v>0</v>
      </c>
      <c r="S4" s="28">
        <v>3.8774999999999999</v>
      </c>
      <c r="T4" s="28">
        <v>15</v>
      </c>
      <c r="U4" s="28">
        <v>30</v>
      </c>
      <c r="V4" s="28">
        <v>6</v>
      </c>
      <c r="W4" s="28">
        <v>0</v>
      </c>
      <c r="X4" s="28">
        <v>32</v>
      </c>
      <c r="Y4" s="28">
        <v>0</v>
      </c>
      <c r="Z4" s="28">
        <v>0.53683266639709504</v>
      </c>
      <c r="AA4" s="28">
        <v>25</v>
      </c>
      <c r="AB4" s="28">
        <v>12.5</v>
      </c>
      <c r="AC4" s="28">
        <v>12.5</v>
      </c>
      <c r="AD4" s="28">
        <v>12.5</v>
      </c>
      <c r="AE4" s="28">
        <v>6.25</v>
      </c>
      <c r="AF4" s="28">
        <v>6.25</v>
      </c>
      <c r="AG4" s="28"/>
      <c r="AH4" s="28">
        <v>0</v>
      </c>
      <c r="AI4" s="28">
        <v>0</v>
      </c>
      <c r="AJ4" s="28">
        <v>5.5</v>
      </c>
      <c r="AK4" s="28">
        <v>3</v>
      </c>
      <c r="AL4" s="28">
        <v>0</v>
      </c>
      <c r="AM4" s="28">
        <v>0</v>
      </c>
      <c r="AN4" s="2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</row>
    <row r="5" spans="1:59" ht="52">
      <c r="A5" s="1478"/>
      <c r="B5" s="27">
        <v>43017</v>
      </c>
      <c r="C5" s="28" t="s">
        <v>502</v>
      </c>
      <c r="D5" s="28" t="s">
        <v>503</v>
      </c>
      <c r="E5" s="891" t="s">
        <v>504</v>
      </c>
      <c r="F5" s="28" t="s">
        <v>508</v>
      </c>
      <c r="G5" s="28" t="s">
        <v>506</v>
      </c>
      <c r="H5" s="28" t="s">
        <v>509</v>
      </c>
      <c r="I5" s="28">
        <v>6800</v>
      </c>
      <c r="J5" s="28">
        <v>7028</v>
      </c>
      <c r="K5" s="28">
        <v>6858</v>
      </c>
      <c r="L5" s="28">
        <v>3.1600000858306898</v>
      </c>
      <c r="M5" s="28">
        <v>1.88900005817413</v>
      </c>
      <c r="N5" s="28">
        <v>0.32500000000000001</v>
      </c>
      <c r="O5" s="28">
        <v>13.4689998626709</v>
      </c>
      <c r="P5" s="28">
        <v>0.16250000000000001</v>
      </c>
      <c r="Q5" s="28">
        <v>35</v>
      </c>
      <c r="R5" s="28">
        <v>70</v>
      </c>
      <c r="S5" s="28">
        <v>1.5275000000000001</v>
      </c>
      <c r="T5" s="28">
        <v>13</v>
      </c>
      <c r="U5" s="28">
        <v>0</v>
      </c>
      <c r="V5" s="28">
        <v>0</v>
      </c>
      <c r="W5" s="28">
        <v>0</v>
      </c>
      <c r="X5" s="28">
        <v>48</v>
      </c>
      <c r="Y5" s="28">
        <v>0</v>
      </c>
      <c r="Z5" s="28">
        <v>0.53353137969970699</v>
      </c>
      <c r="AA5" s="28">
        <v>25</v>
      </c>
      <c r="AB5" s="28">
        <v>12.5</v>
      </c>
      <c r="AC5" s="28">
        <v>12.5</v>
      </c>
      <c r="AD5" s="28">
        <v>12.5</v>
      </c>
      <c r="AE5" s="28">
        <v>6.25</v>
      </c>
      <c r="AF5" s="28">
        <v>6.25</v>
      </c>
      <c r="AG5" s="28"/>
      <c r="AH5" s="28">
        <v>0</v>
      </c>
      <c r="AI5" s="28">
        <v>0</v>
      </c>
      <c r="AJ5" s="28">
        <v>5.5</v>
      </c>
      <c r="AK5" s="28">
        <v>20</v>
      </c>
      <c r="AL5" s="28">
        <v>0</v>
      </c>
      <c r="AM5" s="28">
        <v>0</v>
      </c>
      <c r="AN5" s="2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</row>
    <row r="6" spans="1:59">
      <c r="A6" s="1478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</row>
    <row r="7" spans="1:59">
      <c r="A7" s="1478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</row>
    <row r="8" spans="1:59">
      <c r="A8" s="26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</row>
    <row r="9" spans="1:59">
      <c r="A9" s="26"/>
      <c r="B9" s="29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 t="s">
        <v>461</v>
      </c>
      <c r="U9" s="21">
        <f>SUMIF(U12:U16,"&gt;0",J12:J16)</f>
        <v>0</v>
      </c>
      <c r="V9" s="21">
        <f>SUMIF(V12:V16,"&gt;0",J12:J16)</f>
        <v>0</v>
      </c>
      <c r="W9" s="21" t="s">
        <v>462</v>
      </c>
      <c r="X9" s="21">
        <f>SUMIF(U12:U16,"&gt;0",K12:K16)</f>
        <v>0</v>
      </c>
      <c r="Y9" s="21">
        <f>SUMIF(V12:V16,"&gt;0",K12:K16)</f>
        <v>0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0"/>
      <c r="AK9" s="20"/>
      <c r="AL9" s="20"/>
      <c r="AM9" s="20"/>
      <c r="AN9" s="2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</row>
    <row r="10" spans="1:59">
      <c r="A10" s="22" t="s">
        <v>510</v>
      </c>
      <c r="B10" s="23"/>
      <c r="C10" s="23"/>
      <c r="D10" s="23"/>
      <c r="E10" s="23"/>
      <c r="F10" s="23"/>
      <c r="G10" s="23"/>
      <c r="H10" s="23"/>
      <c r="I10" s="23"/>
      <c r="J10" s="23">
        <f>SUM(J12:J16)</f>
        <v>0</v>
      </c>
      <c r="K10" s="23">
        <f>SUM(K12:K16)</f>
        <v>0</v>
      </c>
      <c r="L10" s="21">
        <f>SUM(L12:L15)</f>
        <v>0</v>
      </c>
      <c r="M10" s="21">
        <f t="shared" ref="M10:Y10" si="2">SUM(M12:M15)</f>
        <v>0</v>
      </c>
      <c r="N10" s="21">
        <f t="shared" si="2"/>
        <v>0</v>
      </c>
      <c r="O10" s="21">
        <f t="shared" si="2"/>
        <v>0</v>
      </c>
      <c r="P10" s="21">
        <f t="shared" si="2"/>
        <v>0</v>
      </c>
      <c r="Q10" s="21">
        <f t="shared" si="2"/>
        <v>0</v>
      </c>
      <c r="R10" s="21">
        <f t="shared" si="2"/>
        <v>0</v>
      </c>
      <c r="S10" s="21">
        <f t="shared" si="2"/>
        <v>0</v>
      </c>
      <c r="T10" s="21">
        <f t="shared" si="2"/>
        <v>0</v>
      </c>
      <c r="U10" s="21">
        <f t="shared" si="2"/>
        <v>0</v>
      </c>
      <c r="V10" s="21">
        <f t="shared" si="2"/>
        <v>0</v>
      </c>
      <c r="W10" s="21">
        <f t="shared" si="2"/>
        <v>0</v>
      </c>
      <c r="X10" s="21">
        <f t="shared" si="2"/>
        <v>0</v>
      </c>
      <c r="Y10" s="21">
        <f t="shared" si="2"/>
        <v>0</v>
      </c>
      <c r="Z10" s="21">
        <f>Z12</f>
        <v>0</v>
      </c>
      <c r="AA10" s="21" t="e">
        <f t="shared" ref="AA10:AF10" si="3">AVERAGE(AA12:AA15)</f>
        <v>#DIV/0!</v>
      </c>
      <c r="AB10" s="21" t="e">
        <f t="shared" si="3"/>
        <v>#DIV/0!</v>
      </c>
      <c r="AC10" s="21" t="e">
        <f t="shared" si="3"/>
        <v>#DIV/0!</v>
      </c>
      <c r="AD10" s="21" t="e">
        <f t="shared" si="3"/>
        <v>#DIV/0!</v>
      </c>
      <c r="AE10" s="21" t="e">
        <f t="shared" si="3"/>
        <v>#DIV/0!</v>
      </c>
      <c r="AF10" s="21" t="e">
        <f t="shared" si="3"/>
        <v>#DIV/0!</v>
      </c>
      <c r="AG10" s="21"/>
      <c r="AH10" s="21">
        <f>SUM(AH12:AH16)</f>
        <v>0</v>
      </c>
      <c r="AI10" s="21" t="e">
        <f>AVERAGE(AI12:AI16)</f>
        <v>#DIV/0!</v>
      </c>
      <c r="AJ10" s="20"/>
      <c r="AK10" s="21">
        <f>SUM(AK12:AK15)</f>
        <v>0</v>
      </c>
      <c r="AL10" s="21">
        <f>SUM(AL12:AL15)</f>
        <v>0</v>
      </c>
      <c r="AM10" s="21">
        <f>SUM(AM12:AM15)</f>
        <v>0</v>
      </c>
      <c r="AN10" s="2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</row>
    <row r="11" spans="1:59" ht="52">
      <c r="A11" s="30" t="s">
        <v>464</v>
      </c>
      <c r="B11" s="892" t="s">
        <v>465</v>
      </c>
      <c r="C11" s="31" t="s">
        <v>466</v>
      </c>
      <c r="D11" s="892" t="s">
        <v>467</v>
      </c>
      <c r="E11" s="892" t="s">
        <v>468</v>
      </c>
      <c r="F11" s="892" t="s">
        <v>469</v>
      </c>
      <c r="G11" s="892" t="s">
        <v>373</v>
      </c>
      <c r="H11" s="892" t="s">
        <v>470</v>
      </c>
      <c r="I11" s="31" t="s">
        <v>471</v>
      </c>
      <c r="J11" s="892" t="s">
        <v>472</v>
      </c>
      <c r="K11" s="892" t="s">
        <v>473</v>
      </c>
      <c r="L11" s="892" t="s">
        <v>474</v>
      </c>
      <c r="M11" s="892" t="s">
        <v>475</v>
      </c>
      <c r="N11" s="892" t="s">
        <v>476</v>
      </c>
      <c r="O11" s="892" t="s">
        <v>477</v>
      </c>
      <c r="P11" s="892" t="s">
        <v>478</v>
      </c>
      <c r="Q11" s="892" t="s">
        <v>479</v>
      </c>
      <c r="R11" s="892" t="s">
        <v>480</v>
      </c>
      <c r="S11" s="892" t="s">
        <v>481</v>
      </c>
      <c r="T11" s="892" t="s">
        <v>482</v>
      </c>
      <c r="U11" s="892" t="s">
        <v>483</v>
      </c>
      <c r="V11" s="892" t="s">
        <v>484</v>
      </c>
      <c r="W11" s="892" t="s">
        <v>485</v>
      </c>
      <c r="X11" s="892" t="s">
        <v>486</v>
      </c>
      <c r="Y11" s="892" t="s">
        <v>487</v>
      </c>
      <c r="Z11" s="892" t="s">
        <v>488</v>
      </c>
      <c r="AA11" s="892" t="s">
        <v>489</v>
      </c>
      <c r="AB11" s="892" t="s">
        <v>490</v>
      </c>
      <c r="AC11" s="892" t="s">
        <v>491</v>
      </c>
      <c r="AD11" s="892" t="s">
        <v>492</v>
      </c>
      <c r="AE11" s="892" t="s">
        <v>493</v>
      </c>
      <c r="AF11" s="892" t="s">
        <v>494</v>
      </c>
      <c r="AG11" s="892" t="s">
        <v>495</v>
      </c>
      <c r="AH11" s="892" t="s">
        <v>496</v>
      </c>
      <c r="AI11" s="892" t="s">
        <v>497</v>
      </c>
      <c r="AJ11" s="892" t="s">
        <v>498</v>
      </c>
      <c r="AK11" s="892" t="s">
        <v>499</v>
      </c>
      <c r="AL11" s="892" t="s">
        <v>500</v>
      </c>
      <c r="AM11" s="892" t="s">
        <v>501</v>
      </c>
      <c r="AN11" s="2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</row>
    <row r="12" spans="1:59" ht="15" customHeight="1">
      <c r="A12" s="1478">
        <v>2</v>
      </c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</row>
    <row r="13" spans="1:59" ht="14.25" customHeight="1">
      <c r="A13" s="1478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</row>
    <row r="14" spans="1:59" ht="14.25" customHeight="1">
      <c r="A14" s="1478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</row>
    <row r="15" spans="1:59" ht="24.65" customHeight="1">
      <c r="A15" s="1478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</row>
    <row r="16" spans="1:59" ht="25" customHeight="1">
      <c r="A16" s="1478"/>
      <c r="B16" s="29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 t="s">
        <v>461</v>
      </c>
      <c r="U16" s="21">
        <f>SUMIF(U19:U21,"&gt;0",J19:J21)</f>
        <v>0</v>
      </c>
      <c r="V16" s="21">
        <f>SUMIF(V19:V21,"&gt;0",J19:J21)</f>
        <v>0</v>
      </c>
      <c r="W16" s="21" t="s">
        <v>462</v>
      </c>
      <c r="X16" s="21">
        <f>SUMIF(U19:U21,"&gt;0",K19:K21)</f>
        <v>0</v>
      </c>
      <c r="Y16" s="21">
        <f>SUMIF(V19:V21,"&gt;0",K19:K21)</f>
        <v>0</v>
      </c>
      <c r="Z16" s="21"/>
      <c r="AA16" s="21"/>
      <c r="AB16" s="21"/>
      <c r="AC16" s="21"/>
      <c r="AD16" s="21"/>
      <c r="AE16" s="21"/>
      <c r="AF16" s="21"/>
      <c r="AG16" s="21"/>
      <c r="AH16" s="20"/>
      <c r="AI16" s="20"/>
      <c r="AJ16" s="20"/>
      <c r="AK16" s="20"/>
      <c r="AL16" s="20"/>
      <c r="AM16" s="20"/>
      <c r="AN16" s="2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</row>
    <row r="17" spans="1:59">
      <c r="A17" s="22" t="s">
        <v>511</v>
      </c>
      <c r="B17" s="23"/>
      <c r="C17" s="23"/>
      <c r="D17" s="23"/>
      <c r="E17" s="23"/>
      <c r="F17" s="23"/>
      <c r="G17" s="23"/>
      <c r="H17" s="23"/>
      <c r="I17" s="23"/>
      <c r="J17" s="23">
        <f>SUMIF(L19:L22,"&gt;0",J19:J22)</f>
        <v>24</v>
      </c>
      <c r="K17" s="23">
        <f>SUMIF(L19:L22,"&gt;0",K19:K22)</f>
        <v>2</v>
      </c>
      <c r="L17" s="21">
        <f t="shared" ref="L17:Y17" si="4">SUM(L19:L21)</f>
        <v>0</v>
      </c>
      <c r="M17" s="21">
        <f t="shared" si="4"/>
        <v>0</v>
      </c>
      <c r="N17" s="21">
        <f t="shared" si="4"/>
        <v>0</v>
      </c>
      <c r="O17" s="21">
        <f t="shared" si="4"/>
        <v>0</v>
      </c>
      <c r="P17" s="21">
        <f t="shared" si="4"/>
        <v>0</v>
      </c>
      <c r="Q17" s="21">
        <f t="shared" si="4"/>
        <v>0</v>
      </c>
      <c r="R17" s="21">
        <f t="shared" si="4"/>
        <v>0</v>
      </c>
      <c r="S17" s="21">
        <f t="shared" si="4"/>
        <v>0</v>
      </c>
      <c r="T17" s="21">
        <f t="shared" si="4"/>
        <v>0</v>
      </c>
      <c r="U17" s="21">
        <f t="shared" si="4"/>
        <v>0</v>
      </c>
      <c r="V17" s="21">
        <f t="shared" si="4"/>
        <v>0</v>
      </c>
      <c r="W17" s="21">
        <f t="shared" si="4"/>
        <v>0</v>
      </c>
      <c r="X17" s="21">
        <f t="shared" si="4"/>
        <v>0</v>
      </c>
      <c r="Y17" s="21">
        <f t="shared" si="4"/>
        <v>0</v>
      </c>
      <c r="Z17" s="21">
        <f>Z19</f>
        <v>0</v>
      </c>
      <c r="AA17" s="21" t="e">
        <f t="shared" ref="AA17:AF17" si="5">AVERAGE(AA19:AA21)</f>
        <v>#DIV/0!</v>
      </c>
      <c r="AB17" s="21" t="e">
        <f t="shared" si="5"/>
        <v>#DIV/0!</v>
      </c>
      <c r="AC17" s="21" t="e">
        <f t="shared" si="5"/>
        <v>#DIV/0!</v>
      </c>
      <c r="AD17" s="21" t="e">
        <f t="shared" si="5"/>
        <v>#DIV/0!</v>
      </c>
      <c r="AE17" s="21" t="e">
        <f t="shared" si="5"/>
        <v>#DIV/0!</v>
      </c>
      <c r="AF17" s="21" t="e">
        <f t="shared" si="5"/>
        <v>#DIV/0!</v>
      </c>
      <c r="AG17" s="21"/>
      <c r="AH17" s="21">
        <f>SUM(AH19:AH21)</f>
        <v>0</v>
      </c>
      <c r="AI17" s="21" t="e">
        <f>AVERAGE(AI19:AI21)</f>
        <v>#DIV/0!</v>
      </c>
      <c r="AJ17" s="20"/>
      <c r="AK17" s="21">
        <f>SUM(AK19:AK21)</f>
        <v>0</v>
      </c>
      <c r="AL17" s="21">
        <f>SUM(AL19:AL21)</f>
        <v>0</v>
      </c>
      <c r="AM17" s="21">
        <f>SUM(AM19:AM21)</f>
        <v>0</v>
      </c>
      <c r="AN17" s="2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</row>
    <row r="18" spans="1:59" ht="52">
      <c r="A18" s="30" t="s">
        <v>464</v>
      </c>
      <c r="B18" s="892" t="s">
        <v>465</v>
      </c>
      <c r="C18" s="31" t="s">
        <v>466</v>
      </c>
      <c r="D18" s="892" t="s">
        <v>467</v>
      </c>
      <c r="E18" s="892" t="s">
        <v>468</v>
      </c>
      <c r="F18" s="892" t="s">
        <v>469</v>
      </c>
      <c r="G18" s="892" t="s">
        <v>373</v>
      </c>
      <c r="H18" s="892" t="s">
        <v>470</v>
      </c>
      <c r="I18" s="31" t="s">
        <v>471</v>
      </c>
      <c r="J18" s="892" t="s">
        <v>472</v>
      </c>
      <c r="K18" s="892" t="s">
        <v>473</v>
      </c>
      <c r="L18" s="892" t="s">
        <v>474</v>
      </c>
      <c r="M18" s="892" t="s">
        <v>475</v>
      </c>
      <c r="N18" s="892" t="s">
        <v>476</v>
      </c>
      <c r="O18" s="892" t="s">
        <v>477</v>
      </c>
      <c r="P18" s="892" t="s">
        <v>478</v>
      </c>
      <c r="Q18" s="892" t="s">
        <v>479</v>
      </c>
      <c r="R18" s="892" t="s">
        <v>480</v>
      </c>
      <c r="S18" s="892" t="s">
        <v>481</v>
      </c>
      <c r="T18" s="892" t="s">
        <v>482</v>
      </c>
      <c r="U18" s="892" t="s">
        <v>483</v>
      </c>
      <c r="V18" s="892" t="s">
        <v>484</v>
      </c>
      <c r="W18" s="892" t="s">
        <v>485</v>
      </c>
      <c r="X18" s="892" t="s">
        <v>486</v>
      </c>
      <c r="Y18" s="892" t="s">
        <v>487</v>
      </c>
      <c r="Z18" s="892" t="s">
        <v>488</v>
      </c>
      <c r="AA18" s="892" t="s">
        <v>489</v>
      </c>
      <c r="AB18" s="892" t="s">
        <v>490</v>
      </c>
      <c r="AC18" s="892" t="s">
        <v>491</v>
      </c>
      <c r="AD18" s="892" t="s">
        <v>492</v>
      </c>
      <c r="AE18" s="892" t="s">
        <v>493</v>
      </c>
      <c r="AF18" s="892" t="s">
        <v>494</v>
      </c>
      <c r="AG18" s="892" t="s">
        <v>495</v>
      </c>
      <c r="AH18" s="892" t="s">
        <v>496</v>
      </c>
      <c r="AI18" s="892" t="s">
        <v>497</v>
      </c>
      <c r="AJ18" s="892" t="s">
        <v>498</v>
      </c>
      <c r="AK18" s="892" t="s">
        <v>499</v>
      </c>
      <c r="AL18" s="892" t="s">
        <v>500</v>
      </c>
      <c r="AM18" s="892" t="s">
        <v>501</v>
      </c>
      <c r="AN18" s="44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</row>
    <row r="19" spans="1:59" ht="16.5" customHeight="1">
      <c r="A19" s="1478">
        <v>3</v>
      </c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46"/>
      <c r="AI19" s="28"/>
      <c r="AJ19" s="46"/>
      <c r="AK19" s="47"/>
      <c r="AL19" s="47"/>
      <c r="AM19" s="47"/>
      <c r="AN19" s="2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</row>
    <row r="20" spans="1:59" ht="15.75" customHeight="1">
      <c r="A20" s="1478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8"/>
      <c r="AI20" s="40"/>
      <c r="AJ20" s="48"/>
      <c r="AK20" s="44"/>
      <c r="AL20" s="44"/>
      <c r="AM20" s="44"/>
      <c r="AN20" s="44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</row>
    <row r="21" spans="1:59" ht="25" customHeight="1">
      <c r="A21" s="1478"/>
      <c r="B21" s="2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9"/>
      <c r="AI21" s="44"/>
      <c r="AJ21" s="44"/>
      <c r="AK21" s="44"/>
      <c r="AL21" s="44"/>
      <c r="AM21" s="44"/>
      <c r="AN21" s="44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</row>
    <row r="22" spans="1:59">
      <c r="A22" s="26"/>
      <c r="B22" s="29"/>
      <c r="C22" s="21"/>
      <c r="D22" s="21"/>
      <c r="E22" s="21"/>
      <c r="F22" s="21"/>
      <c r="G22" s="21" t="s">
        <v>512</v>
      </c>
      <c r="H22" s="21">
        <f>SUM(H23,H38,H51)</f>
        <v>10067</v>
      </c>
      <c r="I22" s="21">
        <f t="shared" ref="I22:R22" si="6">SUM(I23,I38,I51)</f>
        <v>10005</v>
      </c>
      <c r="J22" s="21">
        <f t="shared" si="6"/>
        <v>24</v>
      </c>
      <c r="K22" s="21">
        <f t="shared" si="6"/>
        <v>2</v>
      </c>
      <c r="L22" s="21">
        <f t="shared" si="6"/>
        <v>3</v>
      </c>
      <c r="M22" s="21">
        <f t="shared" si="6"/>
        <v>2</v>
      </c>
      <c r="N22" s="21">
        <f t="shared" si="6"/>
        <v>18</v>
      </c>
      <c r="O22" s="21">
        <f t="shared" si="6"/>
        <v>4</v>
      </c>
      <c r="P22" s="21">
        <f t="shared" si="6"/>
        <v>3</v>
      </c>
      <c r="Q22" s="21">
        <f t="shared" si="6"/>
        <v>6</v>
      </c>
      <c r="R22" s="21">
        <f t="shared" si="6"/>
        <v>62</v>
      </c>
      <c r="S22" s="2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9"/>
      <c r="AI22" s="44"/>
      <c r="AJ22" s="44"/>
      <c r="AK22" s="44"/>
      <c r="AL22" s="44"/>
      <c r="AM22" s="44"/>
      <c r="AN22" s="44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</row>
    <row r="23" spans="1:59">
      <c r="A23" s="26"/>
      <c r="B23" s="29"/>
      <c r="C23" s="21"/>
      <c r="D23" s="21"/>
      <c r="E23" s="21"/>
      <c r="F23" s="21"/>
      <c r="G23" s="21" t="s">
        <v>513</v>
      </c>
      <c r="H23" s="21">
        <f>SUM(H25:H37)</f>
        <v>10067</v>
      </c>
      <c r="I23" s="21">
        <f t="shared" ref="I23:R23" si="7">SUM(I25:I37)</f>
        <v>10005</v>
      </c>
      <c r="J23" s="21">
        <f t="shared" si="7"/>
        <v>24</v>
      </c>
      <c r="K23" s="21">
        <f t="shared" si="7"/>
        <v>2</v>
      </c>
      <c r="L23" s="21">
        <f t="shared" si="7"/>
        <v>3</v>
      </c>
      <c r="M23" s="21">
        <f t="shared" si="7"/>
        <v>2</v>
      </c>
      <c r="N23" s="21">
        <f t="shared" si="7"/>
        <v>18</v>
      </c>
      <c r="O23" s="21">
        <f t="shared" si="7"/>
        <v>4</v>
      </c>
      <c r="P23" s="21">
        <f t="shared" si="7"/>
        <v>3</v>
      </c>
      <c r="Q23" s="21">
        <f t="shared" si="7"/>
        <v>6</v>
      </c>
      <c r="R23" s="21">
        <f t="shared" si="7"/>
        <v>62</v>
      </c>
      <c r="S23" s="2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9"/>
      <c r="AI23" s="44"/>
      <c r="AJ23" s="44"/>
      <c r="AK23" s="44"/>
      <c r="AL23" s="44"/>
      <c r="AM23" s="44"/>
      <c r="AN23" s="44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</row>
    <row r="24" spans="1:59" s="16" customFormat="1" ht="26">
      <c r="A24" s="24" t="s">
        <v>514</v>
      </c>
      <c r="B24" s="893" t="s">
        <v>515</v>
      </c>
      <c r="C24" s="893" t="s">
        <v>516</v>
      </c>
      <c r="D24" s="893" t="s">
        <v>517</v>
      </c>
      <c r="E24" s="893" t="s">
        <v>518</v>
      </c>
      <c r="F24" s="893" t="s">
        <v>373</v>
      </c>
      <c r="G24" s="893" t="s">
        <v>470</v>
      </c>
      <c r="H24" s="893" t="s">
        <v>519</v>
      </c>
      <c r="I24" s="893" t="s">
        <v>520</v>
      </c>
      <c r="J24" s="893" t="s">
        <v>521</v>
      </c>
      <c r="K24" s="893" t="s">
        <v>522</v>
      </c>
      <c r="L24" s="893" t="s">
        <v>523</v>
      </c>
      <c r="M24" s="893" t="s">
        <v>524</v>
      </c>
      <c r="N24" s="893" t="s">
        <v>525</v>
      </c>
      <c r="O24" s="893" t="s">
        <v>526</v>
      </c>
      <c r="P24" s="893" t="s">
        <v>527</v>
      </c>
      <c r="Q24" s="893" t="s">
        <v>528</v>
      </c>
      <c r="R24" s="893" t="s">
        <v>117</v>
      </c>
      <c r="S24" s="32" t="s">
        <v>529</v>
      </c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3"/>
      <c r="AH24" s="43"/>
      <c r="AI24" s="43"/>
      <c r="AJ24" s="43"/>
      <c r="AK24" s="43"/>
      <c r="AL24" s="43"/>
      <c r="AM24" s="43"/>
      <c r="AN24" s="43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</row>
    <row r="25" spans="1:59" ht="12.65" customHeight="1">
      <c r="A25" s="1478">
        <v>1</v>
      </c>
      <c r="B25" s="29">
        <v>43017</v>
      </c>
      <c r="C25" s="894" t="s">
        <v>502</v>
      </c>
      <c r="D25" s="894" t="s">
        <v>530</v>
      </c>
      <c r="E25" s="894" t="s">
        <v>531</v>
      </c>
      <c r="F25" s="21" t="s">
        <v>506</v>
      </c>
      <c r="G25" s="894" t="s">
        <v>509</v>
      </c>
      <c r="H25" s="21">
        <v>754</v>
      </c>
      <c r="I25" s="21">
        <v>740</v>
      </c>
      <c r="J25" s="21">
        <v>5</v>
      </c>
      <c r="K25" s="21">
        <v>0</v>
      </c>
      <c r="L25" s="21">
        <v>0</v>
      </c>
      <c r="M25" s="21">
        <v>0</v>
      </c>
      <c r="N25" s="21">
        <v>4</v>
      </c>
      <c r="O25" s="21">
        <v>1</v>
      </c>
      <c r="P25" s="21">
        <v>2</v>
      </c>
      <c r="Q25" s="21">
        <v>2</v>
      </c>
      <c r="R25" s="21">
        <v>14</v>
      </c>
      <c r="S25" s="2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4"/>
      <c r="AG25" s="44"/>
      <c r="AH25" s="44"/>
      <c r="AI25" s="44"/>
      <c r="AJ25" s="44"/>
      <c r="AK25" s="44"/>
      <c r="AL25" s="44"/>
      <c r="AM25" s="44"/>
      <c r="AN25" s="44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</row>
    <row r="26" spans="1:59">
      <c r="A26" s="1478"/>
      <c r="B26" s="29">
        <v>43017</v>
      </c>
      <c r="C26" s="894" t="s">
        <v>502</v>
      </c>
      <c r="D26" s="894" t="s">
        <v>530</v>
      </c>
      <c r="E26" s="894" t="s">
        <v>532</v>
      </c>
      <c r="F26" s="21" t="s">
        <v>506</v>
      </c>
      <c r="G26" s="894" t="s">
        <v>533</v>
      </c>
      <c r="H26" s="21">
        <v>3152</v>
      </c>
      <c r="I26" s="21">
        <v>3145</v>
      </c>
      <c r="J26" s="21">
        <v>2</v>
      </c>
      <c r="K26" s="21">
        <v>0</v>
      </c>
      <c r="L26" s="21">
        <v>0</v>
      </c>
      <c r="M26" s="21">
        <v>0</v>
      </c>
      <c r="N26" s="21">
        <v>2</v>
      </c>
      <c r="O26" s="21">
        <v>1</v>
      </c>
      <c r="P26" s="21">
        <v>0</v>
      </c>
      <c r="Q26" s="21">
        <v>2</v>
      </c>
      <c r="R26" s="21">
        <v>7</v>
      </c>
      <c r="S26" s="2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4"/>
      <c r="AG26" s="44"/>
      <c r="AH26" s="44"/>
      <c r="AI26" s="44"/>
      <c r="AJ26" s="44"/>
      <c r="AK26" s="44"/>
      <c r="AL26" s="44"/>
      <c r="AM26" s="44"/>
      <c r="AN26" s="44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</row>
    <row r="27" spans="1:59">
      <c r="A27" s="1478"/>
      <c r="B27" s="29">
        <v>43017</v>
      </c>
      <c r="C27" s="894" t="s">
        <v>502</v>
      </c>
      <c r="D27" s="894" t="s">
        <v>530</v>
      </c>
      <c r="E27" s="894" t="s">
        <v>534</v>
      </c>
      <c r="F27" s="21" t="s">
        <v>506</v>
      </c>
      <c r="G27" s="894" t="s">
        <v>535</v>
      </c>
      <c r="H27" s="21">
        <v>4536</v>
      </c>
      <c r="I27" s="21">
        <v>4500</v>
      </c>
      <c r="J27" s="21">
        <v>15</v>
      </c>
      <c r="K27" s="21">
        <v>2</v>
      </c>
      <c r="L27" s="21">
        <v>3</v>
      </c>
      <c r="M27" s="21">
        <v>2</v>
      </c>
      <c r="N27" s="21">
        <v>10</v>
      </c>
      <c r="O27" s="21">
        <v>2</v>
      </c>
      <c r="P27" s="21">
        <v>1</v>
      </c>
      <c r="Q27" s="21">
        <v>1</v>
      </c>
      <c r="R27" s="21">
        <v>36</v>
      </c>
      <c r="S27" s="2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4"/>
      <c r="AG27" s="44"/>
      <c r="AH27" s="44"/>
      <c r="AI27" s="44"/>
      <c r="AJ27" s="44"/>
      <c r="AK27" s="44"/>
      <c r="AL27" s="44"/>
      <c r="AM27" s="44"/>
      <c r="AN27" s="44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</row>
    <row r="28" spans="1:59">
      <c r="A28" s="1478"/>
      <c r="B28" s="29">
        <v>43017</v>
      </c>
      <c r="C28" s="894" t="s">
        <v>502</v>
      </c>
      <c r="D28" s="894" t="s">
        <v>530</v>
      </c>
      <c r="E28" s="894" t="s">
        <v>505</v>
      </c>
      <c r="F28" s="21" t="s">
        <v>506</v>
      </c>
      <c r="G28" s="894" t="s">
        <v>507</v>
      </c>
      <c r="H28" s="21">
        <v>1625</v>
      </c>
      <c r="I28" s="21">
        <v>1620</v>
      </c>
      <c r="J28" s="21">
        <v>2</v>
      </c>
      <c r="K28" s="21">
        <v>0</v>
      </c>
      <c r="L28" s="21">
        <v>0</v>
      </c>
      <c r="M28" s="21">
        <v>0</v>
      </c>
      <c r="N28" s="21">
        <v>2</v>
      </c>
      <c r="O28" s="21">
        <v>0</v>
      </c>
      <c r="P28" s="21">
        <v>0</v>
      </c>
      <c r="Q28" s="21">
        <v>1</v>
      </c>
      <c r="R28" s="21">
        <v>5</v>
      </c>
      <c r="S28" s="2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4"/>
      <c r="AG28" s="44"/>
      <c r="AH28" s="44"/>
      <c r="AI28" s="44"/>
      <c r="AJ28" s="44"/>
      <c r="AK28" s="44"/>
      <c r="AL28" s="44"/>
      <c r="AM28" s="44"/>
      <c r="AN28" s="44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</row>
    <row r="29" spans="1:59">
      <c r="A29" s="1478"/>
      <c r="B29" s="29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4"/>
      <c r="AG29" s="44"/>
      <c r="AH29" s="44"/>
      <c r="AI29" s="44"/>
      <c r="AJ29" s="44"/>
      <c r="AK29" s="44"/>
      <c r="AL29" s="44"/>
      <c r="AM29" s="44"/>
      <c r="AN29" s="44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</row>
    <row r="30" spans="1:59">
      <c r="A30" s="1478"/>
      <c r="B30" s="29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4"/>
      <c r="AG30" s="44"/>
      <c r="AH30" s="44"/>
      <c r="AI30" s="44"/>
      <c r="AJ30" s="44"/>
      <c r="AK30" s="44"/>
      <c r="AL30" s="44"/>
      <c r="AM30" s="44"/>
      <c r="AN30" s="44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</row>
    <row r="31" spans="1:59">
      <c r="A31" s="1478"/>
      <c r="B31" s="29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4"/>
      <c r="AG31" s="44"/>
      <c r="AH31" s="44"/>
      <c r="AI31" s="44"/>
      <c r="AJ31" s="44"/>
      <c r="AK31" s="44"/>
      <c r="AL31" s="44"/>
      <c r="AM31" s="44"/>
      <c r="AN31" s="44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</row>
    <row r="32" spans="1:59" s="16" customFormat="1" ht="26">
      <c r="A32" s="1478"/>
      <c r="B32" s="33" t="s">
        <v>515</v>
      </c>
      <c r="C32" s="893" t="s">
        <v>516</v>
      </c>
      <c r="D32" s="893" t="s">
        <v>517</v>
      </c>
      <c r="E32" s="893" t="s">
        <v>518</v>
      </c>
      <c r="F32" s="32" t="s">
        <v>373</v>
      </c>
      <c r="G32" s="893" t="s">
        <v>470</v>
      </c>
      <c r="H32" s="893" t="s">
        <v>519</v>
      </c>
      <c r="I32" s="893" t="s">
        <v>520</v>
      </c>
      <c r="J32" s="893" t="s">
        <v>521</v>
      </c>
      <c r="K32" s="893" t="s">
        <v>522</v>
      </c>
      <c r="L32" s="893" t="s">
        <v>523</v>
      </c>
      <c r="M32" s="893" t="s">
        <v>524</v>
      </c>
      <c r="N32" s="893" t="s">
        <v>525</v>
      </c>
      <c r="O32" s="893" t="s">
        <v>526</v>
      </c>
      <c r="P32" s="893" t="s">
        <v>527</v>
      </c>
      <c r="Q32" s="893" t="s">
        <v>528</v>
      </c>
      <c r="R32" s="893" t="s">
        <v>117</v>
      </c>
      <c r="S32" s="32" t="s">
        <v>529</v>
      </c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3"/>
      <c r="AH32" s="43"/>
      <c r="AI32" s="43"/>
      <c r="AJ32" s="43"/>
      <c r="AK32" s="43"/>
      <c r="AL32" s="43"/>
      <c r="AM32" s="43"/>
      <c r="AN32" s="43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</row>
    <row r="33" spans="1:59">
      <c r="A33" s="1478"/>
      <c r="B33" s="29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4"/>
      <c r="AG33" s="44"/>
      <c r="AH33" s="44"/>
      <c r="AI33" s="44"/>
      <c r="AJ33" s="44"/>
      <c r="AK33" s="44"/>
      <c r="AL33" s="44"/>
      <c r="AM33" s="44"/>
      <c r="AN33" s="44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</row>
    <row r="34" spans="1:59">
      <c r="A34" s="1478"/>
      <c r="B34" s="29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4"/>
      <c r="AG34" s="44"/>
      <c r="AH34" s="44"/>
      <c r="AI34" s="44"/>
      <c r="AJ34" s="44"/>
      <c r="AK34" s="44"/>
      <c r="AL34" s="44"/>
      <c r="AM34" s="44"/>
      <c r="AN34" s="44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</row>
    <row r="35" spans="1:59">
      <c r="A35" s="1478"/>
      <c r="B35" s="29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4"/>
      <c r="AG35" s="44"/>
      <c r="AH35" s="44"/>
      <c r="AI35" s="44"/>
      <c r="AJ35" s="44"/>
      <c r="AK35" s="44"/>
      <c r="AL35" s="44"/>
      <c r="AM35" s="44"/>
      <c r="AN35" s="44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</row>
    <row r="36" spans="1:59">
      <c r="A36" s="1478"/>
      <c r="B36" s="29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41"/>
      <c r="AD36" s="41"/>
      <c r="AE36" s="41"/>
      <c r="AF36" s="44"/>
      <c r="AG36" s="44"/>
      <c r="AH36" s="44"/>
      <c r="AI36" s="44"/>
      <c r="AJ36" s="44"/>
      <c r="AK36" s="44"/>
      <c r="AL36" s="44"/>
      <c r="AM36" s="44"/>
      <c r="AN36" s="44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</row>
    <row r="37" spans="1:59">
      <c r="A37" s="1478"/>
      <c r="B37" s="29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41"/>
      <c r="AD37" s="41"/>
      <c r="AE37" s="41"/>
      <c r="AF37" s="44"/>
      <c r="AG37" s="44"/>
      <c r="AH37" s="44"/>
      <c r="AI37" s="44"/>
      <c r="AJ37" s="44"/>
      <c r="AK37" s="44"/>
      <c r="AL37" s="44"/>
      <c r="AM37" s="44"/>
      <c r="AN37" s="44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</row>
    <row r="38" spans="1:59">
      <c r="A38" s="26"/>
      <c r="B38" s="29"/>
      <c r="C38" s="21"/>
      <c r="D38" s="21"/>
      <c r="E38" s="21"/>
      <c r="F38" s="21"/>
      <c r="G38" s="21" t="s">
        <v>536</v>
      </c>
      <c r="H38" s="21">
        <f>SUM(H40:H50)</f>
        <v>0</v>
      </c>
      <c r="I38" s="21">
        <f>SUM(I40:I50)</f>
        <v>0</v>
      </c>
      <c r="J38" s="21">
        <f t="shared" ref="J38:R38" si="8">SUM(J40:J50)</f>
        <v>0</v>
      </c>
      <c r="K38" s="21">
        <f t="shared" si="8"/>
        <v>0</v>
      </c>
      <c r="L38" s="21">
        <f t="shared" si="8"/>
        <v>0</v>
      </c>
      <c r="M38" s="21">
        <f t="shared" si="8"/>
        <v>0</v>
      </c>
      <c r="N38" s="21">
        <f t="shared" si="8"/>
        <v>0</v>
      </c>
      <c r="O38" s="21">
        <f t="shared" si="8"/>
        <v>0</v>
      </c>
      <c r="P38" s="21">
        <f t="shared" si="8"/>
        <v>0</v>
      </c>
      <c r="Q38" s="21">
        <f t="shared" si="8"/>
        <v>0</v>
      </c>
      <c r="R38" s="21">
        <f t="shared" si="8"/>
        <v>0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41"/>
      <c r="AD38" s="41"/>
      <c r="AE38" s="41"/>
      <c r="AF38" s="44"/>
      <c r="AG38" s="44"/>
      <c r="AH38" s="44"/>
      <c r="AI38" s="44"/>
      <c r="AJ38" s="44"/>
      <c r="AK38" s="44"/>
      <c r="AL38" s="44"/>
      <c r="AM38" s="44"/>
      <c r="AN38" s="44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</row>
    <row r="39" spans="1:59" s="16" customFormat="1" ht="26">
      <c r="A39" s="24" t="s">
        <v>514</v>
      </c>
      <c r="B39" s="893" t="s">
        <v>515</v>
      </c>
      <c r="C39" s="893" t="s">
        <v>516</v>
      </c>
      <c r="D39" s="893" t="s">
        <v>517</v>
      </c>
      <c r="E39" s="893" t="s">
        <v>518</v>
      </c>
      <c r="F39" s="893" t="s">
        <v>373</v>
      </c>
      <c r="G39" s="893" t="s">
        <v>470</v>
      </c>
      <c r="H39" s="893" t="s">
        <v>519</v>
      </c>
      <c r="I39" s="893" t="s">
        <v>520</v>
      </c>
      <c r="J39" s="893" t="s">
        <v>521</v>
      </c>
      <c r="K39" s="893" t="s">
        <v>522</v>
      </c>
      <c r="L39" s="893" t="s">
        <v>523</v>
      </c>
      <c r="M39" s="893" t="s">
        <v>524</v>
      </c>
      <c r="N39" s="893" t="s">
        <v>525</v>
      </c>
      <c r="O39" s="893" t="s">
        <v>526</v>
      </c>
      <c r="P39" s="893" t="s">
        <v>527</v>
      </c>
      <c r="Q39" s="893" t="s">
        <v>528</v>
      </c>
      <c r="R39" s="893" t="s">
        <v>117</v>
      </c>
      <c r="S39" s="32" t="s">
        <v>529</v>
      </c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3"/>
      <c r="AH39" s="43"/>
      <c r="AI39" s="43"/>
      <c r="AJ39" s="43"/>
      <c r="AK39" s="43"/>
      <c r="AL39" s="43"/>
      <c r="AM39" s="43"/>
      <c r="AN39" s="43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</row>
    <row r="40" spans="1:59" ht="13.5" customHeight="1">
      <c r="A40" s="1478">
        <v>2</v>
      </c>
      <c r="B40" s="29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41"/>
      <c r="U40" s="41"/>
      <c r="V40" s="41"/>
      <c r="W40" s="41"/>
      <c r="X40" s="41"/>
      <c r="Y40" s="41"/>
      <c r="Z40" s="41"/>
      <c r="AA40" s="21"/>
      <c r="AB40" s="21"/>
      <c r="AC40" s="41"/>
      <c r="AD40" s="41"/>
      <c r="AE40" s="41"/>
      <c r="AF40" s="44"/>
      <c r="AG40" s="44"/>
      <c r="AH40" s="44"/>
      <c r="AI40" s="44"/>
      <c r="AJ40" s="44"/>
      <c r="AK40" s="44"/>
      <c r="AL40" s="44"/>
      <c r="AM40" s="44"/>
      <c r="AN40" s="44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</row>
    <row r="41" spans="1:59">
      <c r="A41" s="1478"/>
      <c r="B41" s="29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41"/>
      <c r="U41" s="41"/>
      <c r="V41" s="41"/>
      <c r="W41" s="41"/>
      <c r="X41" s="41"/>
      <c r="Y41" s="41"/>
      <c r="Z41" s="41"/>
      <c r="AA41" s="21"/>
      <c r="AB41" s="21"/>
      <c r="AC41" s="41"/>
      <c r="AD41" s="41"/>
      <c r="AE41" s="41"/>
      <c r="AF41" s="44"/>
      <c r="AG41" s="44"/>
      <c r="AH41" s="44"/>
      <c r="AI41" s="44"/>
      <c r="AJ41" s="44"/>
      <c r="AK41" s="44"/>
      <c r="AL41" s="44"/>
      <c r="AM41" s="44"/>
      <c r="AN41" s="44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</row>
    <row r="42" spans="1:59">
      <c r="A42" s="1478"/>
      <c r="B42" s="29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41"/>
      <c r="U42" s="41"/>
      <c r="V42" s="41"/>
      <c r="W42" s="41"/>
      <c r="X42" s="41"/>
      <c r="Y42" s="41"/>
      <c r="Z42" s="41"/>
      <c r="AA42" s="21"/>
      <c r="AB42" s="21"/>
      <c r="AC42" s="41"/>
      <c r="AD42" s="41"/>
      <c r="AE42" s="41"/>
      <c r="AF42" s="44"/>
      <c r="AG42" s="44"/>
      <c r="AH42" s="44"/>
      <c r="AI42" s="44"/>
      <c r="AJ42" s="44"/>
      <c r="AK42" s="44"/>
      <c r="AL42" s="44"/>
      <c r="AM42" s="44"/>
      <c r="AN42" s="44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</row>
    <row r="43" spans="1:59">
      <c r="A43" s="1478"/>
      <c r="B43" s="29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41"/>
      <c r="U43" s="41"/>
      <c r="V43" s="41"/>
      <c r="W43" s="41"/>
      <c r="X43" s="41"/>
      <c r="Y43" s="41"/>
      <c r="Z43" s="41"/>
      <c r="AA43" s="21"/>
      <c r="AB43" s="21"/>
      <c r="AC43" s="41"/>
      <c r="AD43" s="41"/>
      <c r="AE43" s="41"/>
      <c r="AF43" s="44"/>
      <c r="AG43" s="44"/>
      <c r="AH43" s="44"/>
      <c r="AI43" s="44"/>
      <c r="AJ43" s="44"/>
      <c r="AK43" s="44"/>
      <c r="AL43" s="44"/>
      <c r="AM43" s="44"/>
      <c r="AN43" s="44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</row>
    <row r="44" spans="1:59">
      <c r="A44" s="1478"/>
      <c r="B44" s="29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41"/>
      <c r="U44" s="41"/>
      <c r="V44" s="41"/>
      <c r="W44" s="41"/>
      <c r="X44" s="41"/>
      <c r="Y44" s="41"/>
      <c r="Z44" s="41"/>
      <c r="AA44" s="21"/>
      <c r="AB44" s="21"/>
      <c r="AC44" s="41"/>
      <c r="AD44" s="41"/>
      <c r="AE44" s="41"/>
      <c r="AF44" s="44"/>
      <c r="AG44" s="44"/>
      <c r="AH44" s="44"/>
      <c r="AI44" s="44"/>
      <c r="AJ44" s="44"/>
      <c r="AK44" s="44"/>
      <c r="AL44" s="44"/>
      <c r="AM44" s="44"/>
      <c r="AN44" s="44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</row>
    <row r="45" spans="1:59">
      <c r="A45" s="1478"/>
      <c r="B45" s="29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41"/>
      <c r="U45" s="41"/>
      <c r="V45" s="41"/>
      <c r="W45" s="41"/>
      <c r="X45" s="41"/>
      <c r="Y45" s="41"/>
      <c r="Z45" s="41"/>
      <c r="AA45" s="21"/>
      <c r="AB45" s="21"/>
      <c r="AC45" s="41"/>
      <c r="AD45" s="41"/>
      <c r="AE45" s="41"/>
      <c r="AF45" s="44"/>
      <c r="AG45" s="44"/>
      <c r="AH45" s="44"/>
      <c r="AI45" s="44"/>
      <c r="AJ45" s="44"/>
      <c r="AK45" s="44"/>
      <c r="AL45" s="44"/>
      <c r="AM45" s="44"/>
      <c r="AN45" s="44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</row>
    <row r="46" spans="1:59">
      <c r="A46" s="1478"/>
      <c r="B46" s="29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41"/>
      <c r="U46" s="41"/>
      <c r="V46" s="41"/>
      <c r="W46" s="41"/>
      <c r="X46" s="41"/>
      <c r="Y46" s="41"/>
      <c r="Z46" s="41"/>
      <c r="AA46" s="21"/>
      <c r="AB46" s="21"/>
      <c r="AC46" s="41"/>
      <c r="AD46" s="41"/>
      <c r="AE46" s="41"/>
      <c r="AF46" s="44"/>
      <c r="AG46" s="44"/>
      <c r="AH46" s="44"/>
      <c r="AI46" s="44"/>
      <c r="AJ46" s="44"/>
      <c r="AK46" s="44"/>
      <c r="AL46" s="44"/>
      <c r="AM46" s="44"/>
      <c r="AN46" s="44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</row>
    <row r="47" spans="1:59" s="16" customFormat="1" ht="26">
      <c r="A47" s="24" t="s">
        <v>514</v>
      </c>
      <c r="B47" s="33" t="s">
        <v>515</v>
      </c>
      <c r="C47" s="893" t="s">
        <v>516</v>
      </c>
      <c r="D47" s="893" t="s">
        <v>517</v>
      </c>
      <c r="E47" s="893" t="s">
        <v>518</v>
      </c>
      <c r="F47" s="893" t="s">
        <v>373</v>
      </c>
      <c r="G47" s="893" t="s">
        <v>470</v>
      </c>
      <c r="H47" s="893" t="s">
        <v>519</v>
      </c>
      <c r="I47" s="893" t="s">
        <v>520</v>
      </c>
      <c r="J47" s="893" t="s">
        <v>521</v>
      </c>
      <c r="K47" s="893" t="s">
        <v>522</v>
      </c>
      <c r="L47" s="893" t="s">
        <v>523</v>
      </c>
      <c r="M47" s="893" t="s">
        <v>524</v>
      </c>
      <c r="N47" s="893" t="s">
        <v>525</v>
      </c>
      <c r="O47" s="893" t="s">
        <v>526</v>
      </c>
      <c r="P47" s="893" t="s">
        <v>527</v>
      </c>
      <c r="Q47" s="893" t="s">
        <v>528</v>
      </c>
      <c r="R47" s="893" t="s">
        <v>117</v>
      </c>
      <c r="S47" s="32" t="s">
        <v>529</v>
      </c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3"/>
      <c r="AH47" s="43"/>
      <c r="AI47" s="43"/>
      <c r="AJ47" s="43"/>
      <c r="AK47" s="43"/>
      <c r="AL47" s="43"/>
      <c r="AM47" s="43"/>
      <c r="AN47" s="43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</row>
    <row r="48" spans="1:59">
      <c r="A48" s="34"/>
      <c r="B48" s="2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4"/>
      <c r="AG48" s="44"/>
      <c r="AH48" s="44"/>
      <c r="AI48" s="44"/>
      <c r="AJ48" s="44"/>
      <c r="AK48" s="44"/>
      <c r="AL48" s="44"/>
      <c r="AM48" s="44"/>
      <c r="AN48" s="44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</row>
    <row r="49" spans="1:59">
      <c r="A49" s="34"/>
      <c r="B49" s="29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4"/>
      <c r="AG49" s="44"/>
      <c r="AH49" s="44"/>
      <c r="AI49" s="44"/>
      <c r="AJ49" s="44"/>
      <c r="AK49" s="44"/>
      <c r="AL49" s="44"/>
      <c r="AM49" s="44"/>
      <c r="AN49" s="44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</row>
    <row r="50" spans="1:59">
      <c r="A50" s="34"/>
      <c r="B50" s="29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4"/>
      <c r="AG50" s="44"/>
      <c r="AH50" s="44"/>
      <c r="AI50" s="44"/>
      <c r="AJ50" s="44"/>
      <c r="AK50" s="44"/>
      <c r="AL50" s="44"/>
      <c r="AM50" s="44"/>
      <c r="AN50" s="44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</row>
    <row r="51" spans="1:59">
      <c r="A51" s="26"/>
      <c r="B51" s="29"/>
      <c r="C51" s="21"/>
      <c r="D51" s="21"/>
      <c r="E51" s="21"/>
      <c r="F51" s="21"/>
      <c r="G51" s="21" t="s">
        <v>537</v>
      </c>
      <c r="H51" s="21">
        <f>SUM(H53:H60)</f>
        <v>0</v>
      </c>
      <c r="I51" s="21">
        <f t="shared" ref="I51:R51" si="9">SUM(I53:I60)</f>
        <v>0</v>
      </c>
      <c r="J51" s="21">
        <f t="shared" si="9"/>
        <v>0</v>
      </c>
      <c r="K51" s="21">
        <f t="shared" si="9"/>
        <v>0</v>
      </c>
      <c r="L51" s="21">
        <f t="shared" si="9"/>
        <v>0</v>
      </c>
      <c r="M51" s="21">
        <f t="shared" si="9"/>
        <v>0</v>
      </c>
      <c r="N51" s="21">
        <f t="shared" si="9"/>
        <v>0</v>
      </c>
      <c r="O51" s="21">
        <f t="shared" si="9"/>
        <v>0</v>
      </c>
      <c r="P51" s="21">
        <f t="shared" si="9"/>
        <v>0</v>
      </c>
      <c r="Q51" s="21">
        <f t="shared" si="9"/>
        <v>0</v>
      </c>
      <c r="R51" s="21">
        <f t="shared" si="9"/>
        <v>0</v>
      </c>
      <c r="S51" s="2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4"/>
      <c r="AG51" s="44"/>
      <c r="AH51" s="44"/>
      <c r="AI51" s="44"/>
      <c r="AJ51" s="44"/>
      <c r="AK51" s="44"/>
      <c r="AL51" s="44"/>
      <c r="AM51" s="44"/>
      <c r="AN51" s="44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</row>
    <row r="52" spans="1:59" s="16" customFormat="1" ht="12.65" customHeight="1">
      <c r="A52" s="24" t="s">
        <v>514</v>
      </c>
      <c r="B52" s="893" t="s">
        <v>515</v>
      </c>
      <c r="C52" s="893" t="s">
        <v>516</v>
      </c>
      <c r="D52" s="893" t="s">
        <v>517</v>
      </c>
      <c r="E52" s="893" t="s">
        <v>518</v>
      </c>
      <c r="F52" s="893" t="s">
        <v>373</v>
      </c>
      <c r="G52" s="893" t="s">
        <v>470</v>
      </c>
      <c r="H52" s="893" t="s">
        <v>519</v>
      </c>
      <c r="I52" s="893" t="s">
        <v>520</v>
      </c>
      <c r="J52" s="893" t="s">
        <v>521</v>
      </c>
      <c r="K52" s="893" t="s">
        <v>522</v>
      </c>
      <c r="L52" s="893" t="s">
        <v>523</v>
      </c>
      <c r="M52" s="893" t="s">
        <v>524</v>
      </c>
      <c r="N52" s="893" t="s">
        <v>525</v>
      </c>
      <c r="O52" s="893" t="s">
        <v>526</v>
      </c>
      <c r="P52" s="893" t="s">
        <v>527</v>
      </c>
      <c r="Q52" s="893" t="s">
        <v>528</v>
      </c>
      <c r="R52" s="893" t="s">
        <v>117</v>
      </c>
      <c r="S52" s="32" t="s">
        <v>529</v>
      </c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3"/>
      <c r="AH52" s="43"/>
      <c r="AI52" s="43"/>
      <c r="AJ52" s="43"/>
      <c r="AK52" s="43"/>
      <c r="AL52" s="43"/>
      <c r="AM52" s="43"/>
      <c r="AN52" s="43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</row>
    <row r="53" spans="1:59" ht="13.5" customHeight="1">
      <c r="A53" s="1479">
        <v>3</v>
      </c>
      <c r="B53" s="29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4"/>
      <c r="AG53" s="44"/>
      <c r="AH53" s="44"/>
      <c r="AI53" s="44"/>
      <c r="AJ53" s="44"/>
      <c r="AK53" s="44"/>
      <c r="AL53" s="44"/>
      <c r="AM53" s="44"/>
      <c r="AN53" s="44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</row>
    <row r="54" spans="1:59">
      <c r="A54" s="1480"/>
      <c r="B54" s="29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4"/>
      <c r="AG54" s="44"/>
      <c r="AH54" s="44"/>
      <c r="AI54" s="44"/>
      <c r="AJ54" s="44"/>
      <c r="AK54" s="44"/>
      <c r="AL54" s="44"/>
      <c r="AM54" s="44"/>
      <c r="AN54" s="44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</row>
    <row r="55" spans="1:59">
      <c r="A55" s="1480"/>
      <c r="B55" s="29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4"/>
      <c r="AG55" s="44"/>
      <c r="AH55" s="44"/>
      <c r="AI55" s="44"/>
      <c r="AJ55" s="44"/>
      <c r="AK55" s="44"/>
      <c r="AL55" s="44"/>
      <c r="AM55" s="44"/>
      <c r="AN55" s="44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</row>
    <row r="56" spans="1:59">
      <c r="A56" s="1481"/>
      <c r="B56" s="29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4"/>
      <c r="AG56" s="44"/>
      <c r="AH56" s="44"/>
      <c r="AI56" s="44"/>
      <c r="AJ56" s="44"/>
      <c r="AK56" s="44"/>
      <c r="AL56" s="44"/>
      <c r="AM56" s="44"/>
      <c r="AN56" s="44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</row>
    <row r="57" spans="1:59" s="16" customFormat="1" ht="26">
      <c r="A57" s="35"/>
      <c r="B57" s="33" t="s">
        <v>515</v>
      </c>
      <c r="C57" s="893" t="s">
        <v>516</v>
      </c>
      <c r="D57" s="893" t="s">
        <v>517</v>
      </c>
      <c r="E57" s="893" t="s">
        <v>518</v>
      </c>
      <c r="F57" s="893" t="s">
        <v>373</v>
      </c>
      <c r="G57" s="893" t="s">
        <v>470</v>
      </c>
      <c r="H57" s="893" t="s">
        <v>519</v>
      </c>
      <c r="I57" s="893" t="s">
        <v>520</v>
      </c>
      <c r="J57" s="893" t="s">
        <v>521</v>
      </c>
      <c r="K57" s="893" t="s">
        <v>522</v>
      </c>
      <c r="L57" s="893" t="s">
        <v>523</v>
      </c>
      <c r="M57" s="893" t="s">
        <v>524</v>
      </c>
      <c r="N57" s="893" t="s">
        <v>525</v>
      </c>
      <c r="O57" s="893" t="s">
        <v>526</v>
      </c>
      <c r="P57" s="893" t="s">
        <v>527</v>
      </c>
      <c r="Q57" s="893" t="s">
        <v>528</v>
      </c>
      <c r="R57" s="893" t="s">
        <v>117</v>
      </c>
      <c r="S57" s="32" t="s">
        <v>529</v>
      </c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3"/>
      <c r="AG57" s="43"/>
      <c r="AH57" s="43"/>
      <c r="AI57" s="43"/>
      <c r="AJ57" s="43"/>
      <c r="AK57" s="43"/>
      <c r="AL57" s="43"/>
      <c r="AM57" s="43"/>
      <c r="AN57" s="43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</row>
    <row r="58" spans="1:59">
      <c r="A58" s="36"/>
      <c r="B58" s="2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41"/>
      <c r="AB58" s="41"/>
      <c r="AC58" s="41"/>
      <c r="AD58" s="41"/>
      <c r="AE58" s="41"/>
      <c r="AF58" s="44"/>
      <c r="AG58" s="44"/>
      <c r="AH58" s="44"/>
      <c r="AI58" s="44"/>
      <c r="AJ58" s="44"/>
      <c r="AK58" s="44"/>
      <c r="AL58" s="44"/>
      <c r="AM58" s="44"/>
      <c r="AN58" s="44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</row>
    <row r="59" spans="1:59">
      <c r="A59" s="36"/>
      <c r="B59" s="29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41"/>
      <c r="AB59" s="41"/>
      <c r="AC59" s="41"/>
      <c r="AD59" s="41"/>
      <c r="AE59" s="41"/>
      <c r="AF59" s="44"/>
      <c r="AG59" s="44"/>
      <c r="AH59" s="44"/>
      <c r="AI59" s="44"/>
      <c r="AJ59" s="44"/>
      <c r="AK59" s="44"/>
      <c r="AL59" s="44"/>
      <c r="AM59" s="44"/>
      <c r="AN59" s="44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</row>
    <row r="60" spans="1:59">
      <c r="A60" s="36"/>
      <c r="B60" s="2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41"/>
      <c r="AB60" s="41"/>
      <c r="AC60" s="41"/>
      <c r="AD60" s="41"/>
      <c r="AE60" s="41"/>
      <c r="AF60" s="44"/>
      <c r="AG60" s="44"/>
      <c r="AH60" s="44"/>
      <c r="AI60" s="44"/>
      <c r="AJ60" s="44"/>
      <c r="AK60" s="44"/>
      <c r="AL60" s="44"/>
      <c r="AM60" s="44"/>
      <c r="AN60" s="44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</row>
    <row r="61" spans="1:59" s="16" customFormat="1" ht="39">
      <c r="A61" s="24" t="s">
        <v>538</v>
      </c>
      <c r="B61" s="895" t="s">
        <v>539</v>
      </c>
      <c r="C61" s="895" t="s">
        <v>540</v>
      </c>
      <c r="D61" s="895" t="s">
        <v>541</v>
      </c>
      <c r="E61" s="895" t="s">
        <v>542</v>
      </c>
      <c r="F61" s="895" t="s">
        <v>543</v>
      </c>
      <c r="G61" s="895" t="s">
        <v>512</v>
      </c>
      <c r="H61" s="895" t="s">
        <v>544</v>
      </c>
      <c r="I61" s="895" t="s">
        <v>545</v>
      </c>
      <c r="J61" s="895" t="s">
        <v>546</v>
      </c>
      <c r="K61" s="895" t="s">
        <v>547</v>
      </c>
      <c r="L61" s="895" t="s">
        <v>548</v>
      </c>
      <c r="M61" s="895" t="s">
        <v>549</v>
      </c>
      <c r="N61" s="895" t="s">
        <v>550</v>
      </c>
      <c r="O61" s="895" t="s">
        <v>551</v>
      </c>
      <c r="P61" s="895" t="s">
        <v>552</v>
      </c>
      <c r="Q61" s="895" t="s">
        <v>553</v>
      </c>
      <c r="R61" s="895" t="s">
        <v>554</v>
      </c>
      <c r="S61" s="895" t="s">
        <v>555</v>
      </c>
      <c r="T61" s="895" t="s">
        <v>556</v>
      </c>
      <c r="U61" s="895" t="s">
        <v>557</v>
      </c>
      <c r="V61" s="895" t="s">
        <v>558</v>
      </c>
      <c r="W61" s="895" t="s">
        <v>559</v>
      </c>
      <c r="X61" s="895" t="s">
        <v>560</v>
      </c>
      <c r="Y61" s="895" t="s">
        <v>561</v>
      </c>
      <c r="Z61" s="895" t="s">
        <v>562</v>
      </c>
      <c r="AA61" s="896" t="s">
        <v>563</v>
      </c>
      <c r="AB61" s="42"/>
      <c r="AC61" s="42"/>
      <c r="AD61" s="42"/>
      <c r="AE61" s="42"/>
      <c r="AF61" s="43"/>
      <c r="AG61" s="43"/>
      <c r="AH61" s="43"/>
      <c r="AI61" s="43"/>
      <c r="AJ61" s="43"/>
      <c r="AK61" s="43"/>
      <c r="AL61" s="43"/>
      <c r="AM61" s="43"/>
      <c r="AN61" s="43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</row>
    <row r="62" spans="1:59" ht="24.5">
      <c r="A62" s="1482">
        <v>1</v>
      </c>
      <c r="B62" s="37">
        <v>43017</v>
      </c>
      <c r="C62" s="897" t="s">
        <v>530</v>
      </c>
      <c r="D62" s="898" t="s">
        <v>502</v>
      </c>
      <c r="E62" s="1177">
        <v>0.33333333333333298</v>
      </c>
      <c r="F62" s="1177">
        <v>0.66666666666666696</v>
      </c>
      <c r="G62" s="1178">
        <v>480</v>
      </c>
      <c r="H62" s="1178">
        <v>10</v>
      </c>
      <c r="I62" s="1178">
        <v>10</v>
      </c>
      <c r="J62" s="1178">
        <v>20</v>
      </c>
      <c r="K62" s="1178">
        <v>30</v>
      </c>
      <c r="L62" s="1178">
        <v>0</v>
      </c>
      <c r="M62" s="1178">
        <v>0</v>
      </c>
      <c r="N62" s="1178">
        <v>0</v>
      </c>
      <c r="O62" s="1178">
        <v>0</v>
      </c>
      <c r="P62" s="1178">
        <v>0</v>
      </c>
      <c r="Q62" s="1178">
        <v>0</v>
      </c>
      <c r="R62" s="1178">
        <v>0</v>
      </c>
      <c r="S62" s="1178">
        <v>0</v>
      </c>
      <c r="T62" s="1178">
        <v>0</v>
      </c>
      <c r="U62" s="1178">
        <v>0</v>
      </c>
      <c r="V62" s="1178">
        <v>0</v>
      </c>
      <c r="W62" s="1178">
        <v>0</v>
      </c>
      <c r="X62" s="1178">
        <v>0</v>
      </c>
      <c r="Y62" s="1178">
        <v>0</v>
      </c>
      <c r="Z62" s="1178">
        <v>0</v>
      </c>
      <c r="AA62" s="1179" t="s">
        <v>564</v>
      </c>
      <c r="AB62" s="45"/>
      <c r="AC62" s="41"/>
      <c r="AD62" s="41"/>
      <c r="AE62" s="41"/>
      <c r="AF62" s="44"/>
      <c r="AG62" s="44"/>
      <c r="AH62" s="44"/>
      <c r="AI62" s="44"/>
      <c r="AJ62" s="44"/>
      <c r="AK62" s="44"/>
      <c r="AL62" s="44"/>
      <c r="AM62" s="44"/>
      <c r="AN62" s="44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</row>
    <row r="63" spans="1:59" ht="24.5">
      <c r="A63" s="1483"/>
      <c r="B63" s="37">
        <f>B62</f>
        <v>43017</v>
      </c>
      <c r="C63" s="897" t="s">
        <v>530</v>
      </c>
      <c r="D63" s="898" t="s">
        <v>502</v>
      </c>
      <c r="E63" s="1177">
        <v>0.33333333333333298</v>
      </c>
      <c r="F63" s="1177">
        <v>0.66666666666666696</v>
      </c>
      <c r="G63" s="1178">
        <v>480</v>
      </c>
      <c r="H63" s="1178">
        <v>10</v>
      </c>
      <c r="I63" s="1178">
        <v>10</v>
      </c>
      <c r="J63" s="1178">
        <v>20</v>
      </c>
      <c r="K63" s="1178">
        <v>30</v>
      </c>
      <c r="L63" s="1178">
        <v>0</v>
      </c>
      <c r="M63" s="1178">
        <v>0</v>
      </c>
      <c r="N63" s="1178">
        <v>0</v>
      </c>
      <c r="O63" s="1178">
        <v>0</v>
      </c>
      <c r="P63" s="1178">
        <v>0</v>
      </c>
      <c r="Q63" s="1178">
        <v>0</v>
      </c>
      <c r="R63" s="1178">
        <v>0</v>
      </c>
      <c r="S63" s="1178">
        <v>0</v>
      </c>
      <c r="T63" s="1178">
        <v>0</v>
      </c>
      <c r="U63" s="1178">
        <v>0</v>
      </c>
      <c r="V63" s="1178">
        <v>0</v>
      </c>
      <c r="W63" s="1178">
        <v>0</v>
      </c>
      <c r="X63" s="1178">
        <v>0</v>
      </c>
      <c r="Y63" s="1178">
        <v>0</v>
      </c>
      <c r="Z63" s="1178">
        <v>0</v>
      </c>
      <c r="AA63" s="1179" t="s">
        <v>291</v>
      </c>
      <c r="AB63" s="45"/>
      <c r="AC63" s="41"/>
      <c r="AD63" s="41"/>
      <c r="AE63" s="41"/>
      <c r="AF63" s="44"/>
      <c r="AG63" s="44"/>
      <c r="AH63" s="44"/>
      <c r="AI63" s="44"/>
      <c r="AJ63" s="44"/>
      <c r="AK63" s="44"/>
      <c r="AL63" s="44"/>
      <c r="AM63" s="44"/>
      <c r="AN63" s="44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</row>
    <row r="64" spans="1:59" ht="24.5">
      <c r="A64" s="1483"/>
      <c r="B64" s="37">
        <f t="shared" ref="B64:B69" si="10">B63</f>
        <v>43017</v>
      </c>
      <c r="C64" s="897" t="s">
        <v>530</v>
      </c>
      <c r="D64" s="898" t="s">
        <v>502</v>
      </c>
      <c r="E64" s="1177">
        <v>0.33333333333333298</v>
      </c>
      <c r="F64" s="1177">
        <v>0.66666666666666696</v>
      </c>
      <c r="G64" s="1178">
        <v>480</v>
      </c>
      <c r="H64" s="1178">
        <v>10</v>
      </c>
      <c r="I64" s="1178">
        <v>10</v>
      </c>
      <c r="J64" s="1178">
        <v>20</v>
      </c>
      <c r="K64" s="1178">
        <v>30</v>
      </c>
      <c r="L64" s="1178">
        <v>0</v>
      </c>
      <c r="M64" s="1178">
        <v>0</v>
      </c>
      <c r="N64" s="1178">
        <v>0</v>
      </c>
      <c r="O64" s="1178">
        <v>0</v>
      </c>
      <c r="P64" s="1178">
        <v>0</v>
      </c>
      <c r="Q64" s="1178">
        <v>0</v>
      </c>
      <c r="R64" s="1178">
        <v>0</v>
      </c>
      <c r="S64" s="1178">
        <v>0</v>
      </c>
      <c r="T64" s="1178">
        <v>0</v>
      </c>
      <c r="U64" s="1178">
        <v>0</v>
      </c>
      <c r="V64" s="1178">
        <v>0</v>
      </c>
      <c r="W64" s="1178">
        <v>0</v>
      </c>
      <c r="X64" s="1178">
        <v>0</v>
      </c>
      <c r="Y64" s="1178">
        <v>0</v>
      </c>
      <c r="Z64" s="1178">
        <v>0</v>
      </c>
      <c r="AA64" s="1179" t="s">
        <v>292</v>
      </c>
      <c r="AB64" s="45"/>
      <c r="AC64" s="41"/>
      <c r="AD64" s="41"/>
      <c r="AE64" s="41"/>
      <c r="AF64" s="44"/>
      <c r="AG64" s="44"/>
      <c r="AH64" s="44"/>
      <c r="AI64" s="44"/>
      <c r="AJ64" s="44"/>
      <c r="AK64" s="44"/>
      <c r="AL64" s="44"/>
      <c r="AM64" s="44"/>
      <c r="AN64" s="44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</row>
    <row r="65" spans="1:59" ht="24.5">
      <c r="A65" s="1483"/>
      <c r="B65" s="37">
        <f t="shared" si="10"/>
        <v>43017</v>
      </c>
      <c r="C65" s="897" t="s">
        <v>530</v>
      </c>
      <c r="D65" s="898" t="s">
        <v>502</v>
      </c>
      <c r="E65" s="1177">
        <v>0.33333333333333298</v>
      </c>
      <c r="F65" s="1177">
        <v>0.66666666666666696</v>
      </c>
      <c r="G65" s="1178">
        <v>480</v>
      </c>
      <c r="H65" s="1178">
        <v>10</v>
      </c>
      <c r="I65" s="1178">
        <v>10</v>
      </c>
      <c r="J65" s="1178">
        <v>20</v>
      </c>
      <c r="K65" s="1178">
        <v>30</v>
      </c>
      <c r="L65" s="1178">
        <v>0</v>
      </c>
      <c r="M65" s="1178">
        <v>0</v>
      </c>
      <c r="N65" s="1178">
        <v>0</v>
      </c>
      <c r="O65" s="1178">
        <v>0</v>
      </c>
      <c r="P65" s="1178">
        <v>0</v>
      </c>
      <c r="Q65" s="1178">
        <v>0</v>
      </c>
      <c r="R65" s="1178">
        <v>0</v>
      </c>
      <c r="S65" s="1178">
        <v>0</v>
      </c>
      <c r="T65" s="1178">
        <v>0</v>
      </c>
      <c r="U65" s="1178">
        <v>0</v>
      </c>
      <c r="V65" s="1178">
        <v>0</v>
      </c>
      <c r="W65" s="1178">
        <v>0</v>
      </c>
      <c r="X65" s="1178">
        <v>0</v>
      </c>
      <c r="Y65" s="1178">
        <v>0</v>
      </c>
      <c r="Z65" s="1178">
        <v>0</v>
      </c>
      <c r="AA65" s="1179" t="s">
        <v>293</v>
      </c>
      <c r="AB65" s="45"/>
      <c r="AC65" s="41"/>
      <c r="AD65" s="41"/>
      <c r="AE65" s="41"/>
      <c r="AF65" s="44"/>
      <c r="AG65" s="44"/>
      <c r="AH65" s="44"/>
      <c r="AI65" s="44"/>
      <c r="AJ65" s="44"/>
      <c r="AK65" s="44"/>
      <c r="AL65" s="44"/>
      <c r="AM65" s="44"/>
      <c r="AN65" s="44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</row>
    <row r="66" spans="1:59" ht="24.5">
      <c r="A66" s="1483"/>
      <c r="B66" s="37">
        <f t="shared" si="10"/>
        <v>43017</v>
      </c>
      <c r="C66" s="897" t="s">
        <v>530</v>
      </c>
      <c r="D66" s="39">
        <v>1</v>
      </c>
      <c r="E66" s="1177">
        <v>0.33333333333333298</v>
      </c>
      <c r="F66" s="1177">
        <v>0.66666666666666696</v>
      </c>
      <c r="G66" s="1178">
        <v>480</v>
      </c>
      <c r="H66" s="1178">
        <v>10</v>
      </c>
      <c r="I66" s="1178">
        <v>10</v>
      </c>
      <c r="J66" s="1178">
        <v>20</v>
      </c>
      <c r="K66" s="1178">
        <v>30</v>
      </c>
      <c r="L66" s="1178">
        <v>0</v>
      </c>
      <c r="M66" s="1178">
        <v>0</v>
      </c>
      <c r="N66" s="1178">
        <v>0</v>
      </c>
      <c r="O66" s="1178">
        <v>0</v>
      </c>
      <c r="P66" s="1178">
        <v>0</v>
      </c>
      <c r="Q66" s="1178">
        <v>0</v>
      </c>
      <c r="R66" s="1178">
        <v>0</v>
      </c>
      <c r="S66" s="1178">
        <v>0</v>
      </c>
      <c r="T66" s="1178">
        <v>0</v>
      </c>
      <c r="U66" s="1178">
        <v>0</v>
      </c>
      <c r="V66" s="1178">
        <v>0</v>
      </c>
      <c r="W66" s="1178">
        <v>0</v>
      </c>
      <c r="X66" s="1178">
        <v>0</v>
      </c>
      <c r="Y66" s="1178">
        <v>0</v>
      </c>
      <c r="Z66" s="1178">
        <v>0</v>
      </c>
      <c r="AA66" s="1179" t="s">
        <v>294</v>
      </c>
      <c r="AB66" s="45"/>
      <c r="AC66" s="41"/>
      <c r="AD66" s="41"/>
      <c r="AE66" s="41"/>
      <c r="AF66" s="44"/>
      <c r="AG66" s="44"/>
      <c r="AH66" s="44"/>
      <c r="AI66" s="44"/>
      <c r="AJ66" s="44"/>
      <c r="AK66" s="44"/>
      <c r="AL66" s="44"/>
      <c r="AM66" s="44"/>
      <c r="AN66" s="44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</row>
    <row r="67" spans="1:59" ht="24.5">
      <c r="A67" s="1483"/>
      <c r="B67" s="37">
        <f t="shared" si="10"/>
        <v>43017</v>
      </c>
      <c r="C67" s="897" t="s">
        <v>530</v>
      </c>
      <c r="D67" s="39">
        <v>1</v>
      </c>
      <c r="E67" s="1177">
        <v>0.33333333333333298</v>
      </c>
      <c r="F67" s="1177">
        <v>0.66666666666666696</v>
      </c>
      <c r="G67" s="1178">
        <v>480</v>
      </c>
      <c r="H67" s="1178">
        <v>10</v>
      </c>
      <c r="I67" s="1178">
        <v>10</v>
      </c>
      <c r="J67" s="1178">
        <v>20</v>
      </c>
      <c r="K67" s="1178">
        <v>30</v>
      </c>
      <c r="L67" s="1178">
        <v>0</v>
      </c>
      <c r="M67" s="1178">
        <v>0</v>
      </c>
      <c r="N67" s="1178">
        <v>0</v>
      </c>
      <c r="O67" s="1178">
        <v>0</v>
      </c>
      <c r="P67" s="1178">
        <v>0</v>
      </c>
      <c r="Q67" s="1178">
        <v>0</v>
      </c>
      <c r="R67" s="1178">
        <v>0</v>
      </c>
      <c r="S67" s="1178">
        <v>0</v>
      </c>
      <c r="T67" s="1178">
        <v>0</v>
      </c>
      <c r="U67" s="1178">
        <v>0</v>
      </c>
      <c r="V67" s="1178">
        <v>0</v>
      </c>
      <c r="W67" s="1178">
        <v>0</v>
      </c>
      <c r="X67" s="1178">
        <v>0</v>
      </c>
      <c r="Y67" s="1178">
        <v>0</v>
      </c>
      <c r="Z67" s="1178">
        <v>0</v>
      </c>
      <c r="AA67" s="1179" t="s">
        <v>295</v>
      </c>
      <c r="AB67" s="45"/>
      <c r="AC67" s="41"/>
      <c r="AD67" s="41"/>
      <c r="AE67" s="41"/>
      <c r="AF67" s="44"/>
      <c r="AG67" s="44"/>
      <c r="AH67" s="44"/>
      <c r="AI67" s="44"/>
      <c r="AJ67" s="44"/>
      <c r="AK67" s="44"/>
      <c r="AL67" s="44"/>
      <c r="AM67" s="44"/>
      <c r="AN67" s="44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</row>
    <row r="68" spans="1:59" ht="24.5">
      <c r="A68" s="1483"/>
      <c r="B68" s="37">
        <f t="shared" si="10"/>
        <v>43017</v>
      </c>
      <c r="C68" s="897" t="s">
        <v>530</v>
      </c>
      <c r="D68" s="39">
        <v>1</v>
      </c>
      <c r="E68" s="1177">
        <v>0.33333333333333298</v>
      </c>
      <c r="F68" s="1177">
        <v>0.66666666666666696</v>
      </c>
      <c r="G68" s="1178">
        <v>480</v>
      </c>
      <c r="H68" s="1178">
        <v>10</v>
      </c>
      <c r="I68" s="1178">
        <v>10</v>
      </c>
      <c r="J68" s="1178">
        <v>20</v>
      </c>
      <c r="K68" s="1178">
        <v>30</v>
      </c>
      <c r="L68" s="1178">
        <v>0</v>
      </c>
      <c r="M68" s="1178">
        <v>0</v>
      </c>
      <c r="N68" s="1178">
        <v>0</v>
      </c>
      <c r="O68" s="1178">
        <v>0</v>
      </c>
      <c r="P68" s="1178">
        <v>0</v>
      </c>
      <c r="Q68" s="1178">
        <v>0</v>
      </c>
      <c r="R68" s="1178">
        <v>0</v>
      </c>
      <c r="S68" s="1178">
        <v>0</v>
      </c>
      <c r="T68" s="1178">
        <v>0</v>
      </c>
      <c r="U68" s="1178">
        <v>0</v>
      </c>
      <c r="V68" s="1178">
        <v>0</v>
      </c>
      <c r="W68" s="1178">
        <v>0</v>
      </c>
      <c r="X68" s="1178">
        <v>0</v>
      </c>
      <c r="Y68" s="1178">
        <v>0</v>
      </c>
      <c r="Z68" s="1178">
        <v>0</v>
      </c>
      <c r="AA68" s="1179" t="s">
        <v>296</v>
      </c>
      <c r="AB68" s="45"/>
      <c r="AC68" s="41"/>
      <c r="AD68" s="41"/>
      <c r="AE68" s="41"/>
      <c r="AF68" s="44"/>
      <c r="AG68" s="44"/>
      <c r="AH68" s="44"/>
      <c r="AI68" s="44"/>
      <c r="AJ68" s="44"/>
      <c r="AK68" s="44"/>
      <c r="AL68" s="44"/>
      <c r="AM68" s="44"/>
      <c r="AN68" s="44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</row>
    <row r="69" spans="1:59" ht="24.5">
      <c r="A69" s="1484"/>
      <c r="B69" s="37">
        <f t="shared" si="10"/>
        <v>43017</v>
      </c>
      <c r="C69" s="897" t="s">
        <v>530</v>
      </c>
      <c r="D69" s="898" t="s">
        <v>502</v>
      </c>
      <c r="E69" s="1177">
        <v>0.33333333333333298</v>
      </c>
      <c r="F69" s="1177">
        <v>0.66666666666666696</v>
      </c>
      <c r="G69" s="1178">
        <v>480</v>
      </c>
      <c r="H69" s="1178">
        <v>10</v>
      </c>
      <c r="I69" s="1178">
        <v>10</v>
      </c>
      <c r="J69" s="1178">
        <v>20</v>
      </c>
      <c r="K69" s="1178">
        <v>30</v>
      </c>
      <c r="L69" s="1178">
        <v>0</v>
      </c>
      <c r="M69" s="1178">
        <v>0</v>
      </c>
      <c r="N69" s="1178">
        <v>0</v>
      </c>
      <c r="O69" s="1178">
        <v>0</v>
      </c>
      <c r="P69" s="1178">
        <v>0</v>
      </c>
      <c r="Q69" s="1178">
        <v>0</v>
      </c>
      <c r="R69" s="1178">
        <v>0</v>
      </c>
      <c r="S69" s="1178">
        <v>0</v>
      </c>
      <c r="T69" s="1178">
        <v>0</v>
      </c>
      <c r="U69" s="1178">
        <v>0</v>
      </c>
      <c r="V69" s="1178">
        <v>0</v>
      </c>
      <c r="W69" s="1178">
        <v>0</v>
      </c>
      <c r="X69" s="1178">
        <v>0</v>
      </c>
      <c r="Y69" s="1178">
        <v>0</v>
      </c>
      <c r="Z69" s="1178">
        <v>0</v>
      </c>
      <c r="AA69" s="1179" t="s">
        <v>297</v>
      </c>
      <c r="AB69" s="45"/>
      <c r="AC69" s="41"/>
      <c r="AD69" s="41"/>
      <c r="AE69" s="41"/>
      <c r="AF69" s="44"/>
      <c r="AG69" s="44"/>
      <c r="AH69" s="44"/>
      <c r="AI69" s="44"/>
      <c r="AJ69" s="44"/>
      <c r="AK69" s="44"/>
      <c r="AL69" s="44"/>
      <c r="AM69" s="44"/>
      <c r="AN69" s="44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</row>
    <row r="70" spans="1:59" s="16" customFormat="1" ht="39">
      <c r="A70" s="52"/>
      <c r="B70" s="899" t="s">
        <v>539</v>
      </c>
      <c r="C70" s="899" t="s">
        <v>540</v>
      </c>
      <c r="D70" s="899" t="s">
        <v>541</v>
      </c>
      <c r="E70" s="899" t="s">
        <v>542</v>
      </c>
      <c r="F70" s="899" t="s">
        <v>543</v>
      </c>
      <c r="G70" s="899" t="s">
        <v>512</v>
      </c>
      <c r="H70" s="899" t="s">
        <v>544</v>
      </c>
      <c r="I70" s="899" t="s">
        <v>545</v>
      </c>
      <c r="J70" s="899" t="s">
        <v>546</v>
      </c>
      <c r="K70" s="899" t="s">
        <v>547</v>
      </c>
      <c r="L70" s="899" t="s">
        <v>548</v>
      </c>
      <c r="M70" s="899" t="s">
        <v>549</v>
      </c>
      <c r="N70" s="899" t="s">
        <v>550</v>
      </c>
      <c r="O70" s="899" t="s">
        <v>551</v>
      </c>
      <c r="P70" s="899" t="s">
        <v>552</v>
      </c>
      <c r="Q70" s="899" t="s">
        <v>553</v>
      </c>
      <c r="R70" s="899" t="s">
        <v>554</v>
      </c>
      <c r="S70" s="899" t="s">
        <v>555</v>
      </c>
      <c r="T70" s="899" t="s">
        <v>556</v>
      </c>
      <c r="U70" s="899" t="s">
        <v>557</v>
      </c>
      <c r="V70" s="899" t="s">
        <v>558</v>
      </c>
      <c r="W70" s="899" t="s">
        <v>559</v>
      </c>
      <c r="X70" s="899" t="s">
        <v>560</v>
      </c>
      <c r="Y70" s="899" t="s">
        <v>561</v>
      </c>
      <c r="Z70" s="899" t="s">
        <v>562</v>
      </c>
      <c r="AA70" s="900" t="s">
        <v>563</v>
      </c>
      <c r="AB70" s="21"/>
      <c r="AC70" s="42"/>
      <c r="AD70" s="42"/>
      <c r="AE70" s="42"/>
      <c r="AF70" s="43"/>
      <c r="AG70" s="43"/>
      <c r="AH70" s="43"/>
      <c r="AI70" s="43"/>
      <c r="AJ70" s="43"/>
      <c r="AK70" s="43"/>
      <c r="AL70" s="43"/>
      <c r="AM70" s="43"/>
      <c r="AN70" s="43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</row>
    <row r="71" spans="1:59" ht="24.5">
      <c r="A71" s="1485">
        <v>2</v>
      </c>
      <c r="B71" s="53">
        <f>B62</f>
        <v>43017</v>
      </c>
      <c r="C71" s="38"/>
      <c r="D71" s="38"/>
      <c r="E71" s="54"/>
      <c r="F71" s="54"/>
      <c r="G71" s="38"/>
      <c r="H71" s="38">
        <v>10</v>
      </c>
      <c r="I71" s="38">
        <v>10</v>
      </c>
      <c r="J71" s="38">
        <v>20</v>
      </c>
      <c r="K71" s="38">
        <v>30</v>
      </c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1179" t="s">
        <v>564</v>
      </c>
      <c r="AB71" s="21"/>
      <c r="AC71" s="41"/>
      <c r="AD71" s="41"/>
      <c r="AE71" s="41"/>
      <c r="AF71" s="44"/>
      <c r="AG71" s="44"/>
      <c r="AH71" s="44"/>
      <c r="AI71" s="44"/>
      <c r="AJ71" s="44"/>
      <c r="AK71" s="44"/>
      <c r="AL71" s="44"/>
      <c r="AM71" s="44"/>
      <c r="AN71" s="44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</row>
    <row r="72" spans="1:59" ht="24.5">
      <c r="A72" s="1486"/>
      <c r="B72" s="53">
        <f>B71</f>
        <v>43017</v>
      </c>
      <c r="C72" s="38"/>
      <c r="D72" s="38"/>
      <c r="E72" s="54"/>
      <c r="F72" s="54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1179" t="s">
        <v>291</v>
      </c>
      <c r="AB72" s="21"/>
      <c r="AC72" s="41"/>
      <c r="AD72" s="41"/>
      <c r="AE72" s="41"/>
      <c r="AF72" s="44"/>
      <c r="AG72" s="44"/>
      <c r="AH72" s="44"/>
      <c r="AI72" s="44"/>
      <c r="AJ72" s="44"/>
      <c r="AK72" s="44"/>
      <c r="AL72" s="44"/>
      <c r="AM72" s="44"/>
      <c r="AN72" s="44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</row>
    <row r="73" spans="1:59" ht="24.5">
      <c r="A73" s="1486"/>
      <c r="B73" s="53">
        <f t="shared" ref="B73:B78" si="11">B72</f>
        <v>43017</v>
      </c>
      <c r="C73" s="38"/>
      <c r="D73" s="38"/>
      <c r="E73" s="54"/>
      <c r="F73" s="54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1179" t="s">
        <v>292</v>
      </c>
      <c r="AB73" s="21"/>
      <c r="AC73" s="41"/>
      <c r="AD73" s="41"/>
      <c r="AE73" s="41"/>
      <c r="AF73" s="44"/>
      <c r="AG73" s="44"/>
      <c r="AH73" s="44"/>
      <c r="AI73" s="44"/>
      <c r="AJ73" s="44"/>
      <c r="AK73" s="44"/>
      <c r="AL73" s="44"/>
      <c r="AM73" s="44"/>
      <c r="AN73" s="44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</row>
    <row r="74" spans="1:59" ht="24.5">
      <c r="A74" s="1486"/>
      <c r="B74" s="53">
        <f t="shared" si="11"/>
        <v>43017</v>
      </c>
      <c r="C74" s="38"/>
      <c r="D74" s="38"/>
      <c r="E74" s="54"/>
      <c r="F74" s="54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1179" t="s">
        <v>293</v>
      </c>
      <c r="AB74" s="21"/>
      <c r="AC74" s="41"/>
      <c r="AD74" s="41"/>
      <c r="AE74" s="41"/>
      <c r="AF74" s="44"/>
      <c r="AG74" s="44"/>
      <c r="AH74" s="44"/>
      <c r="AI74" s="44"/>
      <c r="AJ74" s="44"/>
      <c r="AK74" s="44"/>
      <c r="AL74" s="44"/>
      <c r="AM74" s="44"/>
      <c r="AN74" s="44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</row>
    <row r="75" spans="1:59" ht="24.5">
      <c r="A75" s="1486"/>
      <c r="B75" s="53">
        <f t="shared" si="11"/>
        <v>43017</v>
      </c>
      <c r="C75" s="38"/>
      <c r="D75" s="38"/>
      <c r="E75" s="54"/>
      <c r="F75" s="54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1179" t="s">
        <v>294</v>
      </c>
      <c r="AB75" s="21"/>
      <c r="AC75" s="41"/>
      <c r="AD75" s="41"/>
      <c r="AE75" s="41"/>
      <c r="AF75" s="44"/>
      <c r="AG75" s="44"/>
      <c r="AH75" s="44"/>
      <c r="AI75" s="44"/>
      <c r="AJ75" s="44"/>
      <c r="AK75" s="44"/>
      <c r="AL75" s="44"/>
      <c r="AM75" s="44"/>
      <c r="AN75" s="44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</row>
    <row r="76" spans="1:59" ht="24.5">
      <c r="A76" s="1486"/>
      <c r="B76" s="53">
        <f t="shared" si="11"/>
        <v>43017</v>
      </c>
      <c r="C76" s="38"/>
      <c r="D76" s="38"/>
      <c r="E76" s="54"/>
      <c r="F76" s="54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1179" t="s">
        <v>295</v>
      </c>
      <c r="AB76" s="21"/>
      <c r="AC76" s="41"/>
      <c r="AD76" s="41"/>
      <c r="AE76" s="41"/>
      <c r="AF76" s="44"/>
      <c r="AG76" s="44"/>
      <c r="AH76" s="44"/>
      <c r="AI76" s="44"/>
      <c r="AJ76" s="44"/>
      <c r="AK76" s="44"/>
      <c r="AL76" s="44"/>
      <c r="AM76" s="44"/>
      <c r="AN76" s="44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</row>
    <row r="77" spans="1:59" ht="24.5">
      <c r="A77" s="1486"/>
      <c r="B77" s="53">
        <f t="shared" si="11"/>
        <v>43017</v>
      </c>
      <c r="C77" s="38"/>
      <c r="D77" s="38"/>
      <c r="E77" s="54"/>
      <c r="F77" s="54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1179" t="s">
        <v>296</v>
      </c>
      <c r="AB77" s="21"/>
      <c r="AC77" s="41"/>
      <c r="AD77" s="41"/>
      <c r="AE77" s="41"/>
      <c r="AF77" s="44"/>
      <c r="AG77" s="44"/>
      <c r="AH77" s="44"/>
      <c r="AI77" s="44"/>
      <c r="AJ77" s="44"/>
      <c r="AK77" s="44"/>
      <c r="AL77" s="44"/>
      <c r="AM77" s="44"/>
      <c r="AN77" s="44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</row>
    <row r="78" spans="1:59" ht="24.5">
      <c r="A78" s="1487"/>
      <c r="B78" s="53">
        <f t="shared" si="11"/>
        <v>43017</v>
      </c>
      <c r="C78" s="55"/>
      <c r="D78" s="55"/>
      <c r="E78" s="56"/>
      <c r="F78" s="56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1179" t="s">
        <v>297</v>
      </c>
      <c r="AB78" s="21"/>
      <c r="AC78" s="41"/>
      <c r="AD78" s="41"/>
      <c r="AE78" s="41"/>
      <c r="AF78" s="44"/>
      <c r="AG78" s="44"/>
      <c r="AH78" s="44"/>
      <c r="AI78" s="44"/>
      <c r="AJ78" s="44"/>
      <c r="AK78" s="44"/>
      <c r="AL78" s="44"/>
      <c r="AM78" s="44"/>
      <c r="AN78" s="44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</row>
    <row r="79" spans="1:59" s="16" customFormat="1" ht="39">
      <c r="A79" s="52"/>
      <c r="B79" s="893" t="s">
        <v>539</v>
      </c>
      <c r="C79" s="893" t="s">
        <v>540</v>
      </c>
      <c r="D79" s="893" t="s">
        <v>541</v>
      </c>
      <c r="E79" s="893" t="s">
        <v>542</v>
      </c>
      <c r="F79" s="893" t="s">
        <v>543</v>
      </c>
      <c r="G79" s="893" t="s">
        <v>512</v>
      </c>
      <c r="H79" s="893" t="s">
        <v>544</v>
      </c>
      <c r="I79" s="893" t="s">
        <v>545</v>
      </c>
      <c r="J79" s="893" t="s">
        <v>546</v>
      </c>
      <c r="K79" s="893" t="s">
        <v>547</v>
      </c>
      <c r="L79" s="893" t="s">
        <v>548</v>
      </c>
      <c r="M79" s="893" t="s">
        <v>549</v>
      </c>
      <c r="N79" s="893" t="s">
        <v>550</v>
      </c>
      <c r="O79" s="893" t="s">
        <v>551</v>
      </c>
      <c r="P79" s="893" t="s">
        <v>552</v>
      </c>
      <c r="Q79" s="893" t="s">
        <v>553</v>
      </c>
      <c r="R79" s="893" t="s">
        <v>554</v>
      </c>
      <c r="S79" s="893" t="s">
        <v>555</v>
      </c>
      <c r="T79" s="893" t="s">
        <v>556</v>
      </c>
      <c r="U79" s="893" t="s">
        <v>557</v>
      </c>
      <c r="V79" s="893" t="s">
        <v>558</v>
      </c>
      <c r="W79" s="893" t="s">
        <v>559</v>
      </c>
      <c r="X79" s="893" t="s">
        <v>560</v>
      </c>
      <c r="Y79" s="893" t="s">
        <v>561</v>
      </c>
      <c r="Z79" s="893" t="s">
        <v>562</v>
      </c>
      <c r="AA79" s="890" t="s">
        <v>563</v>
      </c>
      <c r="AB79" s="42"/>
      <c r="AC79" s="42"/>
      <c r="AD79" s="42"/>
      <c r="AE79" s="42"/>
      <c r="AF79" s="43"/>
      <c r="AG79" s="43"/>
      <c r="AH79" s="43"/>
      <c r="AI79" s="43"/>
      <c r="AJ79" s="43"/>
      <c r="AK79" s="43"/>
      <c r="AL79" s="43"/>
      <c r="AM79" s="43"/>
      <c r="AN79" s="43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</row>
    <row r="80" spans="1:59" ht="24.5">
      <c r="A80" s="1473">
        <v>3</v>
      </c>
      <c r="B80" s="29"/>
      <c r="C80" s="21"/>
      <c r="D80" s="21"/>
      <c r="E80" s="57"/>
      <c r="F80" s="57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47"/>
      <c r="AB80" s="21"/>
      <c r="AC80" s="41"/>
      <c r="AD80" s="41"/>
      <c r="AE80" s="41"/>
      <c r="AF80" s="44"/>
      <c r="AG80" s="44"/>
      <c r="AH80" s="44"/>
      <c r="AI80" s="44"/>
      <c r="AJ80" s="44"/>
      <c r="AK80" s="44"/>
      <c r="AL80" s="44"/>
      <c r="AM80" s="44"/>
      <c r="AN80" s="44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</row>
    <row r="81" spans="1:59" ht="24" customHeight="1">
      <c r="A81" s="1473"/>
      <c r="B81" s="29"/>
      <c r="C81" s="21"/>
      <c r="D81" s="21"/>
      <c r="E81" s="57"/>
      <c r="F81" s="57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41"/>
      <c r="AD81" s="41"/>
      <c r="AE81" s="41"/>
      <c r="AF81" s="44"/>
      <c r="AG81" s="44"/>
      <c r="AH81" s="44"/>
      <c r="AI81" s="44"/>
      <c r="AJ81" s="44"/>
      <c r="AK81" s="44"/>
      <c r="AL81" s="44"/>
      <c r="AM81" s="44"/>
      <c r="AN81" s="44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</row>
    <row r="82" spans="1:59" ht="24" customHeight="1">
      <c r="A82" s="1473"/>
      <c r="B82" s="29"/>
      <c r="C82" s="21"/>
      <c r="D82" s="21"/>
      <c r="E82" s="57"/>
      <c r="F82" s="57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41"/>
      <c r="AD82" s="41"/>
      <c r="AE82" s="41"/>
      <c r="AF82" s="44"/>
      <c r="AG82" s="44"/>
      <c r="AH82" s="44"/>
      <c r="AI82" s="44"/>
      <c r="AJ82" s="44"/>
      <c r="AK82" s="44"/>
      <c r="AL82" s="44"/>
      <c r="AM82" s="44"/>
      <c r="AN82" s="44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</row>
    <row r="83" spans="1:59" ht="24.75" customHeight="1">
      <c r="A83" s="1473"/>
      <c r="B83" s="29"/>
      <c r="C83" s="21"/>
      <c r="D83" s="21"/>
      <c r="E83" s="57"/>
      <c r="F83" s="57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41"/>
      <c r="AD83" s="41"/>
      <c r="AE83" s="41"/>
      <c r="AF83" s="44"/>
      <c r="AG83" s="44"/>
      <c r="AH83" s="44"/>
      <c r="AI83" s="44"/>
      <c r="AJ83" s="44"/>
      <c r="AK83" s="44"/>
      <c r="AL83" s="44"/>
      <c r="AM83" s="44"/>
      <c r="AN83" s="44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</row>
    <row r="84" spans="1:59" s="16" customFormat="1" ht="26">
      <c r="A84" s="24" t="s">
        <v>565</v>
      </c>
      <c r="B84" s="893" t="s">
        <v>566</v>
      </c>
      <c r="C84" s="893" t="s">
        <v>567</v>
      </c>
      <c r="D84" s="893" t="s">
        <v>568</v>
      </c>
      <c r="E84" s="893" t="s">
        <v>569</v>
      </c>
      <c r="F84" s="893" t="s">
        <v>570</v>
      </c>
      <c r="G84" s="893" t="s">
        <v>571</v>
      </c>
      <c r="H84" s="893" t="s">
        <v>572</v>
      </c>
      <c r="I84" s="893" t="s">
        <v>573</v>
      </c>
      <c r="J84" s="893" t="s">
        <v>574</v>
      </c>
      <c r="K84" s="893" t="s">
        <v>575</v>
      </c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3"/>
      <c r="AH84" s="43"/>
      <c r="AI84" s="43"/>
      <c r="AJ84" s="43"/>
      <c r="AK84" s="43"/>
      <c r="AL84" s="43"/>
      <c r="AM84" s="43"/>
      <c r="AN84" s="43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</row>
    <row r="85" spans="1:59" ht="24.5">
      <c r="A85" s="1473">
        <v>1</v>
      </c>
      <c r="B85" s="29"/>
      <c r="C85" s="21"/>
      <c r="D85" s="57"/>
      <c r="E85" s="57"/>
      <c r="F85" s="47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41"/>
      <c r="AD85" s="41"/>
      <c r="AE85" s="41"/>
      <c r="AF85" s="44"/>
      <c r="AG85" s="44"/>
      <c r="AH85" s="44"/>
      <c r="AI85" s="44"/>
      <c r="AJ85" s="44"/>
      <c r="AK85" s="44"/>
      <c r="AL85" s="44"/>
      <c r="AM85" s="44"/>
      <c r="AN85" s="44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</row>
    <row r="86" spans="1:59" ht="24.5">
      <c r="A86" s="1473"/>
      <c r="B86" s="29"/>
      <c r="C86" s="21"/>
      <c r="D86" s="57"/>
      <c r="E86" s="57"/>
      <c r="F86" s="47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41"/>
      <c r="AD86" s="41"/>
      <c r="AE86" s="41"/>
      <c r="AF86" s="44"/>
      <c r="AG86" s="44"/>
      <c r="AH86" s="44"/>
      <c r="AI86" s="44"/>
      <c r="AJ86" s="44"/>
      <c r="AK86" s="44"/>
      <c r="AL86" s="44"/>
      <c r="AM86" s="44"/>
      <c r="AN86" s="44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</row>
    <row r="87" spans="1:59" ht="24.5">
      <c r="A87" s="1473"/>
      <c r="B87" s="29"/>
      <c r="C87" s="21"/>
      <c r="D87" s="57"/>
      <c r="E87" s="57"/>
      <c r="F87" s="47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41"/>
      <c r="AD87" s="41"/>
      <c r="AE87" s="41"/>
      <c r="AF87" s="44"/>
      <c r="AG87" s="44"/>
      <c r="AH87" s="44"/>
      <c r="AI87" s="44"/>
      <c r="AJ87" s="44"/>
      <c r="AK87" s="44"/>
      <c r="AL87" s="44"/>
      <c r="AM87" s="44"/>
      <c r="AN87" s="44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</row>
    <row r="88" spans="1:59" ht="24.5">
      <c r="A88" s="1473"/>
      <c r="B88" s="29"/>
      <c r="C88" s="21"/>
      <c r="D88" s="57"/>
      <c r="E88" s="57"/>
      <c r="F88" s="47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41"/>
      <c r="AD88" s="41"/>
      <c r="AE88" s="41"/>
      <c r="AF88" s="44"/>
      <c r="AG88" s="44"/>
      <c r="AH88" s="44"/>
      <c r="AI88" s="44"/>
      <c r="AJ88" s="44"/>
      <c r="AK88" s="44"/>
      <c r="AL88" s="44"/>
      <c r="AM88" s="44"/>
      <c r="AN88" s="44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</row>
    <row r="89" spans="1:59" ht="24.5">
      <c r="A89" s="1473"/>
      <c r="B89" s="29"/>
      <c r="C89" s="21"/>
      <c r="D89" s="57"/>
      <c r="E89" s="57"/>
      <c r="F89" s="47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41"/>
      <c r="AD89" s="41"/>
      <c r="AE89" s="41"/>
      <c r="AF89" s="44"/>
      <c r="AG89" s="44"/>
      <c r="AH89" s="44"/>
      <c r="AI89" s="44"/>
      <c r="AJ89" s="44"/>
      <c r="AK89" s="44"/>
      <c r="AL89" s="44"/>
      <c r="AM89" s="44"/>
      <c r="AN89" s="44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</row>
    <row r="90" spans="1:59" ht="24.5">
      <c r="A90" s="1473"/>
      <c r="B90" s="58"/>
      <c r="C90" s="21"/>
      <c r="D90" s="57"/>
      <c r="E90" s="57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41"/>
      <c r="AD90" s="41"/>
      <c r="AE90" s="41"/>
      <c r="AF90" s="44"/>
      <c r="AG90" s="44"/>
      <c r="AH90" s="44"/>
      <c r="AI90" s="44"/>
      <c r="AJ90" s="44"/>
      <c r="AK90" s="44"/>
      <c r="AL90" s="44"/>
      <c r="AM90" s="44"/>
      <c r="AN90" s="44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</row>
    <row r="91" spans="1:59" ht="24.5">
      <c r="A91" s="1473"/>
      <c r="B91" s="29"/>
      <c r="C91" s="21"/>
      <c r="D91" s="57"/>
      <c r="E91" s="57"/>
      <c r="F91" s="47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41"/>
      <c r="AD91" s="41"/>
      <c r="AE91" s="41"/>
      <c r="AF91" s="44"/>
      <c r="AG91" s="44"/>
      <c r="AH91" s="44"/>
      <c r="AI91" s="44"/>
      <c r="AJ91" s="44"/>
      <c r="AK91" s="44"/>
      <c r="AL91" s="44"/>
      <c r="AM91" s="44"/>
      <c r="AN91" s="44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</row>
    <row r="92" spans="1:59" ht="24.5">
      <c r="A92" s="1473"/>
      <c r="B92" s="29"/>
      <c r="C92" s="21"/>
      <c r="D92" s="57"/>
      <c r="E92" s="57"/>
      <c r="F92" s="47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41"/>
      <c r="AD92" s="41"/>
      <c r="AE92" s="41"/>
      <c r="AF92" s="44"/>
      <c r="AG92" s="44"/>
      <c r="AH92" s="44"/>
      <c r="AI92" s="44"/>
      <c r="AJ92" s="44"/>
      <c r="AK92" s="44"/>
      <c r="AL92" s="44"/>
      <c r="AM92" s="44"/>
      <c r="AN92" s="44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</row>
    <row r="93" spans="1:59" ht="24.5">
      <c r="A93" s="1473"/>
      <c r="B93" s="58"/>
      <c r="C93" s="21"/>
      <c r="D93" s="57"/>
      <c r="E93" s="57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41"/>
      <c r="AD93" s="41"/>
      <c r="AE93" s="41"/>
      <c r="AF93" s="44"/>
      <c r="AG93" s="44"/>
      <c r="AH93" s="44"/>
      <c r="AI93" s="44"/>
      <c r="AJ93" s="44"/>
      <c r="AK93" s="44"/>
      <c r="AL93" s="44"/>
      <c r="AM93" s="44"/>
      <c r="AN93" s="44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</row>
    <row r="94" spans="1:59" ht="24.5">
      <c r="A94" s="1473"/>
      <c r="B94" s="58"/>
      <c r="C94" s="21"/>
      <c r="D94" s="57"/>
      <c r="E94" s="57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41"/>
      <c r="AD94" s="41"/>
      <c r="AE94" s="41"/>
      <c r="AF94" s="44"/>
      <c r="AG94" s="44"/>
      <c r="AH94" s="44"/>
      <c r="AI94" s="44"/>
      <c r="AJ94" s="44"/>
      <c r="AK94" s="44"/>
      <c r="AL94" s="44"/>
      <c r="AM94" s="44"/>
      <c r="AN94" s="44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</row>
    <row r="95" spans="1:59" ht="24.5">
      <c r="A95" s="1473"/>
      <c r="B95" s="58"/>
      <c r="C95" s="21"/>
      <c r="D95" s="57"/>
      <c r="E95" s="57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41"/>
      <c r="AD95" s="41"/>
      <c r="AE95" s="41"/>
      <c r="AF95" s="44"/>
      <c r="AG95" s="44"/>
      <c r="AH95" s="44"/>
      <c r="AI95" s="44"/>
      <c r="AJ95" s="44"/>
      <c r="AK95" s="44"/>
      <c r="AL95" s="44"/>
      <c r="AM95" s="44"/>
      <c r="AN95" s="44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</row>
    <row r="96" spans="1:59" ht="24.5">
      <c r="A96" s="1473"/>
      <c r="B96" s="29"/>
      <c r="C96" s="21"/>
      <c r="D96" s="57"/>
      <c r="E96" s="57"/>
      <c r="F96" s="47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41"/>
      <c r="AD96" s="41"/>
      <c r="AE96" s="41"/>
      <c r="AF96" s="44"/>
      <c r="AG96" s="44"/>
      <c r="AH96" s="44"/>
      <c r="AI96" s="44"/>
      <c r="AJ96" s="44"/>
      <c r="AK96" s="44"/>
      <c r="AL96" s="44"/>
      <c r="AM96" s="44"/>
      <c r="AN96" s="44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</row>
    <row r="97" spans="1:59">
      <c r="A97" s="1473"/>
      <c r="B97" s="29"/>
      <c r="C97" s="21"/>
      <c r="D97" s="57"/>
      <c r="E97" s="57"/>
      <c r="F97" s="29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41"/>
      <c r="AD97" s="41"/>
      <c r="AE97" s="41"/>
      <c r="AF97" s="44"/>
      <c r="AG97" s="44"/>
      <c r="AH97" s="44"/>
      <c r="AI97" s="44"/>
      <c r="AJ97" s="44"/>
      <c r="AK97" s="44"/>
      <c r="AL97" s="44"/>
      <c r="AM97" s="44"/>
      <c r="AN97" s="44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</row>
    <row r="98" spans="1:59">
      <c r="A98" s="1473"/>
      <c r="B98" s="21"/>
      <c r="C98" s="21"/>
      <c r="D98" s="57"/>
      <c r="E98" s="57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41"/>
      <c r="AD98" s="41"/>
      <c r="AE98" s="41"/>
      <c r="AF98" s="44"/>
      <c r="AG98" s="44"/>
      <c r="AH98" s="44"/>
      <c r="AI98" s="44"/>
      <c r="AJ98" s="44"/>
      <c r="AK98" s="44"/>
      <c r="AL98" s="44"/>
      <c r="AM98" s="44"/>
      <c r="AN98" s="44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</row>
    <row r="99" spans="1:59">
      <c r="A99" s="1473"/>
      <c r="B99" s="21"/>
      <c r="C99" s="21"/>
      <c r="D99" s="57"/>
      <c r="E99" s="57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41"/>
      <c r="AD99" s="41"/>
      <c r="AE99" s="41"/>
      <c r="AF99" s="44"/>
      <c r="AG99" s="44"/>
      <c r="AH99" s="44"/>
      <c r="AI99" s="44"/>
      <c r="AJ99" s="44"/>
      <c r="AK99" s="44"/>
      <c r="AL99" s="44"/>
      <c r="AM99" s="44"/>
      <c r="AN99" s="44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</row>
    <row r="100" spans="1:59">
      <c r="A100" s="1473"/>
      <c r="B100" s="21"/>
      <c r="C100" s="21"/>
      <c r="D100" s="57"/>
      <c r="E100" s="57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41"/>
      <c r="AD100" s="41"/>
      <c r="AE100" s="41"/>
      <c r="AF100" s="44"/>
      <c r="AG100" s="44"/>
      <c r="AH100" s="44"/>
      <c r="AI100" s="44"/>
      <c r="AJ100" s="44"/>
      <c r="AK100" s="44"/>
      <c r="AL100" s="44"/>
      <c r="AM100" s="44"/>
      <c r="AN100" s="44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</row>
    <row r="101" spans="1:59">
      <c r="A101" s="30" t="s">
        <v>40</v>
      </c>
      <c r="B101" s="901" t="s">
        <v>472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41"/>
      <c r="AD101" s="41"/>
      <c r="AE101" s="41"/>
      <c r="AF101" s="44"/>
      <c r="AG101" s="44"/>
      <c r="AH101" s="44"/>
      <c r="AI101" s="44"/>
      <c r="AJ101" s="44"/>
      <c r="AK101" s="44"/>
      <c r="AL101" s="44"/>
      <c r="AM101" s="44"/>
      <c r="AN101" s="44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</row>
    <row r="102" spans="1:59">
      <c r="A102" s="20"/>
      <c r="B102" s="21">
        <v>108645813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41"/>
      <c r="AD102" s="41"/>
      <c r="AE102" s="41"/>
      <c r="AF102" s="44"/>
      <c r="AG102" s="44"/>
      <c r="AH102" s="44"/>
      <c r="AI102" s="44"/>
      <c r="AJ102" s="44"/>
      <c r="AK102" s="44"/>
      <c r="AL102" s="44"/>
      <c r="AM102" s="44"/>
      <c r="AN102" s="44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</row>
    <row r="103" spans="1:59">
      <c r="A103" s="20" t="s">
        <v>576</v>
      </c>
      <c r="B103" s="29" t="str">
        <f>"01/01"&amp;"/"&amp;YEAR(B104)</f>
        <v>01/01/2017</v>
      </c>
      <c r="C103" s="21"/>
      <c r="D103" s="59">
        <f>B104-B103</f>
        <v>306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41"/>
      <c r="AD103" s="41"/>
      <c r="AE103" s="41"/>
      <c r="AF103" s="44"/>
      <c r="AG103" s="44"/>
      <c r="AH103" s="44"/>
      <c r="AI103" s="44"/>
      <c r="AJ103" s="44"/>
      <c r="AK103" s="44"/>
      <c r="AL103" s="44"/>
      <c r="AM103" s="44"/>
      <c r="AN103" s="44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</row>
    <row r="104" spans="1:59">
      <c r="A104" s="30" t="s">
        <v>577</v>
      </c>
      <c r="B104" s="60">
        <v>43042</v>
      </c>
      <c r="C104" s="21"/>
      <c r="D104" s="894" t="str">
        <f>IF(ISBLANK(D4),D12,D4)</f>
        <v>17/38</v>
      </c>
      <c r="E104" s="21"/>
      <c r="F104" s="29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41"/>
      <c r="AD104" s="41"/>
      <c r="AE104" s="41"/>
      <c r="AF104" s="44"/>
      <c r="AG104" s="44"/>
      <c r="AH104" s="44"/>
      <c r="AI104" s="44"/>
      <c r="AJ104" s="44"/>
      <c r="AK104" s="44"/>
      <c r="AL104" s="44"/>
      <c r="AM104" s="44"/>
      <c r="AN104" s="44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</row>
    <row r="105" spans="1:59">
      <c r="A105" s="30" t="s">
        <v>578</v>
      </c>
      <c r="B105" s="1476" t="str">
        <f>IF(ISBLANK(E4),E12,E4)</f>
        <v>โรงงานนครปฐม ครอบชนผนัง</v>
      </c>
      <c r="C105" s="1477"/>
      <c r="D105" s="21" t="str">
        <f>IF(ISBLANK(D4),RIGHT(D12,2)&amp;"/"&amp;D103,RIGHT(D4,2)&amp;"/"&amp;D103)</f>
        <v>38/306</v>
      </c>
      <c r="E105" s="61"/>
      <c r="F105" s="29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41"/>
      <c r="AD105" s="41"/>
      <c r="AE105" s="41"/>
      <c r="AF105" s="44"/>
      <c r="AG105" s="44"/>
      <c r="AH105" s="44"/>
      <c r="AI105" s="44"/>
      <c r="AJ105" s="44"/>
      <c r="AK105" s="44"/>
      <c r="AL105" s="44"/>
      <c r="AM105" s="44"/>
      <c r="AN105" s="44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</row>
    <row r="106" spans="1:59">
      <c r="A106" s="20"/>
      <c r="B106" s="29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41"/>
      <c r="AD106" s="41"/>
      <c r="AE106" s="41"/>
      <c r="AF106" s="44"/>
      <c r="AG106" s="44"/>
      <c r="AH106" s="44"/>
      <c r="AI106" s="44"/>
      <c r="AJ106" s="44"/>
      <c r="AK106" s="44"/>
      <c r="AL106" s="44"/>
      <c r="AM106" s="44"/>
      <c r="AN106" s="44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</row>
    <row r="107" spans="1:59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41"/>
      <c r="AD107" s="41"/>
      <c r="AE107" s="41"/>
      <c r="AF107" s="44"/>
      <c r="AG107" s="44"/>
      <c r="AH107" s="44"/>
      <c r="AI107" s="44"/>
      <c r="AJ107" s="44"/>
      <c r="AK107" s="44"/>
      <c r="AL107" s="44"/>
      <c r="AM107" s="44"/>
      <c r="AN107" s="44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</row>
    <row r="108" spans="1:59" s="17" customFormat="1" ht="50.5" customHeight="1">
      <c r="A108" s="24" t="s">
        <v>579</v>
      </c>
      <c r="B108" s="893" t="s">
        <v>465</v>
      </c>
      <c r="C108" s="893" t="s">
        <v>466</v>
      </c>
      <c r="D108" s="893" t="s">
        <v>467</v>
      </c>
      <c r="E108" s="893" t="s">
        <v>468</v>
      </c>
      <c r="F108" s="893" t="s">
        <v>580</v>
      </c>
      <c r="G108" s="893" t="s">
        <v>563</v>
      </c>
      <c r="H108" s="893" t="s">
        <v>472</v>
      </c>
      <c r="I108" s="893" t="s">
        <v>473</v>
      </c>
      <c r="J108" s="893" t="s">
        <v>498</v>
      </c>
      <c r="K108" s="71" t="s">
        <v>581</v>
      </c>
      <c r="L108" s="32" t="s">
        <v>396</v>
      </c>
      <c r="M108" s="32" t="s">
        <v>563</v>
      </c>
      <c r="N108" s="32" t="s">
        <v>582</v>
      </c>
      <c r="O108" s="72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</row>
    <row r="109" spans="1:59" customFormat="1" ht="24.5">
      <c r="A109" s="1473">
        <v>1</v>
      </c>
      <c r="B109" s="62">
        <v>43017</v>
      </c>
      <c r="C109" s="902" t="s">
        <v>502</v>
      </c>
      <c r="D109" s="902" t="s">
        <v>503</v>
      </c>
      <c r="E109" s="903" t="s">
        <v>530</v>
      </c>
      <c r="F109" s="47" t="str">
        <f>N118</f>
        <v>R29/29</v>
      </c>
      <c r="G109" s="904" t="s">
        <v>564</v>
      </c>
      <c r="H109" s="63">
        <v>1100</v>
      </c>
      <c r="I109" s="74">
        <v>1000</v>
      </c>
      <c r="J109" s="75">
        <v>3</v>
      </c>
      <c r="K109" s="76" t="s">
        <v>506</v>
      </c>
      <c r="L109" s="47">
        <f>IF(J109=0,J118,J109)</f>
        <v>3</v>
      </c>
      <c r="M109" s="904" t="str">
        <f>IF(G109=0,G118,G109)</f>
        <v>F6</v>
      </c>
      <c r="N109" s="47" t="str">
        <f t="shared" ref="N109:N116" si="12">IF(F109=0,F118,F109)</f>
        <v>R29/29</v>
      </c>
      <c r="O109" s="4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</row>
    <row r="110" spans="1:59" customFormat="1" ht="24.5">
      <c r="A110" s="1473"/>
      <c r="B110" s="64">
        <v>43017</v>
      </c>
      <c r="C110" s="905" t="s">
        <v>502</v>
      </c>
      <c r="D110" s="905" t="s">
        <v>503</v>
      </c>
      <c r="E110" s="906" t="s">
        <v>530</v>
      </c>
      <c r="F110" s="47" t="str">
        <f t="shared" ref="F110:F116" si="13">N119</f>
        <v>R26/26</v>
      </c>
      <c r="G110" s="904" t="s">
        <v>291</v>
      </c>
      <c r="H110" s="63">
        <v>1100</v>
      </c>
      <c r="I110" s="74">
        <v>1000</v>
      </c>
      <c r="J110" s="1180">
        <v>3</v>
      </c>
      <c r="K110" s="1181" t="s">
        <v>506</v>
      </c>
      <c r="L110" s="47">
        <f>IF(J110=0,J119,J110)</f>
        <v>3</v>
      </c>
      <c r="M110" s="904" t="str">
        <f>IF(G110=0,G119,G110)</f>
        <v>F7</v>
      </c>
      <c r="N110" s="47" t="str">
        <f t="shared" si="12"/>
        <v>R26/26</v>
      </c>
      <c r="O110" s="4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</row>
    <row r="111" spans="1:59" customFormat="1" ht="24.5">
      <c r="A111" s="1473"/>
      <c r="B111" s="64">
        <v>43017</v>
      </c>
      <c r="C111" s="905" t="s">
        <v>502</v>
      </c>
      <c r="D111" s="905" t="s">
        <v>503</v>
      </c>
      <c r="E111" s="906" t="s">
        <v>530</v>
      </c>
      <c r="F111" s="47" t="str">
        <f t="shared" si="13"/>
        <v>R05/01</v>
      </c>
      <c r="G111" s="904" t="s">
        <v>292</v>
      </c>
      <c r="H111" s="63">
        <v>1100</v>
      </c>
      <c r="I111" s="74">
        <v>1000</v>
      </c>
      <c r="J111" s="1180">
        <v>3</v>
      </c>
      <c r="K111" s="1181" t="s">
        <v>506</v>
      </c>
      <c r="L111" s="47">
        <f>IF(J111=0,J120,J111)</f>
        <v>3</v>
      </c>
      <c r="M111" s="904" t="str">
        <f>IF(G111=0,G120,G111)</f>
        <v>F8</v>
      </c>
      <c r="N111" s="47" t="str">
        <f t="shared" si="12"/>
        <v>R05/01</v>
      </c>
      <c r="O111" s="4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</row>
    <row r="112" spans="1:59" customFormat="1" ht="24.5">
      <c r="A112" s="1473"/>
      <c r="B112" s="64">
        <v>43017</v>
      </c>
      <c r="C112" s="905" t="s">
        <v>502</v>
      </c>
      <c r="D112" s="905" t="s">
        <v>503</v>
      </c>
      <c r="E112" s="906" t="s">
        <v>530</v>
      </c>
      <c r="F112" s="47" t="str">
        <f t="shared" si="13"/>
        <v>R05/01</v>
      </c>
      <c r="G112" s="904" t="s">
        <v>293</v>
      </c>
      <c r="H112" s="63">
        <v>1100</v>
      </c>
      <c r="I112" s="74">
        <v>1000</v>
      </c>
      <c r="J112" s="1180">
        <v>3</v>
      </c>
      <c r="K112" s="1181" t="s">
        <v>506</v>
      </c>
      <c r="L112" s="47">
        <f>IF(J112=0,J121,J112)</f>
        <v>3</v>
      </c>
      <c r="M112" s="904" t="str">
        <f>IF(G112=0,G121,G112)</f>
        <v>F9</v>
      </c>
      <c r="N112" s="47" t="str">
        <f t="shared" si="12"/>
        <v>R05/01</v>
      </c>
      <c r="O112" s="4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</row>
    <row r="113" spans="1:59" customFormat="1" ht="24.5">
      <c r="A113" s="1473"/>
      <c r="B113" s="64">
        <v>43017</v>
      </c>
      <c r="C113" s="905" t="s">
        <v>502</v>
      </c>
      <c r="D113" s="905" t="s">
        <v>503</v>
      </c>
      <c r="E113" s="906" t="s">
        <v>530</v>
      </c>
      <c r="F113" s="47" t="str">
        <f t="shared" si="13"/>
        <v>R05/02</v>
      </c>
      <c r="G113" s="904" t="s">
        <v>294</v>
      </c>
      <c r="H113" s="63">
        <v>1100</v>
      </c>
      <c r="I113" s="74">
        <v>1000</v>
      </c>
      <c r="J113" s="1180">
        <v>4</v>
      </c>
      <c r="K113" s="1181"/>
      <c r="L113" s="47">
        <f>IF(J113=0,#REF!,J113)</f>
        <v>4</v>
      </c>
      <c r="M113" s="904" t="str">
        <f>IF(G113=0,#REF!,G113)</f>
        <v>F10</v>
      </c>
      <c r="N113" s="47" t="str">
        <f t="shared" si="12"/>
        <v>R05/02</v>
      </c>
      <c r="O113" s="4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</row>
    <row r="114" spans="1:59" customFormat="1" ht="24.5">
      <c r="A114" s="1473"/>
      <c r="B114" s="64">
        <v>43017</v>
      </c>
      <c r="C114" s="905" t="s">
        <v>502</v>
      </c>
      <c r="D114" s="905" t="s">
        <v>503</v>
      </c>
      <c r="E114" s="906" t="s">
        <v>530</v>
      </c>
      <c r="F114" s="47" t="str">
        <f t="shared" si="13"/>
        <v>R05/03</v>
      </c>
      <c r="G114" s="904" t="s">
        <v>295</v>
      </c>
      <c r="H114" s="63">
        <v>1100</v>
      </c>
      <c r="I114" s="74">
        <v>1000</v>
      </c>
      <c r="J114" s="1180">
        <v>4</v>
      </c>
      <c r="K114" s="1181"/>
      <c r="L114" s="47">
        <f>IF(J114=0,#REF!,J114)</f>
        <v>4</v>
      </c>
      <c r="M114" s="904" t="str">
        <f>IF(G114=0,#REF!,G114)</f>
        <v>F11</v>
      </c>
      <c r="N114" s="47" t="str">
        <f t="shared" si="12"/>
        <v>R05/03</v>
      </c>
      <c r="O114" s="4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</row>
    <row r="115" spans="1:59" customFormat="1" ht="24.5">
      <c r="A115" s="1473"/>
      <c r="B115" s="64">
        <v>43017</v>
      </c>
      <c r="C115" s="905" t="s">
        <v>502</v>
      </c>
      <c r="D115" s="905" t="s">
        <v>503</v>
      </c>
      <c r="E115" s="906" t="s">
        <v>530</v>
      </c>
      <c r="F115" s="47" t="str">
        <f t="shared" si="13"/>
        <v>R05/04</v>
      </c>
      <c r="G115" s="904" t="s">
        <v>296</v>
      </c>
      <c r="H115" s="63">
        <v>1100</v>
      </c>
      <c r="I115" s="74">
        <v>1000</v>
      </c>
      <c r="J115" s="1180">
        <v>4</v>
      </c>
      <c r="K115" s="1181"/>
      <c r="L115" s="47">
        <f>IF(J115=0,#REF!,J115)</f>
        <v>4</v>
      </c>
      <c r="M115" s="904" t="str">
        <f>IF(G115=0,#REF!,G115)</f>
        <v>F12</v>
      </c>
      <c r="N115" s="47" t="str">
        <f t="shared" si="12"/>
        <v>R05/04</v>
      </c>
      <c r="O115" s="4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</row>
    <row r="116" spans="1:59" customFormat="1" ht="24.5">
      <c r="A116" s="1473"/>
      <c r="B116" s="64">
        <v>43017</v>
      </c>
      <c r="C116" s="905" t="s">
        <v>502</v>
      </c>
      <c r="D116" s="905" t="s">
        <v>503</v>
      </c>
      <c r="E116" s="906" t="s">
        <v>530</v>
      </c>
      <c r="F116" s="47" t="str">
        <f t="shared" si="13"/>
        <v>R05/05</v>
      </c>
      <c r="G116" s="904" t="s">
        <v>297</v>
      </c>
      <c r="H116" s="63">
        <v>1100</v>
      </c>
      <c r="I116" s="74">
        <v>1000</v>
      </c>
      <c r="J116" s="1180">
        <v>1.8</v>
      </c>
      <c r="K116" s="1182" t="s">
        <v>583</v>
      </c>
      <c r="L116" s="47">
        <f>IF(J116=0,#REF!,J116)</f>
        <v>1.8</v>
      </c>
      <c r="M116" s="904" t="str">
        <f>IF(G116=0,#REF!,G116)</f>
        <v>F13</v>
      </c>
      <c r="N116" s="47" t="str">
        <f t="shared" si="12"/>
        <v>R05/05</v>
      </c>
      <c r="O116" s="4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</row>
    <row r="117" spans="1:59" s="17" customFormat="1" ht="48.65" customHeight="1">
      <c r="A117" s="65"/>
      <c r="B117" s="907" t="s">
        <v>465</v>
      </c>
      <c r="C117" s="907" t="s">
        <v>466</v>
      </c>
      <c r="D117" s="907" t="s">
        <v>467</v>
      </c>
      <c r="E117" s="907" t="s">
        <v>468</v>
      </c>
      <c r="F117" s="907" t="s">
        <v>580</v>
      </c>
      <c r="G117" s="907" t="s">
        <v>563</v>
      </c>
      <c r="H117" s="907" t="s">
        <v>472</v>
      </c>
      <c r="I117" s="907" t="s">
        <v>473</v>
      </c>
      <c r="J117" s="907" t="s">
        <v>498</v>
      </c>
      <c r="K117" s="78" t="s">
        <v>581</v>
      </c>
      <c r="L117" s="66" t="s">
        <v>396</v>
      </c>
      <c r="M117" s="66" t="s">
        <v>563</v>
      </c>
      <c r="N117" s="66" t="s">
        <v>582</v>
      </c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</row>
    <row r="118" spans="1:59" customFormat="1" ht="24.5">
      <c r="A118" s="1474">
        <v>2</v>
      </c>
      <c r="B118" s="67"/>
      <c r="C118" s="68"/>
      <c r="D118" s="68"/>
      <c r="E118" s="68"/>
      <c r="F118" s="68"/>
      <c r="G118" s="908" t="s">
        <v>564</v>
      </c>
      <c r="H118" s="68"/>
      <c r="I118" s="68"/>
      <c r="J118" s="80">
        <v>3</v>
      </c>
      <c r="K118" s="81" t="s">
        <v>506</v>
      </c>
      <c r="L118" s="68">
        <v>5.5</v>
      </c>
      <c r="M118" s="68" t="s">
        <v>564</v>
      </c>
      <c r="N118" s="82" t="s">
        <v>584</v>
      </c>
      <c r="O118" s="68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</row>
    <row r="119" spans="1:59" customFormat="1" ht="24.5">
      <c r="A119" s="1474"/>
      <c r="B119" s="67"/>
      <c r="C119" s="68"/>
      <c r="D119" s="68"/>
      <c r="E119" s="68"/>
      <c r="F119" s="68"/>
      <c r="G119" s="908" t="s">
        <v>291</v>
      </c>
      <c r="H119" s="68"/>
      <c r="I119" s="68"/>
      <c r="J119" s="80">
        <v>3</v>
      </c>
      <c r="K119" s="81" t="s">
        <v>506</v>
      </c>
      <c r="L119" s="68">
        <v>5.5</v>
      </c>
      <c r="M119" s="68" t="s">
        <v>291</v>
      </c>
      <c r="N119" s="82" t="s">
        <v>585</v>
      </c>
      <c r="O119" s="68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</row>
    <row r="120" spans="1:59" customFormat="1" ht="24.5">
      <c r="A120" s="1474"/>
      <c r="B120" s="67"/>
      <c r="C120" s="68"/>
      <c r="D120" s="68"/>
      <c r="E120" s="68"/>
      <c r="F120" s="68"/>
      <c r="G120" s="908" t="s">
        <v>292</v>
      </c>
      <c r="H120" s="68"/>
      <c r="I120" s="68"/>
      <c r="J120" s="80">
        <v>3</v>
      </c>
      <c r="K120" s="81" t="s">
        <v>506</v>
      </c>
      <c r="L120" s="68">
        <v>5.5</v>
      </c>
      <c r="M120" s="68" t="s">
        <v>292</v>
      </c>
      <c r="N120" s="82" t="s">
        <v>586</v>
      </c>
      <c r="O120" s="68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</row>
    <row r="121" spans="1:59" customFormat="1" ht="24.5">
      <c r="A121" s="1475"/>
      <c r="B121" s="67"/>
      <c r="C121" s="68"/>
      <c r="D121" s="68"/>
      <c r="E121" s="68"/>
      <c r="F121" s="68"/>
      <c r="G121" s="908" t="s">
        <v>293</v>
      </c>
      <c r="H121" s="68"/>
      <c r="I121" s="68"/>
      <c r="J121" s="80">
        <v>3</v>
      </c>
      <c r="K121" s="81" t="s">
        <v>506</v>
      </c>
      <c r="L121" s="68">
        <v>5.5</v>
      </c>
      <c r="M121" s="68" t="s">
        <v>293</v>
      </c>
      <c r="N121" s="82" t="s">
        <v>586</v>
      </c>
      <c r="O121" s="68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</row>
    <row r="122" spans="1:59" customFormat="1" ht="24.5">
      <c r="A122" s="1474"/>
      <c r="B122" s="67"/>
      <c r="C122" s="68"/>
      <c r="D122" s="68"/>
      <c r="E122" s="68"/>
      <c r="F122" s="68"/>
      <c r="G122" s="908" t="s">
        <v>294</v>
      </c>
      <c r="H122" s="68"/>
      <c r="I122" s="68"/>
      <c r="J122" s="80">
        <v>4</v>
      </c>
      <c r="K122" s="81"/>
      <c r="L122" s="68">
        <v>5.5</v>
      </c>
      <c r="M122" s="68" t="s">
        <v>294</v>
      </c>
      <c r="N122" s="82" t="s">
        <v>587</v>
      </c>
      <c r="O122" s="68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</row>
    <row r="123" spans="1:59" customFormat="1" ht="24.5">
      <c r="A123" s="1474"/>
      <c r="B123" s="67"/>
      <c r="C123" s="68"/>
      <c r="D123" s="68"/>
      <c r="E123" s="68"/>
      <c r="F123" s="68"/>
      <c r="G123" s="908" t="s">
        <v>295</v>
      </c>
      <c r="H123" s="68"/>
      <c r="I123" s="68"/>
      <c r="J123" s="80">
        <v>4</v>
      </c>
      <c r="K123" s="81"/>
      <c r="L123" s="68">
        <v>5.5</v>
      </c>
      <c r="M123" s="68" t="s">
        <v>295</v>
      </c>
      <c r="N123" s="82" t="s">
        <v>588</v>
      </c>
      <c r="O123" s="68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</row>
    <row r="124" spans="1:59" customFormat="1" ht="24.5">
      <c r="A124" s="1474"/>
      <c r="B124" s="67"/>
      <c r="C124" s="68"/>
      <c r="D124" s="68"/>
      <c r="E124" s="68"/>
      <c r="F124" s="68"/>
      <c r="G124" s="908" t="s">
        <v>296</v>
      </c>
      <c r="H124" s="68"/>
      <c r="I124" s="68"/>
      <c r="J124" s="80">
        <v>4</v>
      </c>
      <c r="K124" s="81"/>
      <c r="L124" s="68">
        <v>6.5</v>
      </c>
      <c r="M124" s="68" t="s">
        <v>296</v>
      </c>
      <c r="N124" s="82" t="s">
        <v>589</v>
      </c>
      <c r="O124" s="68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</row>
    <row r="125" spans="1:59" customFormat="1" ht="24.5">
      <c r="A125" s="1475"/>
      <c r="B125" s="67"/>
      <c r="C125" s="68"/>
      <c r="D125" s="68"/>
      <c r="E125" s="68"/>
      <c r="F125" s="68"/>
      <c r="G125" s="908" t="s">
        <v>297</v>
      </c>
      <c r="H125" s="68"/>
      <c r="I125" s="68"/>
      <c r="J125" s="80">
        <v>1.8</v>
      </c>
      <c r="K125" s="84" t="s">
        <v>583</v>
      </c>
      <c r="L125" s="68">
        <v>7.5</v>
      </c>
      <c r="M125" s="68" t="s">
        <v>297</v>
      </c>
      <c r="N125" s="82" t="s">
        <v>590</v>
      </c>
      <c r="O125" s="68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</row>
    <row r="126" spans="1:59">
      <c r="A126" s="69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69"/>
      <c r="AG126" s="69"/>
      <c r="AH126" s="69"/>
      <c r="AI126" s="69"/>
      <c r="AJ126" s="69"/>
      <c r="AK126" s="69"/>
      <c r="AL126" s="69"/>
      <c r="AM126" s="69"/>
      <c r="AN126" s="69"/>
    </row>
    <row r="127" spans="1:59">
      <c r="A127" s="69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69"/>
      <c r="AG127" s="69"/>
      <c r="AH127" s="69"/>
      <c r="AI127" s="69"/>
      <c r="AJ127" s="69"/>
      <c r="AK127" s="69"/>
      <c r="AL127" s="69"/>
      <c r="AM127" s="69"/>
      <c r="AN127" s="69"/>
    </row>
    <row r="128" spans="1:59">
      <c r="A128" s="69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69"/>
      <c r="AG128" s="69"/>
      <c r="AH128" s="69"/>
      <c r="AI128" s="69"/>
      <c r="AJ128" s="69"/>
      <c r="AK128" s="69"/>
      <c r="AL128" s="69"/>
      <c r="AM128" s="69"/>
      <c r="AN128" s="69"/>
    </row>
    <row r="129" spans="1:40">
      <c r="A129" s="69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69"/>
      <c r="AG129" s="69"/>
      <c r="AH129" s="69"/>
      <c r="AI129" s="69"/>
      <c r="AJ129" s="69"/>
      <c r="AK129" s="69"/>
      <c r="AL129" s="69"/>
      <c r="AM129" s="69"/>
      <c r="AN129" s="69"/>
    </row>
    <row r="130" spans="1:40">
      <c r="A130" s="69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69"/>
      <c r="AG130" s="69"/>
      <c r="AH130" s="69"/>
      <c r="AI130" s="69"/>
      <c r="AJ130" s="69"/>
      <c r="AK130" s="69"/>
      <c r="AL130" s="69"/>
      <c r="AM130" s="69"/>
      <c r="AN130" s="69"/>
    </row>
    <row r="131" spans="1:40">
      <c r="A131" s="69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69"/>
      <c r="AG131" s="69"/>
      <c r="AH131" s="69"/>
      <c r="AI131" s="69"/>
      <c r="AJ131" s="69"/>
      <c r="AK131" s="69"/>
      <c r="AL131" s="69"/>
      <c r="AM131" s="69"/>
      <c r="AN131" s="69"/>
    </row>
    <row r="132" spans="1:40">
      <c r="A132" s="69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69"/>
      <c r="AG132" s="69"/>
      <c r="AH132" s="69"/>
      <c r="AI132" s="69"/>
      <c r="AJ132" s="69"/>
      <c r="AK132" s="69"/>
      <c r="AL132" s="69"/>
      <c r="AM132" s="69"/>
      <c r="AN132" s="69"/>
    </row>
    <row r="133" spans="1:40">
      <c r="A133" s="69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69"/>
      <c r="AG133" s="69"/>
      <c r="AH133" s="69"/>
      <c r="AI133" s="69"/>
      <c r="AJ133" s="69"/>
      <c r="AK133" s="69"/>
      <c r="AL133" s="69"/>
      <c r="AM133" s="69"/>
      <c r="AN133" s="69"/>
    </row>
    <row r="134" spans="1:40">
      <c r="A134" s="69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69"/>
      <c r="AG134" s="69"/>
      <c r="AH134" s="69"/>
      <c r="AI134" s="69"/>
      <c r="AJ134" s="69"/>
      <c r="AK134" s="69"/>
      <c r="AL134" s="69"/>
      <c r="AM134" s="69"/>
      <c r="AN134" s="69"/>
    </row>
    <row r="135" spans="1:40">
      <c r="A135" s="69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69"/>
      <c r="AG135" s="69"/>
      <c r="AH135" s="69"/>
      <c r="AI135" s="69"/>
      <c r="AJ135" s="69"/>
      <c r="AK135" s="69"/>
      <c r="AL135" s="69"/>
      <c r="AM135" s="69"/>
      <c r="AN135" s="69"/>
    </row>
    <row r="136" spans="1:40">
      <c r="A136" s="69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69"/>
      <c r="AG136" s="69"/>
      <c r="AH136" s="69"/>
      <c r="AI136" s="69"/>
      <c r="AJ136" s="69"/>
      <c r="AK136" s="69"/>
      <c r="AL136" s="69"/>
      <c r="AM136" s="69"/>
      <c r="AN136" s="69"/>
    </row>
    <row r="137" spans="1:40">
      <c r="A137" s="69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69"/>
      <c r="AG137" s="69"/>
      <c r="AH137" s="69"/>
      <c r="AI137" s="69"/>
      <c r="AJ137" s="69"/>
      <c r="AK137" s="69"/>
      <c r="AL137" s="69"/>
      <c r="AM137" s="69"/>
      <c r="AN137" s="69"/>
    </row>
    <row r="138" spans="1:40">
      <c r="A138" s="69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69"/>
      <c r="AG138" s="69"/>
      <c r="AH138" s="69"/>
      <c r="AI138" s="69"/>
      <c r="AJ138" s="69"/>
      <c r="AK138" s="69"/>
      <c r="AL138" s="69"/>
      <c r="AM138" s="69"/>
      <c r="AN138" s="69"/>
    </row>
    <row r="139" spans="1:40">
      <c r="A139" s="69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69"/>
      <c r="AG139" s="69"/>
      <c r="AH139" s="69"/>
      <c r="AI139" s="69"/>
      <c r="AJ139" s="69"/>
      <c r="AK139" s="69"/>
      <c r="AL139" s="69"/>
      <c r="AM139" s="69"/>
      <c r="AN139" s="69"/>
    </row>
    <row r="140" spans="1:40">
      <c r="A140" s="69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69"/>
      <c r="AG140" s="69"/>
      <c r="AH140" s="69"/>
      <c r="AI140" s="69"/>
      <c r="AJ140" s="69"/>
      <c r="AK140" s="69"/>
      <c r="AL140" s="69"/>
      <c r="AM140" s="69"/>
      <c r="AN140" s="69"/>
    </row>
    <row r="141" spans="1:40">
      <c r="A141" s="69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69"/>
      <c r="AG141" s="69"/>
      <c r="AH141" s="69"/>
      <c r="AI141" s="69"/>
      <c r="AJ141" s="69"/>
      <c r="AK141" s="69"/>
      <c r="AL141" s="69"/>
      <c r="AM141" s="69"/>
      <c r="AN141" s="69"/>
    </row>
    <row r="142" spans="1:40">
      <c r="A142" s="69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69"/>
      <c r="AG142" s="69"/>
      <c r="AH142" s="69"/>
      <c r="AI142" s="69"/>
      <c r="AJ142" s="69"/>
      <c r="AK142" s="69"/>
      <c r="AL142" s="69"/>
      <c r="AM142" s="69"/>
      <c r="AN142" s="69"/>
    </row>
    <row r="143" spans="1:40">
      <c r="A143" s="69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69"/>
      <c r="AG143" s="69"/>
      <c r="AH143" s="69"/>
      <c r="AI143" s="69"/>
      <c r="AJ143" s="69"/>
      <c r="AK143" s="69"/>
      <c r="AL143" s="69"/>
      <c r="AM143" s="69"/>
      <c r="AN143" s="69"/>
    </row>
    <row r="144" spans="1:40">
      <c r="A144" s="69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69"/>
      <c r="AG144" s="69"/>
      <c r="AH144" s="69"/>
      <c r="AI144" s="69"/>
      <c r="AJ144" s="69"/>
      <c r="AK144" s="69"/>
      <c r="AL144" s="69"/>
      <c r="AM144" s="69"/>
      <c r="AN144" s="69"/>
    </row>
    <row r="145" spans="1:40">
      <c r="A145" s="69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69"/>
      <c r="AG145" s="69"/>
      <c r="AH145" s="69"/>
      <c r="AI145" s="69"/>
      <c r="AJ145" s="69"/>
      <c r="AK145" s="69"/>
      <c r="AL145" s="69"/>
      <c r="AM145" s="69"/>
      <c r="AN145" s="69"/>
    </row>
    <row r="146" spans="1:40">
      <c r="A146" s="69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69"/>
      <c r="AG146" s="69"/>
      <c r="AH146" s="69"/>
      <c r="AI146" s="69"/>
      <c r="AJ146" s="69"/>
      <c r="AK146" s="69"/>
      <c r="AL146" s="69"/>
      <c r="AM146" s="69"/>
      <c r="AN146" s="69"/>
    </row>
    <row r="147" spans="1:40">
      <c r="A147" s="69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69"/>
      <c r="AG147" s="69"/>
      <c r="AH147" s="69"/>
      <c r="AI147" s="69"/>
      <c r="AJ147" s="69"/>
      <c r="AK147" s="69"/>
      <c r="AL147" s="69"/>
      <c r="AM147" s="69"/>
      <c r="AN147" s="69"/>
    </row>
    <row r="148" spans="1:40">
      <c r="A148" s="69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69"/>
      <c r="AG148" s="69"/>
      <c r="AH148" s="69"/>
      <c r="AI148" s="69"/>
      <c r="AJ148" s="69"/>
      <c r="AK148" s="69"/>
      <c r="AL148" s="69"/>
      <c r="AM148" s="69"/>
      <c r="AN148" s="69"/>
    </row>
    <row r="149" spans="1:40">
      <c r="A149" s="69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69"/>
      <c r="AG149" s="69"/>
      <c r="AH149" s="69"/>
      <c r="AI149" s="69"/>
      <c r="AJ149" s="69"/>
      <c r="AK149" s="69"/>
      <c r="AL149" s="69"/>
      <c r="AM149" s="69"/>
      <c r="AN149" s="69"/>
    </row>
    <row r="150" spans="1:40">
      <c r="A150" s="69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69"/>
      <c r="AG150" s="69"/>
      <c r="AH150" s="69"/>
      <c r="AI150" s="69"/>
      <c r="AJ150" s="69"/>
      <c r="AK150" s="69"/>
      <c r="AL150" s="69"/>
      <c r="AM150" s="69"/>
      <c r="AN150" s="69"/>
    </row>
  </sheetData>
  <mergeCells count="16">
    <mergeCell ref="A109:A116"/>
    <mergeCell ref="A118:A121"/>
    <mergeCell ref="A122:A125"/>
    <mergeCell ref="B105:C105"/>
    <mergeCell ref="A4:A7"/>
    <mergeCell ref="A12:A16"/>
    <mergeCell ref="A19:A21"/>
    <mergeCell ref="A25:A37"/>
    <mergeCell ref="A40:A46"/>
    <mergeCell ref="A53:A56"/>
    <mergeCell ref="A62:A69"/>
    <mergeCell ref="A71:A78"/>
    <mergeCell ref="A80:A83"/>
    <mergeCell ref="A85:A90"/>
    <mergeCell ref="A91:A95"/>
    <mergeCell ref="A96:A100"/>
  </mergeCells>
  <pageMargins left="0.75" right="0.75" top="1" bottom="1" header="0.5" footer="0.5"/>
  <pageSetup paperSize="9" scale="49" fitToWidth="2" fitToHeight="2" orientation="landscape" horizontalDpi="300" verticalDpi="300"/>
  <headerFooter alignWithMargins="0">
    <oddHeader>&amp;C&amp;A</oddHeader>
    <oddFooter>&amp;CPage &amp;P</oddFooter>
  </headerFooter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tabColor indexed="13"/>
  </sheetPr>
  <dimension ref="C1:AK22"/>
  <sheetViews>
    <sheetView workbookViewId="0">
      <selection activeCell="AK17" sqref="AK17"/>
    </sheetView>
  </sheetViews>
  <sheetFormatPr defaultColWidth="8" defaultRowHeight="20.5"/>
  <cols>
    <col min="1" max="1" width="6.83203125" style="2" customWidth="1"/>
    <col min="2" max="3" width="2.25" style="2" customWidth="1"/>
    <col min="4" max="4" width="1.75" style="2" customWidth="1"/>
    <col min="5" max="5" width="2.83203125" style="3" customWidth="1"/>
    <col min="6" max="6" width="1.58203125" style="3" customWidth="1"/>
    <col min="7" max="7" width="1.83203125" style="3" customWidth="1"/>
    <col min="8" max="8" width="2.25" style="3" customWidth="1"/>
    <col min="9" max="9" width="1.75" style="2" customWidth="1"/>
    <col min="10" max="10" width="2.25" style="2" customWidth="1"/>
    <col min="11" max="12" width="2.25" style="4" customWidth="1"/>
    <col min="13" max="13" width="3.08203125" style="4" customWidth="1"/>
    <col min="14" max="14" width="2.25" style="2" customWidth="1"/>
    <col min="15" max="17" width="2.25" style="4" customWidth="1"/>
    <col min="18" max="25" width="2.25" style="2" customWidth="1"/>
    <col min="26" max="26" width="4" style="2" customWidth="1"/>
    <col min="27" max="27" width="3.08203125" style="2" customWidth="1"/>
    <col min="28" max="28" width="2.58203125" style="2" customWidth="1"/>
    <col min="29" max="29" width="1.83203125" style="2" customWidth="1"/>
    <col min="30" max="31" width="2.25" style="2" customWidth="1"/>
    <col min="32" max="36" width="3" style="2" customWidth="1"/>
    <col min="37" max="16384" width="8" style="2"/>
  </cols>
  <sheetData>
    <row r="1" spans="3:37" ht="33" customHeight="1">
      <c r="H1" s="1494" t="s">
        <v>591</v>
      </c>
      <c r="I1" s="1494"/>
      <c r="J1" s="1494"/>
      <c r="K1" s="1495" t="s">
        <v>592</v>
      </c>
      <c r="L1" s="1495"/>
      <c r="M1" s="1495"/>
      <c r="AK1" s="2" t="s">
        <v>274</v>
      </c>
    </row>
    <row r="2" spans="3:37" ht="30" customHeight="1">
      <c r="I2" s="9" t="s">
        <v>593</v>
      </c>
      <c r="J2" s="9">
        <v>0</v>
      </c>
      <c r="K2" s="9">
        <v>5</v>
      </c>
      <c r="L2" s="9" t="s">
        <v>502</v>
      </c>
      <c r="AB2" s="1488" t="s">
        <v>594</v>
      </c>
      <c r="AC2" s="1488" t="s">
        <v>593</v>
      </c>
      <c r="AD2" s="1488" t="s">
        <v>594</v>
      </c>
      <c r="AE2" s="1488" t="s">
        <v>595</v>
      </c>
      <c r="AK2" s="2" t="s">
        <v>596</v>
      </c>
    </row>
    <row r="3" spans="3:37" ht="21" customHeight="1">
      <c r="D3" s="5">
        <f>รายงานการผลิต!X14</f>
        <v>2</v>
      </c>
      <c r="E3" s="5">
        <f>รายงานการผลิต!Y14</f>
        <v>7</v>
      </c>
      <c r="F3" s="5">
        <f>รายงานการผลิต!Z14</f>
        <v>0</v>
      </c>
      <c r="G3" s="5">
        <f>รายงานการผลิต!AA14</f>
        <v>5</v>
      </c>
      <c r="H3" s="5">
        <f>รายงานการผลิต!AB14</f>
        <v>6</v>
      </c>
      <c r="I3" s="5">
        <f>รายงานการผลิต!AC14</f>
        <v>0</v>
      </c>
      <c r="K3" s="1489" t="s">
        <v>274</v>
      </c>
      <c r="L3" s="1489"/>
      <c r="M3" s="1489"/>
      <c r="N3" s="1489"/>
      <c r="O3" s="1489"/>
      <c r="P3" s="1489"/>
      <c r="Q3" s="1489"/>
      <c r="R3" s="1489"/>
      <c r="S3" s="1489"/>
      <c r="T3" s="1489"/>
      <c r="U3" s="1489"/>
      <c r="AB3" s="1488"/>
      <c r="AC3" s="1488"/>
      <c r="AD3" s="1488"/>
      <c r="AE3" s="1488"/>
      <c r="AK3" s="2" t="s">
        <v>597</v>
      </c>
    </row>
    <row r="4" spans="3:37" ht="12.75" customHeight="1">
      <c r="I4" s="13"/>
      <c r="J4" s="13"/>
      <c r="K4" s="1489"/>
      <c r="L4" s="1489"/>
      <c r="M4" s="1489"/>
      <c r="N4" s="1489"/>
      <c r="O4" s="1489"/>
      <c r="P4" s="1489"/>
      <c r="Q4" s="1489"/>
      <c r="R4" s="1489"/>
      <c r="S4" s="1489"/>
      <c r="T4" s="1489"/>
      <c r="U4" s="1489"/>
      <c r="V4" s="14"/>
      <c r="W4" s="14"/>
      <c r="AB4" s="1488"/>
      <c r="AC4" s="1488"/>
      <c r="AD4" s="1488"/>
      <c r="AE4" s="1488"/>
    </row>
    <row r="5" spans="3:37" ht="2.25" customHeight="1">
      <c r="D5" s="6"/>
      <c r="E5" s="7"/>
      <c r="F5" s="7"/>
      <c r="G5" s="7"/>
      <c r="H5" s="8"/>
      <c r="I5" s="13"/>
      <c r="J5" s="13"/>
      <c r="K5" s="1489"/>
      <c r="L5" s="1489"/>
      <c r="M5" s="1489"/>
      <c r="N5" s="1489"/>
      <c r="O5" s="1489"/>
      <c r="P5" s="1489"/>
      <c r="Q5" s="1489"/>
      <c r="R5" s="1489"/>
      <c r="S5" s="1489"/>
      <c r="T5" s="1489"/>
      <c r="U5" s="1489"/>
    </row>
    <row r="6" spans="3:37" ht="15" customHeight="1">
      <c r="D6" s="6"/>
      <c r="E6" s="7"/>
      <c r="F6" s="7"/>
      <c r="G6" s="7"/>
      <c r="H6" s="8"/>
      <c r="I6" s="13"/>
      <c r="J6" s="13"/>
      <c r="K6" s="1489"/>
      <c r="L6" s="1489"/>
      <c r="M6" s="1489"/>
      <c r="N6" s="1489"/>
      <c r="O6" s="1489"/>
      <c r="P6" s="1489"/>
      <c r="Q6" s="1489"/>
      <c r="R6" s="1489"/>
      <c r="S6" s="1489"/>
      <c r="T6" s="1489"/>
      <c r="U6" s="1489"/>
    </row>
    <row r="7" spans="3:37" ht="54" customHeight="1">
      <c r="C7" s="4"/>
      <c r="D7" s="9"/>
      <c r="E7" s="10">
        <f>รายงานการผลิต!Y17</f>
        <v>3</v>
      </c>
      <c r="F7" s="1491" t="str">
        <f>รายงานการผลิต!Z17</f>
        <v>257</v>
      </c>
      <c r="G7" s="1491"/>
      <c r="H7" s="1491"/>
      <c r="I7" s="1490" t="s">
        <v>57</v>
      </c>
      <c r="J7" s="1490"/>
      <c r="K7" s="11" t="s">
        <v>598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1"/>
      <c r="Z7" s="1492">
        <v>703001</v>
      </c>
      <c r="AA7" s="1492"/>
      <c r="AB7" s="1492"/>
      <c r="AF7" s="1493">
        <v>30100361002</v>
      </c>
      <c r="AG7" s="1493"/>
      <c r="AH7" s="1493"/>
      <c r="AI7" s="1493"/>
      <c r="AJ7" s="1493"/>
      <c r="AK7" s="15"/>
    </row>
    <row r="8" spans="3:37" s="1" customFormat="1" ht="20.25" customHeight="1">
      <c r="D8" s="9"/>
      <c r="E8" s="10">
        <f>รายงานการผลิต!Y18</f>
        <v>0</v>
      </c>
      <c r="F8" s="1491" t="str">
        <f>รายงานการผลิต!Z18</f>
        <v>425</v>
      </c>
      <c r="G8" s="1491"/>
      <c r="H8" s="1491"/>
      <c r="I8" s="1490" t="s">
        <v>57</v>
      </c>
      <c r="J8" s="1490"/>
      <c r="K8" s="11" t="s">
        <v>599</v>
      </c>
      <c r="Y8" s="11"/>
      <c r="Z8" s="1492">
        <v>703001</v>
      </c>
      <c r="AA8" s="1492"/>
      <c r="AB8" s="1492"/>
      <c r="AF8" s="1493">
        <v>30100361002</v>
      </c>
      <c r="AG8" s="1493"/>
      <c r="AH8" s="1493"/>
      <c r="AI8" s="1493"/>
      <c r="AJ8" s="1493"/>
      <c r="AK8" s="1493"/>
    </row>
    <row r="9" spans="3:37" s="1" customFormat="1" ht="20.25" customHeight="1">
      <c r="D9" s="9"/>
      <c r="E9" s="10">
        <f>รายงานการผลิต!Y19</f>
        <v>12</v>
      </c>
      <c r="F9" s="1491" t="str">
        <f>รายงานการผลิต!Z19</f>
        <v>002</v>
      </c>
      <c r="G9" s="1491"/>
      <c r="H9" s="1491"/>
      <c r="I9" s="1490" t="s">
        <v>57</v>
      </c>
      <c r="J9" s="1490"/>
      <c r="K9" s="11" t="s">
        <v>23</v>
      </c>
      <c r="Y9" s="11"/>
      <c r="Z9" s="1492">
        <v>703012</v>
      </c>
      <c r="AA9" s="1492"/>
      <c r="AB9" s="1492"/>
      <c r="AF9" s="1493">
        <v>30100373024</v>
      </c>
      <c r="AG9" s="1493"/>
      <c r="AH9" s="1493"/>
      <c r="AI9" s="1493"/>
      <c r="AJ9" s="1493"/>
      <c r="AK9" s="1493"/>
    </row>
    <row r="10" spans="3:37" s="1" customFormat="1" ht="20.25" customHeight="1">
      <c r="D10" s="9"/>
      <c r="E10" s="10">
        <f>รายงานการผลิต!Y20</f>
        <v>0</v>
      </c>
      <c r="F10" s="1491">
        <f>รายงานการผลิต!Z20</f>
        <v>213</v>
      </c>
      <c r="G10" s="1491"/>
      <c r="H10" s="1491"/>
      <c r="I10" s="1490" t="s">
        <v>57</v>
      </c>
      <c r="J10" s="1490"/>
      <c r="K10" s="11" t="s">
        <v>45</v>
      </c>
      <c r="Y10" s="11"/>
      <c r="Z10" s="1492">
        <v>703010</v>
      </c>
      <c r="AA10" s="1492"/>
      <c r="AB10" s="1492"/>
      <c r="AF10" s="1493">
        <v>30100260002</v>
      </c>
      <c r="AG10" s="1493"/>
      <c r="AH10" s="1493"/>
      <c r="AI10" s="1493"/>
      <c r="AJ10" s="1493"/>
      <c r="AK10" s="1493"/>
    </row>
    <row r="11" spans="3:37" s="1" customFormat="1" ht="20.25" customHeight="1">
      <c r="D11" s="9"/>
      <c r="E11" s="10">
        <f>รายงานการผลิต!Y21</f>
        <v>4</v>
      </c>
      <c r="F11" s="1491" t="str">
        <f>รายงานการผลิต!Z21</f>
        <v>675</v>
      </c>
      <c r="G11" s="1491"/>
      <c r="H11" s="1491"/>
      <c r="I11" s="1490" t="s">
        <v>57</v>
      </c>
      <c r="J11" s="1490"/>
      <c r="K11" s="11" t="s">
        <v>600</v>
      </c>
      <c r="Y11" s="11"/>
      <c r="Z11" s="1492">
        <v>703009</v>
      </c>
      <c r="AA11" s="1492"/>
      <c r="AB11" s="1492"/>
      <c r="AF11" s="1493">
        <v>30100373021</v>
      </c>
      <c r="AG11" s="1493"/>
      <c r="AH11" s="1493"/>
      <c r="AI11" s="1493"/>
      <c r="AJ11" s="1493"/>
      <c r="AK11" s="1493"/>
    </row>
    <row r="12" spans="3:37" ht="20.25" customHeight="1">
      <c r="E12" s="10">
        <f>รายงานการผลิต!Y22</f>
        <v>1</v>
      </c>
      <c r="F12" s="1491" t="str">
        <f>รายงานการผลิต!Z22</f>
        <v>001</v>
      </c>
      <c r="G12" s="1491"/>
      <c r="H12" s="1491"/>
      <c r="I12" s="1490" t="s">
        <v>57</v>
      </c>
      <c r="J12" s="1490"/>
      <c r="K12" s="2" t="s">
        <v>601</v>
      </c>
      <c r="L12" s="2"/>
      <c r="M12" s="2"/>
      <c r="Z12" s="1492">
        <v>703019</v>
      </c>
      <c r="AA12" s="1492"/>
      <c r="AB12" s="1492"/>
      <c r="AF12" s="1493">
        <v>30100373025</v>
      </c>
      <c r="AG12" s="1493"/>
      <c r="AH12" s="1493"/>
      <c r="AI12" s="1493"/>
    </row>
    <row r="13" spans="3:37" ht="20.25" customHeight="1">
      <c r="E13" s="10">
        <v>7</v>
      </c>
      <c r="F13" s="1490" t="s">
        <v>106</v>
      </c>
      <c r="G13" s="1490"/>
      <c r="H13" s="1490"/>
      <c r="I13" s="1490" t="s">
        <v>57</v>
      </c>
      <c r="J13" s="1490"/>
      <c r="K13" s="2" t="s">
        <v>602</v>
      </c>
      <c r="L13" s="2"/>
    </row>
    <row r="14" spans="3:37" ht="20.25" customHeight="1">
      <c r="G14" s="12"/>
    </row>
    <row r="15" spans="3:37" ht="20.25" customHeight="1">
      <c r="G15" s="12"/>
    </row>
    <row r="16" spans="3:37" ht="20.25" customHeight="1">
      <c r="G16" s="12"/>
    </row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</sheetData>
  <mergeCells count="33">
    <mergeCell ref="H1:J1"/>
    <mergeCell ref="K1:M1"/>
    <mergeCell ref="F7:H7"/>
    <mergeCell ref="I7:J7"/>
    <mergeCell ref="Z7:AB7"/>
    <mergeCell ref="AF7:AJ7"/>
    <mergeCell ref="F8:H8"/>
    <mergeCell ref="I8:J8"/>
    <mergeCell ref="Z8:AB8"/>
    <mergeCell ref="AF8:AK8"/>
    <mergeCell ref="AF9:AK9"/>
    <mergeCell ref="F10:H10"/>
    <mergeCell ref="I10:J10"/>
    <mergeCell ref="Z10:AB10"/>
    <mergeCell ref="AF10:AK10"/>
    <mergeCell ref="AF11:AK11"/>
    <mergeCell ref="F12:H12"/>
    <mergeCell ref="I12:J12"/>
    <mergeCell ref="Z12:AB12"/>
    <mergeCell ref="AF12:AI12"/>
    <mergeCell ref="AE2:AE4"/>
    <mergeCell ref="K3:U6"/>
    <mergeCell ref="F13:H13"/>
    <mergeCell ref="I13:J13"/>
    <mergeCell ref="AB2:AB4"/>
    <mergeCell ref="AC2:AC4"/>
    <mergeCell ref="AD2:AD4"/>
    <mergeCell ref="F11:H11"/>
    <mergeCell ref="I11:J11"/>
    <mergeCell ref="Z11:AB11"/>
    <mergeCell ref="F9:H9"/>
    <mergeCell ref="I9:J9"/>
    <mergeCell ref="Z9:AB9"/>
  </mergeCells>
  <dataValidations count="1">
    <dataValidation type="list" allowBlank="1" showInputMessage="1" showErrorMessage="1" sqref="K3 H5:H6 I4:J6" xr:uid="{00000000-0002-0000-1300-000000000000}">
      <formula1>$AK$1:$AK$3</formula1>
    </dataValidation>
  </dataValidations>
  <pageMargins left="0.27559055118110198" right="0.23622047244094499" top="0.23622047244094499" bottom="0.23622047244094499" header="0.31496062992126" footer="0.39370078740157499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52</vt:i4>
      </vt:variant>
    </vt:vector>
  </HeadingPairs>
  <TitlesOfParts>
    <vt:vector size="94" baseType="lpstr">
      <vt:lpstr>รายงานการผลิต</vt:lpstr>
      <vt:lpstr>รายงานการผลิต (2)</vt:lpstr>
      <vt:lpstr>สมรรถภาพการผลิต_</vt:lpstr>
      <vt:lpstr>กราฟ</vt:lpstr>
      <vt:lpstr>สรุป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Link ส.วศ. 1</vt:lpstr>
      <vt:lpstr>Link ส.วศ. 2</vt:lpstr>
      <vt:lpstr>Link วางแผน</vt:lpstr>
      <vt:lpstr>สรุป </vt:lpstr>
      <vt:lpstr>Data</vt:lpstr>
      <vt:lpstr>ใบเบิก</vt:lpstr>
      <vt:lpstr>Counter</vt:lpstr>
      <vt:lpstr>Depallet1</vt:lpstr>
      <vt:lpstr>Depallet1_S</vt:lpstr>
      <vt:lpstr>Depallet2</vt:lpstr>
      <vt:lpstr>Depallet2_S</vt:lpstr>
      <vt:lpstr>Depallet3</vt:lpstr>
      <vt:lpstr>Depallet3_S</vt:lpstr>
      <vt:lpstr>Performance1</vt:lpstr>
      <vt:lpstr>Performance2</vt:lpstr>
      <vt:lpstr>Performance3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ใบเบิก!Print_Area</vt:lpstr>
      <vt:lpstr>รายงานการผลิต!Print_Area</vt:lpstr>
      <vt:lpstr>สมรรถภาพการผลิต_!Print_Area</vt:lpstr>
      <vt:lpstr>สรุป!Print_Area</vt:lpstr>
      <vt:lpstr>'สรุป '!Print_Area</vt:lpstr>
      <vt:lpstr>ProdShift1</vt:lpstr>
      <vt:lpstr>ProdShift2</vt:lpstr>
      <vt:lpstr>ProdShift3</vt:lpstr>
      <vt:lpstr>Product_Perform1</vt:lpstr>
      <vt:lpstr>Product_Perform2</vt:lpstr>
      <vt:lpstr>Stop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'S CUSTOMER</dc:creator>
  <cp:keywords/>
  <dc:description/>
  <cp:lastModifiedBy>Thanawat Yampuang</cp:lastModifiedBy>
  <cp:revision/>
  <cp:lastPrinted>2026-08-20T12:35:46Z</cp:lastPrinted>
  <dcterms:created xsi:type="dcterms:W3CDTF">2004-07-01T01:08:00Z</dcterms:created>
  <dcterms:modified xsi:type="dcterms:W3CDTF">2026-09-13T12:24:20Z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80AEBC5DED4F485F9C7F04AAF7762F57_13</vt:lpwstr>
  </property>
  <property fmtid="{D5CDD505-2E9C-101B-9397-08002B2CF9AE}" pid="3" name="KSOProductBuildVer">
    <vt:lpwstr>1033-12.2.0.19805</vt:lpwstr>
  </property>
</Properties>
</file>